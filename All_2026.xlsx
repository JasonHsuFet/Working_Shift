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FAF4707B-73D7-4EF3-9D3E-57A59CBFC05E}" xr6:coauthVersionLast="47" xr6:coauthVersionMax="47" xr10:uidLastSave="{00000000-0000-0000-0000-000000000000}"/>
  <bookViews>
    <workbookView xWindow="-108" yWindow="-108" windowWidth="23256" windowHeight="12576" activeTab="2" xr2:uid="{F48F8574-E72E-47A9-9FAE-C071219C9035}"/>
  </bookViews>
  <sheets>
    <sheet name="01" sheetId="15" r:id="rId1"/>
    <sheet name="02" sheetId="18" r:id="rId2"/>
    <sheet name="03" sheetId="19" r:id="rId3"/>
  </sheets>
  <definedNames>
    <definedName name="_xlnm._FilterDatabase" localSheetId="0" hidden="1">'01'!$AT$3:$AT$59</definedName>
    <definedName name="_xlnm._FilterDatabase" localSheetId="2" hidden="1">'03'!$AT$3:$AT$59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7F5BBA_2FC6_451C_8546_CC8AEEDCC5FF_.wvu.FilterData" localSheetId="1" hidden="1">'02'!$AQ$3:$AQ$60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46E252_0993_469E_8A4B_D8BA921893C0_.wvu.FilterData" localSheetId="1" hidden="1">'02'!$AQ$3:$AQ$60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9387AE2_24A3_4769_AAB1_E8FCA7264125_.wvu.FilterData" localSheetId="2" hidden="1">'03'!$AT$3:$AT$59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FCD1FDB_37CC_46E1_B1C5_4F66CDB0126A_.wvu.FilterData" localSheetId="2" hidden="1">'03'!$AT$3:$AT$59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A29B745_D387_4E04_9B34_E57A23AC14D9_.wvu.FilterData" localSheetId="2" hidden="1">'03'!$AT$3:$AT$59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D81BCC_6793_4A28_A933_FBE69690D335_.wvu.FilterData" localSheetId="2" hidden="1">'03'!$AT$3:$AT$59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45DBDDC_69DA_4A33_BA0D_9165315DBB1D_.wvu.FilterData" localSheetId="2" hidden="1">'03'!$AT$3:$AT$59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A0F40F1_4778_44C3_82CD_C75E878C0915_.wvu.FilterData" localSheetId="2" hidden="1">'03'!$AT$3:$AT$59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144521A_29D5_4CCF_822B_4070F433643E_.wvu.FilterData" localSheetId="1" hidden="1">'02'!$AQ$3:$AQ$60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B54464_F353_4ABD_9C7F_7CF967E96DB3_.wvu.FilterData" localSheetId="2" hidden="1">'03'!$AT$3:$AT$59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30D1649_9EF8_4A3A_9033_E451DFFB401E_.wvu.FilterData" localSheetId="2" hidden="1">'03'!$AT$3:$AT$59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F2BC54_5B05_415F_9B4B_E79D7D473800_.wvu.FilterData" localSheetId="1" hidden="1">'02'!$AQ$3:$AQ$60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C8F1F7A_A2BC_4DDE_9B54_5646408895C8_.wvu.FilterData" localSheetId="2" hidden="1">'03'!$AT$3:$AT$59</definedName>
    <definedName name="Z_6F2948E6_E278_42A3_B92C_B84C1D3D059D_.wvu.FilterData" localSheetId="2" hidden="1">'03'!$AT$3:$AT$59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D28223_7F6C_4EF3_83F1_0E0DA74E377B_.wvu.FilterData" localSheetId="1" hidden="1">'02'!$AQ$3:$AQ$60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EE078D3_D990_494C_A85E_FBEE09918749_.wvu.FilterData" localSheetId="2" hidden="1">'03'!$AT$3:$AT$59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E4AEE4D_98EF_4FC3_A993_B516C94EA0E3_.wvu.FilterData" localSheetId="1" hidden="1">'02'!$AQ$3:$AQ$60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435FB3B_3FCB_4AE8_A9EF_51A6FF92B192_.wvu.FilterData" localSheetId="2" hidden="1">'03'!$AT$3:$AT$59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B46ED7A_A0AD_4959_B9DD_42329FB35F0C_.wvu.FilterData" localSheetId="1" hidden="1">'02'!$AQ$3:$AQ$60</definedName>
    <definedName name="Z_DF345B5B_FB4E_4A24_828D_95448470D894_.wvu.FilterData" localSheetId="2" hidden="1">'03'!$AT$3:$AT$59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29C1FBB_B301_45BD_9D69_2153A5A15A6B_.wvu.FilterData" localSheetId="2" hidden="1">'03'!$AT$3:$AT$59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A6BF52_3415_4893_9FC1_5EAFAB4C551C_.wvu.FilterData" localSheetId="2" hidden="1">'03'!$AT$3:$AT$59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ADB030B_9650_4D29_B365_F93C512834EC_.wvu.FilterData" localSheetId="2" hidden="1">'03'!$AT$3:$AT$59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2941E1_F9E0_4080_8AC4_3D9CF15BEA13_.wvu.FilterData" localSheetId="2" hidden="1">'03'!$AT$3:$AT$59</definedName>
    <definedName name="上班代號">{"N8","N","S","Z","1","M1","2","3","早","T早","中","T中","晚","日","小夜","大夜"}</definedName>
    <definedName name="中班組">{2,"2","中","小夜","T中","M2"}</definedName>
    <definedName name="早班組">{1,"1","早","日","N","N8","S","Z","T早","M1"}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14" i="19" l="1"/>
  <c r="AR56" i="19"/>
  <c r="M47" i="19" l="1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AN19" i="18" s="1"/>
  <c r="AP19" i="18" s="1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AN10" i="18" s="1"/>
  <c r="E10" i="18"/>
  <c r="D10" i="18"/>
  <c r="C10" i="18"/>
  <c r="B10" i="18"/>
  <c r="A10" i="18"/>
  <c r="H9" i="18"/>
  <c r="G9" i="18"/>
  <c r="F9" i="18"/>
  <c r="AN9" i="18" s="1"/>
  <c r="AP9" i="18" s="1"/>
  <c r="E9" i="18"/>
  <c r="D9" i="18"/>
  <c r="C9" i="18"/>
  <c r="B9" i="18"/>
  <c r="A9" i="18"/>
  <c r="H8" i="18"/>
  <c r="G8" i="18"/>
  <c r="F8" i="18"/>
  <c r="AN8" i="18" s="1"/>
  <c r="AP8" i="18" s="1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AN5" i="18" s="1"/>
  <c r="AP5" i="18" s="1"/>
  <c r="E5" i="18"/>
  <c r="D5" i="18"/>
  <c r="C5" i="18"/>
  <c r="B5" i="18"/>
  <c r="A5" i="18"/>
  <c r="H4" i="18"/>
  <c r="G4" i="18"/>
  <c r="F4" i="18"/>
  <c r="AN4" i="18" s="1"/>
  <c r="AP4" i="18" s="1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AQ14" i="19" l="1"/>
  <c r="AQ18" i="19"/>
  <c r="AS18" i="19" s="1"/>
  <c r="T55" i="19"/>
  <c r="T60" i="19" s="1"/>
  <c r="Q55" i="19"/>
  <c r="O55" i="19"/>
  <c r="O60" i="19" s="1"/>
  <c r="U55" i="19"/>
  <c r="U60" i="19" s="1"/>
  <c r="M55" i="19"/>
  <c r="M60" i="19" s="1"/>
  <c r="P55" i="19"/>
  <c r="P60" i="19" s="1"/>
  <c r="R55" i="19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R60" i="19"/>
  <c r="Q60" i="19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K1" i="18" s="1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P10" i="18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9" l="1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Z24" authorId="2" shapeId="0" xr:uid="{0397B26A-3591-4BD6-9119-6AAFCB1568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charset val="1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<sst xmlns="http://schemas.openxmlformats.org/spreadsheetml/2006/main" count="3482" uniqueCount="153">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</sst>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99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b/>
      <sz val="9"/>
      <color indexed="81"/>
      <name val="Tahoma"/>
      <charset val="1"/>
    </font>
  </fonts>
  <fills count="1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</fills>
  <borders count="5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04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</cellXfs>
  <cellStyles count="2">
    <cellStyle name="一般" xfId="0" builtinId="0"/>
    <cellStyle name="一般 2" xfId="1" xr:uid="{49B4DAFB-6DB6-4F0B-A98F-E68CAA2AC64E}"/>
  </cellStyles>
  <dxfs count="84"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D26" sqref="AD2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291" t="str">
        <f>"TPKC剩餘人力："&amp;AR59&amp;" / NK剩餘人力："&amp;AS59&amp;" /  N班人力："&amp;AR53</f>
        <v>TPKC剩餘人力：0 / NK剩餘人力：0 /  N班人力：92</v>
      </c>
      <c r="L1" s="292"/>
      <c r="M1" s="292"/>
      <c r="N1" s="292"/>
      <c r="O1" s="292"/>
      <c r="P1" s="292"/>
      <c r="Q1" s="292"/>
      <c r="R1" s="292"/>
      <c r="S1" s="292"/>
      <c r="T1" s="292"/>
      <c r="U1" s="292"/>
      <c r="V1" s="292"/>
      <c r="W1" s="292"/>
      <c r="X1" s="292"/>
      <c r="Y1" s="292"/>
      <c r="Z1" s="292"/>
      <c r="AA1" s="292"/>
      <c r="AB1" s="292"/>
      <c r="AC1" s="292"/>
      <c r="AD1" s="292"/>
      <c r="AE1" s="292"/>
      <c r="AF1" s="292"/>
      <c r="AG1" s="292"/>
      <c r="AH1" s="292"/>
      <c r="AI1" s="293"/>
      <c r="AJ1" s="292"/>
      <c r="AK1" s="292"/>
      <c r="AL1" s="294"/>
      <c r="AM1" s="295"/>
      <c r="AN1" s="295"/>
      <c r="AO1" s="5"/>
      <c r="AR1" s="6"/>
      <c r="AS1" s="7"/>
    </row>
    <row r="2" spans="1:226" ht="23.25" customHeight="1" thickBot="1">
      <c r="A2" s="281">
        <v>1</v>
      </c>
      <c r="B2" s="283">
        <v>2</v>
      </c>
      <c r="C2" s="283">
        <v>3</v>
      </c>
      <c r="D2" s="285" t="s">
        <v>60</v>
      </c>
      <c r="E2" s="287" t="s">
        <v>61</v>
      </c>
      <c r="F2" s="8" t="s">
        <v>62</v>
      </c>
      <c r="G2" s="8" t="s">
        <v>63</v>
      </c>
      <c r="H2" s="8" t="s">
        <v>64</v>
      </c>
      <c r="I2" s="296" t="s">
        <v>65</v>
      </c>
      <c r="J2" s="300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289" t="s">
        <v>48</v>
      </c>
      <c r="AW2" s="290"/>
      <c r="AX2" s="290"/>
    </row>
    <row r="3" spans="1:226" ht="24.6" customHeight="1" thickBot="1">
      <c r="A3" s="282"/>
      <c r="B3" s="284"/>
      <c r="C3" s="284"/>
      <c r="D3" s="286"/>
      <c r="E3" s="288"/>
      <c r="F3" s="15" t="s">
        <v>74</v>
      </c>
      <c r="G3" s="15" t="s">
        <v>75</v>
      </c>
      <c r="H3" s="16" t="s">
        <v>76</v>
      </c>
      <c r="I3" s="297"/>
      <c r="J3" s="301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cellIs" dxfId="83" priority="1" operator="equal">
      <formula>"大夜"</formula>
    </cfRule>
    <cfRule type="cellIs" dxfId="82" priority="2" operator="equal">
      <formula>"晚"</formula>
    </cfRule>
    <cfRule type="cellIs" dxfId="81" priority="3" operator="equal">
      <formula>3</formula>
    </cfRule>
    <cfRule type="cellIs" dxfId="80" priority="4" operator="equal">
      <formula>"小夜"</formula>
    </cfRule>
    <cfRule type="cellIs" dxfId="79" priority="5" operator="equal">
      <formula>"T中"</formula>
    </cfRule>
    <cfRule type="cellIs" dxfId="78" priority="6" operator="equal">
      <formula>"中"</formula>
    </cfRule>
    <cfRule type="cellIs" dxfId="77" priority="7" operator="equal">
      <formula>2</formula>
    </cfRule>
    <cfRule type="cellIs" dxfId="76" priority="8" operator="equal">
      <formula>"日"</formula>
    </cfRule>
    <cfRule type="cellIs" dxfId="75" priority="9" operator="equal">
      <formula>"T早"</formula>
    </cfRule>
    <cfRule type="cellIs" dxfId="74" priority="10" operator="equal">
      <formula>"早"</formula>
    </cfRule>
    <cfRule type="cellIs" dxfId="73" priority="11" operator="equal">
      <formula>"M1"</formula>
    </cfRule>
    <cfRule type="cellIs" dxfId="72" priority="12" operator="equal">
      <formula>1</formula>
    </cfRule>
    <cfRule type="expression" dxfId="71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70" priority="4256" operator="equal">
      <formula>5</formula>
    </cfRule>
    <cfRule type="cellIs" dxfId="69" priority="4257" operator="equal">
      <formula>4</formula>
    </cfRule>
    <cfRule type="cellIs" dxfId="68" priority="4258" operator="equal">
      <formula>3</formula>
    </cfRule>
    <cfRule type="cellIs" dxfId="67" priority="4259" operator="equal">
      <formula>2</formula>
    </cfRule>
    <cfRule type="cellIs" dxfId="66" priority="4260" operator="equal">
      <formula>1</formula>
    </cfRule>
  </conditionalFormatting>
  <conditionalFormatting sqref="K53:AO55">
    <cfRule type="cellIs" dxfId="65" priority="4261" operator="equal">
      <formula>"T中"</formula>
    </cfRule>
  </conditionalFormatting>
  <conditionalFormatting sqref="AP25">
    <cfRule type="cellIs" dxfId="64" priority="4564" operator="equal">
      <formula>"大夜"</formula>
    </cfRule>
    <cfRule type="cellIs" dxfId="63" priority="4565" operator="equal">
      <formula>"晚"</formula>
    </cfRule>
    <cfRule type="cellIs" dxfId="62" priority="4566" operator="equal">
      <formula>3</formula>
    </cfRule>
    <cfRule type="cellIs" dxfId="61" priority="4567" operator="equal">
      <formula>"小夜"</formula>
    </cfRule>
    <cfRule type="cellIs" dxfId="60" priority="4568" operator="equal">
      <formula>"T中"</formula>
    </cfRule>
    <cfRule type="cellIs" dxfId="59" priority="4569" operator="equal">
      <formula>"中"</formula>
    </cfRule>
    <cfRule type="cellIs" dxfId="58" priority="4570" operator="equal">
      <formula>"M2"</formula>
    </cfRule>
    <cfRule type="cellIs" dxfId="57" priority="4571" operator="equal">
      <formula>2</formula>
    </cfRule>
    <cfRule type="cellIs" dxfId="56" priority="4572" operator="equal">
      <formula>"日"</formula>
    </cfRule>
    <cfRule type="cellIs" dxfId="55" priority="4573" operator="equal">
      <formula>"T早"</formula>
    </cfRule>
    <cfRule type="cellIs" dxfId="54" priority="4574" operator="equal">
      <formula>"早"</formula>
    </cfRule>
    <cfRule type="cellIs" dxfId="53" priority="4575" operator="equal">
      <formula>"M1"</formula>
    </cfRule>
    <cfRule type="cellIs" dxfId="52" priority="4576" operator="equal">
      <formula>1</formula>
    </cfRule>
  </conditionalFormatting>
  <conditionalFormatting sqref="AS4:AS46">
    <cfRule type="cellIs" dxfId="51" priority="4562" operator="equal">
      <formula>-2</formula>
    </cfRule>
    <cfRule type="cellIs" dxfId="50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9" sqref="AO39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291" t="str">
        <f>"TPKC剩餘人力："&amp;AO59&amp;" / NK剩餘人力："&amp;AP59&amp;" /  N班人力："&amp;AO54</f>
        <v>TPKC剩餘人力：0 / NK剩餘人力：0 /  N班人力：32</v>
      </c>
      <c r="L1" s="292"/>
      <c r="M1" s="292"/>
      <c r="N1" s="292"/>
      <c r="O1" s="292"/>
      <c r="P1" s="292"/>
      <c r="Q1" s="292"/>
      <c r="R1" s="292"/>
      <c r="S1" s="292"/>
      <c r="T1" s="292"/>
      <c r="U1" s="292"/>
      <c r="V1" s="292"/>
      <c r="W1" s="292"/>
      <c r="X1" s="292"/>
      <c r="Y1" s="292"/>
      <c r="Z1" s="292"/>
      <c r="AA1" s="292"/>
      <c r="AB1" s="292"/>
      <c r="AC1" s="292"/>
      <c r="AD1" s="292"/>
      <c r="AE1" s="292"/>
      <c r="AF1" s="292"/>
      <c r="AG1" s="292"/>
      <c r="AH1" s="292"/>
      <c r="AI1" s="293"/>
      <c r="AJ1" s="292"/>
      <c r="AK1" s="292"/>
      <c r="AL1" s="183"/>
      <c r="AO1" s="6"/>
      <c r="AP1" s="7"/>
    </row>
    <row r="2" spans="1:223" ht="23.25" customHeight="1" thickBot="1">
      <c r="A2" s="281">
        <v>1</v>
      </c>
      <c r="B2" s="283">
        <v>2</v>
      </c>
      <c r="C2" s="283">
        <v>3</v>
      </c>
      <c r="D2" s="285" t="s">
        <v>104</v>
      </c>
      <c r="E2" s="287" t="s">
        <v>105</v>
      </c>
      <c r="F2" s="8" t="s">
        <v>106</v>
      </c>
      <c r="G2" s="8" t="s">
        <v>107</v>
      </c>
      <c r="H2" s="8" t="s">
        <v>108</v>
      </c>
      <c r="I2" s="296" t="s">
        <v>109</v>
      </c>
      <c r="J2" s="302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289" t="s">
        <v>48</v>
      </c>
      <c r="AT2" s="290"/>
      <c r="AU2" s="290"/>
    </row>
    <row r="3" spans="1:223" ht="24.6" customHeight="1" thickBot="1">
      <c r="A3" s="282"/>
      <c r="B3" s="284"/>
      <c r="C3" s="284"/>
      <c r="D3" s="286"/>
      <c r="E3" s="288"/>
      <c r="F3" s="15" t="s">
        <v>118</v>
      </c>
      <c r="G3" s="15" t="s">
        <v>119</v>
      </c>
      <c r="H3" s="16" t="s">
        <v>120</v>
      </c>
      <c r="I3" s="297"/>
      <c r="J3" s="303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5</v>
      </c>
      <c r="AP34" s="133">
        <f t="shared" si="10"/>
        <v>-1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49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48" priority="1">
      <formula>OR(K4=3, K4="晚",  K4="大夜")</formula>
    </cfRule>
    <cfRule type="expression" dxfId="47" priority="2">
      <formula>OR(K4="M2", K4=2, K4="中", K4="T中", K4="小夜")</formula>
    </cfRule>
    <cfRule type="expression" dxfId="46" priority="4">
      <formula>OR(K4="M1", K4=1, K4="早", K4="T早", K4="日")</formula>
    </cfRule>
  </conditionalFormatting>
  <conditionalFormatting sqref="K47:AL55">
    <cfRule type="cellIs" dxfId="45" priority="214" operator="equal">
      <formula>5</formula>
    </cfRule>
    <cfRule type="cellIs" dxfId="44" priority="215" operator="equal">
      <formula>4</formula>
    </cfRule>
    <cfRule type="cellIs" dxfId="43" priority="216" operator="equal">
      <formula>3</formula>
    </cfRule>
    <cfRule type="cellIs" dxfId="42" priority="217" operator="equal">
      <formula>2</formula>
    </cfRule>
    <cfRule type="cellIs" dxfId="41" priority="218" operator="equal">
      <formula>1</formula>
    </cfRule>
  </conditionalFormatting>
  <conditionalFormatting sqref="K53:AL55">
    <cfRule type="cellIs" dxfId="40" priority="219" operator="equal">
      <formula>"T中"</formula>
    </cfRule>
  </conditionalFormatting>
  <conditionalFormatting sqref="AM25">
    <cfRule type="cellIs" dxfId="39" priority="228" operator="equal">
      <formula>"大夜"</formula>
    </cfRule>
    <cfRule type="cellIs" dxfId="38" priority="229" operator="equal">
      <formula>"晚"</formula>
    </cfRule>
    <cfRule type="cellIs" dxfId="37" priority="230" operator="equal">
      <formula>3</formula>
    </cfRule>
    <cfRule type="cellIs" dxfId="36" priority="231" operator="equal">
      <formula>"小夜"</formula>
    </cfRule>
    <cfRule type="cellIs" dxfId="35" priority="232" operator="equal">
      <formula>"T中"</formula>
    </cfRule>
    <cfRule type="cellIs" dxfId="34" priority="233" operator="equal">
      <formula>"中"</formula>
    </cfRule>
    <cfRule type="cellIs" dxfId="33" priority="234" operator="equal">
      <formula>"M2"</formula>
    </cfRule>
    <cfRule type="cellIs" dxfId="32" priority="235" operator="equal">
      <formula>2</formula>
    </cfRule>
    <cfRule type="cellIs" dxfId="31" priority="236" operator="equal">
      <formula>"日"</formula>
    </cfRule>
    <cfRule type="cellIs" dxfId="30" priority="237" operator="equal">
      <formula>"T早"</formula>
    </cfRule>
    <cfRule type="cellIs" dxfId="29" priority="238" operator="equal">
      <formula>"早"</formula>
    </cfRule>
    <cfRule type="cellIs" dxfId="28" priority="239" operator="equal">
      <formula>"M1"</formula>
    </cfRule>
    <cfRule type="cellIs" dxfId="27" priority="240" operator="equal">
      <formula>1</formula>
    </cfRule>
  </conditionalFormatting>
  <conditionalFormatting sqref="AP4:AP46">
    <cfRule type="cellIs" dxfId="26" priority="226" operator="equal">
      <formula>-2</formula>
    </cfRule>
    <cfRule type="cellIs" dxfId="25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tabSelected="1"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F32" sqref="AF32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291" t="str">
        <f>"TPKC剩餘人力："&amp;AR58&amp;" / NK剩餘人力："&amp;AS58&amp;" /  N班人力："&amp;AR53</f>
        <v>TPKC剩餘人力：3 / NK剩餘人力：0 /  N班人力：114</v>
      </c>
      <c r="L1" s="292"/>
      <c r="M1" s="292"/>
      <c r="N1" s="292"/>
      <c r="O1" s="292"/>
      <c r="P1" s="292"/>
      <c r="Q1" s="292"/>
      <c r="R1" s="292"/>
      <c r="S1" s="292"/>
      <c r="T1" s="292"/>
      <c r="U1" s="292"/>
      <c r="V1" s="292"/>
      <c r="W1" s="292"/>
      <c r="X1" s="292"/>
      <c r="Y1" s="292"/>
      <c r="Z1" s="292"/>
      <c r="AA1" s="292"/>
      <c r="AB1" s="292"/>
      <c r="AC1" s="292"/>
      <c r="AD1" s="292"/>
      <c r="AE1" s="292"/>
      <c r="AF1" s="292"/>
      <c r="AG1" s="292"/>
      <c r="AH1" s="292"/>
      <c r="AI1" s="293"/>
      <c r="AJ1" s="292"/>
      <c r="AK1" s="292"/>
      <c r="AL1" s="294"/>
      <c r="AM1" s="295"/>
      <c r="AN1" s="295"/>
      <c r="AO1" s="5"/>
      <c r="AR1" s="6"/>
      <c r="AS1" s="7"/>
    </row>
    <row r="2" spans="1:226" ht="23.25" customHeight="1" thickBot="1">
      <c r="A2" s="281">
        <v>1</v>
      </c>
      <c r="B2" s="283">
        <v>2</v>
      </c>
      <c r="C2" s="283">
        <v>3</v>
      </c>
      <c r="D2" s="285" t="s">
        <v>104</v>
      </c>
      <c r="E2" s="287" t="s">
        <v>105</v>
      </c>
      <c r="F2" s="8" t="s">
        <v>106</v>
      </c>
      <c r="G2" s="8" t="s">
        <v>107</v>
      </c>
      <c r="H2" s="8" t="s">
        <v>108</v>
      </c>
      <c r="I2" s="296" t="s">
        <v>109</v>
      </c>
      <c r="J2" s="298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289" t="s">
        <v>48</v>
      </c>
      <c r="AW2" s="290"/>
      <c r="AX2" s="290"/>
    </row>
    <row r="3" spans="1:226" ht="24.6" customHeight="1" thickBot="1">
      <c r="A3" s="282"/>
      <c r="B3" s="284"/>
      <c r="C3" s="284"/>
      <c r="D3" s="286"/>
      <c r="E3" s="288"/>
      <c r="F3" s="15" t="s">
        <v>118</v>
      </c>
      <c r="G3" s="15" t="s">
        <v>119</v>
      </c>
      <c r="H3" s="16" t="s">
        <v>120</v>
      </c>
      <c r="I3" s="297"/>
      <c r="J3" s="299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10</v>
      </c>
      <c r="B6" s="39">
        <f t="shared" si="3"/>
        <v>0</v>
      </c>
      <c r="C6" s="40">
        <f t="shared" si="4"/>
        <v>0</v>
      </c>
      <c r="D6" s="39">
        <f t="shared" si="5"/>
        <v>8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8" t="s">
        <v>3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4" t="s">
        <v>1</v>
      </c>
      <c r="AC6" s="30" t="s">
        <v>36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8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18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2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238" t="s">
        <v>3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248">
        <v>1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12</v>
      </c>
      <c r="E24" s="41">
        <f t="shared" si="6"/>
        <v>0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42" t="s">
        <v>3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10</v>
      </c>
      <c r="B25" s="39">
        <f t="shared" si="3"/>
        <v>0</v>
      </c>
      <c r="C25" s="40">
        <f t="shared" si="4"/>
        <v>0</v>
      </c>
      <c r="D25" s="39">
        <f t="shared" si="5"/>
        <v>12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>
        <v>1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5</v>
      </c>
      <c r="E43" s="41">
        <f t="shared" si="27"/>
        <v>1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30" t="s">
        <v>3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5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32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68</v>
      </c>
      <c r="AS54" s="75">
        <f>SUMPRODUCT(COUNTIF(K41:AO46,{"S"}))</f>
        <v>7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9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5</v>
      </c>
      <c r="AA56" s="96">
        <f t="shared" si="51"/>
        <v>11</v>
      </c>
      <c r="AB56" s="96">
        <f t="shared" si="51"/>
        <v>6</v>
      </c>
      <c r="AC56" s="96">
        <f t="shared" si="51"/>
        <v>8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4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1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5</v>
      </c>
      <c r="AA58" s="39">
        <f t="shared" si="55"/>
        <v>4</v>
      </c>
      <c r="AB58" s="39">
        <f t="shared" si="55"/>
        <v>2</v>
      </c>
      <c r="AC58" s="39">
        <f t="shared" si="55"/>
        <v>2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3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1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2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3" priority="1">
      <formula>OR(K4=3, K4="晚",  K4="大夜")</formula>
    </cfRule>
    <cfRule type="expression" dxfId="2" priority="2">
      <formula>OR(K4="M2", K4=2, K4="中", K4="T中", K4="小夜")</formula>
    </cfRule>
    <cfRule type="expression" dxfId="1" priority="3">
      <formula>OR(K4="M1", K4=1, K4="早", K4="T早", K4="日")</formula>
    </cfRule>
    <cfRule type="expression" dxfId="0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24" priority="202" operator="equal">
      <formula>5</formula>
    </cfRule>
    <cfRule type="cellIs" dxfId="23" priority="203" operator="equal">
      <formula>4</formula>
    </cfRule>
    <cfRule type="cellIs" dxfId="22" priority="204" operator="equal">
      <formula>3</formula>
    </cfRule>
    <cfRule type="cellIs" dxfId="21" priority="205" operator="equal">
      <formula>2</formula>
    </cfRule>
    <cfRule type="cellIs" dxfId="20" priority="206" operator="equal">
      <formula>1</formula>
    </cfRule>
  </conditionalFormatting>
  <conditionalFormatting sqref="K53:AO55">
    <cfRule type="cellIs" dxfId="19" priority="207" operator="equal">
      <formula>"T中"</formula>
    </cfRule>
  </conditionalFormatting>
  <conditionalFormatting sqref="AP25">
    <cfRule type="cellIs" dxfId="18" priority="210" operator="equal">
      <formula>"大夜"</formula>
    </cfRule>
    <cfRule type="cellIs" dxfId="17" priority="211" operator="equal">
      <formula>"晚"</formula>
    </cfRule>
    <cfRule type="cellIs" dxfId="16" priority="212" operator="equal">
      <formula>3</formula>
    </cfRule>
    <cfRule type="cellIs" dxfId="15" priority="213" operator="equal">
      <formula>"小夜"</formula>
    </cfRule>
    <cfRule type="cellIs" dxfId="14" priority="214" operator="equal">
      <formula>"T中"</formula>
    </cfRule>
    <cfRule type="cellIs" dxfId="13" priority="215" operator="equal">
      <formula>"中"</formula>
    </cfRule>
    <cfRule type="cellIs" dxfId="12" priority="216" operator="equal">
      <formula>"M2"</formula>
    </cfRule>
    <cfRule type="cellIs" dxfId="11" priority="217" operator="equal">
      <formula>2</formula>
    </cfRule>
    <cfRule type="cellIs" dxfId="10" priority="218" operator="equal">
      <formula>"日"</formula>
    </cfRule>
    <cfRule type="cellIs" dxfId="9" priority="219" operator="equal">
      <formula>"T早"</formula>
    </cfRule>
    <cfRule type="cellIs" dxfId="8" priority="220" operator="equal">
      <formula>"早"</formula>
    </cfRule>
    <cfRule type="cellIs" dxfId="7" priority="221" operator="equal">
      <formula>"M1"</formula>
    </cfRule>
    <cfRule type="cellIs" dxfId="6" priority="222" operator="equal">
      <formula>1</formula>
    </cfRule>
  </conditionalFormatting>
  <conditionalFormatting sqref="AS4:AS46">
    <cfRule type="cellIs" dxfId="5" priority="208" operator="equal">
      <formula>-2</formula>
    </cfRule>
    <cfRule type="cellIs" dxfId="4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01</vt:lpstr>
      <vt:lpstr>02</vt:lpstr>
      <vt:lpstr>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2026-03-04T04:12:30Z</dcterms:modified>
</cp:coreProperties>
</file>