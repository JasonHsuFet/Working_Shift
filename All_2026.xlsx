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fileSharing readOnlyRecommended="1" userName="Jason Hsu" algorithmName="SHA-512" hashValue="5YmQLY3fiF0q8IsqV2N2AQkXFxFjJiz9KbCuAULj8unOIdcx3Zc4oUQxqi6vfsPgA5mB3FdloF2qzRjKO72h2A==" saltValue="JOpLyOm0Hd2UlBKUsb/kAA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2507A418-1C65-4335-A60E-F7828FE88453}" xr6:coauthVersionLast="47" xr6:coauthVersionMax="47" xr10:uidLastSave="{00000000-0000-0000-0000-000000000000}"/>
  <bookViews>
    <workbookView xWindow="-108" yWindow="-108" windowWidth="23256" windowHeight="12576" activeTab="5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7F5BBA_2FC6_451C_8546_CC8AEEDCC5FF_.wvu.FilterData" localSheetId="1" hidden="1">'02'!$AQ$3:$AQ$60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46E252_0993_469E_8A4B_D8BA921893C0_.wvu.FilterData" localSheetId="1" hidden="1">'02'!$AQ$3:$AQ$60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C4E593_CBE6_4671_A3D2_828E477A8888_.wvu.FilterData" localSheetId="5" hidden="1">'06'!$AS$3:$AS$57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F2BC54_5B05_415F_9B4B_E79D7D473800_.wvu.FilterData" localSheetId="1" hidden="1">'02'!$AQ$3:$AQ$60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E12975_286E_4F3E_84E7_84169855E9B0_.wvu.FilterData" localSheetId="5" hidden="1">'06'!$AS$3:$AS$57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D9DED9E_0E9B_4AC2_A6FE_0614C36A32EB_.wvu.FilterData" localSheetId="5" hidden="1">'06'!$AS$3:$AS$57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E4AEE4D_98EF_4FC3_A993_B516C94EA0E3_.wvu.FilterData" localSheetId="1" hidden="1">'02'!$AQ$3:$AQ$60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B46ED7A_A0AD_4959_B9DD_42329FB35F0C_.wvu.FilterData" localSheetId="1" hidden="1">'02'!$AQ$3:$AQ$60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22" l="1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I44" i="22" l="1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K1" i="22" l="1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V9" authorId="2" shapeId="0" xr:uid="{3DD0AE67-6DD5-4C67-A76A-7A82C190F79C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7" authorId="1" shapeId="0" xr:uid="{506357E3-DF0B-4C7D-95E3-7960C312000E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7" authorId="1" shapeId="0" xr:uid="{5D9F6FE1-09D2-4B3D-BDBE-51AC9BBEC46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8" authorId="2" shapeId="0" xr:uid="{7B2BC34D-CAC3-43B1-8344-49E551D33F5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<sst xmlns="http://schemas.openxmlformats.org/spreadsheetml/2006/main" count="6981" uniqueCount="161">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</sst>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03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6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175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26" sqref="AD2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352" t="str">
        <f>"TPKC剩餘人力："&amp;AR59&amp;" / NK剩餘人力："&amp;AS59&amp;" /  N班人力："&amp;AR53</f>
        <v>TPKC剩餘人力：0 / NK剩餘人力：0 /  N班人力：92</v>
      </c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4"/>
      <c r="AJ1" s="353"/>
      <c r="AK1" s="353"/>
      <c r="AL1" s="355"/>
      <c r="AM1" s="356"/>
      <c r="AN1" s="356"/>
      <c r="AO1" s="5"/>
      <c r="AR1" s="6"/>
      <c r="AS1" s="7"/>
    </row>
    <row r="2" spans="1:226" ht="23.25" customHeight="1" thickBot="1">
      <c r="A2" s="361">
        <v>1</v>
      </c>
      <c r="B2" s="363">
        <v>2</v>
      </c>
      <c r="C2" s="363">
        <v>3</v>
      </c>
      <c r="D2" s="365" t="s">
        <v>60</v>
      </c>
      <c r="E2" s="367" t="s">
        <v>61</v>
      </c>
      <c r="F2" s="8" t="s">
        <v>62</v>
      </c>
      <c r="G2" s="8" t="s">
        <v>63</v>
      </c>
      <c r="H2" s="8" t="s">
        <v>64</v>
      </c>
      <c r="I2" s="357" t="s">
        <v>65</v>
      </c>
      <c r="J2" s="359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369" t="s">
        <v>48</v>
      </c>
      <c r="AW2" s="370"/>
      <c r="AX2" s="370"/>
    </row>
    <row r="3" spans="1:226" ht="24.6" customHeight="1" thickBot="1">
      <c r="A3" s="362"/>
      <c r="B3" s="364"/>
      <c r="C3" s="364"/>
      <c r="D3" s="366"/>
      <c r="E3" s="368"/>
      <c r="F3" s="15" t="s">
        <v>74</v>
      </c>
      <c r="G3" s="15" t="s">
        <v>75</v>
      </c>
      <c r="H3" s="16" t="s">
        <v>76</v>
      </c>
      <c r="I3" s="358"/>
      <c r="J3" s="371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174" priority="1" operator="equal">
      <formula>"大夜"</formula>
    </cfRule>
    <cfRule type="cellIs" dxfId="173" priority="2" operator="equal">
      <formula>"晚"</formula>
    </cfRule>
    <cfRule type="cellIs" dxfId="172" priority="3" operator="equal">
      <formula>3</formula>
    </cfRule>
    <cfRule type="cellIs" dxfId="171" priority="4" operator="equal">
      <formula>"小夜"</formula>
    </cfRule>
    <cfRule type="cellIs" dxfId="170" priority="5" operator="equal">
      <formula>"T中"</formula>
    </cfRule>
    <cfRule type="cellIs" dxfId="169" priority="6" operator="equal">
      <formula>"中"</formula>
    </cfRule>
    <cfRule type="cellIs" dxfId="168" priority="7" operator="equal">
      <formula>2</formula>
    </cfRule>
    <cfRule type="cellIs" dxfId="167" priority="8" operator="equal">
      <formula>"日"</formula>
    </cfRule>
    <cfRule type="cellIs" dxfId="166" priority="9" operator="equal">
      <formula>"T早"</formula>
    </cfRule>
    <cfRule type="cellIs" dxfId="165" priority="10" operator="equal">
      <formula>"早"</formula>
    </cfRule>
    <cfRule type="cellIs" dxfId="164" priority="11" operator="equal">
      <formula>"M1"</formula>
    </cfRule>
    <cfRule type="cellIs" dxfId="163" priority="12" operator="equal">
      <formula>1</formula>
    </cfRule>
    <cfRule type="expression" dxfId="162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61" priority="4256" operator="equal">
      <formula>5</formula>
    </cfRule>
    <cfRule type="cellIs" dxfId="160" priority="4257" operator="equal">
      <formula>4</formula>
    </cfRule>
    <cfRule type="cellIs" dxfId="159" priority="4258" operator="equal">
      <formula>3</formula>
    </cfRule>
    <cfRule type="cellIs" dxfId="158" priority="4259" operator="equal">
      <formula>2</formula>
    </cfRule>
    <cfRule type="cellIs" dxfId="157" priority="4260" operator="equal">
      <formula>1</formula>
    </cfRule>
  </conditionalFormatting>
  <conditionalFormatting sqref="K53:AO55">
    <cfRule type="cellIs" dxfId="156" priority="4261" operator="equal">
      <formula>"T中"</formula>
    </cfRule>
  </conditionalFormatting>
  <conditionalFormatting sqref="AP25">
    <cfRule type="cellIs" dxfId="155" priority="4564" operator="equal">
      <formula>"大夜"</formula>
    </cfRule>
    <cfRule type="cellIs" dxfId="154" priority="4565" operator="equal">
      <formula>"晚"</formula>
    </cfRule>
    <cfRule type="cellIs" dxfId="153" priority="4566" operator="equal">
      <formula>3</formula>
    </cfRule>
    <cfRule type="cellIs" dxfId="152" priority="4567" operator="equal">
      <formula>"小夜"</formula>
    </cfRule>
    <cfRule type="cellIs" dxfId="151" priority="4568" operator="equal">
      <formula>"T中"</formula>
    </cfRule>
    <cfRule type="cellIs" dxfId="150" priority="4569" operator="equal">
      <formula>"中"</formula>
    </cfRule>
    <cfRule type="cellIs" dxfId="149" priority="4570" operator="equal">
      <formula>"M2"</formula>
    </cfRule>
    <cfRule type="cellIs" dxfId="148" priority="4571" operator="equal">
      <formula>2</formula>
    </cfRule>
    <cfRule type="cellIs" dxfId="147" priority="4572" operator="equal">
      <formula>"日"</formula>
    </cfRule>
    <cfRule type="cellIs" dxfId="146" priority="4573" operator="equal">
      <formula>"T早"</formula>
    </cfRule>
    <cfRule type="cellIs" dxfId="145" priority="4574" operator="equal">
      <formula>"早"</formula>
    </cfRule>
    <cfRule type="cellIs" dxfId="144" priority="4575" operator="equal">
      <formula>"M1"</formula>
    </cfRule>
    <cfRule type="cellIs" dxfId="143" priority="4576" operator="equal">
      <formula>1</formula>
    </cfRule>
  </conditionalFormatting>
  <conditionalFormatting sqref="AS4:AS46">
    <cfRule type="cellIs" dxfId="142" priority="4562" operator="equal">
      <formula>-2</formula>
    </cfRule>
    <cfRule type="cellIs" dxfId="141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352" t="str">
        <f>"TPKC剩餘人力："&amp;AO59&amp;" / NK剩餘人力："&amp;AP59&amp;" /  N班人力："&amp;AO54</f>
        <v>TPKC剩餘人力：0 / NK剩餘人力：0 /  N班人力：32</v>
      </c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4"/>
      <c r="AJ1" s="353"/>
      <c r="AK1" s="353"/>
      <c r="AL1" s="183"/>
      <c r="AO1" s="6"/>
      <c r="AP1" s="7"/>
    </row>
    <row r="2" spans="1:223" ht="23.25" customHeight="1" thickBot="1">
      <c r="A2" s="361">
        <v>1</v>
      </c>
      <c r="B2" s="363">
        <v>2</v>
      </c>
      <c r="C2" s="363">
        <v>3</v>
      </c>
      <c r="D2" s="365" t="s">
        <v>104</v>
      </c>
      <c r="E2" s="367" t="s">
        <v>105</v>
      </c>
      <c r="F2" s="8" t="s">
        <v>106</v>
      </c>
      <c r="G2" s="8" t="s">
        <v>107</v>
      </c>
      <c r="H2" s="8" t="s">
        <v>108</v>
      </c>
      <c r="I2" s="357" t="s">
        <v>109</v>
      </c>
      <c r="J2" s="372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369" t="s">
        <v>48</v>
      </c>
      <c r="AT2" s="370"/>
      <c r="AU2" s="370"/>
    </row>
    <row r="3" spans="1:223" ht="24.6" customHeight="1" thickBot="1">
      <c r="A3" s="362"/>
      <c r="B3" s="364"/>
      <c r="C3" s="364"/>
      <c r="D3" s="366"/>
      <c r="E3" s="368"/>
      <c r="F3" s="15" t="s">
        <v>118</v>
      </c>
      <c r="G3" s="15" t="s">
        <v>119</v>
      </c>
      <c r="H3" s="16" t="s">
        <v>120</v>
      </c>
      <c r="I3" s="358"/>
      <c r="J3" s="373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140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139" priority="1">
      <formula>OR(K4=3, K4="晚",  K4="大夜")</formula>
    </cfRule>
    <cfRule type="expression" dxfId="138" priority="2">
      <formula>OR(K4="M2", K4=2, K4="中", K4="T中", K4="小夜")</formula>
    </cfRule>
    <cfRule type="expression" dxfId="137" priority="4">
      <formula>OR(K4="M1", K4=1, K4="早", K4="T早", K4="日")</formula>
    </cfRule>
  </conditionalFormatting>
  <conditionalFormatting sqref="K47:AL55">
    <cfRule type="cellIs" dxfId="136" priority="214" operator="equal">
      <formula>5</formula>
    </cfRule>
    <cfRule type="cellIs" dxfId="135" priority="215" operator="equal">
      <formula>4</formula>
    </cfRule>
    <cfRule type="cellIs" dxfId="134" priority="216" operator="equal">
      <formula>3</formula>
    </cfRule>
    <cfRule type="cellIs" dxfId="133" priority="217" operator="equal">
      <formula>2</formula>
    </cfRule>
    <cfRule type="cellIs" dxfId="132" priority="218" operator="equal">
      <formula>1</formula>
    </cfRule>
  </conditionalFormatting>
  <conditionalFormatting sqref="K53:AL55">
    <cfRule type="cellIs" dxfId="131" priority="219" operator="equal">
      <formula>"T中"</formula>
    </cfRule>
  </conditionalFormatting>
  <conditionalFormatting sqref="AM25">
    <cfRule type="cellIs" dxfId="130" priority="228" operator="equal">
      <formula>"大夜"</formula>
    </cfRule>
    <cfRule type="cellIs" dxfId="129" priority="229" operator="equal">
      <formula>"晚"</formula>
    </cfRule>
    <cfRule type="cellIs" dxfId="128" priority="230" operator="equal">
      <formula>3</formula>
    </cfRule>
    <cfRule type="cellIs" dxfId="127" priority="231" operator="equal">
      <formula>"小夜"</formula>
    </cfRule>
    <cfRule type="cellIs" dxfId="126" priority="232" operator="equal">
      <formula>"T中"</formula>
    </cfRule>
    <cfRule type="cellIs" dxfId="125" priority="233" operator="equal">
      <formula>"中"</formula>
    </cfRule>
    <cfRule type="cellIs" dxfId="124" priority="234" operator="equal">
      <formula>"M2"</formula>
    </cfRule>
    <cfRule type="cellIs" dxfId="123" priority="235" operator="equal">
      <formula>2</formula>
    </cfRule>
    <cfRule type="cellIs" dxfId="122" priority="236" operator="equal">
      <formula>"日"</formula>
    </cfRule>
    <cfRule type="cellIs" dxfId="121" priority="237" operator="equal">
      <formula>"T早"</formula>
    </cfRule>
    <cfRule type="cellIs" dxfId="120" priority="238" operator="equal">
      <formula>"早"</formula>
    </cfRule>
    <cfRule type="cellIs" dxfId="119" priority="239" operator="equal">
      <formula>"M1"</formula>
    </cfRule>
    <cfRule type="cellIs" dxfId="118" priority="240" operator="equal">
      <formula>1</formula>
    </cfRule>
  </conditionalFormatting>
  <conditionalFormatting sqref="AP4:AP46">
    <cfRule type="cellIs" dxfId="117" priority="226" operator="equal">
      <formula>-2</formula>
    </cfRule>
    <cfRule type="cellIs" dxfId="116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35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52" t="str">
        <f>"TPKC剩餘人力："&amp;AR58&amp;" / NK剩餘人力："&amp;AS58&amp;" /  N班人力："&amp;AR53</f>
        <v>TPKC剩餘人力：2 / NK剩餘人力：0 /  N班人力：114</v>
      </c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4"/>
      <c r="AJ1" s="353"/>
      <c r="AK1" s="353"/>
      <c r="AL1" s="355"/>
      <c r="AM1" s="356"/>
      <c r="AN1" s="356"/>
      <c r="AO1" s="5"/>
      <c r="AR1" s="6"/>
      <c r="AS1" s="7"/>
    </row>
    <row r="2" spans="1:226" ht="23.25" customHeight="1" thickBot="1">
      <c r="A2" s="361">
        <v>1</v>
      </c>
      <c r="B2" s="363">
        <v>2</v>
      </c>
      <c r="C2" s="363">
        <v>3</v>
      </c>
      <c r="D2" s="365" t="s">
        <v>104</v>
      </c>
      <c r="E2" s="367" t="s">
        <v>105</v>
      </c>
      <c r="F2" s="8" t="s">
        <v>106</v>
      </c>
      <c r="G2" s="8" t="s">
        <v>107</v>
      </c>
      <c r="H2" s="8" t="s">
        <v>108</v>
      </c>
      <c r="I2" s="357" t="s">
        <v>109</v>
      </c>
      <c r="J2" s="374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369" t="s">
        <v>48</v>
      </c>
      <c r="AW2" s="370"/>
      <c r="AX2" s="370"/>
    </row>
    <row r="3" spans="1:226" ht="24.6" customHeight="1" thickBot="1">
      <c r="A3" s="362"/>
      <c r="B3" s="364"/>
      <c r="C3" s="364"/>
      <c r="D3" s="366"/>
      <c r="E3" s="368"/>
      <c r="F3" s="15" t="s">
        <v>118</v>
      </c>
      <c r="G3" s="15" t="s">
        <v>119</v>
      </c>
      <c r="H3" s="16" t="s">
        <v>120</v>
      </c>
      <c r="I3" s="358"/>
      <c r="J3" s="375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115" priority="1">
      <formula>OR(K4=3, K4="晚",  K4="大夜")</formula>
    </cfRule>
    <cfRule type="expression" dxfId="114" priority="2">
      <formula>OR(K4="M2", K4=2, K4="中", K4="T中", K4="小夜")</formula>
    </cfRule>
    <cfRule type="expression" dxfId="113" priority="3">
      <formula>OR(K4="M1", K4=1, K4="早", K4="T早", K4="日")</formula>
    </cfRule>
    <cfRule type="expression" dxfId="112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111" priority="202" operator="equal">
      <formula>5</formula>
    </cfRule>
    <cfRule type="cellIs" dxfId="110" priority="203" operator="equal">
      <formula>4</formula>
    </cfRule>
    <cfRule type="cellIs" dxfId="109" priority="204" operator="equal">
      <formula>3</formula>
    </cfRule>
    <cfRule type="cellIs" dxfId="108" priority="205" operator="equal">
      <formula>2</formula>
    </cfRule>
    <cfRule type="cellIs" dxfId="107" priority="206" operator="equal">
      <formula>1</formula>
    </cfRule>
  </conditionalFormatting>
  <conditionalFormatting sqref="K53:AO55">
    <cfRule type="cellIs" dxfId="106" priority="207" operator="equal">
      <formula>"T中"</formula>
    </cfRule>
  </conditionalFormatting>
  <conditionalFormatting sqref="AP25">
    <cfRule type="cellIs" dxfId="105" priority="210" operator="equal">
      <formula>"大夜"</formula>
    </cfRule>
    <cfRule type="cellIs" dxfId="104" priority="211" operator="equal">
      <formula>"晚"</formula>
    </cfRule>
    <cfRule type="cellIs" dxfId="103" priority="212" operator="equal">
      <formula>3</formula>
    </cfRule>
    <cfRule type="cellIs" dxfId="102" priority="213" operator="equal">
      <formula>"小夜"</formula>
    </cfRule>
    <cfRule type="cellIs" dxfId="101" priority="214" operator="equal">
      <formula>"T中"</formula>
    </cfRule>
    <cfRule type="cellIs" dxfId="100" priority="215" operator="equal">
      <formula>"中"</formula>
    </cfRule>
    <cfRule type="cellIs" dxfId="99" priority="216" operator="equal">
      <formula>"M2"</formula>
    </cfRule>
    <cfRule type="cellIs" dxfId="98" priority="217" operator="equal">
      <formula>2</formula>
    </cfRule>
    <cfRule type="cellIs" dxfId="97" priority="218" operator="equal">
      <formula>"日"</formula>
    </cfRule>
    <cfRule type="cellIs" dxfId="96" priority="219" operator="equal">
      <formula>"T早"</formula>
    </cfRule>
    <cfRule type="cellIs" dxfId="95" priority="220" operator="equal">
      <formula>"早"</formula>
    </cfRule>
    <cfRule type="cellIs" dxfId="94" priority="221" operator="equal">
      <formula>"M1"</formula>
    </cfRule>
    <cfRule type="cellIs" dxfId="93" priority="222" operator="equal">
      <formula>1</formula>
    </cfRule>
  </conditionalFormatting>
  <conditionalFormatting sqref="AS4:AS46">
    <cfRule type="cellIs" dxfId="92" priority="208" operator="equal">
      <formula>-2</formula>
    </cfRule>
    <cfRule type="cellIs" dxfId="91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35" activePane="bottomRight" state="frozen"/>
      <selection pane="topRight" activeCell="K1" sqref="K1"/>
      <selection pane="bottomLeft" activeCell="A4" sqref="A4"/>
      <selection pane="bottomRight" activeCell="AI6" sqref="AI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352" t="str">
        <f>"TPKC剩餘人力："&amp;AQ58&amp;" / NK剩餘人力："&amp;AR58&amp;" /  N班人力："&amp;AQ53</f>
        <v>TPKC剩餘人力：0 / NK剩餘人力：0 /  N班人力：76</v>
      </c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4"/>
      <c r="AJ1" s="353"/>
      <c r="AK1" s="353"/>
      <c r="AL1" s="355"/>
      <c r="AM1" s="356"/>
      <c r="AN1" s="356"/>
      <c r="AQ1" s="6"/>
      <c r="AR1" s="7"/>
    </row>
    <row r="2" spans="1:224" ht="23.25" customHeight="1" thickBot="1">
      <c r="A2" s="361">
        <v>1</v>
      </c>
      <c r="B2" s="363">
        <v>2</v>
      </c>
      <c r="C2" s="363">
        <v>3</v>
      </c>
      <c r="D2" s="365" t="s">
        <v>104</v>
      </c>
      <c r="E2" s="367" t="s">
        <v>105</v>
      </c>
      <c r="F2" s="8" t="s">
        <v>106</v>
      </c>
      <c r="G2" s="8" t="s">
        <v>107</v>
      </c>
      <c r="H2" s="8" t="s">
        <v>108</v>
      </c>
      <c r="I2" s="357" t="s">
        <v>109</v>
      </c>
      <c r="J2" s="359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369" t="s">
        <v>48</v>
      </c>
      <c r="AV2" s="370"/>
      <c r="AW2" s="370"/>
    </row>
    <row r="3" spans="1:224" ht="24.6" customHeight="1" thickBot="1">
      <c r="A3" s="362"/>
      <c r="B3" s="364"/>
      <c r="C3" s="364"/>
      <c r="D3" s="366"/>
      <c r="E3" s="368"/>
      <c r="F3" s="15" t="s">
        <v>118</v>
      </c>
      <c r="G3" s="15" t="s">
        <v>119</v>
      </c>
      <c r="H3" s="16" t="s">
        <v>120</v>
      </c>
      <c r="I3" s="358"/>
      <c r="J3" s="360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90" priority="65">
      <formula>OR(K4="T中", K4="中", K4=2, K4="小夜")</formula>
    </cfRule>
    <cfRule type="expression" dxfId="89" priority="66">
      <formula>OR(K4="T早", K4="早", K4="M1", K4=1, K4="日")</formula>
    </cfRule>
  </conditionalFormatting>
  <conditionalFormatting sqref="K4:AN46">
    <cfRule type="expression" dxfId="88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87" priority="4">
      <formula>OR(K4="晚", K4=3, K4="大夜")</formula>
    </cfRule>
  </conditionalFormatting>
  <conditionalFormatting sqref="K47:AN55">
    <cfRule type="cellIs" dxfId="86" priority="71" operator="equal">
      <formula>5</formula>
    </cfRule>
    <cfRule type="cellIs" dxfId="85" priority="72" operator="equal">
      <formula>4</formula>
    </cfRule>
    <cfRule type="cellIs" dxfId="84" priority="73" operator="equal">
      <formula>3</formula>
    </cfRule>
    <cfRule type="cellIs" dxfId="83" priority="74" operator="equal">
      <formula>2</formula>
    </cfRule>
    <cfRule type="cellIs" dxfId="82" priority="75" operator="equal">
      <formula>1</formula>
    </cfRule>
  </conditionalFormatting>
  <conditionalFormatting sqref="K53:AN55">
    <cfRule type="cellIs" dxfId="81" priority="76" operator="equal">
      <formula>"T中"</formula>
    </cfRule>
  </conditionalFormatting>
  <conditionalFormatting sqref="AM8:AN8">
    <cfRule type="expression" dxfId="80" priority="2">
      <formula>OR(AM8="T中", AM8="中", AM8=2, AM8="小夜")</formula>
    </cfRule>
    <cfRule type="expression" dxfId="79" priority="3">
      <formula>OR(AM8="T早", AM8="早", AM8="M1", AM8=1, AM8="日")</formula>
    </cfRule>
  </conditionalFormatting>
  <conditionalFormatting sqref="AO25">
    <cfRule type="cellIs" dxfId="78" priority="83" operator="equal">
      <formula>"大夜"</formula>
    </cfRule>
    <cfRule type="cellIs" dxfId="77" priority="84" operator="equal">
      <formula>"晚"</formula>
    </cfRule>
    <cfRule type="cellIs" dxfId="76" priority="85" operator="equal">
      <formula>3</formula>
    </cfRule>
    <cfRule type="cellIs" dxfId="75" priority="86" operator="equal">
      <formula>"小夜"</formula>
    </cfRule>
    <cfRule type="cellIs" dxfId="74" priority="87" operator="equal">
      <formula>"T中"</formula>
    </cfRule>
    <cfRule type="cellIs" dxfId="73" priority="88" operator="equal">
      <formula>"中"</formula>
    </cfRule>
    <cfRule type="cellIs" dxfId="72" priority="89" operator="equal">
      <formula>"M2"</formula>
    </cfRule>
    <cfRule type="cellIs" dxfId="71" priority="90" operator="equal">
      <formula>2</formula>
    </cfRule>
    <cfRule type="cellIs" dxfId="70" priority="91" operator="equal">
      <formula>"日"</formula>
    </cfRule>
    <cfRule type="cellIs" dxfId="69" priority="92" operator="equal">
      <formula>"T早"</formula>
    </cfRule>
    <cfRule type="cellIs" dxfId="68" priority="93" operator="equal">
      <formula>"早"</formula>
    </cfRule>
    <cfRule type="cellIs" dxfId="67" priority="94" operator="equal">
      <formula>"M1"</formula>
    </cfRule>
    <cfRule type="cellIs" dxfId="66" priority="95" operator="equal">
      <formula>1</formula>
    </cfRule>
  </conditionalFormatting>
  <conditionalFormatting sqref="AR4:AR46">
    <cfRule type="cellIs" dxfId="65" priority="81" operator="equal">
      <formula>-2</formula>
    </cfRule>
    <cfRule type="cellIs" dxfId="64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27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352" t="str">
        <f>"TPKC剩餘人力："&amp;AR57&amp;" / NK剩餘人力："&amp;AS57&amp;" /  N班人力："&amp;AR52</f>
        <v>TPKC剩餘人力：0 / NK剩餘人力：0 /  N班人力：79</v>
      </c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4"/>
      <c r="AJ1" s="353"/>
      <c r="AK1" s="353"/>
      <c r="AL1" s="355"/>
      <c r="AM1" s="356"/>
      <c r="AN1" s="356"/>
      <c r="AO1" s="5"/>
      <c r="AR1" s="6"/>
      <c r="AS1" s="7"/>
    </row>
    <row r="2" spans="1:226" ht="23.25" customHeight="1" thickBot="1">
      <c r="A2" s="361">
        <v>1</v>
      </c>
      <c r="B2" s="363">
        <v>2</v>
      </c>
      <c r="C2" s="363">
        <v>3</v>
      </c>
      <c r="D2" s="365" t="s">
        <v>104</v>
      </c>
      <c r="E2" s="367" t="s">
        <v>105</v>
      </c>
      <c r="F2" s="8" t="s">
        <v>106</v>
      </c>
      <c r="G2" s="8" t="s">
        <v>107</v>
      </c>
      <c r="H2" s="8" t="s">
        <v>108</v>
      </c>
      <c r="I2" s="357" t="s">
        <v>109</v>
      </c>
      <c r="J2" s="359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349" t="s">
        <v>48</v>
      </c>
      <c r="AX2" s="350"/>
      <c r="AY2" s="351"/>
    </row>
    <row r="3" spans="1:226" ht="24.6" customHeight="1" thickBot="1">
      <c r="A3" s="362"/>
      <c r="B3" s="364"/>
      <c r="C3" s="364"/>
      <c r="D3" s="366"/>
      <c r="E3" s="368"/>
      <c r="F3" s="15" t="s">
        <v>118</v>
      </c>
      <c r="G3" s="15" t="s">
        <v>119</v>
      </c>
      <c r="H3" s="16" t="s">
        <v>120</v>
      </c>
      <c r="I3" s="358"/>
      <c r="J3" s="360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63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62" priority="6">
      <formula>OR(K4="T中", K4="中", K4=2, K4="小夜")</formula>
    </cfRule>
    <cfRule type="expression" dxfId="61" priority="7">
      <formula>OR(K4="T早", K4="早", K4="M1", K4=1, K4="日")</formula>
    </cfRule>
    <cfRule type="expression" dxfId="60" priority="8">
      <formula>OR(K4="晚", K4=3, K4="大夜")</formula>
    </cfRule>
  </conditionalFormatting>
  <conditionalFormatting sqref="K46:AO54">
    <cfRule type="cellIs" dxfId="59" priority="727" operator="equal">
      <formula>5</formula>
    </cfRule>
    <cfRule type="cellIs" dxfId="58" priority="728" operator="equal">
      <formula>4</formula>
    </cfRule>
    <cfRule type="cellIs" dxfId="57" priority="729" operator="equal">
      <formula>3</formula>
    </cfRule>
    <cfRule type="cellIs" dxfId="56" priority="730" operator="equal">
      <formula>2</formula>
    </cfRule>
    <cfRule type="cellIs" dxfId="55" priority="731" operator="equal">
      <formula>1</formula>
    </cfRule>
  </conditionalFormatting>
  <conditionalFormatting sqref="K52:AO54">
    <cfRule type="cellIs" dxfId="54" priority="732" operator="equal">
      <formula>"T中"</formula>
    </cfRule>
  </conditionalFormatting>
  <conditionalFormatting sqref="AP25">
    <cfRule type="cellIs" dxfId="53" priority="735" operator="equal">
      <formula>"大夜"</formula>
    </cfRule>
    <cfRule type="cellIs" dxfId="52" priority="736" operator="equal">
      <formula>"晚"</formula>
    </cfRule>
    <cfRule type="cellIs" dxfId="51" priority="737" operator="equal">
      <formula>3</formula>
    </cfRule>
    <cfRule type="cellIs" dxfId="50" priority="738" operator="equal">
      <formula>"小夜"</formula>
    </cfRule>
    <cfRule type="cellIs" dxfId="49" priority="739" operator="equal">
      <formula>"T中"</formula>
    </cfRule>
    <cfRule type="cellIs" dxfId="48" priority="740" operator="equal">
      <formula>"中"</formula>
    </cfRule>
    <cfRule type="cellIs" dxfId="47" priority="741" operator="equal">
      <formula>"M2"</formula>
    </cfRule>
    <cfRule type="cellIs" dxfId="46" priority="742" operator="equal">
      <formula>2</formula>
    </cfRule>
    <cfRule type="cellIs" dxfId="45" priority="743" operator="equal">
      <formula>"日"</formula>
    </cfRule>
    <cfRule type="cellIs" dxfId="44" priority="744" operator="equal">
      <formula>"T早"</formula>
    </cfRule>
    <cfRule type="cellIs" dxfId="43" priority="745" operator="equal">
      <formula>"早"</formula>
    </cfRule>
    <cfRule type="cellIs" dxfId="42" priority="746" operator="equal">
      <formula>"M1"</formula>
    </cfRule>
    <cfRule type="cellIs" dxfId="41" priority="747" operator="equal">
      <formula>1</formula>
    </cfRule>
  </conditionalFormatting>
  <conditionalFormatting sqref="AS4:AS45">
    <cfRule type="cellIs" dxfId="40" priority="733" operator="equal">
      <formula>-2</formula>
    </cfRule>
    <cfRule type="cellIs" dxfId="39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tabSelected="1"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A7" sqref="AA7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352" t="str">
        <f>"TPKC剩餘人力："&amp;AQ56&amp;" / NK剩餘人力："&amp;AR56&amp;" /  N班人力："&amp;AQ51</f>
        <v>TPKC剩餘人力：-1 / NK剩餘人力：0 /  N班人力：103</v>
      </c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3"/>
      <c r="AC1" s="353"/>
      <c r="AD1" s="353"/>
      <c r="AE1" s="353"/>
      <c r="AF1" s="353"/>
      <c r="AG1" s="353"/>
      <c r="AH1" s="353"/>
      <c r="AI1" s="354"/>
      <c r="AJ1" s="353"/>
      <c r="AK1" s="353"/>
      <c r="AL1" s="355"/>
      <c r="AM1" s="356"/>
      <c r="AN1" s="356"/>
      <c r="AQ1" s="6"/>
      <c r="AR1" s="7"/>
    </row>
    <row r="2" spans="1:224" ht="23.25" customHeight="1" thickBot="1">
      <c r="A2" s="361">
        <v>1</v>
      </c>
      <c r="B2" s="363">
        <v>2</v>
      </c>
      <c r="C2" s="363">
        <v>3</v>
      </c>
      <c r="D2" s="365" t="s">
        <v>104</v>
      </c>
      <c r="E2" s="367" t="s">
        <v>105</v>
      </c>
      <c r="F2" s="8" t="s">
        <v>106</v>
      </c>
      <c r="G2" s="8" t="s">
        <v>107</v>
      </c>
      <c r="H2" s="8" t="s">
        <v>108</v>
      </c>
      <c r="I2" s="357" t="s">
        <v>109</v>
      </c>
      <c r="J2" s="359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349" t="s">
        <v>48</v>
      </c>
      <c r="AV2" s="350"/>
      <c r="AW2" s="351"/>
    </row>
    <row r="3" spans="1:224" ht="24.6" customHeight="1" thickBot="1">
      <c r="A3" s="362"/>
      <c r="B3" s="364"/>
      <c r="C3" s="364"/>
      <c r="D3" s="366"/>
      <c r="E3" s="368"/>
      <c r="F3" s="15" t="s">
        <v>118</v>
      </c>
      <c r="G3" s="15" t="s">
        <v>119</v>
      </c>
      <c r="H3" s="16" t="s">
        <v>120</v>
      </c>
      <c r="I3" s="358"/>
      <c r="J3" s="360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4</v>
      </c>
      <c r="E9" s="41">
        <f t="shared" si="4"/>
        <v>3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2" t="s">
        <v>1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2" t="s">
        <v>0</v>
      </c>
      <c r="AK9" s="44" t="s">
        <v>52</v>
      </c>
      <c r="AL9" s="44" t="s">
        <v>0</v>
      </c>
      <c r="AM9" s="164" t="s">
        <v>36</v>
      </c>
      <c r="AN9" s="290" t="s">
        <v>1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27" t="s">
        <v>36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13</v>
      </c>
      <c r="B12" s="39">
        <f t="shared" si="1"/>
        <v>2</v>
      </c>
      <c r="C12" s="40">
        <f t="shared" si="2"/>
        <v>0</v>
      </c>
      <c r="D12" s="39">
        <f t="shared" si="3"/>
        <v>3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30" t="s">
        <v>3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7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0" t="s">
        <v>3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9</v>
      </c>
      <c r="B16" s="39">
        <f t="shared" si="1"/>
        <v>3</v>
      </c>
      <c r="C16" s="40">
        <f t="shared" si="2"/>
        <v>0</v>
      </c>
      <c r="D16" s="39">
        <f t="shared" si="3"/>
        <v>6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30" t="s">
        <v>3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3</v>
      </c>
      <c r="E18" s="41">
        <f t="shared" si="4"/>
        <v>7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60" t="s">
        <v>3</v>
      </c>
      <c r="AJ18" s="337" t="s">
        <v>36</v>
      </c>
      <c r="AK18" s="63" t="s">
        <v>52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21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48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5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0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48" t="s">
        <v>41</v>
      </c>
      <c r="AN37" s="348" t="s">
        <v>41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6</v>
      </c>
      <c r="B38" s="55">
        <f t="shared" si="1"/>
        <v>0</v>
      </c>
      <c r="C38" s="56">
        <f t="shared" si="2"/>
        <v>9</v>
      </c>
      <c r="D38" s="55">
        <f t="shared" si="3"/>
        <v>5</v>
      </c>
      <c r="E38" s="17">
        <f t="shared" si="4"/>
        <v>1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60" t="s">
        <v>36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182" t="s">
        <v>3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5</v>
      </c>
      <c r="E40" s="41">
        <f t="shared" si="4"/>
        <v>2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0" t="s">
        <v>3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4</v>
      </c>
      <c r="E41" s="41">
        <f t="shared" si="4"/>
        <v>0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0" t="s">
        <v>52</v>
      </c>
      <c r="AN41" s="265" t="s">
        <v>3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103</v>
      </c>
      <c r="AR51" s="91" cm="1">
        <f t="array" ref="AR51">SUMPRODUCT(COUNTIF(K39:AN44,{"N";"N8"}))</f>
        <v>30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69</v>
      </c>
      <c r="AR52" s="75">
        <f>SUMPRODUCT(COUNTIF(K39:AN44,{"S"}))</f>
        <v>6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6</v>
      </c>
      <c r="W54" s="96">
        <f t="shared" si="31"/>
        <v>0</v>
      </c>
      <c r="X54" s="96">
        <f t="shared" si="31"/>
        <v>0</v>
      </c>
      <c r="Y54" s="96">
        <f t="shared" si="31"/>
        <v>4</v>
      </c>
      <c r="Z54" s="96">
        <f t="shared" si="31"/>
        <v>4</v>
      </c>
      <c r="AA54" s="96">
        <f t="shared" si="31"/>
        <v>5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11</v>
      </c>
      <c r="AG54" s="96">
        <f t="shared" si="31"/>
        <v>6</v>
      </c>
      <c r="AH54" s="96">
        <f t="shared" si="31"/>
        <v>7</v>
      </c>
      <c r="AI54" s="96">
        <f t="shared" si="31"/>
        <v>8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6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10</v>
      </c>
      <c r="AJ55" s="24">
        <f t="shared" si="32"/>
        <v>10</v>
      </c>
      <c r="AK55" s="24">
        <f t="shared" si="32"/>
        <v>22</v>
      </c>
      <c r="AL55" s="24">
        <f t="shared" si="32"/>
        <v>19</v>
      </c>
      <c r="AM55" s="24">
        <f t="shared" si="32"/>
        <v>11</v>
      </c>
      <c r="AN55" s="102">
        <f t="shared" si="32"/>
        <v>8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2</v>
      </c>
      <c r="W56" s="39">
        <f t="shared" si="33"/>
        <v>1</v>
      </c>
      <c r="X56" s="39">
        <f t="shared" si="33"/>
        <v>1</v>
      </c>
      <c r="Y56" s="39">
        <f t="shared" si="33"/>
        <v>2</v>
      </c>
      <c r="Z56" s="39">
        <f t="shared" si="33"/>
        <v>3</v>
      </c>
      <c r="AA56" s="39">
        <f t="shared" si="33"/>
        <v>3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0</v>
      </c>
      <c r="AG56" s="39">
        <f t="shared" si="33"/>
        <v>1</v>
      </c>
      <c r="AH56" s="39">
        <f t="shared" si="33"/>
        <v>0</v>
      </c>
      <c r="AI56" s="39">
        <f t="shared" si="33"/>
        <v>0</v>
      </c>
      <c r="AJ56" s="39">
        <f t="shared" si="33"/>
        <v>2</v>
      </c>
      <c r="AK56" s="39">
        <f t="shared" si="33"/>
        <v>0</v>
      </c>
      <c r="AL56" s="39">
        <f t="shared" si="33"/>
        <v>3</v>
      </c>
      <c r="AM56" s="39">
        <f t="shared" si="33"/>
        <v>2</v>
      </c>
      <c r="AN56" s="83">
        <f t="shared" si="33"/>
        <v>4</v>
      </c>
      <c r="AP56" s="107" t="s">
        <v>46</v>
      </c>
      <c r="AQ56" s="105">
        <f>AQ47-AQ48-AQ50-AQ51-AQ52-AQ53+AQ54+AQ55-AQ49</f>
        <v>-1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0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1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1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7:AL7 K8:AN35 K36:AO36 K37:AL37 K39:AN44 K4:AN6">
    <cfRule type="expression" dxfId="38" priority="11">
      <formula>OR(K4="晚", K4=3, K4="大夜")</formula>
    </cfRule>
  </conditionalFormatting>
  <conditionalFormatting sqref="K7:AL7 K8:AN35 K36:AO36 K37:AL37 K38 M38:Y38 AB38:AH38 AK38:AN38 K39:AN44 K4:AN6">
    <cfRule type="expression" dxfId="37" priority="26">
      <formula>OR(K4="T中", K4="中", K4=2, K4="小夜")</formula>
    </cfRule>
    <cfRule type="expression" dxfId="36" priority="27">
      <formula>OR(K4="T早", K4="早", K4="M1", K4=1, K4="日")</formula>
    </cfRule>
  </conditionalFormatting>
  <conditionalFormatting sqref="K38:AN44 K7:AL7 K8:AN35 K36:AO36 K37:AL37 K4:AN6">
    <cfRule type="expression" dxfId="35" priority="2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34" priority="47" operator="equal">
      <formula>4</formula>
    </cfRule>
    <cfRule type="cellIs" dxfId="33" priority="50" operator="equal">
      <formula>1</formula>
    </cfRule>
    <cfRule type="cellIs" dxfId="32" priority="49" operator="equal">
      <formula>2</formula>
    </cfRule>
    <cfRule type="cellIs" dxfId="31" priority="48" operator="equal">
      <formula>3</formula>
    </cfRule>
    <cfRule type="cellIs" dxfId="30" priority="46" operator="equal">
      <formula>5</formula>
    </cfRule>
  </conditionalFormatting>
  <conditionalFormatting sqref="K51:AN53">
    <cfRule type="cellIs" dxfId="29" priority="51" operator="equal">
      <formula>"T中"</formula>
    </cfRule>
  </conditionalFormatting>
  <conditionalFormatting sqref="L38">
    <cfRule type="expression" dxfId="28" priority="9">
      <formula>OR(L38="T中", L38="中", L38=2, L38="小夜")</formula>
    </cfRule>
    <cfRule type="expression" dxfId="27" priority="10">
      <formula>OR(L38="T早", L38="早", L38="M1", L38=1, L38="日")</formula>
    </cfRule>
  </conditionalFormatting>
  <conditionalFormatting sqref="T38">
    <cfRule type="expression" dxfId="26" priority="2">
      <formula>OR(T38="T早", T38="早", T38="M1", T38=1, T38="日")</formula>
    </cfRule>
    <cfRule type="expression" dxfId="25" priority="3">
      <formula>OR(T38="晚", T38=3, T38="大夜")</formula>
    </cfRule>
    <cfRule type="expression" dxfId="24" priority="1">
      <formula>OR(T38="T中", T38="中", T38=2, T38="小夜")</formula>
    </cfRule>
  </conditionalFormatting>
  <conditionalFormatting sqref="V38">
    <cfRule type="expression" dxfId="23" priority="5">
      <formula>OR(V38="T中", V38="中", V38=2, V38="小夜")</formula>
    </cfRule>
    <cfRule type="expression" dxfId="22" priority="6">
      <formula>OR(V38="T早", V38="早", V38="M1", V38=1, V38="日")</formula>
    </cfRule>
    <cfRule type="expression" dxfId="21" priority="7">
      <formula>OR(V38="晚", V38=3, V38="大夜")</formula>
    </cfRule>
  </conditionalFormatting>
  <conditionalFormatting sqref="W38:AA38">
    <cfRule type="expression" dxfId="20" priority="15">
      <formula>OR(W38="晚", W38=3, W38="大夜")</formula>
    </cfRule>
  </conditionalFormatting>
  <conditionalFormatting sqref="Z38:AA38">
    <cfRule type="expression" dxfId="19" priority="13">
      <formula>OR(Z38="T中", Z38="中", Z38=2, Z38="小夜")</formula>
    </cfRule>
    <cfRule type="expression" dxfId="18" priority="14">
      <formula>OR(Z38="T早", Z38="早", Z38="M1", Z38=1, Z38="日")</formula>
    </cfRule>
  </conditionalFormatting>
  <conditionalFormatting sqref="AB38:AN38">
    <cfRule type="expression" dxfId="17" priority="19">
      <formula>OR(AB38="晚", AB38=3, AB38="大夜")</formula>
    </cfRule>
  </conditionalFormatting>
  <conditionalFormatting sqref="AI38:AJ38">
    <cfRule type="expression" dxfId="16" priority="18">
      <formula>OR(AI38="T早", AI38="早", AI38="M1", AI38=1, AI38="日")</formula>
    </cfRule>
    <cfRule type="expression" dxfId="15" priority="17">
      <formula>OR(AI38="T中", AI38="中", AI38=2, AI38="小夜")</formula>
    </cfRule>
  </conditionalFormatting>
  <conditionalFormatting sqref="AO24">
    <cfRule type="cellIs" dxfId="14" priority="54" operator="equal">
      <formula>"大夜"</formula>
    </cfRule>
    <cfRule type="cellIs" dxfId="13" priority="55" operator="equal">
      <formula>"晚"</formula>
    </cfRule>
    <cfRule type="cellIs" dxfId="12" priority="56" operator="equal">
      <formula>3</formula>
    </cfRule>
    <cfRule type="cellIs" dxfId="11" priority="57" operator="equal">
      <formula>"小夜"</formula>
    </cfRule>
    <cfRule type="cellIs" dxfId="10" priority="58" operator="equal">
      <formula>"T中"</formula>
    </cfRule>
    <cfRule type="cellIs" dxfId="9" priority="59" operator="equal">
      <formula>"中"</formula>
    </cfRule>
    <cfRule type="cellIs" dxfId="8" priority="60" operator="equal">
      <formula>"M2"</formula>
    </cfRule>
    <cfRule type="cellIs" dxfId="7" priority="61" operator="equal">
      <formula>2</formula>
    </cfRule>
    <cfRule type="cellIs" dxfId="6" priority="62" operator="equal">
      <formula>"日"</formula>
    </cfRule>
    <cfRule type="cellIs" dxfId="5" priority="63" operator="equal">
      <formula>"T早"</formula>
    </cfRule>
    <cfRule type="cellIs" dxfId="4" priority="64" operator="equal">
      <formula>"早"</formula>
    </cfRule>
    <cfRule type="cellIs" dxfId="3" priority="65" operator="equal">
      <formula>"M1"</formula>
    </cfRule>
    <cfRule type="cellIs" dxfId="2" priority="66" operator="equal">
      <formula>1</formula>
    </cfRule>
  </conditionalFormatting>
  <conditionalFormatting sqref="AR4:AR44">
    <cfRule type="cellIs" dxfId="1" priority="52" operator="equal">
      <formula>-2</formula>
    </cfRule>
    <cfRule type="cellIs" dxfId="0" priority="5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01</vt:lpstr>
      <vt:lpstr>02</vt:lpstr>
      <vt:lpstr>03</vt:lpstr>
      <vt:lpstr>04</vt:lpstr>
      <vt:lpstr>05</vt:lpstr>
      <vt:lpstr>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2026-06-10T03:04:01Z</dcterms:modified>
</cp:coreProperties>
</file>