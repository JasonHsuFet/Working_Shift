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777E4013-FF26-4746-B49F-4370560416B8}" xr6:coauthVersionLast="47" xr6:coauthVersionMax="47" xr10:uidLastSave="{00000000-0000-0000-0000-000000000000}"/>
  <bookViews>
    <workbookView xWindow="-108" yWindow="-108" windowWidth="23256" windowHeight="12576" activeTab="3" xr2:uid="{F48F8574-E72E-47A9-9FAE-C071219C9035}"/>
  </bookViews>
  <sheets>
    <sheet name="01" sheetId="15" r:id="rId1"/>
    <sheet name="02" sheetId="18" r:id="rId2"/>
    <sheet name="03" sheetId="19" r:id="rId3"/>
    <sheet name="04" sheetId="20" r:id="rId4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7F5BBA_2FC6_451C_8546_CC8AEEDCC5FF_.wvu.FilterData" localSheetId="1" hidden="1">'02'!$AQ$3:$AQ$60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46E252_0993_469E_8A4B_D8BA921893C0_.wvu.FilterData" localSheetId="1" hidden="1">'02'!$AQ$3:$AQ$60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407A7A5D_9C54_4104_81F8_F342BBAE3576_.wvu.FilterData" localSheetId="3" hidden="1">'04'!$AS$3:$AS$59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CA612F_48CE_469B_AF3F_F46F5B2095CF_.wvu.FilterData" localSheetId="3" hidden="1">'04'!$AS$3:$AS$59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F2BC54_5B05_415F_9B4B_E79D7D473800_.wvu.FilterData" localSheetId="1" hidden="1">'02'!$AQ$3:$AQ$60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6C53E10_DE92_4FE3_B8E1_4C076C47BC63_.wvu.FilterData" localSheetId="3" hidden="1">'04'!$AS$3:$AS$59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F213CDA_7CB9_430D_87C7_BE541A98BAFE_.wvu.FilterData" localSheetId="3" hidden="1">'04'!$AS$3:$AS$59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E4AEE4D_98EF_4FC3_A993_B516C94EA0E3_.wvu.FilterData" localSheetId="1" hidden="1">'02'!$AQ$3:$AQ$60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C16E94_424E_46E0_BC80_6A701EA07776_.wvu.FilterData" localSheetId="3" hidden="1">'04'!$AS$3:$AS$59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B46ED7A_A0AD_4959_B9DD_42329FB35F0C_.wvu.FilterData" localSheetId="1" hidden="1">'02'!$AQ$3:$AQ$60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9683532_5F5E_4631_88A6_6570A7C806DB_.wvu.FilterData" localSheetId="3" hidden="1">'04'!$AS$3:$AS$59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上班代號" localSheetId="3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6" i="20" l="1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I8" i="20" l="1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0" l="1"/>
  <c r="AN4" i="18"/>
  <c r="AP4" i="18" s="1"/>
  <c r="AN8" i="18"/>
  <c r="AP8" i="18" s="1"/>
  <c r="AN10" i="18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P10" i="18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charset val="1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4" authorId="2" shapeId="0" xr:uid="{A9B9D66E-DB53-4303-BFBE-BD2238CD262A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8" authorId="2" shapeId="0" xr:uid="{0557E999-FD34-45A2-8D9D-C5BD9A5257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K29" authorId="2" shapeId="0" xr:uid="{BA09E660-D630-45BF-8CC6-D334F5B97FA1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<sst xmlns="http://schemas.openxmlformats.org/spreadsheetml/2006/main" count="4644" uniqueCount="157">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</sst>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99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b/>
      <sz val="9"/>
      <color indexed="81"/>
      <name val="Tahoma"/>
      <charset val="1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</fills>
  <borders count="5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346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23" fillId="13" borderId="13" xfId="1" applyFont="1" applyFill="1" applyBorder="1" applyAlignment="1">
      <alignment horizontal="center" vertical="center"/>
    </xf>
    <xf numFmtId="0" fontId="18" fillId="0" borderId="22" xfId="1" applyFont="1" applyFill="1" applyBorder="1" applyAlignment="1">
      <alignment horizontal="center" vertical="center"/>
    </xf>
    <xf numFmtId="0" fontId="23" fillId="0" borderId="22" xfId="1" applyFont="1" applyFill="1" applyBorder="1" applyAlignment="1">
      <alignment horizontal="center" vertical="center"/>
    </xf>
    <xf numFmtId="0" fontId="23" fillId="0" borderId="13" xfId="1" applyFont="1" applyFill="1" applyBorder="1" applyAlignment="1">
      <alignment horizontal="center" vertical="center"/>
    </xf>
    <xf numFmtId="0" fontId="23" fillId="0" borderId="19" xfId="1" applyFont="1" applyFill="1" applyBorder="1" applyAlignment="1">
      <alignment horizontal="center" vertical="center"/>
    </xf>
  </cellXfs>
  <cellStyles count="2">
    <cellStyle name="一般" xfId="0" builtinId="0"/>
    <cellStyle name="一般 2" xfId="1" xr:uid="{49B4DAFB-6DB6-4F0B-A98F-E68CAA2AC64E}"/>
  </cellStyles>
  <dxfs count="119"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D26" sqref="AD2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327" t="str">
        <f>"TPKC剩餘人力："&amp;AR59&amp;" / NK剩餘人力："&amp;AS59&amp;" /  N班人力："&amp;AR53</f>
        <v>TPKC剩餘人力：0 / NK剩餘人力：0 /  N班人力：92</v>
      </c>
      <c r="L1" s="328"/>
      <c r="M1" s="328"/>
      <c r="N1" s="328"/>
      <c r="O1" s="328"/>
      <c r="P1" s="328"/>
      <c r="Q1" s="328"/>
      <c r="R1" s="328"/>
      <c r="S1" s="328"/>
      <c r="T1" s="328"/>
      <c r="U1" s="328"/>
      <c r="V1" s="328"/>
      <c r="W1" s="328"/>
      <c r="X1" s="328"/>
      <c r="Y1" s="328"/>
      <c r="Z1" s="328"/>
      <c r="AA1" s="328"/>
      <c r="AB1" s="328"/>
      <c r="AC1" s="328"/>
      <c r="AD1" s="328"/>
      <c r="AE1" s="328"/>
      <c r="AF1" s="328"/>
      <c r="AG1" s="328"/>
      <c r="AH1" s="328"/>
      <c r="AI1" s="329"/>
      <c r="AJ1" s="328"/>
      <c r="AK1" s="328"/>
      <c r="AL1" s="330"/>
      <c r="AM1" s="331"/>
      <c r="AN1" s="331"/>
      <c r="AO1" s="5"/>
      <c r="AR1" s="6"/>
      <c r="AS1" s="7"/>
    </row>
    <row r="2" spans="1:226" ht="23.25" customHeight="1" thickBot="1">
      <c r="A2" s="317">
        <v>1</v>
      </c>
      <c r="B2" s="319">
        <v>2</v>
      </c>
      <c r="C2" s="319">
        <v>3</v>
      </c>
      <c r="D2" s="321" t="s">
        <v>60</v>
      </c>
      <c r="E2" s="323" t="s">
        <v>61</v>
      </c>
      <c r="F2" s="8" t="s">
        <v>62</v>
      </c>
      <c r="G2" s="8" t="s">
        <v>63</v>
      </c>
      <c r="H2" s="8" t="s">
        <v>64</v>
      </c>
      <c r="I2" s="332" t="s">
        <v>65</v>
      </c>
      <c r="J2" s="334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325" t="s">
        <v>48</v>
      </c>
      <c r="AW2" s="326"/>
      <c r="AX2" s="326"/>
    </row>
    <row r="3" spans="1:226" ht="24.6" customHeight="1" thickBot="1">
      <c r="A3" s="318"/>
      <c r="B3" s="320"/>
      <c r="C3" s="320"/>
      <c r="D3" s="322"/>
      <c r="E3" s="324"/>
      <c r="F3" s="15" t="s">
        <v>74</v>
      </c>
      <c r="G3" s="15" t="s">
        <v>75</v>
      </c>
      <c r="H3" s="16" t="s">
        <v>76</v>
      </c>
      <c r="I3" s="333"/>
      <c r="J3" s="336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cellIs" dxfId="118" priority="1" operator="equal">
      <formula>"大夜"</formula>
    </cfRule>
    <cfRule type="cellIs" dxfId="117" priority="2" operator="equal">
      <formula>"晚"</formula>
    </cfRule>
    <cfRule type="cellIs" dxfId="116" priority="3" operator="equal">
      <formula>3</formula>
    </cfRule>
    <cfRule type="cellIs" dxfId="115" priority="4" operator="equal">
      <formula>"小夜"</formula>
    </cfRule>
    <cfRule type="cellIs" dxfId="114" priority="5" operator="equal">
      <formula>"T中"</formula>
    </cfRule>
    <cfRule type="cellIs" dxfId="113" priority="6" operator="equal">
      <formula>"中"</formula>
    </cfRule>
    <cfRule type="cellIs" dxfId="112" priority="7" operator="equal">
      <formula>2</formula>
    </cfRule>
    <cfRule type="cellIs" dxfId="111" priority="8" operator="equal">
      <formula>"日"</formula>
    </cfRule>
    <cfRule type="cellIs" dxfId="110" priority="9" operator="equal">
      <formula>"T早"</formula>
    </cfRule>
    <cfRule type="cellIs" dxfId="109" priority="10" operator="equal">
      <formula>"早"</formula>
    </cfRule>
    <cfRule type="cellIs" dxfId="108" priority="11" operator="equal">
      <formula>"M1"</formula>
    </cfRule>
    <cfRule type="cellIs" dxfId="107" priority="12" operator="equal">
      <formula>1</formula>
    </cfRule>
    <cfRule type="expression" dxfId="106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105" priority="4256" operator="equal">
      <formula>5</formula>
    </cfRule>
    <cfRule type="cellIs" dxfId="104" priority="4257" operator="equal">
      <formula>4</formula>
    </cfRule>
    <cfRule type="cellIs" dxfId="103" priority="4258" operator="equal">
      <formula>3</formula>
    </cfRule>
    <cfRule type="cellIs" dxfId="102" priority="4259" operator="equal">
      <formula>2</formula>
    </cfRule>
    <cfRule type="cellIs" dxfId="101" priority="4260" operator="equal">
      <formula>1</formula>
    </cfRule>
  </conditionalFormatting>
  <conditionalFormatting sqref="K53:AO55">
    <cfRule type="cellIs" dxfId="100" priority="4261" operator="equal">
      <formula>"T中"</formula>
    </cfRule>
  </conditionalFormatting>
  <conditionalFormatting sqref="AP25">
    <cfRule type="cellIs" dxfId="99" priority="4564" operator="equal">
      <formula>"大夜"</formula>
    </cfRule>
    <cfRule type="cellIs" dxfId="98" priority="4565" operator="equal">
      <formula>"晚"</formula>
    </cfRule>
    <cfRule type="cellIs" dxfId="97" priority="4566" operator="equal">
      <formula>3</formula>
    </cfRule>
    <cfRule type="cellIs" dxfId="96" priority="4567" operator="equal">
      <formula>"小夜"</formula>
    </cfRule>
    <cfRule type="cellIs" dxfId="95" priority="4568" operator="equal">
      <formula>"T中"</formula>
    </cfRule>
    <cfRule type="cellIs" dxfId="94" priority="4569" operator="equal">
      <formula>"中"</formula>
    </cfRule>
    <cfRule type="cellIs" dxfId="93" priority="4570" operator="equal">
      <formula>"M2"</formula>
    </cfRule>
    <cfRule type="cellIs" dxfId="92" priority="4571" operator="equal">
      <formula>2</formula>
    </cfRule>
    <cfRule type="cellIs" dxfId="91" priority="4572" operator="equal">
      <formula>"日"</formula>
    </cfRule>
    <cfRule type="cellIs" dxfId="90" priority="4573" operator="equal">
      <formula>"T早"</formula>
    </cfRule>
    <cfRule type="cellIs" dxfId="89" priority="4574" operator="equal">
      <formula>"早"</formula>
    </cfRule>
    <cfRule type="cellIs" dxfId="88" priority="4575" operator="equal">
      <formula>"M1"</formula>
    </cfRule>
    <cfRule type="cellIs" dxfId="87" priority="4576" operator="equal">
      <formula>1</formula>
    </cfRule>
  </conditionalFormatting>
  <conditionalFormatting sqref="AS4:AS46">
    <cfRule type="cellIs" dxfId="86" priority="4562" operator="equal">
      <formula>-2</formula>
    </cfRule>
    <cfRule type="cellIs" dxfId="85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327" t="str">
        <f>"TPKC剩餘人力："&amp;AO59&amp;" / NK剩餘人力："&amp;AP59&amp;" /  N班人力："&amp;AO54</f>
        <v>TPKC剩餘人力：0 / NK剩餘人力：0 /  N班人力：32</v>
      </c>
      <c r="L1" s="328"/>
      <c r="M1" s="328"/>
      <c r="N1" s="328"/>
      <c r="O1" s="328"/>
      <c r="P1" s="328"/>
      <c r="Q1" s="328"/>
      <c r="R1" s="328"/>
      <c r="S1" s="328"/>
      <c r="T1" s="328"/>
      <c r="U1" s="328"/>
      <c r="V1" s="328"/>
      <c r="W1" s="328"/>
      <c r="X1" s="328"/>
      <c r="Y1" s="328"/>
      <c r="Z1" s="328"/>
      <c r="AA1" s="328"/>
      <c r="AB1" s="328"/>
      <c r="AC1" s="328"/>
      <c r="AD1" s="328"/>
      <c r="AE1" s="328"/>
      <c r="AF1" s="328"/>
      <c r="AG1" s="328"/>
      <c r="AH1" s="328"/>
      <c r="AI1" s="329"/>
      <c r="AJ1" s="328"/>
      <c r="AK1" s="328"/>
      <c r="AL1" s="183"/>
      <c r="AO1" s="6"/>
      <c r="AP1" s="7"/>
    </row>
    <row r="2" spans="1:223" ht="23.25" customHeight="1" thickBot="1">
      <c r="A2" s="317">
        <v>1</v>
      </c>
      <c r="B2" s="319">
        <v>2</v>
      </c>
      <c r="C2" s="319">
        <v>3</v>
      </c>
      <c r="D2" s="321" t="s">
        <v>104</v>
      </c>
      <c r="E2" s="323" t="s">
        <v>105</v>
      </c>
      <c r="F2" s="8" t="s">
        <v>106</v>
      </c>
      <c r="G2" s="8" t="s">
        <v>107</v>
      </c>
      <c r="H2" s="8" t="s">
        <v>108</v>
      </c>
      <c r="I2" s="332" t="s">
        <v>109</v>
      </c>
      <c r="J2" s="337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325" t="s">
        <v>48</v>
      </c>
      <c r="AT2" s="326"/>
      <c r="AU2" s="326"/>
    </row>
    <row r="3" spans="1:223" ht="24.6" customHeight="1" thickBot="1">
      <c r="A3" s="318"/>
      <c r="B3" s="320"/>
      <c r="C3" s="320"/>
      <c r="D3" s="322"/>
      <c r="E3" s="324"/>
      <c r="F3" s="15" t="s">
        <v>118</v>
      </c>
      <c r="G3" s="15" t="s">
        <v>119</v>
      </c>
      <c r="H3" s="16" t="s">
        <v>120</v>
      </c>
      <c r="I3" s="333"/>
      <c r="J3" s="338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84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83" priority="1">
      <formula>OR(K4=3, K4="晚",  K4="大夜")</formula>
    </cfRule>
    <cfRule type="expression" dxfId="82" priority="2">
      <formula>OR(K4="M2", K4=2, K4="中", K4="T中", K4="小夜")</formula>
    </cfRule>
    <cfRule type="expression" dxfId="81" priority="4">
      <formula>OR(K4="M1", K4=1, K4="早", K4="T早", K4="日")</formula>
    </cfRule>
  </conditionalFormatting>
  <conditionalFormatting sqref="K47:AL55">
    <cfRule type="cellIs" dxfId="80" priority="214" operator="equal">
      <formula>5</formula>
    </cfRule>
    <cfRule type="cellIs" dxfId="79" priority="215" operator="equal">
      <formula>4</formula>
    </cfRule>
    <cfRule type="cellIs" dxfId="78" priority="216" operator="equal">
      <formula>3</formula>
    </cfRule>
    <cfRule type="cellIs" dxfId="77" priority="217" operator="equal">
      <formula>2</formula>
    </cfRule>
    <cfRule type="cellIs" dxfId="76" priority="218" operator="equal">
      <formula>1</formula>
    </cfRule>
  </conditionalFormatting>
  <conditionalFormatting sqref="K53:AL55">
    <cfRule type="cellIs" dxfId="75" priority="219" operator="equal">
      <formula>"T中"</formula>
    </cfRule>
  </conditionalFormatting>
  <conditionalFormatting sqref="AM25">
    <cfRule type="cellIs" dxfId="74" priority="228" operator="equal">
      <formula>"大夜"</formula>
    </cfRule>
    <cfRule type="cellIs" dxfId="73" priority="229" operator="equal">
      <formula>"晚"</formula>
    </cfRule>
    <cfRule type="cellIs" dxfId="72" priority="230" operator="equal">
      <formula>3</formula>
    </cfRule>
    <cfRule type="cellIs" dxfId="71" priority="231" operator="equal">
      <formula>"小夜"</formula>
    </cfRule>
    <cfRule type="cellIs" dxfId="70" priority="232" operator="equal">
      <formula>"T中"</formula>
    </cfRule>
    <cfRule type="cellIs" dxfId="69" priority="233" operator="equal">
      <formula>"中"</formula>
    </cfRule>
    <cfRule type="cellIs" dxfId="68" priority="234" operator="equal">
      <formula>"M2"</formula>
    </cfRule>
    <cfRule type="cellIs" dxfId="67" priority="235" operator="equal">
      <formula>2</formula>
    </cfRule>
    <cfRule type="cellIs" dxfId="66" priority="236" operator="equal">
      <formula>"日"</formula>
    </cfRule>
    <cfRule type="cellIs" dxfId="65" priority="237" operator="equal">
      <formula>"T早"</formula>
    </cfRule>
    <cfRule type="cellIs" dxfId="64" priority="238" operator="equal">
      <formula>"早"</formula>
    </cfRule>
    <cfRule type="cellIs" dxfId="63" priority="239" operator="equal">
      <formula>"M1"</formula>
    </cfRule>
    <cfRule type="cellIs" dxfId="62" priority="240" operator="equal">
      <formula>1</formula>
    </cfRule>
  </conditionalFormatting>
  <conditionalFormatting sqref="AP4:AP46">
    <cfRule type="cellIs" dxfId="61" priority="226" operator="equal">
      <formula>-2</formula>
    </cfRule>
    <cfRule type="cellIs" dxfId="60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327" t="str">
        <f>"TPKC剩餘人力："&amp;AR58&amp;" / NK剩餘人力："&amp;AS58&amp;" /  N班人力："&amp;AR53</f>
        <v>TPKC剩餘人力：2 / NK剩餘人力：0 /  N班人力：114</v>
      </c>
      <c r="L1" s="328"/>
      <c r="M1" s="328"/>
      <c r="N1" s="328"/>
      <c r="O1" s="328"/>
      <c r="P1" s="328"/>
      <c r="Q1" s="328"/>
      <c r="R1" s="328"/>
      <c r="S1" s="328"/>
      <c r="T1" s="328"/>
      <c r="U1" s="328"/>
      <c r="V1" s="328"/>
      <c r="W1" s="328"/>
      <c r="X1" s="328"/>
      <c r="Y1" s="328"/>
      <c r="Z1" s="328"/>
      <c r="AA1" s="328"/>
      <c r="AB1" s="328"/>
      <c r="AC1" s="328"/>
      <c r="AD1" s="328"/>
      <c r="AE1" s="328"/>
      <c r="AF1" s="328"/>
      <c r="AG1" s="328"/>
      <c r="AH1" s="328"/>
      <c r="AI1" s="329"/>
      <c r="AJ1" s="328"/>
      <c r="AK1" s="328"/>
      <c r="AL1" s="330"/>
      <c r="AM1" s="331"/>
      <c r="AN1" s="331"/>
      <c r="AO1" s="5"/>
      <c r="AR1" s="6"/>
      <c r="AS1" s="7"/>
    </row>
    <row r="2" spans="1:226" ht="23.25" customHeight="1" thickBot="1">
      <c r="A2" s="317">
        <v>1</v>
      </c>
      <c r="B2" s="319">
        <v>2</v>
      </c>
      <c r="C2" s="319">
        <v>3</v>
      </c>
      <c r="D2" s="321" t="s">
        <v>104</v>
      </c>
      <c r="E2" s="323" t="s">
        <v>105</v>
      </c>
      <c r="F2" s="8" t="s">
        <v>106</v>
      </c>
      <c r="G2" s="8" t="s">
        <v>107</v>
      </c>
      <c r="H2" s="8" t="s">
        <v>108</v>
      </c>
      <c r="I2" s="332" t="s">
        <v>109</v>
      </c>
      <c r="J2" s="339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325" t="s">
        <v>48</v>
      </c>
      <c r="AW2" s="326"/>
      <c r="AX2" s="326"/>
    </row>
    <row r="3" spans="1:226" ht="24.6" customHeight="1" thickBot="1">
      <c r="A3" s="318"/>
      <c r="B3" s="320"/>
      <c r="C3" s="320"/>
      <c r="D3" s="322"/>
      <c r="E3" s="324"/>
      <c r="F3" s="15" t="s">
        <v>118</v>
      </c>
      <c r="G3" s="15" t="s">
        <v>119</v>
      </c>
      <c r="H3" s="16" t="s">
        <v>120</v>
      </c>
      <c r="I3" s="333"/>
      <c r="J3" s="340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expression" dxfId="59" priority="1">
      <formula>OR(K4=3, K4="晚",  K4="大夜")</formula>
    </cfRule>
    <cfRule type="expression" dxfId="58" priority="2">
      <formula>OR(K4="M2", K4=2, K4="中", K4="T中", K4="小夜")</formula>
    </cfRule>
    <cfRule type="expression" dxfId="57" priority="3">
      <formula>OR(K4="M1", K4=1, K4="早", K4="T早", K4="日")</formula>
    </cfRule>
    <cfRule type="expression" dxfId="56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55" priority="202" operator="equal">
      <formula>5</formula>
    </cfRule>
    <cfRule type="cellIs" dxfId="54" priority="203" operator="equal">
      <formula>4</formula>
    </cfRule>
    <cfRule type="cellIs" dxfId="53" priority="204" operator="equal">
      <formula>3</formula>
    </cfRule>
    <cfRule type="cellIs" dxfId="52" priority="205" operator="equal">
      <formula>2</formula>
    </cfRule>
    <cfRule type="cellIs" dxfId="51" priority="206" operator="equal">
      <formula>1</formula>
    </cfRule>
  </conditionalFormatting>
  <conditionalFormatting sqref="K53:AO55">
    <cfRule type="cellIs" dxfId="50" priority="207" operator="equal">
      <formula>"T中"</formula>
    </cfRule>
  </conditionalFormatting>
  <conditionalFormatting sqref="AP25">
    <cfRule type="cellIs" dxfId="49" priority="210" operator="equal">
      <formula>"大夜"</formula>
    </cfRule>
    <cfRule type="cellIs" dxfId="48" priority="211" operator="equal">
      <formula>"晚"</formula>
    </cfRule>
    <cfRule type="cellIs" dxfId="47" priority="212" operator="equal">
      <formula>3</formula>
    </cfRule>
    <cfRule type="cellIs" dxfId="46" priority="213" operator="equal">
      <formula>"小夜"</formula>
    </cfRule>
    <cfRule type="cellIs" dxfId="45" priority="214" operator="equal">
      <formula>"T中"</formula>
    </cfRule>
    <cfRule type="cellIs" dxfId="44" priority="215" operator="equal">
      <formula>"中"</formula>
    </cfRule>
    <cfRule type="cellIs" dxfId="43" priority="216" operator="equal">
      <formula>"M2"</formula>
    </cfRule>
    <cfRule type="cellIs" dxfId="42" priority="217" operator="equal">
      <formula>2</formula>
    </cfRule>
    <cfRule type="cellIs" dxfId="41" priority="218" operator="equal">
      <formula>"日"</formula>
    </cfRule>
    <cfRule type="cellIs" dxfId="40" priority="219" operator="equal">
      <formula>"T早"</formula>
    </cfRule>
    <cfRule type="cellIs" dxfId="39" priority="220" operator="equal">
      <formula>"早"</formula>
    </cfRule>
    <cfRule type="cellIs" dxfId="38" priority="221" operator="equal">
      <formula>"M1"</formula>
    </cfRule>
    <cfRule type="cellIs" dxfId="37" priority="222" operator="equal">
      <formula>1</formula>
    </cfRule>
  </conditionalFormatting>
  <conditionalFormatting sqref="AS4:AS46">
    <cfRule type="cellIs" dxfId="36" priority="208" operator="equal">
      <formula>-2</formula>
    </cfRule>
    <cfRule type="cellIs" dxfId="35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tabSelected="1" zoomScale="65" zoomScaleNormal="65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V14" sqref="V1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327" t="str">
        <f>"TPKC剩餘人力："&amp;AQ58&amp;" / NK剩餘人力："&amp;AR58&amp;" /  N班人力："&amp;AQ53</f>
        <v>TPKC剩餘人力：0 / NK剩餘人力：0 /  N班人力：80</v>
      </c>
      <c r="L1" s="328"/>
      <c r="M1" s="328"/>
      <c r="N1" s="328"/>
      <c r="O1" s="328"/>
      <c r="P1" s="328"/>
      <c r="Q1" s="328"/>
      <c r="R1" s="328"/>
      <c r="S1" s="328"/>
      <c r="T1" s="328"/>
      <c r="U1" s="328"/>
      <c r="V1" s="328"/>
      <c r="W1" s="328"/>
      <c r="X1" s="328"/>
      <c r="Y1" s="328"/>
      <c r="Z1" s="328"/>
      <c r="AA1" s="328"/>
      <c r="AB1" s="328"/>
      <c r="AC1" s="328"/>
      <c r="AD1" s="328"/>
      <c r="AE1" s="328"/>
      <c r="AF1" s="328"/>
      <c r="AG1" s="328"/>
      <c r="AH1" s="328"/>
      <c r="AI1" s="329"/>
      <c r="AJ1" s="328"/>
      <c r="AK1" s="328"/>
      <c r="AL1" s="330"/>
      <c r="AM1" s="331"/>
      <c r="AN1" s="331"/>
      <c r="AQ1" s="6"/>
      <c r="AR1" s="7"/>
    </row>
    <row r="2" spans="1:224" ht="23.25" customHeight="1" thickBot="1">
      <c r="A2" s="317">
        <v>1</v>
      </c>
      <c r="B2" s="319">
        <v>2</v>
      </c>
      <c r="C2" s="319">
        <v>3</v>
      </c>
      <c r="D2" s="321" t="s">
        <v>104</v>
      </c>
      <c r="E2" s="323" t="s">
        <v>105</v>
      </c>
      <c r="F2" s="8" t="s">
        <v>106</v>
      </c>
      <c r="G2" s="8" t="s">
        <v>107</v>
      </c>
      <c r="H2" s="8" t="s">
        <v>108</v>
      </c>
      <c r="I2" s="332" t="s">
        <v>109</v>
      </c>
      <c r="J2" s="334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325" t="s">
        <v>48</v>
      </c>
      <c r="AV2" s="326"/>
      <c r="AW2" s="326"/>
    </row>
    <row r="3" spans="1:224" ht="24.6" customHeight="1" thickBot="1">
      <c r="A3" s="318"/>
      <c r="B3" s="320"/>
      <c r="C3" s="320"/>
      <c r="D3" s="322"/>
      <c r="E3" s="324"/>
      <c r="F3" s="15" t="s">
        <v>118</v>
      </c>
      <c r="G3" s="15" t="s">
        <v>119</v>
      </c>
      <c r="H3" s="16" t="s">
        <v>120</v>
      </c>
      <c r="I3" s="333"/>
      <c r="J3" s="335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2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15</v>
      </c>
      <c r="D4" s="24">
        <f t="shared" ref="D4:D29" si="3">COUNTIF(K4:AN4,"N")+COUNTIF(K4:AN4,"N8")</f>
        <v>0</v>
      </c>
      <c r="E4" s="26">
        <f t="shared" ref="E4:E29" si="4">COUNTIF(K4:AN4,"S")</f>
        <v>3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64">
        <v>1</v>
      </c>
      <c r="AN4" s="164">
        <v>1</v>
      </c>
      <c r="AO4" s="283">
        <v>0</v>
      </c>
      <c r="AP4" s="36">
        <f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1</v>
      </c>
      <c r="C5" s="40">
        <f t="shared" si="2"/>
        <v>11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32" t="s">
        <v>0</v>
      </c>
      <c r="AI5" s="44" t="s">
        <v>52</v>
      </c>
      <c r="AJ5" s="121">
        <v>3</v>
      </c>
      <c r="AK5" s="120">
        <v>3</v>
      </c>
      <c r="AL5" s="121">
        <v>3</v>
      </c>
      <c r="AM5" s="121">
        <v>3</v>
      </c>
      <c r="AN5" s="126">
        <v>3</v>
      </c>
      <c r="AO5" s="175">
        <v>0</v>
      </c>
      <c r="AP5" s="46">
        <f>$F5+$G5+H5-$I$1</f>
        <v>0</v>
      </c>
      <c r="AQ5" s="46">
        <v>0</v>
      </c>
      <c r="AR5" s="134">
        <f t="shared" ref="AR5:AR46" si="9">SUM(AO5:AQ5)</f>
        <v>0</v>
      </c>
      <c r="AS5" s="284" t="s">
        <v>126</v>
      </c>
    </row>
    <row r="6" spans="1:224" ht="25.5" customHeight="1">
      <c r="A6" s="38">
        <f t="shared" si="0"/>
        <v>12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53</v>
      </c>
      <c r="U6" s="32" t="s">
        <v>1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 t="s">
        <v>3</v>
      </c>
      <c r="AO6" s="175">
        <v>0</v>
      </c>
      <c r="AP6" s="46">
        <f>$F6+$G6+H6-$I$1</f>
        <v>0</v>
      </c>
      <c r="AQ6" s="46">
        <v>0</v>
      </c>
      <c r="AR6" s="134">
        <f t="shared" si="9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0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121" t="s">
        <v>36</v>
      </c>
      <c r="Z7" s="30" t="s">
        <v>52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>$F7+$G7+H7-$I$1</f>
        <v>0</v>
      </c>
      <c r="AQ7" s="46">
        <v>0</v>
      </c>
      <c r="AR7" s="134">
        <f t="shared" si="9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0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20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0" t="s">
        <v>3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0" t="s">
        <v>3</v>
      </c>
      <c r="AN8" s="48" t="s">
        <v>3</v>
      </c>
      <c r="AO8" s="175">
        <v>0</v>
      </c>
      <c r="AP8" s="46">
        <f>$F8+$G8+H8-$I$1</f>
        <v>0</v>
      </c>
      <c r="AQ8" s="46">
        <v>0</v>
      </c>
      <c r="AR8" s="134">
        <f t="shared" si="9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0</v>
      </c>
      <c r="E9" s="41">
        <f t="shared" si="4"/>
        <v>2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44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2" t="s">
        <v>1</v>
      </c>
      <c r="AL9" s="30" t="s">
        <v>52</v>
      </c>
      <c r="AM9" s="121">
        <v>1</v>
      </c>
      <c r="AN9" s="121">
        <v>1</v>
      </c>
      <c r="AO9" s="175">
        <v>0</v>
      </c>
      <c r="AP9" s="46">
        <f>$F9+$G9+H9-$I$1</f>
        <v>0</v>
      </c>
      <c r="AQ9" s="46">
        <v>0</v>
      </c>
      <c r="AR9" s="134">
        <f t="shared" si="9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1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>$F10+$G10+H10-$I$1</f>
        <v>0</v>
      </c>
      <c r="AQ10" s="46">
        <v>0</v>
      </c>
      <c r="AR10" s="134">
        <f t="shared" si="9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1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16</v>
      </c>
      <c r="B11" s="39">
        <f t="shared" si="1"/>
        <v>3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41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121">
        <v>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 t="s">
        <v>52</v>
      </c>
      <c r="AN11" s="30" t="s">
        <v>36</v>
      </c>
      <c r="AO11" s="175">
        <v>0</v>
      </c>
      <c r="AP11" s="46">
        <f>$F11+$G11+H11-$I$1</f>
        <v>0</v>
      </c>
      <c r="AQ11" s="46">
        <v>0</v>
      </c>
      <c r="AR11" s="134">
        <f t="shared" si="9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1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30" t="s">
        <v>0</v>
      </c>
      <c r="Z12" s="30" t="s">
        <v>36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>$F12+$G12+H12-$I$1</f>
        <v>0</v>
      </c>
      <c r="AQ12" s="46">
        <v>0</v>
      </c>
      <c r="AR12" s="134">
        <f t="shared" si="9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1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124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>$F13+$G13+H13-$I$1</f>
        <v>0</v>
      </c>
      <c r="AQ13" s="46">
        <v>0</v>
      </c>
      <c r="AR13" s="134">
        <f t="shared" si="9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1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44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>$F14+$G14+H14-$I$1</f>
        <v>0</v>
      </c>
      <c r="AQ14" s="46">
        <v>0</v>
      </c>
      <c r="AR14" s="134">
        <f t="shared" si="9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>$F15+$G15+H15-$I$1</f>
        <v>0</v>
      </c>
      <c r="AQ15" s="46">
        <v>0</v>
      </c>
      <c r="AR15" s="134">
        <f t="shared" si="9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2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4" t="s">
        <v>155</v>
      </c>
      <c r="AF16" s="53" t="s">
        <v>3</v>
      </c>
      <c r="AG16" s="53" t="s">
        <v>3</v>
      </c>
      <c r="AH16" s="285">
        <v>1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44" t="s">
        <v>52</v>
      </c>
      <c r="AN16" s="344" t="s">
        <v>36</v>
      </c>
      <c r="AO16" s="175">
        <v>0</v>
      </c>
      <c r="AP16" s="46">
        <f>$F16+$G16+H16-$I$1</f>
        <v>0</v>
      </c>
      <c r="AQ16" s="46">
        <v>0</v>
      </c>
      <c r="AR16" s="134">
        <f t="shared" si="9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2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>$F17+$G17+H17-$I$1</f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2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3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>$F18+$G18+H18-$I$1</f>
        <v>0</v>
      </c>
      <c r="AQ18" s="74">
        <v>0</v>
      </c>
      <c r="AR18" s="127">
        <f t="shared" ref="AR18" si="14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2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>$F19+$G19+H19-$I$1</f>
        <v>0</v>
      </c>
      <c r="AQ19" s="36">
        <v>0</v>
      </c>
      <c r="AR19" s="133">
        <f t="shared" si="9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41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>$F20+$G20+H20-$I$1</f>
        <v>0</v>
      </c>
      <c r="AQ20" s="46">
        <v>0</v>
      </c>
      <c r="AR20" s="134">
        <f t="shared" si="9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44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44" t="s">
        <v>0</v>
      </c>
      <c r="AO21" s="175">
        <v>0</v>
      </c>
      <c r="AP21" s="46">
        <f>$F21+$G21+H21-$I$1</f>
        <v>0</v>
      </c>
      <c r="AQ21" s="46">
        <v>0</v>
      </c>
      <c r="AR21" s="134">
        <f t="shared" si="9"/>
        <v>0</v>
      </c>
      <c r="AS21" s="284" t="s">
        <v>128</v>
      </c>
    </row>
    <row r="22" spans="1:224" ht="25.5" customHeight="1">
      <c r="A22" s="38">
        <f t="shared" si="0"/>
        <v>1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1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>$F22+$G22+H22-$I$1</f>
        <v>0</v>
      </c>
      <c r="AQ22" s="46">
        <v>0</v>
      </c>
      <c r="AR22" s="134">
        <f t="shared" si="9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>$F23+$G23+H23-$I$1</f>
        <v>0</v>
      </c>
      <c r="AQ23" s="46">
        <v>0</v>
      </c>
      <c r="AR23" s="134">
        <f t="shared" si="9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6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53" t="s">
        <v>3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>$F24+$G24+H24-$I$1</f>
        <v>0</v>
      </c>
      <c r="AQ24" s="46">
        <v>0</v>
      </c>
      <c r="AR24" s="134">
        <f t="shared" si="9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>$F25+$G25+H25-$I$1</f>
        <v>1</v>
      </c>
      <c r="AQ25" s="46">
        <v>0</v>
      </c>
      <c r="AR25" s="134">
        <f t="shared" si="9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44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>$F26+$G26+H26-$I$1</f>
        <v>0</v>
      </c>
      <c r="AQ26" s="46">
        <v>0</v>
      </c>
      <c r="AR26" s="134">
        <f t="shared" si="9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15</v>
      </c>
      <c r="B27" s="39">
        <f t="shared" si="1"/>
        <v>1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2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>$F27+$G27+H27-$I$1</f>
        <v>0</v>
      </c>
      <c r="AQ27" s="46">
        <v>0</v>
      </c>
      <c r="AR27" s="134">
        <f t="shared" si="9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44">
        <v>3</v>
      </c>
      <c r="AG28" s="344" t="s">
        <v>0</v>
      </c>
      <c r="AH28" s="30">
        <v>3</v>
      </c>
      <c r="AI28" s="30">
        <v>3</v>
      </c>
      <c r="AJ28" s="30">
        <v>3</v>
      </c>
      <c r="AK28" s="30">
        <v>3</v>
      </c>
      <c r="AL28" s="30" t="s">
        <v>52</v>
      </c>
      <c r="AM28" s="30" t="s">
        <v>0</v>
      </c>
      <c r="AN28" s="48">
        <v>2</v>
      </c>
      <c r="AO28" s="175">
        <v>0</v>
      </c>
      <c r="AP28" s="46">
        <f>$F28+$G28+H28-$I$1</f>
        <v>0</v>
      </c>
      <c r="AQ28" s="46">
        <v>0</v>
      </c>
      <c r="AR28" s="134">
        <f t="shared" si="9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6</v>
      </c>
      <c r="E29" s="41">
        <f t="shared" si="4"/>
        <v>10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08" t="s">
        <v>3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>$F29+$G29+H29-$I$1</f>
        <v>0</v>
      </c>
      <c r="AQ29" s="46">
        <v>0</v>
      </c>
      <c r="AR29" s="134">
        <f t="shared" si="9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5">COUNTIF(K30:AN30,1)+COUNTIF(K30:AN30,"早")+COUNTIF(K30:AN30,"M1")+COUNTIF(K30:AN30,"T早")+COUNTIF(K30:AN30,"日")</f>
        <v>4</v>
      </c>
      <c r="B30" s="39">
        <f t="shared" ref="B30" si="16">COUNTIF(K30:AN30,2)+COUNTIF(K30:AN30,"中")+COUNTIF(K30:AN30,"M2")+COUNTIF(K30:AN30,"T中")+COUNTIF(K30:AN30,"小夜")</f>
        <v>6</v>
      </c>
      <c r="C30" s="40">
        <f t="shared" ref="C30" si="17">COUNTIF(K30:AN30,3)+COUNTIF(K30:AN30,"晚")+COUNTIF(K30:AN30,"大夜")</f>
        <v>10</v>
      </c>
      <c r="D30" s="39">
        <f t="shared" ref="D30" si="18">COUNTIF(K30:AN30,"N")+COUNTIF(K30:AN30,"N8")</f>
        <v>0</v>
      </c>
      <c r="E30" s="41">
        <f t="shared" ref="E30" si="19">COUNTIF(K30:AN30,"S")</f>
        <v>0</v>
      </c>
      <c r="F30" s="41">
        <f t="shared" ref="F30" si="20">COUNTIF(K30:AN30,"X")</f>
        <v>4</v>
      </c>
      <c r="G30" s="41">
        <f t="shared" ref="G30" si="21">COUNTIF(K30:AN30,"Y")</f>
        <v>4</v>
      </c>
      <c r="H30" s="41">
        <f t="shared" ref="H30" si="22">COUNTIF(K30:AN30,"Z")</f>
        <v>2</v>
      </c>
      <c r="I30" s="42">
        <f t="shared" ref="I30" si="23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156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44" t="s">
        <v>53</v>
      </c>
      <c r="AJ30" s="44" t="s">
        <v>0</v>
      </c>
      <c r="AK30" s="30">
        <v>3</v>
      </c>
      <c r="AL30" s="30">
        <v>3</v>
      </c>
      <c r="AM30" s="30">
        <v>3</v>
      </c>
      <c r="AN30" s="48" t="s">
        <v>52</v>
      </c>
      <c r="AO30" s="291">
        <v>0</v>
      </c>
      <c r="AP30" s="46">
        <f>$F30+$G30+H30-$I$1</f>
        <v>0</v>
      </c>
      <c r="AQ30" s="46">
        <v>0</v>
      </c>
      <c r="AR30" s="134">
        <f t="shared" si="9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4">COUNTIF(K31:AN31,1)+COUNTIF(K31:AN31,"早")+COUNTIF(K31:AN31,"M1")+COUNTIF(K31:AN31,"T早")+COUNTIF(K31:AN31,"日")</f>
        <v>6</v>
      </c>
      <c r="B31" s="39">
        <f t="shared" ref="B31:B45" si="25">COUNTIF(K31:AN31,2)+COUNTIF(K31:AN31,"中")+COUNTIF(K31:AN31,"M2")+COUNTIF(K31:AN31,"T中")+COUNTIF(K31:AN31,"小夜")</f>
        <v>10</v>
      </c>
      <c r="C31" s="40">
        <f t="shared" ref="C31:C45" si="26">COUNTIF(K31:AN31,3)+COUNTIF(K31:AN31,"晚")+COUNTIF(K31:AN31,"大夜")</f>
        <v>4</v>
      </c>
      <c r="D31" s="39">
        <f t="shared" ref="D31:D45" si="27">COUNTIF(K31:AN31,"N")+COUNTIF(K31:AN31,"N8")</f>
        <v>0</v>
      </c>
      <c r="E31" s="41">
        <f t="shared" ref="E31:E45" si="28">COUNTIF(K31:AN31,"S")</f>
        <v>0</v>
      </c>
      <c r="F31" s="41">
        <f t="shared" ref="F31:F45" si="29">COUNTIF(K31:AN31,"X")</f>
        <v>4</v>
      </c>
      <c r="G31" s="41">
        <f t="shared" ref="G31:G45" si="30">COUNTIF(K31:AN31,"Y")</f>
        <v>4</v>
      </c>
      <c r="H31" s="41">
        <f t="shared" ref="H31:H45" si="31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>$F31+$G31+H31-$I$1</f>
        <v>0</v>
      </c>
      <c r="AQ31" s="46">
        <v>0</v>
      </c>
      <c r="AR31" s="134">
        <f t="shared" si="9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4"/>
        <v>5</v>
      </c>
      <c r="B32" s="39">
        <f t="shared" si="25"/>
        <v>9</v>
      </c>
      <c r="C32" s="40">
        <f t="shared" si="26"/>
        <v>6</v>
      </c>
      <c r="D32" s="39">
        <f t="shared" si="27"/>
        <v>0</v>
      </c>
      <c r="E32" s="41">
        <f t="shared" si="28"/>
        <v>0</v>
      </c>
      <c r="F32" s="41">
        <f t="shared" si="29"/>
        <v>4</v>
      </c>
      <c r="G32" s="41">
        <f t="shared" si="30"/>
        <v>4</v>
      </c>
      <c r="H32" s="41">
        <f t="shared" si="31"/>
        <v>2</v>
      </c>
      <c r="I32" s="42">
        <f>SUM(A32:H32)</f>
        <v>30</v>
      </c>
      <c r="J32" s="194" t="s">
        <v>20</v>
      </c>
      <c r="K32" s="345">
        <v>1</v>
      </c>
      <c r="L32" s="344">
        <v>2</v>
      </c>
      <c r="M32" s="344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44">
        <v>2</v>
      </c>
      <c r="T32" s="344">
        <v>2</v>
      </c>
      <c r="U32" s="344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44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>$F32+$G32+H32-$I$1</f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4"/>
        <v>4</v>
      </c>
      <c r="B33" s="55">
        <f t="shared" si="25"/>
        <v>16</v>
      </c>
      <c r="C33" s="56">
        <f t="shared" si="26"/>
        <v>0</v>
      </c>
      <c r="D33" s="55">
        <f t="shared" si="27"/>
        <v>0</v>
      </c>
      <c r="E33" s="17">
        <f t="shared" si="28"/>
        <v>0</v>
      </c>
      <c r="F33" s="17">
        <f t="shared" si="29"/>
        <v>4</v>
      </c>
      <c r="G33" s="17">
        <f t="shared" si="30"/>
        <v>4</v>
      </c>
      <c r="H33" s="17">
        <f t="shared" si="31"/>
        <v>2</v>
      </c>
      <c r="I33" s="57">
        <f t="shared" si="8"/>
        <v>30</v>
      </c>
      <c r="J33" s="195" t="s">
        <v>21</v>
      </c>
      <c r="K33" s="311">
        <v>1</v>
      </c>
      <c r="L33" s="342" t="s">
        <v>52</v>
      </c>
      <c r="M33" s="343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>$F33+$G33+H33-$I$1</f>
        <v>0</v>
      </c>
      <c r="AQ33" s="74">
        <v>0</v>
      </c>
      <c r="AR33" s="127">
        <f t="shared" si="9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4"/>
        <v>2</v>
      </c>
      <c r="B34" s="24">
        <f t="shared" si="25"/>
        <v>0</v>
      </c>
      <c r="C34" s="25">
        <f t="shared" si="26"/>
        <v>17</v>
      </c>
      <c r="D34" s="24">
        <f t="shared" si="27"/>
        <v>0</v>
      </c>
      <c r="E34" s="26">
        <f t="shared" si="28"/>
        <v>1</v>
      </c>
      <c r="F34" s="26">
        <f t="shared" si="29"/>
        <v>4</v>
      </c>
      <c r="G34" s="26">
        <f t="shared" si="30"/>
        <v>4</v>
      </c>
      <c r="H34" s="26">
        <f t="shared" si="31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>$F34+$G34+H34-$I$1</f>
        <v>0</v>
      </c>
      <c r="AQ34" s="36">
        <v>0</v>
      </c>
      <c r="AR34" s="133">
        <f t="shared" si="9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4"/>
        <v>0</v>
      </c>
      <c r="B35" s="39">
        <f t="shared" si="25"/>
        <v>20</v>
      </c>
      <c r="C35" s="40">
        <f t="shared" si="26"/>
        <v>0</v>
      </c>
      <c r="D35" s="39">
        <f t="shared" si="27"/>
        <v>0</v>
      </c>
      <c r="E35" s="41">
        <f t="shared" si="28"/>
        <v>0</v>
      </c>
      <c r="F35" s="41">
        <f t="shared" si="29"/>
        <v>4</v>
      </c>
      <c r="G35" s="41">
        <f t="shared" si="30"/>
        <v>4</v>
      </c>
      <c r="H35" s="41">
        <f t="shared" si="31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>$F35+$G35+H35-$I$1</f>
        <v>0</v>
      </c>
      <c r="AQ35" s="46">
        <v>0</v>
      </c>
      <c r="AR35" s="134">
        <f t="shared" si="9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4"/>
        <v>5</v>
      </c>
      <c r="B36" s="39">
        <f t="shared" si="25"/>
        <v>14</v>
      </c>
      <c r="C36" s="40">
        <f t="shared" si="26"/>
        <v>0</v>
      </c>
      <c r="D36" s="39">
        <f t="shared" si="27"/>
        <v>1</v>
      </c>
      <c r="E36" s="41">
        <f t="shared" si="28"/>
        <v>0</v>
      </c>
      <c r="F36" s="41">
        <f t="shared" si="29"/>
        <v>4</v>
      </c>
      <c r="G36" s="41">
        <f t="shared" si="30"/>
        <v>4</v>
      </c>
      <c r="H36" s="41">
        <f t="shared" si="31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44" t="s">
        <v>38</v>
      </c>
      <c r="S36" s="344" t="s">
        <v>52</v>
      </c>
      <c r="T36" s="344" t="s">
        <v>0</v>
      </c>
      <c r="U36" s="344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>$F36+$G36+H36-$I$1</f>
        <v>0</v>
      </c>
      <c r="AQ36" s="46">
        <v>0</v>
      </c>
      <c r="AR36" s="134">
        <f t="shared" si="9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4"/>
        <v>0</v>
      </c>
      <c r="B37" s="39">
        <f t="shared" si="25"/>
        <v>18</v>
      </c>
      <c r="C37" s="40">
        <f t="shared" si="26"/>
        <v>0</v>
      </c>
      <c r="D37" s="39">
        <f t="shared" si="27"/>
        <v>0</v>
      </c>
      <c r="E37" s="41">
        <f t="shared" si="28"/>
        <v>2</v>
      </c>
      <c r="F37" s="41">
        <f t="shared" si="29"/>
        <v>4</v>
      </c>
      <c r="G37" s="41">
        <f t="shared" si="30"/>
        <v>4</v>
      </c>
      <c r="H37" s="41">
        <f t="shared" si="31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44" t="s">
        <v>38</v>
      </c>
      <c r="AO37" s="175">
        <v>0</v>
      </c>
      <c r="AP37" s="46">
        <f>$F37+$G37+H37-$I$1</f>
        <v>0</v>
      </c>
      <c r="AQ37" s="46">
        <v>0</v>
      </c>
      <c r="AR37" s="134">
        <f t="shared" si="9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4"/>
        <v>2</v>
      </c>
      <c r="B38" s="39">
        <f t="shared" si="25"/>
        <v>7</v>
      </c>
      <c r="C38" s="40">
        <f t="shared" si="26"/>
        <v>6</v>
      </c>
      <c r="D38" s="39">
        <f t="shared" si="27"/>
        <v>4</v>
      </c>
      <c r="E38" s="41">
        <f t="shared" si="28"/>
        <v>1</v>
      </c>
      <c r="F38" s="41">
        <f t="shared" si="29"/>
        <v>4</v>
      </c>
      <c r="G38" s="41">
        <f t="shared" si="30"/>
        <v>4</v>
      </c>
      <c r="H38" s="41">
        <f t="shared" si="31"/>
        <v>2</v>
      </c>
      <c r="I38" s="42">
        <f t="shared" si="8"/>
        <v>30</v>
      </c>
      <c r="J38" s="193" t="s">
        <v>27</v>
      </c>
      <c r="K38" s="345">
        <v>3</v>
      </c>
      <c r="L38" s="344">
        <v>3</v>
      </c>
      <c r="M38" s="344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44" t="s">
        <v>36</v>
      </c>
      <c r="AN38" s="30" t="s">
        <v>36</v>
      </c>
      <c r="AO38" s="175">
        <v>0</v>
      </c>
      <c r="AP38" s="46">
        <f>$F38+$G38+H38-$I$1</f>
        <v>0</v>
      </c>
      <c r="AQ38" s="46">
        <v>0</v>
      </c>
      <c r="AR38" s="134">
        <f t="shared" si="9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4"/>
        <v>3</v>
      </c>
      <c r="B39" s="39">
        <f t="shared" si="25"/>
        <v>0</v>
      </c>
      <c r="C39" s="40">
        <f t="shared" si="26"/>
        <v>15</v>
      </c>
      <c r="D39" s="39">
        <f t="shared" si="27"/>
        <v>1</v>
      </c>
      <c r="E39" s="41">
        <f t="shared" si="28"/>
        <v>1</v>
      </c>
      <c r="F39" s="41">
        <f t="shared" si="29"/>
        <v>4</v>
      </c>
      <c r="G39" s="41">
        <f t="shared" si="30"/>
        <v>4</v>
      </c>
      <c r="H39" s="41">
        <f t="shared" si="31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>$F39+$G39+H39-$I$1</f>
        <v>0</v>
      </c>
      <c r="AQ39" s="46">
        <v>0</v>
      </c>
      <c r="AR39" s="134">
        <f t="shared" si="9"/>
        <v>0</v>
      </c>
      <c r="AS39" s="284" t="s">
        <v>128</v>
      </c>
    </row>
    <row r="40" spans="1:224" ht="25.5" customHeight="1" thickBot="1">
      <c r="A40" s="54">
        <f t="shared" si="24"/>
        <v>5</v>
      </c>
      <c r="B40" s="55">
        <f t="shared" si="25"/>
        <v>0</v>
      </c>
      <c r="C40" s="56">
        <f t="shared" si="26"/>
        <v>8</v>
      </c>
      <c r="D40" s="55">
        <f t="shared" si="27"/>
        <v>3</v>
      </c>
      <c r="E40" s="17">
        <f t="shared" si="28"/>
        <v>4</v>
      </c>
      <c r="F40" s="17">
        <f t="shared" si="29"/>
        <v>4</v>
      </c>
      <c r="G40" s="17">
        <f t="shared" si="30"/>
        <v>4</v>
      </c>
      <c r="H40" s="17">
        <f t="shared" si="31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>$F40+$G40+H40-$I$1</f>
        <v>0</v>
      </c>
      <c r="AQ40" s="74">
        <v>0</v>
      </c>
      <c r="AR40" s="127">
        <f t="shared" si="9"/>
        <v>0</v>
      </c>
      <c r="AS40" s="287" t="s">
        <v>128</v>
      </c>
    </row>
    <row r="41" spans="1:224" s="50" customFormat="1" ht="24.75" customHeight="1">
      <c r="A41" s="23">
        <f t="shared" si="24"/>
        <v>3</v>
      </c>
      <c r="B41" s="24">
        <f t="shared" si="25"/>
        <v>2</v>
      </c>
      <c r="C41" s="25">
        <f t="shared" si="26"/>
        <v>11</v>
      </c>
      <c r="D41" s="24">
        <f t="shared" si="27"/>
        <v>4</v>
      </c>
      <c r="E41" s="26">
        <f t="shared" si="28"/>
        <v>0</v>
      </c>
      <c r="F41" s="26">
        <f t="shared" si="29"/>
        <v>4</v>
      </c>
      <c r="G41" s="26">
        <f t="shared" si="30"/>
        <v>4</v>
      </c>
      <c r="H41" s="26">
        <f t="shared" si="31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>$F41+$G41+H41-$I$1</f>
        <v>0</v>
      </c>
      <c r="AQ41" s="36">
        <v>0</v>
      </c>
      <c r="AR41" s="133">
        <f t="shared" si="9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4"/>
        <v>1</v>
      </c>
      <c r="B42" s="39">
        <f t="shared" si="25"/>
        <v>12</v>
      </c>
      <c r="C42" s="40">
        <f t="shared" si="26"/>
        <v>0</v>
      </c>
      <c r="D42" s="39">
        <f t="shared" si="27"/>
        <v>4</v>
      </c>
      <c r="E42" s="41">
        <f t="shared" si="28"/>
        <v>3</v>
      </c>
      <c r="F42" s="41">
        <f t="shared" si="29"/>
        <v>4</v>
      </c>
      <c r="G42" s="41">
        <f t="shared" si="30"/>
        <v>4</v>
      </c>
      <c r="H42" s="41">
        <f t="shared" si="31"/>
        <v>2</v>
      </c>
      <c r="I42" s="177">
        <f t="shared" ref="I42:I45" si="32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>$F42+$G42+H42-$I$1</f>
        <v>0</v>
      </c>
      <c r="AQ42" s="46">
        <v>0</v>
      </c>
      <c r="AR42" s="134">
        <f t="shared" si="9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4"/>
        <v>4</v>
      </c>
      <c r="B43" s="39">
        <f t="shared" si="25"/>
        <v>6</v>
      </c>
      <c r="C43" s="40">
        <f t="shared" si="26"/>
        <v>4</v>
      </c>
      <c r="D43" s="39">
        <f t="shared" si="27"/>
        <v>3</v>
      </c>
      <c r="E43" s="41">
        <f t="shared" si="28"/>
        <v>3</v>
      </c>
      <c r="F43" s="41">
        <f t="shared" si="29"/>
        <v>4</v>
      </c>
      <c r="G43" s="41">
        <f t="shared" si="30"/>
        <v>4</v>
      </c>
      <c r="H43" s="41">
        <f t="shared" si="31"/>
        <v>2</v>
      </c>
      <c r="I43" s="177">
        <f t="shared" si="32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>$F43+$G43+H43-$I$1</f>
        <v>0</v>
      </c>
      <c r="AQ43" s="46">
        <v>0</v>
      </c>
      <c r="AR43" s="134">
        <f t="shared" si="9"/>
        <v>0</v>
      </c>
      <c r="AS43" s="284" t="s">
        <v>126</v>
      </c>
    </row>
    <row r="44" spans="1:224" s="50" customFormat="1" ht="25.2" customHeight="1">
      <c r="A44" s="38">
        <f t="shared" si="24"/>
        <v>11</v>
      </c>
      <c r="B44" s="39">
        <f t="shared" si="25"/>
        <v>2</v>
      </c>
      <c r="C44" s="40">
        <f t="shared" si="26"/>
        <v>4</v>
      </c>
      <c r="D44" s="39">
        <f t="shared" si="27"/>
        <v>1</v>
      </c>
      <c r="E44" s="41">
        <f t="shared" si="28"/>
        <v>2</v>
      </c>
      <c r="F44" s="41">
        <f t="shared" si="29"/>
        <v>4</v>
      </c>
      <c r="G44" s="41">
        <f t="shared" si="30"/>
        <v>4</v>
      </c>
      <c r="H44" s="41">
        <f t="shared" si="31"/>
        <v>2</v>
      </c>
      <c r="I44" s="177">
        <f t="shared" si="32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>$F44+$G44+H44-$I$1</f>
        <v>0</v>
      </c>
      <c r="AQ44" s="46">
        <v>0</v>
      </c>
      <c r="AR44" s="134">
        <f t="shared" si="9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4"/>
        <v>8</v>
      </c>
      <c r="B45" s="39">
        <f t="shared" si="25"/>
        <v>3</v>
      </c>
      <c r="C45" s="40">
        <f t="shared" si="26"/>
        <v>5</v>
      </c>
      <c r="D45" s="39">
        <f t="shared" si="27"/>
        <v>3</v>
      </c>
      <c r="E45" s="41">
        <f t="shared" si="28"/>
        <v>1</v>
      </c>
      <c r="F45" s="41">
        <f t="shared" si="29"/>
        <v>4</v>
      </c>
      <c r="G45" s="41">
        <f t="shared" si="30"/>
        <v>4</v>
      </c>
      <c r="H45" s="41">
        <f t="shared" si="31"/>
        <v>2</v>
      </c>
      <c r="I45" s="177">
        <f t="shared" si="32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>$F45+$G45+H45-$I$1</f>
        <v>0</v>
      </c>
      <c r="AQ45" s="46">
        <v>0</v>
      </c>
      <c r="AR45" s="134">
        <f t="shared" si="9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3">COUNTIF(K46:AN46,1)+COUNTIF(K46:AN46,"早")+COUNTIF(K46:AN46,"M1")+COUNTIF(K46:AN46,"T早")+COUNTIF(K46:AN46,"日")</f>
        <v>3</v>
      </c>
      <c r="B46" s="70">
        <f t="shared" ref="B46" si="34">COUNTIF(K46:AN46,2)+COUNTIF(K46:AN46,"中")+COUNTIF(K46:AN46,"M2")+COUNTIF(K46:AN46,"T中")+COUNTIF(K46:AN46,"小夜")</f>
        <v>5</v>
      </c>
      <c r="C46" s="71">
        <f t="shared" ref="C46" si="35">COUNTIF(K46:AN46,3)+COUNTIF(K46:AN46,"晚")+COUNTIF(K46:AN46,"大夜")</f>
        <v>6</v>
      </c>
      <c r="D46" s="70">
        <f t="shared" ref="D46" si="36">COUNTIF(K46:AN46,"N")+COUNTIF(K46:AN46,"N8")</f>
        <v>4</v>
      </c>
      <c r="E46" s="63">
        <f t="shared" ref="E46" si="37">COUNTIF(K46:AN46,"S")</f>
        <v>2</v>
      </c>
      <c r="F46" s="63">
        <f t="shared" ref="F46" si="38">COUNTIF(K46:AN46,"X")</f>
        <v>4</v>
      </c>
      <c r="G46" s="63">
        <f t="shared" ref="G46" si="39">COUNTIF(K46:AN46,"Y")</f>
        <v>4</v>
      </c>
      <c r="H46" s="63">
        <f t="shared" ref="H46" si="40">COUNTIF(K46:AN46,"Z")</f>
        <v>2</v>
      </c>
      <c r="I46" s="178">
        <f t="shared" ref="I46" si="41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>$F46+$G46+H46-$I$1</f>
        <v>0</v>
      </c>
      <c r="AQ46" s="74">
        <v>0</v>
      </c>
      <c r="AR46" s="127">
        <f t="shared" si="9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2">COUNTIF(K4:K46,3)</f>
        <v>3</v>
      </c>
      <c r="L49" s="130">
        <f t="shared" si="42"/>
        <v>3</v>
      </c>
      <c r="M49" s="130">
        <f t="shared" si="42"/>
        <v>2</v>
      </c>
      <c r="N49" s="130">
        <f t="shared" si="42"/>
        <v>2</v>
      </c>
      <c r="O49" s="130">
        <f t="shared" si="42"/>
        <v>2</v>
      </c>
      <c r="P49" s="130">
        <f t="shared" si="42"/>
        <v>2</v>
      </c>
      <c r="Q49" s="130">
        <f t="shared" si="42"/>
        <v>3</v>
      </c>
      <c r="R49" s="130">
        <f t="shared" si="42"/>
        <v>3</v>
      </c>
      <c r="S49" s="130">
        <f t="shared" si="42"/>
        <v>3</v>
      </c>
      <c r="T49" s="130">
        <f t="shared" si="42"/>
        <v>3</v>
      </c>
      <c r="U49" s="130">
        <f t="shared" si="42"/>
        <v>2</v>
      </c>
      <c r="V49" s="130">
        <f t="shared" si="42"/>
        <v>2</v>
      </c>
      <c r="W49" s="130">
        <f t="shared" si="42"/>
        <v>3</v>
      </c>
      <c r="X49" s="130">
        <f t="shared" si="42"/>
        <v>3</v>
      </c>
      <c r="Y49" s="130">
        <f t="shared" si="42"/>
        <v>3</v>
      </c>
      <c r="Z49" s="130">
        <f t="shared" si="42"/>
        <v>3</v>
      </c>
      <c r="AA49" s="130">
        <f t="shared" si="42"/>
        <v>3</v>
      </c>
      <c r="AB49" s="130">
        <f t="shared" si="42"/>
        <v>2</v>
      </c>
      <c r="AC49" s="130">
        <f t="shared" si="42"/>
        <v>2</v>
      </c>
      <c r="AD49" s="130">
        <f t="shared" si="42"/>
        <v>3</v>
      </c>
      <c r="AE49" s="130">
        <f t="shared" si="42"/>
        <v>3</v>
      </c>
      <c r="AF49" s="130">
        <f t="shared" si="42"/>
        <v>3</v>
      </c>
      <c r="AG49" s="130">
        <f t="shared" si="42"/>
        <v>3</v>
      </c>
      <c r="AH49" s="130">
        <f t="shared" si="42"/>
        <v>3</v>
      </c>
      <c r="AI49" s="130">
        <f t="shared" si="42"/>
        <v>2</v>
      </c>
      <c r="AJ49" s="130">
        <f t="shared" si="42"/>
        <v>2</v>
      </c>
      <c r="AK49" s="130">
        <f t="shared" si="42"/>
        <v>3</v>
      </c>
      <c r="AL49" s="130">
        <f t="shared" si="42"/>
        <v>3</v>
      </c>
      <c r="AM49" s="130">
        <f t="shared" si="42"/>
        <v>3</v>
      </c>
      <c r="AN49" s="130">
        <f t="shared" si="42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3">COUNTIF(K4:K46,"晚")</f>
        <v>3</v>
      </c>
      <c r="L52" s="130">
        <f t="shared" si="43"/>
        <v>3</v>
      </c>
      <c r="M52" s="130">
        <f t="shared" si="43"/>
        <v>2</v>
      </c>
      <c r="N52" s="130">
        <f t="shared" si="43"/>
        <v>2</v>
      </c>
      <c r="O52" s="130">
        <f t="shared" si="43"/>
        <v>2</v>
      </c>
      <c r="P52" s="130">
        <f t="shared" si="43"/>
        <v>2</v>
      </c>
      <c r="Q52" s="130">
        <f t="shared" si="43"/>
        <v>3</v>
      </c>
      <c r="R52" s="130">
        <f t="shared" si="43"/>
        <v>3</v>
      </c>
      <c r="S52" s="130">
        <f t="shared" si="43"/>
        <v>3</v>
      </c>
      <c r="T52" s="130">
        <f t="shared" si="43"/>
        <v>3</v>
      </c>
      <c r="U52" s="130">
        <f t="shared" si="43"/>
        <v>2</v>
      </c>
      <c r="V52" s="130">
        <f t="shared" si="43"/>
        <v>2</v>
      </c>
      <c r="W52" s="130">
        <f t="shared" si="43"/>
        <v>3</v>
      </c>
      <c r="X52" s="130">
        <f t="shared" si="43"/>
        <v>3</v>
      </c>
      <c r="Y52" s="130">
        <f t="shared" si="43"/>
        <v>3</v>
      </c>
      <c r="Z52" s="130">
        <f t="shared" si="43"/>
        <v>3</v>
      </c>
      <c r="AA52" s="130">
        <f t="shared" si="43"/>
        <v>3</v>
      </c>
      <c r="AB52" s="130">
        <f t="shared" si="43"/>
        <v>2</v>
      </c>
      <c r="AC52" s="130">
        <f t="shared" si="43"/>
        <v>2</v>
      </c>
      <c r="AD52" s="130">
        <f t="shared" si="43"/>
        <v>3</v>
      </c>
      <c r="AE52" s="130">
        <f t="shared" si="43"/>
        <v>3</v>
      </c>
      <c r="AF52" s="130">
        <f t="shared" si="43"/>
        <v>3</v>
      </c>
      <c r="AG52" s="130">
        <f t="shared" si="43"/>
        <v>3</v>
      </c>
      <c r="AH52" s="130">
        <f t="shared" si="43"/>
        <v>3</v>
      </c>
      <c r="AI52" s="130">
        <f t="shared" si="43"/>
        <v>2</v>
      </c>
      <c r="AJ52" s="130">
        <f t="shared" si="43"/>
        <v>2</v>
      </c>
      <c r="AK52" s="130">
        <f t="shared" si="43"/>
        <v>3</v>
      </c>
      <c r="AL52" s="130">
        <f t="shared" si="43"/>
        <v>3</v>
      </c>
      <c r="AM52" s="130">
        <f t="shared" si="43"/>
        <v>3</v>
      </c>
      <c r="AN52" s="130">
        <f t="shared" si="43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4">COUNTIF(K4:K46,"日")</f>
        <v>1</v>
      </c>
      <c r="L53" s="128">
        <f t="shared" si="44"/>
        <v>1</v>
      </c>
      <c r="M53" s="128">
        <f t="shared" si="44"/>
        <v>1</v>
      </c>
      <c r="N53" s="128">
        <f t="shared" si="44"/>
        <v>1</v>
      </c>
      <c r="O53" s="128">
        <f t="shared" si="44"/>
        <v>1</v>
      </c>
      <c r="P53" s="128">
        <f t="shared" si="44"/>
        <v>1</v>
      </c>
      <c r="Q53" s="128">
        <f t="shared" si="44"/>
        <v>1</v>
      </c>
      <c r="R53" s="128">
        <f t="shared" si="44"/>
        <v>1</v>
      </c>
      <c r="S53" s="128">
        <f t="shared" si="44"/>
        <v>1</v>
      </c>
      <c r="T53" s="128">
        <f t="shared" si="44"/>
        <v>1</v>
      </c>
      <c r="U53" s="128">
        <f t="shared" si="44"/>
        <v>1</v>
      </c>
      <c r="V53" s="128">
        <f t="shared" si="44"/>
        <v>1</v>
      </c>
      <c r="W53" s="128">
        <f t="shared" si="44"/>
        <v>1</v>
      </c>
      <c r="X53" s="128">
        <f t="shared" si="44"/>
        <v>1</v>
      </c>
      <c r="Y53" s="128">
        <f t="shared" si="44"/>
        <v>1</v>
      </c>
      <c r="Z53" s="128">
        <f t="shared" si="44"/>
        <v>1</v>
      </c>
      <c r="AA53" s="128">
        <f t="shared" si="44"/>
        <v>1</v>
      </c>
      <c r="AB53" s="128">
        <f t="shared" si="44"/>
        <v>1</v>
      </c>
      <c r="AC53" s="128">
        <f t="shared" si="44"/>
        <v>1</v>
      </c>
      <c r="AD53" s="128">
        <f t="shared" si="44"/>
        <v>1</v>
      </c>
      <c r="AE53" s="128">
        <f t="shared" si="44"/>
        <v>1</v>
      </c>
      <c r="AF53" s="128">
        <f t="shared" si="44"/>
        <v>1</v>
      </c>
      <c r="AG53" s="128">
        <f t="shared" si="44"/>
        <v>1</v>
      </c>
      <c r="AH53" s="128">
        <f t="shared" si="44"/>
        <v>1</v>
      </c>
      <c r="AI53" s="128">
        <f t="shared" si="44"/>
        <v>1</v>
      </c>
      <c r="AJ53" s="128">
        <f t="shared" si="44"/>
        <v>1</v>
      </c>
      <c r="AK53" s="128">
        <f t="shared" si="44"/>
        <v>1</v>
      </c>
      <c r="AL53" s="128">
        <f t="shared" si="44"/>
        <v>1</v>
      </c>
      <c r="AM53" s="128">
        <f t="shared" si="44"/>
        <v>1</v>
      </c>
      <c r="AN53" s="128">
        <f t="shared" si="44"/>
        <v>1</v>
      </c>
      <c r="AP53" s="50" t="s">
        <v>104</v>
      </c>
      <c r="AQ53" s="91" cm="1">
        <f t="array" ref="AQ53">SUMPRODUCT(COUNTIF(K4:AN40,{"N";"N8"}))</f>
        <v>80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5">COUNTIF(K4:K46,"小夜")</f>
        <v>1</v>
      </c>
      <c r="L54" s="129">
        <f t="shared" si="45"/>
        <v>1</v>
      </c>
      <c r="M54" s="129">
        <f t="shared" si="45"/>
        <v>1</v>
      </c>
      <c r="N54" s="129">
        <f t="shared" si="45"/>
        <v>1</v>
      </c>
      <c r="O54" s="129">
        <f t="shared" si="45"/>
        <v>1</v>
      </c>
      <c r="P54" s="129">
        <f t="shared" si="45"/>
        <v>1</v>
      </c>
      <c r="Q54" s="129">
        <f t="shared" si="45"/>
        <v>1</v>
      </c>
      <c r="R54" s="129">
        <f t="shared" si="45"/>
        <v>1</v>
      </c>
      <c r="S54" s="129">
        <f t="shared" si="45"/>
        <v>1</v>
      </c>
      <c r="T54" s="129">
        <f t="shared" si="45"/>
        <v>1</v>
      </c>
      <c r="U54" s="129">
        <f t="shared" si="45"/>
        <v>1</v>
      </c>
      <c r="V54" s="129">
        <f t="shared" si="45"/>
        <v>1</v>
      </c>
      <c r="W54" s="129">
        <f t="shared" si="45"/>
        <v>1</v>
      </c>
      <c r="X54" s="129">
        <f t="shared" si="45"/>
        <v>1</v>
      </c>
      <c r="Y54" s="129">
        <f t="shared" si="45"/>
        <v>1</v>
      </c>
      <c r="Z54" s="129">
        <f t="shared" si="45"/>
        <v>1</v>
      </c>
      <c r="AA54" s="129">
        <f t="shared" si="45"/>
        <v>1</v>
      </c>
      <c r="AB54" s="129">
        <f t="shared" si="45"/>
        <v>1</v>
      </c>
      <c r="AC54" s="129">
        <f t="shared" si="45"/>
        <v>1</v>
      </c>
      <c r="AD54" s="129">
        <f t="shared" si="45"/>
        <v>1</v>
      </c>
      <c r="AE54" s="129">
        <f t="shared" si="45"/>
        <v>1</v>
      </c>
      <c r="AF54" s="129">
        <f t="shared" si="45"/>
        <v>1</v>
      </c>
      <c r="AG54" s="129">
        <f t="shared" si="45"/>
        <v>1</v>
      </c>
      <c r="AH54" s="129">
        <f t="shared" si="45"/>
        <v>1</v>
      </c>
      <c r="AI54" s="129">
        <f t="shared" si="45"/>
        <v>1</v>
      </c>
      <c r="AJ54" s="129">
        <f t="shared" si="45"/>
        <v>1</v>
      </c>
      <c r="AK54" s="129">
        <f t="shared" si="45"/>
        <v>1</v>
      </c>
      <c r="AL54" s="129">
        <f t="shared" si="45"/>
        <v>1</v>
      </c>
      <c r="AM54" s="129">
        <f t="shared" si="45"/>
        <v>1</v>
      </c>
      <c r="AN54" s="129">
        <f t="shared" si="45"/>
        <v>1</v>
      </c>
      <c r="AP54" s="50" t="s">
        <v>105</v>
      </c>
      <c r="AQ54" s="92">
        <f>SUMPRODUCT(COUNTIF(K4:AN40,{"S"}))</f>
        <v>59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6">COUNTIF(K7:K49,"大夜")</f>
        <v>1</v>
      </c>
      <c r="L55" s="130">
        <f t="shared" si="46"/>
        <v>1</v>
      </c>
      <c r="M55" s="130">
        <f t="shared" si="46"/>
        <v>1</v>
      </c>
      <c r="N55" s="130">
        <f t="shared" si="46"/>
        <v>1</v>
      </c>
      <c r="O55" s="130">
        <f t="shared" si="46"/>
        <v>1</v>
      </c>
      <c r="P55" s="130">
        <f t="shared" si="46"/>
        <v>1</v>
      </c>
      <c r="Q55" s="130">
        <f t="shared" si="46"/>
        <v>1</v>
      </c>
      <c r="R55" s="130">
        <f t="shared" si="46"/>
        <v>1</v>
      </c>
      <c r="S55" s="130">
        <f t="shared" si="46"/>
        <v>1</v>
      </c>
      <c r="T55" s="130">
        <f t="shared" si="46"/>
        <v>1</v>
      </c>
      <c r="U55" s="130">
        <f t="shared" si="46"/>
        <v>1</v>
      </c>
      <c r="V55" s="130">
        <f t="shared" si="46"/>
        <v>1</v>
      </c>
      <c r="W55" s="130">
        <f t="shared" si="46"/>
        <v>1</v>
      </c>
      <c r="X55" s="130">
        <f t="shared" si="46"/>
        <v>1</v>
      </c>
      <c r="Y55" s="130">
        <f t="shared" si="46"/>
        <v>1</v>
      </c>
      <c r="Z55" s="130">
        <f t="shared" si="46"/>
        <v>1</v>
      </c>
      <c r="AA55" s="130">
        <f t="shared" si="46"/>
        <v>1</v>
      </c>
      <c r="AB55" s="130">
        <f t="shared" si="46"/>
        <v>1</v>
      </c>
      <c r="AC55" s="130">
        <f t="shared" si="46"/>
        <v>1</v>
      </c>
      <c r="AD55" s="130">
        <f t="shared" si="46"/>
        <v>1</v>
      </c>
      <c r="AE55" s="130">
        <f t="shared" si="46"/>
        <v>1</v>
      </c>
      <c r="AF55" s="130">
        <f t="shared" si="46"/>
        <v>1</v>
      </c>
      <c r="AG55" s="130">
        <f t="shared" si="46"/>
        <v>1</v>
      </c>
      <c r="AH55" s="130">
        <f t="shared" si="46"/>
        <v>1</v>
      </c>
      <c r="AI55" s="130">
        <f t="shared" si="46"/>
        <v>1</v>
      </c>
      <c r="AJ55" s="130">
        <f t="shared" si="46"/>
        <v>1</v>
      </c>
      <c r="AK55" s="130">
        <f t="shared" si="46"/>
        <v>1</v>
      </c>
      <c r="AL55" s="130">
        <f t="shared" si="46"/>
        <v>1</v>
      </c>
      <c r="AM55" s="130">
        <f t="shared" si="46"/>
        <v>1</v>
      </c>
      <c r="AN55" s="130">
        <f t="shared" si="46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7">COUNTIF(K4:K46,"N")+COUNTIF(K4:K46,"N8")</f>
        <v>7</v>
      </c>
      <c r="L56" s="296">
        <f t="shared" si="47"/>
        <v>5</v>
      </c>
      <c r="M56" s="296">
        <f>COUNTIF(M4:M46,"N")+COUNTIF(M4:M46,"N8")</f>
        <v>0</v>
      </c>
      <c r="N56" s="296">
        <f t="shared" si="47"/>
        <v>0</v>
      </c>
      <c r="O56" s="296">
        <f t="shared" si="47"/>
        <v>0</v>
      </c>
      <c r="P56" s="296">
        <f t="shared" si="47"/>
        <v>0</v>
      </c>
      <c r="Q56" s="296">
        <f t="shared" si="47"/>
        <v>9</v>
      </c>
      <c r="R56" s="296">
        <f t="shared" si="47"/>
        <v>7</v>
      </c>
      <c r="S56" s="296">
        <f t="shared" si="47"/>
        <v>10</v>
      </c>
      <c r="T56" s="296">
        <f t="shared" si="47"/>
        <v>5</v>
      </c>
      <c r="U56" s="296">
        <f t="shared" si="47"/>
        <v>0</v>
      </c>
      <c r="V56" s="296">
        <f t="shared" si="47"/>
        <v>0</v>
      </c>
      <c r="W56" s="296">
        <f t="shared" si="47"/>
        <v>3</v>
      </c>
      <c r="X56" s="296">
        <f>COUNTIF(X4:X46,"N")+COUNTIF(X4:X46,"N8")</f>
        <v>4</v>
      </c>
      <c r="Y56" s="296">
        <f>COUNTIF(Y4:Y46,"N")+COUNTIF(Y4:Y46,"N8")</f>
        <v>5</v>
      </c>
      <c r="Z56" s="296">
        <f t="shared" si="47"/>
        <v>5</v>
      </c>
      <c r="AA56" s="296">
        <f t="shared" si="47"/>
        <v>2</v>
      </c>
      <c r="AB56" s="296">
        <f t="shared" si="47"/>
        <v>0</v>
      </c>
      <c r="AC56" s="296">
        <f t="shared" si="47"/>
        <v>0</v>
      </c>
      <c r="AD56" s="296">
        <f t="shared" si="47"/>
        <v>3</v>
      </c>
      <c r="AE56" s="296">
        <f t="shared" si="47"/>
        <v>9</v>
      </c>
      <c r="AF56" s="296">
        <f t="shared" si="47"/>
        <v>5</v>
      </c>
      <c r="AG56" s="296">
        <f t="shared" si="47"/>
        <v>4</v>
      </c>
      <c r="AH56" s="296">
        <f t="shared" si="47"/>
        <v>4</v>
      </c>
      <c r="AI56" s="296">
        <f t="shared" si="47"/>
        <v>0</v>
      </c>
      <c r="AJ56" s="296">
        <f t="shared" si="47"/>
        <v>0</v>
      </c>
      <c r="AK56" s="296">
        <f t="shared" si="47"/>
        <v>2</v>
      </c>
      <c r="AL56" s="296">
        <f t="shared" si="47"/>
        <v>5</v>
      </c>
      <c r="AM56" s="296">
        <f t="shared" si="47"/>
        <v>2</v>
      </c>
      <c r="AN56" s="99">
        <f t="shared" si="47"/>
        <v>3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8">COUNTIF(K4:K46,"X")+COUNTIF(K4:K46,"Y")+COUNTIF(K4:K46,"Z")</f>
        <v>9</v>
      </c>
      <c r="L57" s="24">
        <f t="shared" si="48"/>
        <v>7</v>
      </c>
      <c r="M57" s="24">
        <f>COUNTIF(M4:M46,"X")+COUNTIF(M4:M46,"Y")+COUNTIF(M4:M46,"Z")</f>
        <v>20</v>
      </c>
      <c r="N57" s="24">
        <f t="shared" si="48"/>
        <v>22</v>
      </c>
      <c r="O57" s="24">
        <f t="shared" si="48"/>
        <v>22</v>
      </c>
      <c r="P57" s="24">
        <f t="shared" si="48"/>
        <v>21</v>
      </c>
      <c r="Q57" s="24">
        <f t="shared" si="48"/>
        <v>7</v>
      </c>
      <c r="R57" s="24">
        <f t="shared" si="48"/>
        <v>10</v>
      </c>
      <c r="S57" s="24">
        <f t="shared" si="48"/>
        <v>6</v>
      </c>
      <c r="T57" s="24">
        <f t="shared" si="48"/>
        <v>12</v>
      </c>
      <c r="U57" s="24">
        <f t="shared" si="48"/>
        <v>23</v>
      </c>
      <c r="V57" s="24">
        <f t="shared" si="48"/>
        <v>23</v>
      </c>
      <c r="W57" s="24">
        <f t="shared" si="48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8"/>
        <v>10</v>
      </c>
      <c r="AA57" s="24">
        <f t="shared" si="48"/>
        <v>11</v>
      </c>
      <c r="AB57" s="24">
        <f t="shared" si="48"/>
        <v>24</v>
      </c>
      <c r="AC57" s="24">
        <f t="shared" si="48"/>
        <v>24</v>
      </c>
      <c r="AD57" s="24">
        <f t="shared" si="48"/>
        <v>14</v>
      </c>
      <c r="AE57" s="24">
        <f t="shared" si="48"/>
        <v>8</v>
      </c>
      <c r="AF57" s="24">
        <f t="shared" si="48"/>
        <v>10</v>
      </c>
      <c r="AG57" s="24">
        <f t="shared" si="48"/>
        <v>11</v>
      </c>
      <c r="AH57" s="24">
        <f t="shared" si="48"/>
        <v>10</v>
      </c>
      <c r="AI57" s="24">
        <f t="shared" si="48"/>
        <v>20</v>
      </c>
      <c r="AJ57" s="24">
        <f t="shared" si="48"/>
        <v>23</v>
      </c>
      <c r="AK57" s="24">
        <f t="shared" si="48"/>
        <v>13</v>
      </c>
      <c r="AL57" s="24">
        <f t="shared" si="48"/>
        <v>9</v>
      </c>
      <c r="AM57" s="24">
        <f t="shared" si="48"/>
        <v>15</v>
      </c>
      <c r="AN57" s="102">
        <f t="shared" si="48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49">COUNTIF(K4:K46,"S")</f>
        <v>2</v>
      </c>
      <c r="L58" s="39">
        <f t="shared" si="49"/>
        <v>6</v>
      </c>
      <c r="M58" s="39">
        <f>COUNTIF(M4:M46,"S")</f>
        <v>4</v>
      </c>
      <c r="N58" s="39">
        <f t="shared" si="49"/>
        <v>2</v>
      </c>
      <c r="O58" s="39">
        <f t="shared" si="49"/>
        <v>2</v>
      </c>
      <c r="P58" s="39">
        <f t="shared" si="49"/>
        <v>3</v>
      </c>
      <c r="Q58" s="39">
        <f t="shared" si="49"/>
        <v>2</v>
      </c>
      <c r="R58" s="39">
        <f t="shared" si="49"/>
        <v>1</v>
      </c>
      <c r="S58" s="39">
        <f t="shared" si="49"/>
        <v>2</v>
      </c>
      <c r="T58" s="39">
        <f t="shared" si="49"/>
        <v>1</v>
      </c>
      <c r="U58" s="39">
        <f t="shared" si="49"/>
        <v>1</v>
      </c>
      <c r="V58" s="39">
        <f t="shared" si="49"/>
        <v>1</v>
      </c>
      <c r="W58" s="39">
        <f t="shared" si="49"/>
        <v>3</v>
      </c>
      <c r="X58" s="39">
        <f>COUNTIF(X4:X46,"S")</f>
        <v>2</v>
      </c>
      <c r="Y58" s="39">
        <f>COUNTIF(Y4:Y46,"S")</f>
        <v>3</v>
      </c>
      <c r="Z58" s="39">
        <f t="shared" si="49"/>
        <v>3</v>
      </c>
      <c r="AA58" s="39">
        <f t="shared" si="49"/>
        <v>5</v>
      </c>
      <c r="AB58" s="39">
        <f t="shared" si="49"/>
        <v>0</v>
      </c>
      <c r="AC58" s="39">
        <f t="shared" si="49"/>
        <v>0</v>
      </c>
      <c r="AD58" s="39">
        <f t="shared" si="49"/>
        <v>1</v>
      </c>
      <c r="AE58" s="39">
        <f t="shared" si="49"/>
        <v>1</v>
      </c>
      <c r="AF58" s="39">
        <f t="shared" si="49"/>
        <v>3</v>
      </c>
      <c r="AG58" s="39">
        <f t="shared" si="49"/>
        <v>3</v>
      </c>
      <c r="AH58" s="39">
        <f t="shared" si="49"/>
        <v>4</v>
      </c>
      <c r="AI58" s="39">
        <f t="shared" si="49"/>
        <v>4</v>
      </c>
      <c r="AJ58" s="39">
        <f t="shared" si="49"/>
        <v>1</v>
      </c>
      <c r="AK58" s="39">
        <f t="shared" si="49"/>
        <v>3</v>
      </c>
      <c r="AL58" s="39">
        <f t="shared" si="49"/>
        <v>4</v>
      </c>
      <c r="AM58" s="39">
        <f t="shared" si="49"/>
        <v>1</v>
      </c>
      <c r="AN58" s="83">
        <f t="shared" si="49"/>
        <v>2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0">COUNTIF(K4:K46,"T")</f>
        <v>0</v>
      </c>
      <c r="L59" s="39">
        <f t="shared" si="50"/>
        <v>0</v>
      </c>
      <c r="M59" s="39">
        <f>COUNTIF(M4:M46,"T")</f>
        <v>0</v>
      </c>
      <c r="N59" s="39">
        <f t="shared" si="50"/>
        <v>0</v>
      </c>
      <c r="O59" s="39">
        <f t="shared" si="50"/>
        <v>0</v>
      </c>
      <c r="P59" s="39">
        <f t="shared" si="50"/>
        <v>0</v>
      </c>
      <c r="Q59" s="39">
        <f t="shared" si="50"/>
        <v>0</v>
      </c>
      <c r="R59" s="39">
        <f t="shared" si="50"/>
        <v>0</v>
      </c>
      <c r="S59" s="39">
        <f t="shared" si="50"/>
        <v>0</v>
      </c>
      <c r="T59" s="39">
        <f t="shared" si="50"/>
        <v>0</v>
      </c>
      <c r="U59" s="39">
        <f t="shared" si="50"/>
        <v>0</v>
      </c>
      <c r="V59" s="39">
        <f t="shared" si="50"/>
        <v>0</v>
      </c>
      <c r="W59" s="39">
        <f t="shared" si="50"/>
        <v>0</v>
      </c>
      <c r="X59" s="39">
        <f>COUNTIF(X4:X46,"T")</f>
        <v>0</v>
      </c>
      <c r="Y59" s="39">
        <f>COUNTIF(Y4:Y46,"T")</f>
        <v>0</v>
      </c>
      <c r="Z59" s="39">
        <f t="shared" si="50"/>
        <v>0</v>
      </c>
      <c r="AA59" s="39">
        <f t="shared" si="50"/>
        <v>0</v>
      </c>
      <c r="AB59" s="39">
        <f t="shared" si="50"/>
        <v>0</v>
      </c>
      <c r="AC59" s="39">
        <f t="shared" si="50"/>
        <v>0</v>
      </c>
      <c r="AD59" s="39">
        <f t="shared" si="50"/>
        <v>0</v>
      </c>
      <c r="AE59" s="39">
        <f t="shared" si="50"/>
        <v>0</v>
      </c>
      <c r="AF59" s="39">
        <f t="shared" si="50"/>
        <v>0</v>
      </c>
      <c r="AG59" s="39">
        <f t="shared" si="50"/>
        <v>0</v>
      </c>
      <c r="AH59" s="39">
        <f t="shared" si="50"/>
        <v>0</v>
      </c>
      <c r="AI59" s="39">
        <f t="shared" si="50"/>
        <v>0</v>
      </c>
      <c r="AJ59" s="39">
        <f t="shared" si="50"/>
        <v>0</v>
      </c>
      <c r="AK59" s="39">
        <f t="shared" si="50"/>
        <v>0</v>
      </c>
      <c r="AL59" s="39">
        <f t="shared" si="50"/>
        <v>0</v>
      </c>
      <c r="AM59" s="39">
        <f t="shared" si="50"/>
        <v>0</v>
      </c>
      <c r="AN59" s="83">
        <f t="shared" si="50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1">SUM(L47:L59)</f>
        <v>43</v>
      </c>
      <c r="M60" s="109">
        <f t="shared" si="51"/>
        <v>43</v>
      </c>
      <c r="N60" s="109">
        <f t="shared" si="51"/>
        <v>43</v>
      </c>
      <c r="O60" s="109">
        <f t="shared" si="51"/>
        <v>43</v>
      </c>
      <c r="P60" s="109">
        <f t="shared" si="51"/>
        <v>43</v>
      </c>
      <c r="Q60" s="109">
        <f t="shared" si="51"/>
        <v>43</v>
      </c>
      <c r="R60" s="109">
        <f t="shared" si="51"/>
        <v>43</v>
      </c>
      <c r="S60" s="109">
        <f t="shared" si="51"/>
        <v>43</v>
      </c>
      <c r="T60" s="109">
        <f t="shared" si="51"/>
        <v>43</v>
      </c>
      <c r="U60" s="109">
        <f t="shared" si="51"/>
        <v>43</v>
      </c>
      <c r="V60" s="109">
        <f t="shared" si="51"/>
        <v>43</v>
      </c>
      <c r="W60" s="109">
        <f t="shared" si="51"/>
        <v>43</v>
      </c>
      <c r="X60" s="109">
        <f t="shared" si="51"/>
        <v>43</v>
      </c>
      <c r="Y60" s="109">
        <f t="shared" si="51"/>
        <v>43</v>
      </c>
      <c r="Z60" s="109">
        <f t="shared" si="51"/>
        <v>43</v>
      </c>
      <c r="AA60" s="109">
        <f t="shared" si="51"/>
        <v>43</v>
      </c>
      <c r="AB60" s="109">
        <f t="shared" si="51"/>
        <v>43</v>
      </c>
      <c r="AC60" s="109">
        <f t="shared" si="51"/>
        <v>43</v>
      </c>
      <c r="AD60" s="109">
        <f t="shared" si="51"/>
        <v>43</v>
      </c>
      <c r="AE60" s="109">
        <f t="shared" si="51"/>
        <v>43</v>
      </c>
      <c r="AF60" s="109">
        <f t="shared" si="51"/>
        <v>43</v>
      </c>
      <c r="AG60" s="109">
        <f t="shared" si="51"/>
        <v>43</v>
      </c>
      <c r="AH60" s="109">
        <f t="shared" si="51"/>
        <v>43</v>
      </c>
      <c r="AI60" s="109">
        <f t="shared" si="51"/>
        <v>43</v>
      </c>
      <c r="AJ60" s="109">
        <f t="shared" si="51"/>
        <v>43</v>
      </c>
      <c r="AK60" s="109">
        <f t="shared" si="51"/>
        <v>43</v>
      </c>
      <c r="AL60" s="109">
        <f t="shared" si="51"/>
        <v>43</v>
      </c>
      <c r="AM60" s="109">
        <f t="shared" si="51"/>
        <v>43</v>
      </c>
      <c r="AN60" s="110">
        <f t="shared" si="51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2">43-K56-K57-K58-25</f>
        <v>0</v>
      </c>
      <c r="L61" s="113">
        <f t="shared" si="52"/>
        <v>0</v>
      </c>
      <c r="M61" s="113">
        <f t="shared" ref="M61:P61" si="53">43-M56-M57-M58-19</f>
        <v>0</v>
      </c>
      <c r="N61" s="113">
        <f t="shared" si="53"/>
        <v>0</v>
      </c>
      <c r="O61" s="113">
        <f t="shared" si="53"/>
        <v>0</v>
      </c>
      <c r="P61" s="113">
        <f t="shared" si="53"/>
        <v>0</v>
      </c>
      <c r="Q61" s="113">
        <f t="shared" si="52"/>
        <v>0</v>
      </c>
      <c r="R61" s="113">
        <f t="shared" si="52"/>
        <v>0</v>
      </c>
      <c r="S61" s="113">
        <f t="shared" si="52"/>
        <v>0</v>
      </c>
      <c r="T61" s="113">
        <f t="shared" si="52"/>
        <v>0</v>
      </c>
      <c r="U61" s="113">
        <f t="shared" ref="U61:V61" si="54">43-U56-U57-U58-19</f>
        <v>0</v>
      </c>
      <c r="V61" s="113">
        <f t="shared" si="54"/>
        <v>0</v>
      </c>
      <c r="W61" s="113">
        <f t="shared" si="52"/>
        <v>0</v>
      </c>
      <c r="X61" s="113">
        <f t="shared" si="52"/>
        <v>0</v>
      </c>
      <c r="Y61" s="113">
        <f t="shared" si="52"/>
        <v>0</v>
      </c>
      <c r="Z61" s="113">
        <f t="shared" si="52"/>
        <v>0</v>
      </c>
      <c r="AA61" s="113">
        <f t="shared" si="52"/>
        <v>0</v>
      </c>
      <c r="AB61" s="113">
        <f t="shared" ref="AB61:AC61" si="55">43-AB56-AB57-AB58-19</f>
        <v>0</v>
      </c>
      <c r="AC61" s="113">
        <f t="shared" si="55"/>
        <v>0</v>
      </c>
      <c r="AD61" s="113">
        <f t="shared" ref="AD61:AH61" si="56">43-AD56-AD57-AD58-25</f>
        <v>0</v>
      </c>
      <c r="AE61" s="113">
        <f t="shared" si="56"/>
        <v>0</v>
      </c>
      <c r="AF61" s="113">
        <f t="shared" si="56"/>
        <v>0</v>
      </c>
      <c r="AG61" s="113">
        <f t="shared" si="56"/>
        <v>0</v>
      </c>
      <c r="AH61" s="113">
        <f t="shared" si="56"/>
        <v>0</v>
      </c>
      <c r="AI61" s="113">
        <f t="shared" ref="AI61:AJ61" si="57">43-AI56-AI57-AI58-19</f>
        <v>0</v>
      </c>
      <c r="AJ61" s="113">
        <f t="shared" si="57"/>
        <v>0</v>
      </c>
      <c r="AK61" s="113">
        <f t="shared" ref="AK61:AN61" si="58">43-AK56-AK57-AK58-25</f>
        <v>0</v>
      </c>
      <c r="AL61" s="113">
        <f t="shared" si="58"/>
        <v>0</v>
      </c>
      <c r="AM61" s="113">
        <f t="shared" si="58"/>
        <v>0</v>
      </c>
      <c r="AN61" s="113">
        <f t="shared" si="58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46">
    <cfRule type="expression" dxfId="34" priority="59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33" priority="60">
      <formula>OR(K4="晚", K4=3, K4="大夜")</formula>
    </cfRule>
    <cfRule type="expression" dxfId="32" priority="61">
      <formula>OR(K4="T中", K4="中", K4=2, K4="小夜")</formula>
    </cfRule>
    <cfRule type="expression" dxfId="31" priority="62">
      <formula>OR(K4="T早", K4="早", K4="M1", K4=1, K4="日")</formula>
    </cfRule>
  </conditionalFormatting>
  <conditionalFormatting sqref="K47:AN55">
    <cfRule type="cellIs" dxfId="30" priority="67" operator="equal">
      <formula>5</formula>
    </cfRule>
    <cfRule type="cellIs" dxfId="29" priority="68" operator="equal">
      <formula>4</formula>
    </cfRule>
    <cfRule type="cellIs" dxfId="28" priority="69" operator="equal">
      <formula>3</formula>
    </cfRule>
    <cfRule type="cellIs" dxfId="27" priority="70" operator="equal">
      <formula>2</formula>
    </cfRule>
    <cfRule type="cellIs" dxfId="26" priority="71" operator="equal">
      <formula>1</formula>
    </cfRule>
  </conditionalFormatting>
  <conditionalFormatting sqref="K53:AN55">
    <cfRule type="cellIs" dxfId="25" priority="72" operator="equal">
      <formula>"T中"</formula>
    </cfRule>
  </conditionalFormatting>
  <conditionalFormatting sqref="AO25">
    <cfRule type="cellIs" dxfId="24" priority="79" operator="equal">
      <formula>"大夜"</formula>
    </cfRule>
    <cfRule type="cellIs" dxfId="23" priority="80" operator="equal">
      <formula>"晚"</formula>
    </cfRule>
    <cfRule type="cellIs" dxfId="22" priority="81" operator="equal">
      <formula>3</formula>
    </cfRule>
    <cfRule type="cellIs" dxfId="21" priority="82" operator="equal">
      <formula>"小夜"</formula>
    </cfRule>
    <cfRule type="cellIs" dxfId="20" priority="83" operator="equal">
      <formula>"T中"</formula>
    </cfRule>
    <cfRule type="cellIs" dxfId="19" priority="84" operator="equal">
      <formula>"中"</formula>
    </cfRule>
    <cfRule type="cellIs" dxfId="18" priority="85" operator="equal">
      <formula>"M2"</formula>
    </cfRule>
    <cfRule type="cellIs" dxfId="17" priority="86" operator="equal">
      <formula>2</formula>
    </cfRule>
    <cfRule type="cellIs" dxfId="16" priority="87" operator="equal">
      <formula>"日"</formula>
    </cfRule>
    <cfRule type="cellIs" dxfId="15" priority="88" operator="equal">
      <formula>"T早"</formula>
    </cfRule>
    <cfRule type="cellIs" dxfId="14" priority="89" operator="equal">
      <formula>"早"</formula>
    </cfRule>
    <cfRule type="cellIs" dxfId="13" priority="90" operator="equal">
      <formula>"M1"</formula>
    </cfRule>
    <cfRule type="cellIs" dxfId="12" priority="91" operator="equal">
      <formula>1</formula>
    </cfRule>
  </conditionalFormatting>
  <conditionalFormatting sqref="AR4:AR46">
    <cfRule type="cellIs" dxfId="11" priority="77" operator="equal">
      <formula>-2</formula>
    </cfRule>
    <cfRule type="cellIs" dxfId="10" priority="78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01</vt:lpstr>
      <vt:lpstr>02</vt:lpstr>
      <vt:lpstr>03</vt:lpstr>
      <vt:lpstr>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2026-03-31T00:56:30Z</dcterms:modified>
</cp:coreProperties>
</file>