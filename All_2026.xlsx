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5B78D96E-19D2-4F52-9562-9524076E23EB}" xr6:coauthVersionLast="47" xr6:coauthVersionMax="47" xr10:uidLastSave="{00000000-0000-0000-0000-000000000000}"/>
  <bookViews>
    <workbookView xWindow="-108" yWindow="-108" windowWidth="23256" windowHeight="12576" activeTab="7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'08'!$AZ$3:$AZ$58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'08'!$AZ$3:$AZ$57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'08'!$AZ$3:$AZ$57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'08'!$AZ$3:$AZ$57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'08'!$AZ$3:$AZ$57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'08'!$AZ$3:$AZ$57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'08'!$AZ$3:$AZ$57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'08'!$AZ$3:$AZ$57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'08'!$AZ$3:$AZ$58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'08'!$AZ$3:$AZ$57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'08'!$AZ$3:$AZ$57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'08'!$AZ$3:$AZ$57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'08'!$AZ$3:$AZ$57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'08'!$AZ$3:$AZ$57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'08'!$AZ$3:$AZ$57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'08'!$AZ$3:$AZ$57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'08'!$AZ$3:$AZ$57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'08'!$AZ$3:$AZ$58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'08'!$AZ$3:$AZ$57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'08'!$AZ$3:$AZ$57</definedName>
    <definedName name="Z_168BFD59_C957_46AF_8D1A_F002D5784658_.wvu.FilterData" localSheetId="6" hidden="1">'07'!$AU$3:$AU$57</definedName>
    <definedName name="Z_168BFD59_C957_46AF_8D1A_F002D5784658_.wvu.FilterData" localSheetId="7" hidden="1">'08'!$AZ$3:$AZ$58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'08'!$AZ$3:$AZ$57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'08'!$AZ$3:$AZ$57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'08'!$AZ$3:$AZ$57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'08'!$AZ$3:$AZ$58</definedName>
    <definedName name="Z_19FA40F7_FBE4_4737_8CC4_125404A88ED1_.wvu.FilterData" localSheetId="7" hidden="1">'08'!$AZ$3:$AZ$58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'08'!$AZ$3:$AZ$58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'08'!$AZ$3:$AZ$57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'08'!$AZ$3:$AZ$57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'08'!$AZ$3:$AZ$57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'08'!$AZ$3:$AZ$58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'08'!$AZ$3:$AZ$57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'08'!$AZ$3:$AZ$57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'08'!$AZ$3:$AZ$58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'08'!$AZ$3:$AZ$58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'08'!$AZ$3:$AZ$57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'08'!$AZ$3:$AZ$58</definedName>
    <definedName name="Z_26A536E7_5BE3_4856_8723_7CE1518D2F8B_.wvu.FilterData" localSheetId="6" hidden="1">'07'!$AU$3:$AU$57</definedName>
    <definedName name="Z_26A536E7_5BE3_4856_8723_7CE1518D2F8B_.wvu.FilterData" localSheetId="7" hidden="1">'08'!$AZ$3:$AZ$58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'08'!$AZ$3:$AZ$57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'08'!$AZ$3:$AZ$58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'08'!$AZ$3:$AZ$58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'08'!$AZ$3:$AZ$58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'08'!$AZ$3:$AZ$58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'08'!$AZ$3:$AZ$58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'08'!$AZ$3:$AZ$57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'08'!$AZ$3:$AZ$58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'08'!$AZ$3:$AZ$58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'08'!$AZ$3:$AZ$58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'08'!$AZ$3:$AZ$58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'08'!$AZ$3:$AZ$57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'08'!$AZ$3:$AZ$57</definedName>
    <definedName name="Z_307D3201_5666_425B_B5A1_5E1F02EDE8D4_.wvu.FilterData" localSheetId="6" hidden="1">'07'!$AU$3:$AU$57</definedName>
    <definedName name="Z_307D3201_5666_425B_B5A1_5E1F02EDE8D4_.wvu.FilterData" localSheetId="7" hidden="1">'08'!$AZ$3:$AZ$58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'08'!$AZ$3:$AZ$58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'08'!$AZ$3:$AZ$58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'08'!$AZ$3:$AZ$57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'08'!$AZ$3:$AZ$58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'08'!$AZ$3:$AZ$57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'08'!$AZ$3:$AZ$57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'08'!$AZ$3:$AZ$58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'08'!$AZ$3:$AZ$57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'08'!$AZ$3:$AZ$58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'08'!$AZ$3:$AZ$57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'08'!$AZ$3:$AZ$57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'08'!$AZ$3:$AZ$57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'08'!$AZ$3:$AZ$57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'08'!$AZ$3:$AZ$57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'08'!$AZ$3:$AZ$58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'08'!$AZ$3:$AZ$58</definedName>
    <definedName name="Z_3EBA0225_CD86_43BD_B7A7_C580EB5B0E46_.wvu.FilterData" localSheetId="7" hidden="1">'08'!$AZ$3:$AZ$58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'08'!$AZ$3:$AZ$58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'08'!$AZ$3:$AZ$58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'08'!$AZ$3:$AZ$58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'08'!$AZ$3:$AZ$57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'08'!$AZ$3:$AZ$57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'08'!$AZ$3:$AZ$58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'08'!$AZ$3:$AZ$57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'08'!$AZ$3:$AZ$57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'08'!$AZ$3:$AZ$57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'08'!$AZ$3:$AZ$58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'08'!$AZ$3:$AZ$57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'08'!$AZ$3:$AZ$57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'08'!$AZ$3:$AZ$57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'08'!$AZ$3:$AZ$58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'08'!$AZ$3:$AZ$57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'08'!$AZ$3:$AZ$58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'08'!$AZ$3:$AZ$58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'08'!$AZ$3:$AZ$57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'08'!$AZ$3:$AZ$57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'08'!$AZ$3:$AZ$57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'08'!$AZ$3:$AZ$57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'08'!$AZ$3:$AZ$57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'08'!$AZ$3:$AZ$57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'08'!$AZ$3:$AZ$58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'08'!$AZ$3:$AZ$58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'08'!$AZ$3:$AZ$57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'08'!$AZ$3:$AZ$57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'08'!$AZ$3:$AZ$57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'08'!$AZ$3:$AZ$57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'08'!$AZ$3:$AZ$57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'08'!$AZ$3:$AZ$57</definedName>
    <definedName name="Z_592A6D0F_1195_4B47_B319_B53EC3E9D0D7_.wvu.FilterData" localSheetId="6" hidden="1">'07'!$AU$3:$AU$57</definedName>
    <definedName name="Z_592A6D0F_1195_4B47_B319_B53EC3E9D0D7_.wvu.FilterData" localSheetId="7" hidden="1">'08'!$AZ$3:$AZ$58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'08'!$AZ$3:$AZ$57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'08'!$AZ$3:$AZ$58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'08'!$AZ$3:$AZ$57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'08'!$AZ$3:$AZ$58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'08'!$AZ$3:$AZ$57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'08'!$AZ$3:$AZ$58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'08'!$AZ$3:$AZ$58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'08'!$AZ$3:$AZ$57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'08'!$AZ$3:$AZ$58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'08'!$AZ$3:$AZ$57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'08'!$AZ$3:$AZ$58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'08'!$AZ$3:$AZ$57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'08'!$AZ$3:$AZ$58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'08'!$AZ$3:$AZ$57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'08'!$AZ$3:$AZ$57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'08'!$AZ$3:$AZ$57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'08'!$AZ$3:$AZ$58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'08'!$AZ$3:$AZ$57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'08'!$AZ$3:$AZ$58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'08'!$AZ$3:$AZ$57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'08'!$AZ$3:$AZ$58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'08'!$AZ$3:$AZ$58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'08'!$AZ$3:$AZ$58</definedName>
    <definedName name="Z_685D2D97_6E02_431B_A1EC_BD67DE197FAD_.wvu.FilterData" localSheetId="7" hidden="1">'08'!$AZ$3:$AZ$58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'08'!$AZ$3:$AZ$57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'08'!$AZ$3:$AZ$58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'08'!$AZ$3:$AZ$58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'08'!$AZ$3:$AZ$57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'08'!$AZ$3:$AZ$57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'08'!$AZ$3:$AZ$58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'08'!$AZ$3:$AZ$57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'08'!$AZ$3:$AZ$58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'08'!$AZ$3:$AZ$58</definedName>
    <definedName name="Z_700C98B5_5AB6_4E91_B40C_E355C172DC48_.wvu.FilterData" localSheetId="6" hidden="1">'07'!$AU$3:$AU$57</definedName>
    <definedName name="Z_700C98B5_5AB6_4E91_B40C_E355C172DC48_.wvu.FilterData" localSheetId="7" hidden="1">'08'!$AZ$3:$AZ$58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'08'!$AZ$3:$AZ$58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'08'!$AZ$3:$AZ$57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'08'!$AZ$3:$AZ$58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'08'!$AZ$3:$AZ$57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'08'!$AZ$3:$AZ$58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'08'!$AZ$3:$AZ$57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'08'!$AZ$3:$AZ$58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'08'!$AZ$3:$AZ$57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'08'!$AZ$3:$AZ$58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'08'!$AZ$3:$AZ$57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'08'!$AZ$3:$AZ$58</definedName>
    <definedName name="Z_7BC43687_DA01_4520_9C12_E7133B862AEE_.wvu.FilterData" localSheetId="7" hidden="1">'08'!$AZ$3:$AZ$58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'08'!$AZ$3:$AZ$57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'08'!$AZ$3:$AZ$58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'08'!$AZ$3:$AZ$58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'08'!$AZ$3:$AZ$58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'08'!$AZ$3:$AZ$57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'08'!$AZ$3:$AZ$58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'08'!$AZ$3:$AZ$57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'08'!$AZ$3:$AZ$57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'08'!$AZ$3:$AZ$57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'08'!$AZ$3:$AZ$58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'08'!$AZ$3:$AZ$58</definedName>
    <definedName name="Z_86B268E0_ACAC_49D2_9C66_7A75C7A5D5DA_.wvu.FilterData" localSheetId="7" hidden="1">'08'!$AZ$3:$AZ$58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'08'!$AZ$3:$AZ$58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'08'!$AZ$3:$AZ$58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'08'!$AZ$3:$AZ$57</definedName>
    <definedName name="Z_8BBEA2A9_B94C_44FC_BA1D_9E0DF310DAAC_.wvu.FilterData" localSheetId="7" hidden="1">'08'!$AZ$3:$AZ$58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'08'!$AZ$3:$AZ$58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'08'!$AZ$3:$AZ$57</definedName>
    <definedName name="Z_8EAB4DCF_6414_404B_8D00_F7E750251DCF_.wvu.FilterData" localSheetId="6" hidden="1">'07'!$AU$3:$AU$57</definedName>
    <definedName name="Z_8EAB4DCF_6414_404B_8D00_F7E750251DCF_.wvu.FilterData" localSheetId="7" hidden="1">'08'!$AZ$3:$AZ$58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'08'!$AZ$3:$AZ$58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'08'!$AZ$3:$AZ$57</definedName>
    <definedName name="Z_90A95CFD_BEE1_4C29_B016_CD3908D82DDB_.wvu.FilterData" localSheetId="6" hidden="1">'07'!$AU$3:$AU$57</definedName>
    <definedName name="Z_90A95CFD_BEE1_4C29_B016_CD3908D82DDB_.wvu.FilterData" localSheetId="7" hidden="1">'08'!$AZ$3:$AZ$58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'08'!$AZ$3:$AZ$57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'08'!$AZ$3:$AZ$57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'08'!$AZ$3:$AZ$57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'08'!$AZ$3:$AZ$57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'08'!$AZ$3:$AZ$58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'08'!$AZ$3:$AZ$58</definedName>
    <definedName name="Z_9A060FF7_E42B_47A1_B1AD_21CB59E1C7EE_.wvu.FilterData" localSheetId="7" hidden="1">'08'!$AZ$3:$AZ$58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'08'!$AZ$3:$AZ$58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'08'!$AZ$3:$AZ$57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'08'!$AZ$3:$AZ$57</definedName>
    <definedName name="Z_9D1E30F6_1C00_46D6_A6AC_83B35784CDAE_.wvu.FilterData" localSheetId="6" hidden="1">'07'!$AU$3:$AU$57</definedName>
    <definedName name="Z_9D1E30F6_1C00_46D6_A6AC_83B35784CDAE_.wvu.FilterData" localSheetId="7" hidden="1">'08'!$AZ$3:$AZ$58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'08'!$AZ$3:$AZ$57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'08'!$AZ$3:$AZ$57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'08'!$AZ$3:$AZ$57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'08'!$AZ$3:$AZ$57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'08'!$AZ$3:$AZ$58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'08'!$AZ$3:$AZ$57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'08'!$AZ$3:$AZ$57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'08'!$AZ$3:$AZ$58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'08'!$AZ$3:$AZ$57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'08'!$AZ$3:$AZ$57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'08'!$AZ$3:$AZ$57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'08'!$AZ$3:$AZ$58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'08'!$AZ$3:$AZ$57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'08'!$AZ$3:$AZ$57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'08'!$AZ$3:$AZ$58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'08'!$AZ$3:$AZ$57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'08'!$AZ$3:$AZ$58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'08'!$AZ$3:$AZ$58</definedName>
    <definedName name="Z_A7BFA4F6_99EA_4049_9D2D_BA746098A7C7_.wvu.FilterData" localSheetId="7" hidden="1">'08'!$AZ$3:$AZ$58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'08'!$AZ$3:$AZ$58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'08'!$AZ$3:$AZ$57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'08'!$AZ$3:$AZ$57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'08'!$AZ$3:$AZ$57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'08'!$AZ$3:$AZ$57</definedName>
    <definedName name="Z_ACA6D017_B431_43F5_B22E_F314D52D088A_.wvu.FilterData" localSheetId="7" hidden="1">'08'!$AZ$3:$AZ$58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'08'!$AZ$3:$AZ$58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'08'!$AZ$3:$AZ$58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'08'!$AZ$3:$AZ$58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'08'!$AZ$3:$AZ$58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'08'!$AZ$3:$AZ$57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'08'!$AZ$3:$AZ$57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'08'!$AZ$3:$AZ$57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'08'!$AZ$3:$AZ$57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'08'!$AZ$3:$AZ$57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'08'!$AZ$3:$AZ$57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'08'!$AZ$3:$AZ$58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'08'!$AZ$3:$AZ$58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'08'!$AZ$3:$AZ$58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'08'!$AZ$3:$AZ$57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'08'!$AZ$3:$AZ$57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'08'!$AZ$3:$AZ$57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'08'!$AZ$3:$AZ$57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'08'!$AZ$3:$AZ$58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'08'!$AZ$3:$AZ$57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'08'!$AZ$3:$AZ$57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'08'!$AZ$3:$AZ$58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'08'!$AZ$3:$AZ$57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'08'!$AZ$3:$AZ$57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'08'!$AZ$3:$AZ$58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'08'!$AZ$3:$AZ$58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'08'!$AZ$3:$AZ$57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'08'!$AZ$3:$AZ$57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'08'!$AZ$3:$AZ$58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'08'!$AZ$3:$AZ$57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'08'!$AZ$3:$AZ$57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'08'!$AZ$3:$AZ$58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'08'!$AZ$3:$AZ$58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'08'!$AZ$3:$AZ$58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'08'!$AZ$3:$AZ$57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'08'!$AZ$3:$AZ$57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'08'!$AZ$3:$AZ$57</definedName>
    <definedName name="Z_C6F6332E_5AD9_46A8_A952_77FDD7652F9B_.wvu.FilterData" localSheetId="7" hidden="1">'08'!$AZ$3:$AZ$58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'08'!$AZ$3:$AZ$57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'08'!$AZ$3:$AZ$58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'08'!$AZ$3:$AZ$57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'08'!$AZ$3:$AZ$57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'08'!$AZ$3:$AZ$57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'08'!$AZ$3:$AZ$57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'08'!$AZ$3:$AZ$58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'08'!$AZ$3:$AZ$58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'08'!$AZ$3:$AZ$58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'08'!$AZ$3:$AZ$57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'08'!$AZ$3:$AZ$57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'08'!$AZ$3:$AZ$57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'08'!$AZ$3:$AZ$58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'08'!$AZ$3:$AZ$58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'08'!$AZ$3:$AZ$57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'08'!$AZ$3:$AZ$57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'08'!$AZ$3:$AZ$58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'08'!$AZ$3:$AZ$57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'08'!$AZ$3:$AZ$57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'08'!$AZ$3:$AZ$57</definedName>
    <definedName name="Z_DB46ED7A_A0AD_4959_B9DD_42329FB35F0C_.wvu.FilterData" localSheetId="1" hidden="1">'02'!$AQ$3:$AQ$60</definedName>
    <definedName name="Z_DBE7BB5D_C1E6_4963_8A1F_F8F7EF96D10E_.wvu.FilterData" localSheetId="7" hidden="1">'08'!$AZ$3:$AZ$58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'08'!$AZ$3:$AZ$58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'08'!$AZ$3:$AZ$57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'08'!$AZ$3:$AZ$57</definedName>
    <definedName name="Z_E11F5EC0_C2B6_42C0_8F2F_597E1A0FDCD8_.wvu.FilterData" localSheetId="6" hidden="1">'07'!$AU$3:$AU$57</definedName>
    <definedName name="Z_E11F5EC0_C2B6_42C0_8F2F_597E1A0FDCD8_.wvu.FilterData" localSheetId="7" hidden="1">'08'!$AZ$3:$AZ$58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'08'!$AZ$3:$AZ$57</definedName>
    <definedName name="Z_E2907E9E_F0A5_4ACF_B967_B1C94084D640_.wvu.FilterData" localSheetId="6" hidden="1">'07'!$AU$3:$AU$57</definedName>
    <definedName name="Z_E2907E9E_F0A5_4ACF_B967_B1C94084D640_.wvu.FilterData" localSheetId="7" hidden="1">'08'!$AZ$3:$AZ$58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'08'!$AZ$3:$AZ$58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'08'!$AZ$3:$AZ$57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'08'!$AZ$3:$AZ$58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'08'!$AZ$3:$AZ$57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'08'!$AZ$3:$AZ$58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'08'!$AZ$3:$AZ$58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'08'!$AZ$3:$AZ$58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'08'!$AZ$3:$AZ$58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'08'!$AZ$3:$AZ$57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'08'!$AZ$3:$AZ$57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'08'!$AZ$3:$AZ$57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'08'!$AZ$3:$AZ$58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'08'!$AZ$3:$AZ$58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'08'!$AZ$3:$AZ$57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'08'!$AZ$3:$AZ$57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'08'!$AZ$3:$AZ$58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'08'!$AZ$3:$AZ$57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'08'!$AZ$3:$AZ$58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'08'!$AZ$3:$AZ$57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'08'!$AZ$3:$AZ$58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'08'!$AZ$3:$AZ$58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'08'!$AZ$3:$AZ$57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'08'!$AZ$3:$AZ$57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'08'!$AZ$3:$AZ$58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'08'!$AZ$3:$AZ$57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'08'!$AZ$3:$AZ$58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'08'!$AZ$3:$AZ$58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'08'!$AZ$3:$AZ$58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'08'!$AZ$3:$AZ$58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'08'!$AZ$3:$AZ$57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'08'!$AZ$3:$AZ$58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'08'!$AZ$3:$AZ$58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'08'!$AZ$3:$AZ$58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'08'!$AZ$3:$AZ$58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'08'!$AZ$3:$AZ$58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'08'!$AZ$3:$AZ$57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'08'!$AZ$3:$AZ$58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3" i="25" l="1" a="1"/>
  <c r="AY53" i="25" s="1"/>
  <c r="AX53" i="25" a="1"/>
  <c r="AX53" i="25" s="1"/>
  <c r="AY52" i="25" a="1"/>
  <c r="AY52" i="25" s="1"/>
  <c r="AX52" i="25" a="1"/>
  <c r="AX52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AP46" i="25" a="1"/>
  <c r="AP46" i="25" s="1"/>
  <c r="AQ46" i="25" a="1"/>
  <c r="AQ46" i="25" s="1"/>
  <c r="AR46" i="25" a="1"/>
  <c r="AR46" i="25" s="1"/>
  <c r="AS46" i="25" a="1"/>
  <c r="AS46" i="25" s="1"/>
  <c r="AT46" i="25" a="1"/>
  <c r="AT46" i="25" s="1"/>
  <c r="AU46" i="25" a="1"/>
  <c r="AU46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AP47" i="25" a="1"/>
  <c r="AP47" i="25" s="1"/>
  <c r="AQ47" i="25" a="1"/>
  <c r="AQ47" i="25" s="1"/>
  <c r="AR47" i="25" a="1"/>
  <c r="AR47" i="25" s="1"/>
  <c r="AS47" i="25" a="1"/>
  <c r="AS47" i="25" s="1"/>
  <c r="AT47" i="25" a="1"/>
  <c r="AT47" i="25" s="1"/>
  <c r="AU47" i="25" a="1"/>
  <c r="AU47" i="25" s="1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AP48" i="25"/>
  <c r="AQ48" i="25"/>
  <c r="AR48" i="25"/>
  <c r="AS48" i="25"/>
  <c r="AT48" i="25"/>
  <c r="AU48" i="25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AP49" i="25" a="1"/>
  <c r="AP49" i="25" s="1"/>
  <c r="AQ49" i="25" a="1"/>
  <c r="AQ49" i="25" s="1"/>
  <c r="AR49" i="25" a="1"/>
  <c r="AR49" i="25" s="1"/>
  <c r="AS49" i="25" a="1"/>
  <c r="AS49" i="25" s="1"/>
  <c r="AT49" i="25" a="1"/>
  <c r="AT49" i="25" s="1"/>
  <c r="AU49" i="25" a="1"/>
  <c r="AU49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AP50" i="25" a="1"/>
  <c r="AP50" i="25" s="1"/>
  <c r="AQ50" i="25" a="1"/>
  <c r="AQ50" i="25" s="1"/>
  <c r="AR50" i="25" a="1"/>
  <c r="AR50" i="25" s="1"/>
  <c r="AS50" i="25" a="1"/>
  <c r="AS50" i="25" s="1"/>
  <c r="AT50" i="25" a="1"/>
  <c r="AT50" i="25" s="1"/>
  <c r="AU50" i="25" a="1"/>
  <c r="AU50" i="25" s="1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AP51" i="25"/>
  <c r="AQ51" i="25"/>
  <c r="AR51" i="25"/>
  <c r="AS51" i="25"/>
  <c r="AT51" i="25"/>
  <c r="AU51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AP52" i="25"/>
  <c r="AQ52" i="25"/>
  <c r="AR52" i="25"/>
  <c r="AS52" i="25"/>
  <c r="AT52" i="25"/>
  <c r="AU52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AP53" i="25"/>
  <c r="AQ53" i="25"/>
  <c r="AR53" i="25"/>
  <c r="AS53" i="25"/>
  <c r="AT53" i="25"/>
  <c r="AU53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AP55" i="25"/>
  <c r="AQ55" i="25"/>
  <c r="AR55" i="25"/>
  <c r="AS55" i="25"/>
  <c r="AT55" i="25"/>
  <c r="AU55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AP56" i="25"/>
  <c r="AQ56" i="25"/>
  <c r="AR56" i="25"/>
  <c r="AS56" i="25"/>
  <c r="AT56" i="25"/>
  <c r="AU56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AP57" i="25"/>
  <c r="AQ57" i="25"/>
  <c r="AR57" i="25"/>
  <c r="AS57" i="25"/>
  <c r="AT57" i="25"/>
  <c r="AU57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P58" i="25"/>
  <c r="AQ58" i="25"/>
  <c r="AR58" i="25"/>
  <c r="AS58" i="25"/>
  <c r="AT58" i="25"/>
  <c r="AU58" i="25"/>
  <c r="AN54" i="25" l="1"/>
  <c r="AJ54" i="25"/>
  <c r="AI54" i="25"/>
  <c r="AI59" i="25" s="1"/>
  <c r="AF54" i="25"/>
  <c r="AF59" i="25" s="1"/>
  <c r="AE54" i="25"/>
  <c r="AE59" i="25" s="1"/>
  <c r="AQ54" i="25"/>
  <c r="AQ59" i="25" s="1"/>
  <c r="AA54" i="25"/>
  <c r="AA59" i="25" s="1"/>
  <c r="Z54" i="25"/>
  <c r="Z59" i="25" s="1"/>
  <c r="Y54" i="25"/>
  <c r="Y59" i="25" s="1"/>
  <c r="X54" i="25"/>
  <c r="X59" i="25" s="1"/>
  <c r="AM54" i="25"/>
  <c r="AM59" i="25" s="1"/>
  <c r="AL54" i="25"/>
  <c r="V54" i="25"/>
  <c r="V59" i="25" s="1"/>
  <c r="AK54" i="25"/>
  <c r="AK59" i="25" s="1"/>
  <c r="U54" i="25"/>
  <c r="U59" i="25" s="1"/>
  <c r="T54" i="25"/>
  <c r="T59" i="25" s="1"/>
  <c r="AG54" i="25"/>
  <c r="AG59" i="25" s="1"/>
  <c r="AH54" i="25"/>
  <c r="AH59" i="25" s="1"/>
  <c r="AD54" i="25"/>
  <c r="AD59" i="25" s="1"/>
  <c r="AC54" i="25"/>
  <c r="AC59" i="25" s="1"/>
  <c r="AB54" i="25"/>
  <c r="AB59" i="25" s="1"/>
  <c r="W54" i="25"/>
  <c r="W59" i="25" s="1"/>
  <c r="AP54" i="25"/>
  <c r="AP59" i="25" s="1"/>
  <c r="AO54" i="25"/>
  <c r="AO59" i="25" s="1"/>
  <c r="AT54" i="25"/>
  <c r="AT59" i="25" s="1"/>
  <c r="AR54" i="25"/>
  <c r="AR59" i="25" s="1"/>
  <c r="AU54" i="25"/>
  <c r="AU59" i="25" s="1"/>
  <c r="AN59" i="25"/>
  <c r="AS54" i="25"/>
  <c r="AS59" i="25" s="1"/>
  <c r="AL59" i="25"/>
  <c r="AJ59" i="25"/>
  <c r="S54" i="25"/>
  <c r="S59" i="25" s="1"/>
  <c r="R54" i="25"/>
  <c r="R59" i="25" s="1"/>
  <c r="A6" i="25"/>
  <c r="A45" i="25"/>
  <c r="B45" i="25"/>
  <c r="C45" i="25"/>
  <c r="D45" i="25"/>
  <c r="E45" i="25"/>
  <c r="F45" i="25"/>
  <c r="G45" i="25"/>
  <c r="H45" i="25"/>
  <c r="Q46" i="25" a="1"/>
  <c r="Q46" i="25" s="1"/>
  <c r="Q47" i="25" a="1"/>
  <c r="Q47" i="25" s="1"/>
  <c r="Q48" i="25"/>
  <c r="Q49" i="25" a="1"/>
  <c r="Q49" i="25" s="1"/>
  <c r="Q50" i="25" a="1"/>
  <c r="Q50" i="25" s="1"/>
  <c r="Q51" i="25"/>
  <c r="Q52" i="25"/>
  <c r="Q53" i="25"/>
  <c r="F42" i="25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P58" i="25"/>
  <c r="O58" i="25"/>
  <c r="N58" i="25"/>
  <c r="M58" i="25"/>
  <c r="L58" i="25"/>
  <c r="K58" i="25"/>
  <c r="P57" i="25"/>
  <c r="O57" i="25"/>
  <c r="N57" i="25"/>
  <c r="M57" i="25"/>
  <c r="L57" i="25"/>
  <c r="K57" i="25"/>
  <c r="P56" i="25"/>
  <c r="O56" i="25"/>
  <c r="N56" i="25"/>
  <c r="M56" i="25"/>
  <c r="L56" i="25"/>
  <c r="K56" i="25"/>
  <c r="P55" i="25"/>
  <c r="O55" i="25"/>
  <c r="N55" i="25"/>
  <c r="M55" i="25"/>
  <c r="L55" i="25"/>
  <c r="K55" i="25"/>
  <c r="P53" i="25"/>
  <c r="O53" i="25"/>
  <c r="N53" i="25"/>
  <c r="M53" i="25"/>
  <c r="L53" i="25"/>
  <c r="K53" i="25"/>
  <c r="P52" i="25"/>
  <c r="O52" i="25"/>
  <c r="N52" i="25"/>
  <c r="M52" i="25"/>
  <c r="L52" i="25"/>
  <c r="K52" i="25"/>
  <c r="P51" i="25"/>
  <c r="O51" i="25"/>
  <c r="N51" i="25"/>
  <c r="M51" i="25"/>
  <c r="L51" i="25"/>
  <c r="K51" i="25"/>
  <c r="P50" i="25" a="1"/>
  <c r="P50" i="25" s="1"/>
  <c r="O50" i="25" a="1"/>
  <c r="O50" i="25" s="1"/>
  <c r="N50" i="25" a="1"/>
  <c r="N50" i="25" s="1"/>
  <c r="M50" i="25" a="1"/>
  <c r="M50" i="25" s="1"/>
  <c r="L50" i="25" a="1"/>
  <c r="L50" i="25" s="1"/>
  <c r="K50" i="25" a="1"/>
  <c r="K50" i="25" s="1"/>
  <c r="P49" i="25" a="1"/>
  <c r="P49" i="25" s="1"/>
  <c r="O49" i="25" a="1"/>
  <c r="O49" i="25" s="1"/>
  <c r="N49" i="25" a="1"/>
  <c r="N49" i="25" s="1"/>
  <c r="M49" i="25" a="1"/>
  <c r="M49" i="25" s="1"/>
  <c r="L49" i="25" a="1"/>
  <c r="L49" i="25" s="1"/>
  <c r="K49" i="25" a="1"/>
  <c r="K49" i="25" s="1"/>
  <c r="P48" i="25"/>
  <c r="O48" i="25"/>
  <c r="N48" i="25"/>
  <c r="M48" i="25"/>
  <c r="L48" i="25"/>
  <c r="K48" i="25"/>
  <c r="P47" i="25" a="1"/>
  <c r="P47" i="25" s="1"/>
  <c r="O47" i="25" a="1"/>
  <c r="O47" i="25" s="1"/>
  <c r="N47" i="25" a="1"/>
  <c r="N47" i="25" s="1"/>
  <c r="M47" i="25" a="1"/>
  <c r="M47" i="25" s="1"/>
  <c r="L47" i="25" a="1"/>
  <c r="L47" i="25" s="1"/>
  <c r="K47" i="25" a="1"/>
  <c r="K47" i="25" s="1"/>
  <c r="P46" i="25" a="1"/>
  <c r="P46" i="25" s="1"/>
  <c r="O46" i="25" a="1"/>
  <c r="O46" i="25" s="1"/>
  <c r="N46" i="25" a="1"/>
  <c r="N46" i="25" s="1"/>
  <c r="M46" i="25" a="1"/>
  <c r="M46" i="25" s="1"/>
  <c r="L46" i="25" a="1"/>
  <c r="L46" i="25" s="1"/>
  <c r="K46" i="25" a="1"/>
  <c r="K46" i="25" s="1"/>
  <c r="K60" i="25" l="1"/>
  <c r="Q54" i="25"/>
  <c r="I45" i="25"/>
  <c r="L60" i="25"/>
  <c r="P60" i="25"/>
  <c r="M60" i="25"/>
  <c r="N60" i="25"/>
  <c r="O60" i="25"/>
  <c r="M54" i="25"/>
  <c r="M59" i="25" s="1"/>
  <c r="K54" i="25"/>
  <c r="K59" i="25" s="1"/>
  <c r="L54" i="25"/>
  <c r="L59" i="25" s="1"/>
  <c r="N54" i="25"/>
  <c r="N59" i="25" s="1"/>
  <c r="O54" i="25"/>
  <c r="O59" i="25" s="1"/>
  <c r="P54" i="25"/>
  <c r="P59" i="25" s="1"/>
  <c r="AU63" i="25" a="1"/>
  <c r="AU63" i="25" s="1"/>
  <c r="AT63" i="25" a="1"/>
  <c r="AT63" i="25" s="1"/>
  <c r="AS63" i="25" a="1"/>
  <c r="AS63" i="25" s="1"/>
  <c r="AR63" i="25" a="1"/>
  <c r="AR63" i="25" s="1"/>
  <c r="AQ63" i="25" a="1"/>
  <c r="AQ63" i="25" s="1"/>
  <c r="AP63" i="25" a="1"/>
  <c r="AP63" i="25" s="1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Q58" i="25"/>
  <c r="Q57" i="25"/>
  <c r="Q56" i="25"/>
  <c r="Q55" i="25"/>
  <c r="AY51" i="25"/>
  <c r="AX51" i="25"/>
  <c r="AY50" i="25"/>
  <c r="AX50" i="25"/>
  <c r="AY49" i="25"/>
  <c r="AX49" i="25"/>
  <c r="AY48" i="25"/>
  <c r="AX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BC18" i="25" a="1"/>
  <c r="BC18" i="25" s="1"/>
  <c r="BE18" i="25" s="1"/>
  <c r="H18" i="25"/>
  <c r="G18" i="25"/>
  <c r="F18" i="25"/>
  <c r="E18" i="25"/>
  <c r="D18" i="25"/>
  <c r="C18" i="25"/>
  <c r="B18" i="25"/>
  <c r="A18" i="25"/>
  <c r="BC17" i="25" a="1"/>
  <c r="BC17" i="25" s="1"/>
  <c r="BE17" i="25" s="1"/>
  <c r="H17" i="25"/>
  <c r="G17" i="25"/>
  <c r="F17" i="25"/>
  <c r="E17" i="25"/>
  <c r="D17" i="25"/>
  <c r="C17" i="25"/>
  <c r="B17" i="25"/>
  <c r="A17" i="25"/>
  <c r="BC16" i="25" a="1"/>
  <c r="BC16" i="25" s="1"/>
  <c r="BE16" i="25" s="1"/>
  <c r="H16" i="25"/>
  <c r="G16" i="25"/>
  <c r="F16" i="25"/>
  <c r="E16" i="25"/>
  <c r="D16" i="25"/>
  <c r="C16" i="25"/>
  <c r="B16" i="25"/>
  <c r="A16" i="25"/>
  <c r="BC15" i="25" a="1"/>
  <c r="BC15" i="25" s="1"/>
  <c r="BE15" i="25" s="1"/>
  <c r="H15" i="25"/>
  <c r="G15" i="25"/>
  <c r="F15" i="25"/>
  <c r="E15" i="25"/>
  <c r="D15" i="25"/>
  <c r="C15" i="25"/>
  <c r="B15" i="25"/>
  <c r="A15" i="25"/>
  <c r="H14" i="25"/>
  <c r="G14" i="25"/>
  <c r="F14" i="25"/>
  <c r="E14" i="25"/>
  <c r="D14" i="25"/>
  <c r="C14" i="25"/>
  <c r="B14" i="25"/>
  <c r="A14" i="25"/>
  <c r="BC13" i="25" a="1"/>
  <c r="BC13" i="25" s="1"/>
  <c r="BE13" i="25" s="1"/>
  <c r="H13" i="25"/>
  <c r="G13" i="25"/>
  <c r="F13" i="25"/>
  <c r="E13" i="25"/>
  <c r="D13" i="25"/>
  <c r="C13" i="25"/>
  <c r="B13" i="25"/>
  <c r="A13" i="25"/>
  <c r="BC12" i="25" a="1"/>
  <c r="BC12" i="25" s="1"/>
  <c r="BE12" i="25" s="1"/>
  <c r="H12" i="25"/>
  <c r="G12" i="25"/>
  <c r="F12" i="25"/>
  <c r="E12" i="25"/>
  <c r="D12" i="25"/>
  <c r="C12" i="25"/>
  <c r="B12" i="25"/>
  <c r="A12" i="25"/>
  <c r="BC11" i="25" a="1"/>
  <c r="BC11" i="25" s="1"/>
  <c r="BE11" i="25" s="1"/>
  <c r="H11" i="25"/>
  <c r="G11" i="25"/>
  <c r="F11" i="25"/>
  <c r="E11" i="25"/>
  <c r="D11" i="25"/>
  <c r="C11" i="25"/>
  <c r="B11" i="25"/>
  <c r="A11" i="25"/>
  <c r="BC10" i="25" a="1"/>
  <c r="BC10" i="25" s="1"/>
  <c r="BE10" i="25" s="1"/>
  <c r="H10" i="25"/>
  <c r="G10" i="25"/>
  <c r="F10" i="25"/>
  <c r="E10" i="25"/>
  <c r="D10" i="25"/>
  <c r="C10" i="25"/>
  <c r="B10" i="25"/>
  <c r="A10" i="25"/>
  <c r="BC9" i="25" a="1"/>
  <c r="BC9" i="25" s="1"/>
  <c r="BE9" i="25" s="1"/>
  <c r="H9" i="25"/>
  <c r="G9" i="25"/>
  <c r="F9" i="25"/>
  <c r="E9" i="25"/>
  <c r="D9" i="25"/>
  <c r="C9" i="25"/>
  <c r="B9" i="25"/>
  <c r="A9" i="25"/>
  <c r="H8" i="25"/>
  <c r="G8" i="25"/>
  <c r="F8" i="25"/>
  <c r="E8" i="25"/>
  <c r="D8" i="25"/>
  <c r="C8" i="25"/>
  <c r="B8" i="25"/>
  <c r="A8" i="25"/>
  <c r="BC7" i="25" a="1"/>
  <c r="BC7" i="25" s="1"/>
  <c r="BE7" i="25" s="1"/>
  <c r="H7" i="25"/>
  <c r="G7" i="25"/>
  <c r="F7" i="25"/>
  <c r="E7" i="25"/>
  <c r="D7" i="25"/>
  <c r="C7" i="25"/>
  <c r="B7" i="25"/>
  <c r="A7" i="25"/>
  <c r="BC6" i="25" a="1"/>
  <c r="BC6" i="25" s="1"/>
  <c r="BE6" i="25" s="1"/>
  <c r="H6" i="25"/>
  <c r="G6" i="25"/>
  <c r="F6" i="25"/>
  <c r="E6" i="25"/>
  <c r="D6" i="25"/>
  <c r="C6" i="25"/>
  <c r="B6" i="25"/>
  <c r="H5" i="25"/>
  <c r="G5" i="25"/>
  <c r="F5" i="25"/>
  <c r="E5" i="25"/>
  <c r="D5" i="25"/>
  <c r="C5" i="25"/>
  <c r="B5" i="25"/>
  <c r="A5" i="25"/>
  <c r="BC4" i="25" a="1"/>
  <c r="BC4" i="25" s="1"/>
  <c r="BE4" i="25" s="1"/>
  <c r="H4" i="25"/>
  <c r="G4" i="25"/>
  <c r="F4" i="25"/>
  <c r="E4" i="25"/>
  <c r="D4" i="25"/>
  <c r="C4" i="25"/>
  <c r="B4" i="25"/>
  <c r="A4" i="25"/>
  <c r="AX57" i="25" l="1"/>
  <c r="AY57" i="25"/>
  <c r="AW6" i="25"/>
  <c r="AY6" i="25" s="1"/>
  <c r="AW4" i="25"/>
  <c r="AY4" i="25" s="1"/>
  <c r="I43" i="25"/>
  <c r="AW7" i="25"/>
  <c r="AY7" i="25" s="1"/>
  <c r="AW18" i="25"/>
  <c r="AY18" i="25" s="1"/>
  <c r="AH60" i="25"/>
  <c r="AW11" i="25"/>
  <c r="AY11" i="25" s="1"/>
  <c r="I5" i="25"/>
  <c r="I27" i="25"/>
  <c r="R60" i="25"/>
  <c r="X60" i="25"/>
  <c r="I9" i="25"/>
  <c r="AW9" i="25"/>
  <c r="AY9" i="25" s="1"/>
  <c r="AW21" i="25"/>
  <c r="AY21" i="25" s="1"/>
  <c r="AW41" i="25"/>
  <c r="AY41" i="25" s="1"/>
  <c r="I24" i="25"/>
  <c r="I44" i="25"/>
  <c r="AD60" i="25"/>
  <c r="AT60" i="25"/>
  <c r="AE60" i="25"/>
  <c r="AU60" i="25"/>
  <c r="AW16" i="25"/>
  <c r="AY16" i="25" s="1"/>
  <c r="Q60" i="25"/>
  <c r="AG60" i="25"/>
  <c r="AW40" i="25"/>
  <c r="AY40" i="25" s="1"/>
  <c r="AW24" i="25"/>
  <c r="AY24" i="25" s="1"/>
  <c r="AW28" i="25"/>
  <c r="AY28" i="25" s="1"/>
  <c r="AW30" i="25"/>
  <c r="AY30" i="25" s="1"/>
  <c r="AW44" i="25"/>
  <c r="AY44" i="25" s="1"/>
  <c r="U60" i="25"/>
  <c r="AK60" i="25"/>
  <c r="V60" i="25"/>
  <c r="AL60" i="25"/>
  <c r="I4" i="25"/>
  <c r="AN60" i="25"/>
  <c r="Y60" i="25"/>
  <c r="AO60" i="25"/>
  <c r="Z60" i="25"/>
  <c r="AP60" i="25"/>
  <c r="AW25" i="25"/>
  <c r="AY25" i="25" s="1"/>
  <c r="AW29" i="25"/>
  <c r="AY29" i="25" s="1"/>
  <c r="AW35" i="25"/>
  <c r="AY35" i="25" s="1"/>
  <c r="AW37" i="25"/>
  <c r="AY37" i="25" s="1"/>
  <c r="AB60" i="25"/>
  <c r="AR60" i="25"/>
  <c r="AW8" i="25"/>
  <c r="AY8" i="25" s="1"/>
  <c r="AW13" i="25"/>
  <c r="AY13" i="25" s="1"/>
  <c r="AW27" i="25"/>
  <c r="AY27" i="25" s="1"/>
  <c r="AW31" i="25"/>
  <c r="AY31" i="25" s="1"/>
  <c r="I33" i="25"/>
  <c r="AW39" i="25"/>
  <c r="AY39" i="25" s="1"/>
  <c r="I7" i="25"/>
  <c r="I12" i="25"/>
  <c r="I17" i="25"/>
  <c r="AW20" i="25"/>
  <c r="AY20" i="25" s="1"/>
  <c r="W60" i="25"/>
  <c r="AM60" i="25"/>
  <c r="I28" i="25"/>
  <c r="I32" i="25"/>
  <c r="I34" i="25"/>
  <c r="I36" i="25"/>
  <c r="I38" i="25"/>
  <c r="AW10" i="25"/>
  <c r="AY10" i="25" s="1"/>
  <c r="AW22" i="25"/>
  <c r="AY22" i="25" s="1"/>
  <c r="I26" i="25"/>
  <c r="AW43" i="25"/>
  <c r="AY43" i="25" s="1"/>
  <c r="AW45" i="25"/>
  <c r="AY45" i="25" s="1"/>
  <c r="AA60" i="25"/>
  <c r="AQ60" i="25"/>
  <c r="AW5" i="25"/>
  <c r="AY5" i="25" s="1"/>
  <c r="AW15" i="25"/>
  <c r="AY15" i="25" s="1"/>
  <c r="I19" i="25"/>
  <c r="I21" i="25"/>
  <c r="I30" i="25"/>
  <c r="AW12" i="25"/>
  <c r="AY12" i="25" s="1"/>
  <c r="I16" i="25"/>
  <c r="AW26" i="25"/>
  <c r="AY26" i="25" s="1"/>
  <c r="I40" i="25"/>
  <c r="I42" i="25"/>
  <c r="Q59" i="25"/>
  <c r="I6" i="25"/>
  <c r="I11" i="25"/>
  <c r="I14" i="25"/>
  <c r="AW32" i="25"/>
  <c r="AY32" i="25" s="1"/>
  <c r="AW34" i="25"/>
  <c r="AY34" i="25" s="1"/>
  <c r="AW36" i="25"/>
  <c r="AY36" i="25" s="1"/>
  <c r="AW38" i="25"/>
  <c r="AY38" i="25" s="1"/>
  <c r="AC60" i="25"/>
  <c r="AS60" i="25"/>
  <c r="AW17" i="25"/>
  <c r="AY17" i="25" s="1"/>
  <c r="I25" i="25"/>
  <c r="AW19" i="25"/>
  <c r="AY19" i="25" s="1"/>
  <c r="I23" i="25"/>
  <c r="AW42" i="25"/>
  <c r="AY42" i="25" s="1"/>
  <c r="AW14" i="25"/>
  <c r="AY14" i="25" s="1"/>
  <c r="I18" i="25"/>
  <c r="I31" i="25"/>
  <c r="I35" i="25"/>
  <c r="I37" i="25"/>
  <c r="AF60" i="25"/>
  <c r="I13" i="25"/>
  <c r="I29" i="25"/>
  <c r="I41" i="25"/>
  <c r="I20" i="25"/>
  <c r="AW23" i="25"/>
  <c r="AY23" i="25" s="1"/>
  <c r="I39" i="25"/>
  <c r="S60" i="25"/>
  <c r="AI60" i="25"/>
  <c r="I8" i="25"/>
  <c r="I10" i="25"/>
  <c r="I22" i="25"/>
  <c r="T60" i="25"/>
  <c r="AJ60" i="25"/>
  <c r="I15" i="25"/>
  <c r="AW33" i="25"/>
  <c r="AY33" i="25" s="1"/>
  <c r="Q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X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R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50A18262-B8A3-4F86-8DCE-969E963805D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57051000-B6FA-4611-960C-D385D33CB90F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S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T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U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Y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G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L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M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N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O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P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Q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R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H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U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E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AF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1" shapeId="0" xr:uid="{255FF488-4E8C-499D-AD1A-D9638D870D6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1" shapeId="0" xr:uid="{270CD1D1-CBED-4123-9B50-A3BDA913C8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1" shapeId="0" xr:uid="{DD803FD3-82BB-4E7F-BC87-B7344754BA2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X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G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I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O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P11" authorId="1" shapeId="0" xr:uid="{0E2A780C-5E93-42A7-AA6D-BEE713CE7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R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E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1" authorId="2" shapeId="0" xr:uid="{8E427785-9505-4E2B-B661-73CE67E7E187}">
      <text>
        <r>
          <rPr>
            <b/>
            <sz val="9"/>
            <color indexed="81"/>
            <rFont val="Tahoma"/>
            <charset val="1"/>
          </rPr>
          <t>原M1</t>
        </r>
      </text>
    </comment>
    <comment ref="AS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T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1" shapeId="0" xr:uid="{6005E010-8080-41C5-B0AD-5A240BE5724D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Q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R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S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G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H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3" authorId="2" shapeId="0" xr:uid="{9C082444-5560-45D0-B991-8B249CCE92D4}">
      <text>
        <r>
          <rPr>
            <b/>
            <sz val="9"/>
            <color indexed="81"/>
            <rFont val="Tahoma"/>
            <charset val="1"/>
          </rPr>
          <t>原T早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14" authorId="1" shapeId="0" xr:uid="{76E19C51-0E68-4FD6-B7ED-C85947A50E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1" shapeId="0" xr:uid="{568B708B-25A8-40AE-AF92-50899FC800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2B76701A-44BB-4E3E-8688-831BE72DE2D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X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P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R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S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W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C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G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H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R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T16" authorId="2" shapeId="0" xr:uid="{6F7FC7D2-9CF8-4567-8398-D19F11465BDF}">
      <text>
        <r>
          <rPr>
            <b/>
            <sz val="9"/>
            <color indexed="81"/>
            <rFont val="Tahoma"/>
            <charset val="1"/>
          </rPr>
          <t>原M1</t>
        </r>
      </text>
    </comment>
    <comment ref="U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I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P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T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O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8C4717DE-FA66-44C6-9D39-C5254AAD9BC9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T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W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C18" authorId="1" shapeId="0" xr:uid="{06133650-DA49-493D-866B-ED67A879E1E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H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Q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X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Y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AB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P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S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I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P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R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U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K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M24" authorId="5" shapeId="0" xr:uid="{52AAB368-324E-42B1-9F4A-E5881AE8FCB8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N24" authorId="5" shapeId="0" xr:uid="{882FB44A-04B5-4125-A311-F9B5A0C351D7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T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A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O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P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L26" authorId="1" shapeId="0" xr:uid="{8C4CAC75-3625-4E4D-AC93-99E9917796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T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B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AE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O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S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T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X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Y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H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O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K28" authorId="1" shapeId="0" xr:uid="{23330BBC-AA6E-486A-B710-20BF2BFE6959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K33" authorId="1" shapeId="0" xr:uid="{C8DF876B-AD5A-41A2-A757-4F9D17866EAA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O33" authorId="1" shapeId="0" xr:uid="{B9AC802A-552B-45FF-9236-72D9AE7F030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N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O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P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Q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35" authorId="2" shapeId="0" xr:uid="{8E5E3B59-3E5C-4E22-89DA-59B3F70B73C5}">
      <text>
        <r>
          <rPr>
            <b/>
            <sz val="9"/>
            <color indexed="81"/>
            <rFont val="Tahoma"/>
            <charset val="1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U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H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R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S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T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U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914476D7-9329-4C31-8F20-039D40C6E192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L39" authorId="1" shapeId="0" xr:uid="{5256E87D-64F9-47A0-AB37-F304D163E58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9" authorId="1" shapeId="0" xr:uid="{D18DA657-D0AE-4A66-91AB-A206C7BE77E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R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U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E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F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G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J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P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R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S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T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U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O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L42" authorId="1" shapeId="0" xr:uid="{AE0643E0-13AD-4680-B510-17A94427432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V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W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X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Y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Z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U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4" authorId="1" shapeId="0" xr:uid="{4241043F-A0F9-4268-95F5-284C9D3962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E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F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O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S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T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5" authorId="1" shapeId="0" xr:uid="{6C06C1BE-F806-4974-B880-EF8B6A95621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Q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R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<sst xmlns="http://schemas.openxmlformats.org/spreadsheetml/2006/main" count="9477" uniqueCount="169">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</sst>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09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67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0" fontId="5" fillId="2" borderId="0" xfId="1" applyFont="1" applyFill="1" applyAlignment="1">
      <alignment horizontal="center" vertical="center" wrapText="1"/>
    </xf>
    <xf numFmtId="0" fontId="23" fillId="16" borderId="2" xfId="1" applyFont="1" applyFill="1" applyBorder="1" applyAlignment="1">
      <alignment horizontal="center" vertical="center"/>
    </xf>
    <xf numFmtId="0" fontId="23" fillId="16" borderId="3" xfId="1" applyFont="1" applyFill="1" applyBorder="1" applyAlignment="1">
      <alignment horizontal="center" vertical="center"/>
    </xf>
    <xf numFmtId="0" fontId="23" fillId="16" borderId="4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18" fillId="16" borderId="13" xfId="1" applyFont="1" applyFill="1" applyBorder="1" applyAlignment="1">
      <alignment horizontal="center" vertical="center"/>
    </xf>
    <xf numFmtId="0" fontId="23" fillId="16" borderId="13" xfId="1" applyFont="1" applyFill="1" applyBorder="1" applyAlignment="1">
      <alignment horizontal="center" vertical="center"/>
    </xf>
    <xf numFmtId="0" fontId="23" fillId="16" borderId="21" xfId="1" applyFont="1" applyFill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4" fillId="16" borderId="13" xfId="1" applyFont="1" applyFill="1" applyBorder="1" applyAlignment="1">
      <alignment horizontal="center" vertical="center"/>
    </xf>
    <xf numFmtId="0" fontId="23" fillId="16" borderId="5" xfId="1" applyFont="1" applyFill="1" applyBorder="1" applyAlignment="1">
      <alignment horizontal="center" vertical="center"/>
    </xf>
    <xf numFmtId="0" fontId="23" fillId="16" borderId="6" xfId="1" applyFont="1" applyFill="1" applyBorder="1" applyAlignment="1">
      <alignment horizontal="center" vertical="center"/>
    </xf>
    <xf numFmtId="0" fontId="18" fillId="16" borderId="13" xfId="1" applyFont="1" applyFill="1" applyBorder="1" applyAlignment="1">
      <alignment horizontal="center" vertical="center" wrapText="1"/>
    </xf>
    <xf numFmtId="0" fontId="23" fillId="16" borderId="24" xfId="1" applyFont="1" applyFill="1" applyBorder="1" applyAlignment="1">
      <alignment horizontal="center" vertical="center"/>
    </xf>
    <xf numFmtId="0" fontId="23" fillId="16" borderId="22" xfId="1" applyFont="1" applyFill="1" applyBorder="1" applyAlignment="1">
      <alignment horizontal="center" vertical="center"/>
    </xf>
    <xf numFmtId="0" fontId="23" fillId="16" borderId="25" xfId="1" applyFont="1" applyFill="1" applyBorder="1" applyAlignment="1">
      <alignment horizontal="center" vertical="center"/>
    </xf>
    <xf numFmtId="0" fontId="23" fillId="16" borderId="42" xfId="1" applyFont="1" applyFill="1" applyBorder="1" applyAlignment="1">
      <alignment horizontal="center" vertical="center"/>
    </xf>
    <xf numFmtId="0" fontId="23" fillId="16" borderId="43" xfId="1" applyFont="1" applyFill="1" applyBorder="1" applyAlignment="1">
      <alignment horizontal="center" vertical="center"/>
    </xf>
    <xf numFmtId="0" fontId="23" fillId="16" borderId="44" xfId="1" applyFont="1" applyFill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0" fontId="23" fillId="16" borderId="12" xfId="1" applyFont="1" applyFill="1" applyBorder="1" applyAlignment="1">
      <alignment horizontal="center" vertical="center"/>
    </xf>
    <xf numFmtId="0" fontId="23" fillId="16" borderId="17" xfId="1" applyFont="1" applyFill="1" applyBorder="1" applyAlignment="1">
      <alignment horizontal="center" vertical="center"/>
    </xf>
    <xf numFmtId="0" fontId="24" fillId="16" borderId="17" xfId="1" applyFont="1" applyFill="1" applyBorder="1" applyAlignment="1">
      <alignment horizontal="center" vertical="center"/>
    </xf>
    <xf numFmtId="0" fontId="23" fillId="16" borderId="23" xfId="1" applyFont="1" applyFill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253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ill>
        <patternFill>
          <bgColor theme="3" tint="0.89996032593768116"/>
        </patternFill>
      </fill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57" t="str">
        <f>"TPKC剩餘人力："&amp;AR59&amp;" / NK剩餘人力："&amp;AS59&amp;" /  N班人力："&amp;AR53</f>
        <v>TPKC剩餘人力：0 / NK剩餘人力：0 /  N班人力：92</v>
      </c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9"/>
      <c r="AJ1" s="458"/>
      <c r="AK1" s="458"/>
      <c r="AL1" s="455"/>
      <c r="AM1" s="456"/>
      <c r="AN1" s="456"/>
      <c r="AO1" s="5"/>
      <c r="AR1" s="6"/>
      <c r="AS1" s="7"/>
    </row>
    <row r="2" spans="1:226" ht="23.25" customHeight="1" thickBot="1">
      <c r="A2" s="444">
        <v>1</v>
      </c>
      <c r="B2" s="446">
        <v>2</v>
      </c>
      <c r="C2" s="446">
        <v>3</v>
      </c>
      <c r="D2" s="448" t="s">
        <v>60</v>
      </c>
      <c r="E2" s="450" t="s">
        <v>61</v>
      </c>
      <c r="F2" s="8" t="s">
        <v>62</v>
      </c>
      <c r="G2" s="8" t="s">
        <v>63</v>
      </c>
      <c r="H2" s="8" t="s">
        <v>64</v>
      </c>
      <c r="I2" s="440" t="s">
        <v>65</v>
      </c>
      <c r="J2" s="442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60" t="s">
        <v>48</v>
      </c>
      <c r="AW2" s="461"/>
      <c r="AX2" s="461"/>
    </row>
    <row r="3" spans="1:226" ht="24.6" customHeight="1" thickBot="1">
      <c r="A3" s="445"/>
      <c r="B3" s="447"/>
      <c r="C3" s="447"/>
      <c r="D3" s="449"/>
      <c r="E3" s="451"/>
      <c r="F3" s="15" t="s">
        <v>74</v>
      </c>
      <c r="G3" s="15" t="s">
        <v>75</v>
      </c>
      <c r="H3" s="16" t="s">
        <v>76</v>
      </c>
      <c r="I3" s="441"/>
      <c r="J3" s="443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252" priority="1" operator="equal">
      <formula>"大夜"</formula>
    </cfRule>
    <cfRule type="cellIs" dxfId="251" priority="2" operator="equal">
      <formula>"晚"</formula>
    </cfRule>
    <cfRule type="cellIs" dxfId="250" priority="3" operator="equal">
      <formula>3</formula>
    </cfRule>
    <cfRule type="cellIs" dxfId="249" priority="4" operator="equal">
      <formula>"小夜"</formula>
    </cfRule>
    <cfRule type="cellIs" dxfId="248" priority="5" operator="equal">
      <formula>"T中"</formula>
    </cfRule>
    <cfRule type="cellIs" dxfId="247" priority="6" operator="equal">
      <formula>"中"</formula>
    </cfRule>
    <cfRule type="cellIs" dxfId="246" priority="7" operator="equal">
      <formula>2</formula>
    </cfRule>
    <cfRule type="cellIs" dxfId="245" priority="8" operator="equal">
      <formula>"日"</formula>
    </cfRule>
    <cfRule type="cellIs" dxfId="244" priority="9" operator="equal">
      <formula>"T早"</formula>
    </cfRule>
    <cfRule type="cellIs" dxfId="243" priority="10" operator="equal">
      <formula>"早"</formula>
    </cfRule>
    <cfRule type="cellIs" dxfId="242" priority="11" operator="equal">
      <formula>"M1"</formula>
    </cfRule>
    <cfRule type="cellIs" dxfId="241" priority="12" operator="equal">
      <formula>1</formula>
    </cfRule>
    <cfRule type="expression" dxfId="240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39" priority="4256" operator="equal">
      <formula>5</formula>
    </cfRule>
    <cfRule type="cellIs" dxfId="238" priority="4257" operator="equal">
      <formula>4</formula>
    </cfRule>
    <cfRule type="cellIs" dxfId="237" priority="4258" operator="equal">
      <formula>3</formula>
    </cfRule>
    <cfRule type="cellIs" dxfId="236" priority="4259" operator="equal">
      <formula>2</formula>
    </cfRule>
    <cfRule type="cellIs" dxfId="235" priority="4260" operator="equal">
      <formula>1</formula>
    </cfRule>
  </conditionalFormatting>
  <conditionalFormatting sqref="K53:AO55">
    <cfRule type="cellIs" dxfId="234" priority="4261" operator="equal">
      <formula>"T中"</formula>
    </cfRule>
  </conditionalFormatting>
  <conditionalFormatting sqref="AP25">
    <cfRule type="cellIs" dxfId="233" priority="4564" operator="equal">
      <formula>"大夜"</formula>
    </cfRule>
    <cfRule type="cellIs" dxfId="232" priority="4565" operator="equal">
      <formula>"晚"</formula>
    </cfRule>
    <cfRule type="cellIs" dxfId="231" priority="4566" operator="equal">
      <formula>3</formula>
    </cfRule>
    <cfRule type="cellIs" dxfId="230" priority="4567" operator="equal">
      <formula>"小夜"</formula>
    </cfRule>
    <cfRule type="cellIs" dxfId="229" priority="4568" operator="equal">
      <formula>"T中"</formula>
    </cfRule>
    <cfRule type="cellIs" dxfId="228" priority="4569" operator="equal">
      <formula>"中"</formula>
    </cfRule>
    <cfRule type="cellIs" dxfId="227" priority="4570" operator="equal">
      <formula>"M2"</formula>
    </cfRule>
    <cfRule type="cellIs" dxfId="226" priority="4571" operator="equal">
      <formula>2</formula>
    </cfRule>
    <cfRule type="cellIs" dxfId="225" priority="4572" operator="equal">
      <formula>"日"</formula>
    </cfRule>
    <cfRule type="cellIs" dxfId="224" priority="4573" operator="equal">
      <formula>"T早"</formula>
    </cfRule>
    <cfRule type="cellIs" dxfId="223" priority="4574" operator="equal">
      <formula>"早"</formula>
    </cfRule>
    <cfRule type="cellIs" dxfId="222" priority="4575" operator="equal">
      <formula>"M1"</formula>
    </cfRule>
    <cfRule type="cellIs" dxfId="221" priority="4576" operator="equal">
      <formula>1</formula>
    </cfRule>
  </conditionalFormatting>
  <conditionalFormatting sqref="AS4:AS46">
    <cfRule type="cellIs" dxfId="220" priority="4562" operator="equal">
      <formula>-2</formula>
    </cfRule>
    <cfRule type="cellIs" dxfId="219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57" t="str">
        <f>"TPKC剩餘人力："&amp;AO59&amp;" / NK剩餘人力："&amp;AP59&amp;" /  N班人力："&amp;AO54</f>
        <v>TPKC剩餘人力：0 / NK剩餘人力：0 /  N班人力：32</v>
      </c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9"/>
      <c r="AJ1" s="458"/>
      <c r="AK1" s="458"/>
      <c r="AL1" s="183"/>
      <c r="AO1" s="6"/>
      <c r="AP1" s="7"/>
    </row>
    <row r="2" spans="1:223" ht="23.25" customHeight="1" thickBot="1">
      <c r="A2" s="444">
        <v>1</v>
      </c>
      <c r="B2" s="446">
        <v>2</v>
      </c>
      <c r="C2" s="446">
        <v>3</v>
      </c>
      <c r="D2" s="448" t="s">
        <v>104</v>
      </c>
      <c r="E2" s="450" t="s">
        <v>105</v>
      </c>
      <c r="F2" s="8" t="s">
        <v>106</v>
      </c>
      <c r="G2" s="8" t="s">
        <v>107</v>
      </c>
      <c r="H2" s="8" t="s">
        <v>108</v>
      </c>
      <c r="I2" s="440" t="s">
        <v>109</v>
      </c>
      <c r="J2" s="462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60" t="s">
        <v>48</v>
      </c>
      <c r="AT2" s="461"/>
      <c r="AU2" s="461"/>
    </row>
    <row r="3" spans="1:223" ht="24.6" customHeight="1" thickBot="1">
      <c r="A3" s="445"/>
      <c r="B3" s="447"/>
      <c r="C3" s="447"/>
      <c r="D3" s="449"/>
      <c r="E3" s="451"/>
      <c r="F3" s="15" t="s">
        <v>118</v>
      </c>
      <c r="G3" s="15" t="s">
        <v>119</v>
      </c>
      <c r="H3" s="16" t="s">
        <v>120</v>
      </c>
      <c r="I3" s="441"/>
      <c r="J3" s="463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218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217" priority="1">
      <formula>OR(K4=3, K4="晚",  K4="大夜")</formula>
    </cfRule>
    <cfRule type="expression" dxfId="216" priority="2">
      <formula>OR(K4="M2", K4=2, K4="中", K4="T中", K4="小夜")</formula>
    </cfRule>
    <cfRule type="expression" dxfId="215" priority="4">
      <formula>OR(K4="M1", K4=1, K4="早", K4="T早", K4="日")</formula>
    </cfRule>
  </conditionalFormatting>
  <conditionalFormatting sqref="K47:AL55">
    <cfRule type="cellIs" dxfId="214" priority="214" operator="equal">
      <formula>5</formula>
    </cfRule>
    <cfRule type="cellIs" dxfId="213" priority="215" operator="equal">
      <formula>4</formula>
    </cfRule>
    <cfRule type="cellIs" dxfId="212" priority="216" operator="equal">
      <formula>3</formula>
    </cfRule>
    <cfRule type="cellIs" dxfId="211" priority="217" operator="equal">
      <formula>2</formula>
    </cfRule>
    <cfRule type="cellIs" dxfId="210" priority="218" operator="equal">
      <formula>1</formula>
    </cfRule>
  </conditionalFormatting>
  <conditionalFormatting sqref="K53:AL55">
    <cfRule type="cellIs" dxfId="209" priority="219" operator="equal">
      <formula>"T中"</formula>
    </cfRule>
  </conditionalFormatting>
  <conditionalFormatting sqref="AM25">
    <cfRule type="cellIs" dxfId="208" priority="228" operator="equal">
      <formula>"大夜"</formula>
    </cfRule>
    <cfRule type="cellIs" dxfId="207" priority="229" operator="equal">
      <formula>"晚"</formula>
    </cfRule>
    <cfRule type="cellIs" dxfId="206" priority="230" operator="equal">
      <formula>3</formula>
    </cfRule>
    <cfRule type="cellIs" dxfId="205" priority="231" operator="equal">
      <formula>"小夜"</formula>
    </cfRule>
    <cfRule type="cellIs" dxfId="204" priority="232" operator="equal">
      <formula>"T中"</formula>
    </cfRule>
    <cfRule type="cellIs" dxfId="203" priority="233" operator="equal">
      <formula>"中"</formula>
    </cfRule>
    <cfRule type="cellIs" dxfId="202" priority="234" operator="equal">
      <formula>"M2"</formula>
    </cfRule>
    <cfRule type="cellIs" dxfId="201" priority="235" operator="equal">
      <formula>2</formula>
    </cfRule>
    <cfRule type="cellIs" dxfId="200" priority="236" operator="equal">
      <formula>"日"</formula>
    </cfRule>
    <cfRule type="cellIs" dxfId="199" priority="237" operator="equal">
      <formula>"T早"</formula>
    </cfRule>
    <cfRule type="cellIs" dxfId="198" priority="238" operator="equal">
      <formula>"早"</formula>
    </cfRule>
    <cfRule type="cellIs" dxfId="197" priority="239" operator="equal">
      <formula>"M1"</formula>
    </cfRule>
    <cfRule type="cellIs" dxfId="196" priority="240" operator="equal">
      <formula>1</formula>
    </cfRule>
  </conditionalFormatting>
  <conditionalFormatting sqref="AP4:AP46">
    <cfRule type="cellIs" dxfId="195" priority="226" operator="equal">
      <formula>-2</formula>
    </cfRule>
    <cfRule type="cellIs" dxfId="194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57" t="str">
        <f>"TPKC剩餘人力："&amp;AR58&amp;" / NK剩餘人力："&amp;AS58&amp;" /  N班人力："&amp;AR53</f>
        <v>TPKC剩餘人力：2 / NK剩餘人力：0 /  N班人力：114</v>
      </c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9"/>
      <c r="AJ1" s="458"/>
      <c r="AK1" s="458"/>
      <c r="AL1" s="455"/>
      <c r="AM1" s="456"/>
      <c r="AN1" s="456"/>
      <c r="AO1" s="5"/>
      <c r="AR1" s="6"/>
      <c r="AS1" s="7"/>
    </row>
    <row r="2" spans="1:226" ht="23.25" customHeight="1" thickBot="1">
      <c r="A2" s="444">
        <v>1</v>
      </c>
      <c r="B2" s="446">
        <v>2</v>
      </c>
      <c r="C2" s="446">
        <v>3</v>
      </c>
      <c r="D2" s="448" t="s">
        <v>104</v>
      </c>
      <c r="E2" s="450" t="s">
        <v>105</v>
      </c>
      <c r="F2" s="8" t="s">
        <v>106</v>
      </c>
      <c r="G2" s="8" t="s">
        <v>107</v>
      </c>
      <c r="H2" s="8" t="s">
        <v>108</v>
      </c>
      <c r="I2" s="440" t="s">
        <v>109</v>
      </c>
      <c r="J2" s="464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60" t="s">
        <v>48</v>
      </c>
      <c r="AW2" s="461"/>
      <c r="AX2" s="461"/>
    </row>
    <row r="3" spans="1:226" ht="24.6" customHeight="1" thickBot="1">
      <c r="A3" s="445"/>
      <c r="B3" s="447"/>
      <c r="C3" s="447"/>
      <c r="D3" s="449"/>
      <c r="E3" s="451"/>
      <c r="F3" s="15" t="s">
        <v>118</v>
      </c>
      <c r="G3" s="15" t="s">
        <v>119</v>
      </c>
      <c r="H3" s="16" t="s">
        <v>120</v>
      </c>
      <c r="I3" s="441"/>
      <c r="J3" s="465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193" priority="1">
      <formula>OR(K4=3, K4="晚",  K4="大夜")</formula>
    </cfRule>
    <cfRule type="expression" dxfId="192" priority="2">
      <formula>OR(K4="M2", K4=2, K4="中", K4="T中", K4="小夜")</formula>
    </cfRule>
    <cfRule type="expression" dxfId="191" priority="3">
      <formula>OR(K4="M1", K4=1, K4="早", K4="T早", K4="日")</formula>
    </cfRule>
    <cfRule type="expression" dxfId="190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89" priority="202" operator="equal">
      <formula>5</formula>
    </cfRule>
    <cfRule type="cellIs" dxfId="188" priority="203" operator="equal">
      <formula>4</formula>
    </cfRule>
    <cfRule type="cellIs" dxfId="187" priority="204" operator="equal">
      <formula>3</formula>
    </cfRule>
    <cfRule type="cellIs" dxfId="186" priority="205" operator="equal">
      <formula>2</formula>
    </cfRule>
    <cfRule type="cellIs" dxfId="185" priority="206" operator="equal">
      <formula>1</formula>
    </cfRule>
  </conditionalFormatting>
  <conditionalFormatting sqref="K53:AO55">
    <cfRule type="cellIs" dxfId="184" priority="207" operator="equal">
      <formula>"T中"</formula>
    </cfRule>
  </conditionalFormatting>
  <conditionalFormatting sqref="AP25">
    <cfRule type="cellIs" dxfId="183" priority="210" operator="equal">
      <formula>"大夜"</formula>
    </cfRule>
    <cfRule type="cellIs" dxfId="182" priority="211" operator="equal">
      <formula>"晚"</formula>
    </cfRule>
    <cfRule type="cellIs" dxfId="181" priority="212" operator="equal">
      <formula>3</formula>
    </cfRule>
    <cfRule type="cellIs" dxfId="180" priority="213" operator="equal">
      <formula>"小夜"</formula>
    </cfRule>
    <cfRule type="cellIs" dxfId="179" priority="214" operator="equal">
      <formula>"T中"</formula>
    </cfRule>
    <cfRule type="cellIs" dxfId="178" priority="215" operator="equal">
      <formula>"中"</formula>
    </cfRule>
    <cfRule type="cellIs" dxfId="177" priority="216" operator="equal">
      <formula>"M2"</formula>
    </cfRule>
    <cfRule type="cellIs" dxfId="176" priority="217" operator="equal">
      <formula>2</formula>
    </cfRule>
    <cfRule type="cellIs" dxfId="175" priority="218" operator="equal">
      <formula>"日"</formula>
    </cfRule>
    <cfRule type="cellIs" dxfId="174" priority="219" operator="equal">
      <formula>"T早"</formula>
    </cfRule>
    <cfRule type="cellIs" dxfId="173" priority="220" operator="equal">
      <formula>"早"</formula>
    </cfRule>
    <cfRule type="cellIs" dxfId="172" priority="221" operator="equal">
      <formula>"M1"</formula>
    </cfRule>
    <cfRule type="cellIs" dxfId="171" priority="222" operator="equal">
      <formula>1</formula>
    </cfRule>
  </conditionalFormatting>
  <conditionalFormatting sqref="AS4:AS46">
    <cfRule type="cellIs" dxfId="170" priority="208" operator="equal">
      <formula>-2</formula>
    </cfRule>
    <cfRule type="cellIs" dxfId="169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12" activePane="bottomRight" state="frozen"/>
      <selection pane="topRight" activeCell="K1" sqref="K1"/>
      <selection pane="bottomLeft" activeCell="A4" sqref="A4"/>
      <selection pane="bottomRight" activeCell="AI6" sqref="AI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57" t="str">
        <f>"TPKC剩餘人力："&amp;AQ58&amp;" / NK剩餘人力："&amp;AR58&amp;" /  N班人力："&amp;AQ53</f>
        <v>TPKC剩餘人力：0 / NK剩餘人力：0 /  N班人力：76</v>
      </c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9"/>
      <c r="AJ1" s="458"/>
      <c r="AK1" s="458"/>
      <c r="AL1" s="455"/>
      <c r="AM1" s="456"/>
      <c r="AN1" s="456"/>
      <c r="AQ1" s="6"/>
      <c r="AR1" s="7"/>
    </row>
    <row r="2" spans="1:224" ht="23.25" customHeight="1" thickBot="1">
      <c r="A2" s="444">
        <v>1</v>
      </c>
      <c r="B2" s="446">
        <v>2</v>
      </c>
      <c r="C2" s="446">
        <v>3</v>
      </c>
      <c r="D2" s="448" t="s">
        <v>104</v>
      </c>
      <c r="E2" s="450" t="s">
        <v>105</v>
      </c>
      <c r="F2" s="8" t="s">
        <v>106</v>
      </c>
      <c r="G2" s="8" t="s">
        <v>107</v>
      </c>
      <c r="H2" s="8" t="s">
        <v>108</v>
      </c>
      <c r="I2" s="440" t="s">
        <v>109</v>
      </c>
      <c r="J2" s="442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60" t="s">
        <v>48</v>
      </c>
      <c r="AV2" s="461"/>
      <c r="AW2" s="461"/>
    </row>
    <row r="3" spans="1:224" ht="24.6" customHeight="1" thickBot="1">
      <c r="A3" s="445"/>
      <c r="B3" s="447"/>
      <c r="C3" s="447"/>
      <c r="D3" s="449"/>
      <c r="E3" s="451"/>
      <c r="F3" s="15" t="s">
        <v>118</v>
      </c>
      <c r="G3" s="15" t="s">
        <v>119</v>
      </c>
      <c r="H3" s="16" t="s">
        <v>120</v>
      </c>
      <c r="I3" s="441"/>
      <c r="J3" s="466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168" priority="65">
      <formula>OR(K4="T中", K4="中", K4=2, K4="小夜")</formula>
    </cfRule>
    <cfRule type="expression" dxfId="167" priority="66">
      <formula>OR(K4="T早", K4="早", K4="M1", K4=1, K4="日")</formula>
    </cfRule>
  </conditionalFormatting>
  <conditionalFormatting sqref="K4:AN46">
    <cfRule type="expression" dxfId="166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165" priority="4">
      <formula>OR(K4="晚", K4=3, K4="大夜")</formula>
    </cfRule>
  </conditionalFormatting>
  <conditionalFormatting sqref="K47:AN55">
    <cfRule type="cellIs" dxfId="164" priority="71" operator="equal">
      <formula>5</formula>
    </cfRule>
    <cfRule type="cellIs" dxfId="163" priority="72" operator="equal">
      <formula>4</formula>
    </cfRule>
    <cfRule type="cellIs" dxfId="162" priority="73" operator="equal">
      <formula>3</formula>
    </cfRule>
    <cfRule type="cellIs" dxfId="161" priority="74" operator="equal">
      <formula>2</formula>
    </cfRule>
    <cfRule type="cellIs" dxfId="160" priority="75" operator="equal">
      <formula>1</formula>
    </cfRule>
  </conditionalFormatting>
  <conditionalFormatting sqref="K53:AN55">
    <cfRule type="cellIs" dxfId="159" priority="76" operator="equal">
      <formula>"T中"</formula>
    </cfRule>
  </conditionalFormatting>
  <conditionalFormatting sqref="AM8:AN8">
    <cfRule type="expression" dxfId="158" priority="2">
      <formula>OR(AM8="T中", AM8="中", AM8=2, AM8="小夜")</formula>
    </cfRule>
    <cfRule type="expression" dxfId="157" priority="3">
      <formula>OR(AM8="T早", AM8="早", AM8="M1", AM8=1, AM8="日")</formula>
    </cfRule>
  </conditionalFormatting>
  <conditionalFormatting sqref="AO25">
    <cfRule type="cellIs" dxfId="156" priority="83" operator="equal">
      <formula>"大夜"</formula>
    </cfRule>
    <cfRule type="cellIs" dxfId="155" priority="84" operator="equal">
      <formula>"晚"</formula>
    </cfRule>
    <cfRule type="cellIs" dxfId="154" priority="85" operator="equal">
      <formula>3</formula>
    </cfRule>
    <cfRule type="cellIs" dxfId="153" priority="86" operator="equal">
      <formula>"小夜"</formula>
    </cfRule>
    <cfRule type="cellIs" dxfId="152" priority="87" operator="equal">
      <formula>"T中"</formula>
    </cfRule>
    <cfRule type="cellIs" dxfId="151" priority="88" operator="equal">
      <formula>"中"</formula>
    </cfRule>
    <cfRule type="cellIs" dxfId="150" priority="89" operator="equal">
      <formula>"M2"</formula>
    </cfRule>
    <cfRule type="cellIs" dxfId="149" priority="90" operator="equal">
      <formula>2</formula>
    </cfRule>
    <cfRule type="cellIs" dxfId="148" priority="91" operator="equal">
      <formula>"日"</formula>
    </cfRule>
    <cfRule type="cellIs" dxfId="147" priority="92" operator="equal">
      <formula>"T早"</formula>
    </cfRule>
    <cfRule type="cellIs" dxfId="146" priority="93" operator="equal">
      <formula>"早"</formula>
    </cfRule>
    <cfRule type="cellIs" dxfId="145" priority="94" operator="equal">
      <formula>"M1"</formula>
    </cfRule>
    <cfRule type="cellIs" dxfId="144" priority="95" operator="equal">
      <formula>1</formula>
    </cfRule>
  </conditionalFormatting>
  <conditionalFormatting sqref="AR4:AR46">
    <cfRule type="cellIs" dxfId="143" priority="81" operator="equal">
      <formula>-2</formula>
    </cfRule>
    <cfRule type="cellIs" dxfId="142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57" t="str">
        <f>"TPKC剩餘人力："&amp;AR57&amp;" / NK剩餘人力："&amp;AS57&amp;" /  N班人力："&amp;AR52</f>
        <v>TPKC剩餘人力：0 / NK剩餘人力：0 /  N班人力：79</v>
      </c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9"/>
      <c r="AJ1" s="458"/>
      <c r="AK1" s="458"/>
      <c r="AL1" s="455"/>
      <c r="AM1" s="456"/>
      <c r="AN1" s="456"/>
      <c r="AO1" s="5"/>
      <c r="AR1" s="6"/>
      <c r="AS1" s="7"/>
    </row>
    <row r="2" spans="1:226" ht="23.25" customHeight="1" thickBot="1">
      <c r="A2" s="444">
        <v>1</v>
      </c>
      <c r="B2" s="446">
        <v>2</v>
      </c>
      <c r="C2" s="446">
        <v>3</v>
      </c>
      <c r="D2" s="448" t="s">
        <v>104</v>
      </c>
      <c r="E2" s="450" t="s">
        <v>105</v>
      </c>
      <c r="F2" s="8" t="s">
        <v>106</v>
      </c>
      <c r="G2" s="8" t="s">
        <v>107</v>
      </c>
      <c r="H2" s="8" t="s">
        <v>108</v>
      </c>
      <c r="I2" s="440" t="s">
        <v>109</v>
      </c>
      <c r="J2" s="442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52" t="s">
        <v>48</v>
      </c>
      <c r="AX2" s="453"/>
      <c r="AY2" s="454"/>
    </row>
    <row r="3" spans="1:226" ht="24.6" customHeight="1" thickBot="1">
      <c r="A3" s="445"/>
      <c r="B3" s="447"/>
      <c r="C3" s="447"/>
      <c r="D3" s="449"/>
      <c r="E3" s="451"/>
      <c r="F3" s="15" t="s">
        <v>118</v>
      </c>
      <c r="G3" s="15" t="s">
        <v>119</v>
      </c>
      <c r="H3" s="16" t="s">
        <v>120</v>
      </c>
      <c r="I3" s="441"/>
      <c r="J3" s="466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141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140" priority="6">
      <formula>OR(K4="T中", K4="中", K4=2, K4="小夜")</formula>
    </cfRule>
    <cfRule type="expression" dxfId="139" priority="7">
      <formula>OR(K4="T早", K4="早", K4="M1", K4=1, K4="日")</formula>
    </cfRule>
    <cfRule type="expression" dxfId="138" priority="8">
      <formula>OR(K4="晚", K4=3, K4="大夜")</formula>
    </cfRule>
  </conditionalFormatting>
  <conditionalFormatting sqref="K46:AO54">
    <cfRule type="cellIs" dxfId="137" priority="727" operator="equal">
      <formula>5</formula>
    </cfRule>
    <cfRule type="cellIs" dxfId="136" priority="728" operator="equal">
      <formula>4</formula>
    </cfRule>
    <cfRule type="cellIs" dxfId="135" priority="729" operator="equal">
      <formula>3</formula>
    </cfRule>
    <cfRule type="cellIs" dxfId="134" priority="730" operator="equal">
      <formula>2</formula>
    </cfRule>
    <cfRule type="cellIs" dxfId="133" priority="731" operator="equal">
      <formula>1</formula>
    </cfRule>
  </conditionalFormatting>
  <conditionalFormatting sqref="K52:AO54">
    <cfRule type="cellIs" dxfId="132" priority="732" operator="equal">
      <formula>"T中"</formula>
    </cfRule>
  </conditionalFormatting>
  <conditionalFormatting sqref="AP25">
    <cfRule type="cellIs" dxfId="131" priority="735" operator="equal">
      <formula>"大夜"</formula>
    </cfRule>
    <cfRule type="cellIs" dxfId="130" priority="736" operator="equal">
      <formula>"晚"</formula>
    </cfRule>
    <cfRule type="cellIs" dxfId="129" priority="737" operator="equal">
      <formula>3</formula>
    </cfRule>
    <cfRule type="cellIs" dxfId="128" priority="738" operator="equal">
      <formula>"小夜"</formula>
    </cfRule>
    <cfRule type="cellIs" dxfId="127" priority="739" operator="equal">
      <formula>"T中"</formula>
    </cfRule>
    <cfRule type="cellIs" dxfId="126" priority="740" operator="equal">
      <formula>"中"</formula>
    </cfRule>
    <cfRule type="cellIs" dxfId="125" priority="741" operator="equal">
      <formula>"M2"</formula>
    </cfRule>
    <cfRule type="cellIs" dxfId="124" priority="742" operator="equal">
      <formula>2</formula>
    </cfRule>
    <cfRule type="cellIs" dxfId="123" priority="743" operator="equal">
      <formula>"日"</formula>
    </cfRule>
    <cfRule type="cellIs" dxfId="122" priority="744" operator="equal">
      <formula>"T早"</formula>
    </cfRule>
    <cfRule type="cellIs" dxfId="121" priority="745" operator="equal">
      <formula>"早"</formula>
    </cfRule>
    <cfRule type="cellIs" dxfId="120" priority="746" operator="equal">
      <formula>"M1"</formula>
    </cfRule>
    <cfRule type="cellIs" dxfId="119" priority="747" operator="equal">
      <formula>1</formula>
    </cfRule>
  </conditionalFormatting>
  <conditionalFormatting sqref="AS4:AS45">
    <cfRule type="cellIs" dxfId="118" priority="733" operator="equal">
      <formula>-2</formula>
    </cfRule>
    <cfRule type="cellIs" dxfId="117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9" sqref="L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57" t="str">
        <f>"TPKC剩餘人力："&amp;AQ56&amp;" / NK剩餘人力："&amp;AR56&amp;" /  N班人力："&amp;AQ51</f>
        <v>TPKC剩餘人力：-2 / NK剩餘人力：0 /  N班人力：100</v>
      </c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9"/>
      <c r="AJ1" s="458"/>
      <c r="AK1" s="458"/>
      <c r="AL1" s="455"/>
      <c r="AM1" s="456"/>
      <c r="AN1" s="456"/>
      <c r="AQ1" s="6"/>
      <c r="AR1" s="7"/>
    </row>
    <row r="2" spans="1:224" ht="23.25" customHeight="1" thickBot="1">
      <c r="A2" s="444">
        <v>1</v>
      </c>
      <c r="B2" s="446">
        <v>2</v>
      </c>
      <c r="C2" s="446">
        <v>3</v>
      </c>
      <c r="D2" s="448" t="s">
        <v>104</v>
      </c>
      <c r="E2" s="450" t="s">
        <v>105</v>
      </c>
      <c r="F2" s="8" t="s">
        <v>106</v>
      </c>
      <c r="G2" s="8" t="s">
        <v>107</v>
      </c>
      <c r="H2" s="8" t="s">
        <v>108</v>
      </c>
      <c r="I2" s="440" t="s">
        <v>109</v>
      </c>
      <c r="J2" s="442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52" t="s">
        <v>48</v>
      </c>
      <c r="AV2" s="453"/>
      <c r="AW2" s="454"/>
    </row>
    <row r="3" spans="1:224" ht="24.6" customHeight="1" thickBot="1">
      <c r="A3" s="445"/>
      <c r="B3" s="447"/>
      <c r="C3" s="447"/>
      <c r="D3" s="449"/>
      <c r="E3" s="451"/>
      <c r="F3" s="15" t="s">
        <v>118</v>
      </c>
      <c r="G3" s="15" t="s">
        <v>119</v>
      </c>
      <c r="H3" s="16" t="s">
        <v>120</v>
      </c>
      <c r="I3" s="441"/>
      <c r="J3" s="466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116" priority="17">
      <formula>OR(K4="晚", K4=3, K4="大夜")</formula>
    </cfRule>
  </conditionalFormatting>
  <conditionalFormatting sqref="K4:AN6 K7:AL7 K8:AN35 K36:AO36 K37:AN37 K38 M38:Y38 AB38:AH38 AJ38:AN38 K39:AN44">
    <cfRule type="expression" dxfId="115" priority="32">
      <formula>OR(K4="T中", K4="中", K4=2, K4="小夜")</formula>
    </cfRule>
    <cfRule type="expression" dxfId="114" priority="33">
      <formula>OR(K4="T早", K4="早", K4="M1", K4=1, K4="日")</formula>
    </cfRule>
  </conditionalFormatting>
  <conditionalFormatting sqref="K37:AN44 K4:AN6 K7:AL7 K8:AN35 K36:AO36">
    <cfRule type="expression" dxfId="113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112" priority="52" operator="equal">
      <formula>5</formula>
    </cfRule>
    <cfRule type="cellIs" dxfId="111" priority="53" operator="equal">
      <formula>4</formula>
    </cfRule>
    <cfRule type="cellIs" dxfId="110" priority="54" operator="equal">
      <formula>3</formula>
    </cfRule>
    <cfRule type="cellIs" dxfId="109" priority="55" operator="equal">
      <formula>2</formula>
    </cfRule>
    <cfRule type="cellIs" dxfId="108" priority="56" operator="equal">
      <formula>1</formula>
    </cfRule>
  </conditionalFormatting>
  <conditionalFormatting sqref="K51:AN53">
    <cfRule type="cellIs" dxfId="107" priority="57" operator="equal">
      <formula>"T中"</formula>
    </cfRule>
  </conditionalFormatting>
  <conditionalFormatting sqref="L38">
    <cfRule type="expression" dxfId="106" priority="15">
      <formula>OR(L38="T中", L38="中", L38=2, L38="小夜")</formula>
    </cfRule>
    <cfRule type="expression" dxfId="105" priority="16">
      <formula>OR(L38="T早", L38="早", L38="M1", L38=1, L38="日")</formula>
    </cfRule>
  </conditionalFormatting>
  <conditionalFormatting sqref="T38">
    <cfRule type="expression" dxfId="104" priority="7">
      <formula>OR(T38="T中", T38="中", T38=2, T38="小夜")</formula>
    </cfRule>
    <cfRule type="expression" dxfId="103" priority="8">
      <formula>OR(T38="T早", T38="早", T38="M1", T38=1, T38="日")</formula>
    </cfRule>
    <cfRule type="expression" dxfId="102" priority="9">
      <formula>OR(T38="晚", T38=3, T38="大夜")</formula>
    </cfRule>
  </conditionalFormatting>
  <conditionalFormatting sqref="V38">
    <cfRule type="expression" dxfId="101" priority="11">
      <formula>OR(V38="T中", V38="中", V38=2, V38="小夜")</formula>
    </cfRule>
    <cfRule type="expression" dxfId="100" priority="12">
      <formula>OR(V38="T早", V38="早", V38="M1", V38=1, V38="日")</formula>
    </cfRule>
    <cfRule type="expression" dxfId="99" priority="13">
      <formula>OR(V38="晚", V38=3, V38="大夜")</formula>
    </cfRule>
  </conditionalFormatting>
  <conditionalFormatting sqref="W38:AA38">
    <cfRule type="expression" dxfId="98" priority="21">
      <formula>OR(W38="晚", W38=3, W38="大夜")</formula>
    </cfRule>
  </conditionalFormatting>
  <conditionalFormatting sqref="Y38">
    <cfRule type="expression" dxfId="97" priority="6">
      <formula>OR(Y38="晚", Y38=3, Y38="大夜")</formula>
    </cfRule>
  </conditionalFormatting>
  <conditionalFormatting sqref="Z38:AA38">
    <cfRule type="expression" dxfId="96" priority="19">
      <formula>OR(Z38="T中", Z38="中", Z38=2, Z38="小夜")</formula>
    </cfRule>
    <cfRule type="expression" dxfId="95" priority="20">
      <formula>OR(Z38="T早", Z38="早", Z38="M1", Z38=1, Z38="日")</formula>
    </cfRule>
  </conditionalFormatting>
  <conditionalFormatting sqref="AB38:AN38">
    <cfRule type="expression" dxfId="94" priority="25">
      <formula>OR(AB38="晚", AB38=3, AB38="大夜")</formula>
    </cfRule>
  </conditionalFormatting>
  <conditionalFormatting sqref="AI38:AJ38">
    <cfRule type="expression" dxfId="93" priority="23">
      <formula>OR(AI38="T中", AI38="中", AI38=2, AI38="小夜")</formula>
    </cfRule>
    <cfRule type="expression" dxfId="92" priority="24">
      <formula>OR(AI38="T早", AI38="早", AI38="M1", AI38=1, AI38="日")</formula>
    </cfRule>
  </conditionalFormatting>
  <conditionalFormatting sqref="AJ38">
    <cfRule type="expression" dxfId="91" priority="1">
      <formula>OR(AJ38="晚", AJ38=3, AJ38="大夜")</formula>
    </cfRule>
  </conditionalFormatting>
  <conditionalFormatting sqref="AO24">
    <cfRule type="cellIs" dxfId="90" priority="60" operator="equal">
      <formula>"大夜"</formula>
    </cfRule>
    <cfRule type="cellIs" dxfId="89" priority="61" operator="equal">
      <formula>"晚"</formula>
    </cfRule>
    <cfRule type="cellIs" dxfId="88" priority="62" operator="equal">
      <formula>3</formula>
    </cfRule>
    <cfRule type="cellIs" dxfId="87" priority="63" operator="equal">
      <formula>"小夜"</formula>
    </cfRule>
    <cfRule type="cellIs" dxfId="86" priority="64" operator="equal">
      <formula>"T中"</formula>
    </cfRule>
    <cfRule type="cellIs" dxfId="85" priority="65" operator="equal">
      <formula>"中"</formula>
    </cfRule>
    <cfRule type="cellIs" dxfId="84" priority="66" operator="equal">
      <formula>"M2"</formula>
    </cfRule>
    <cfRule type="cellIs" dxfId="83" priority="67" operator="equal">
      <formula>2</formula>
    </cfRule>
    <cfRule type="cellIs" dxfId="82" priority="68" operator="equal">
      <formula>"日"</formula>
    </cfRule>
    <cfRule type="cellIs" dxfId="81" priority="69" operator="equal">
      <formula>"T早"</formula>
    </cfRule>
    <cfRule type="cellIs" dxfId="80" priority="70" operator="equal">
      <formula>"早"</formula>
    </cfRule>
    <cfRule type="cellIs" dxfId="79" priority="71" operator="equal">
      <formula>"M1"</formula>
    </cfRule>
    <cfRule type="cellIs" dxfId="78" priority="72" operator="equal">
      <formula>1</formula>
    </cfRule>
  </conditionalFormatting>
  <conditionalFormatting sqref="AR4:AR44">
    <cfRule type="cellIs" dxfId="77" priority="58" operator="equal">
      <formula>-2</formula>
    </cfRule>
    <cfRule type="cellIs" dxfId="76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27" activePane="bottomRight" state="frozen"/>
      <selection pane="topRight" activeCell="K1" sqref="K1"/>
      <selection pane="bottomLeft" activeCell="A4" sqref="A4"/>
      <selection pane="bottomRight" activeCell="S40" sqref="S40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57" t="str">
        <f>"TPKC剩餘人力："&amp;AS56&amp;" / NK剩餘人力："&amp;AT56&amp;" /  N班人力："&amp;AS51</f>
        <v>TPKC剩餘人力：4 / NK剩餘人力：2 /  N班人力：118</v>
      </c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8"/>
      <c r="AJ1" s="459"/>
      <c r="AK1" s="458"/>
      <c r="AL1" s="458"/>
      <c r="AM1" s="455"/>
      <c r="AN1" s="456"/>
      <c r="AO1" s="456"/>
      <c r="AP1" s="5"/>
      <c r="AS1" s="6"/>
      <c r="AT1" s="7"/>
    </row>
    <row r="2" spans="1:227" ht="23.25" customHeight="1" thickBot="1">
      <c r="A2" s="444">
        <v>1</v>
      </c>
      <c r="B2" s="446">
        <v>2</v>
      </c>
      <c r="C2" s="446">
        <v>3</v>
      </c>
      <c r="D2" s="448" t="s">
        <v>104</v>
      </c>
      <c r="E2" s="450" t="s">
        <v>105</v>
      </c>
      <c r="F2" s="450" t="s">
        <v>163</v>
      </c>
      <c r="G2" s="8" t="s">
        <v>106</v>
      </c>
      <c r="H2" s="8" t="s">
        <v>107</v>
      </c>
      <c r="I2" s="8" t="s">
        <v>108</v>
      </c>
      <c r="J2" s="440" t="s">
        <v>109</v>
      </c>
      <c r="K2" s="442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52" t="s">
        <v>48</v>
      </c>
      <c r="AX2" s="453"/>
      <c r="AY2" s="454"/>
    </row>
    <row r="3" spans="1:227" ht="24.6" customHeight="1" thickBot="1">
      <c r="A3" s="445"/>
      <c r="B3" s="447"/>
      <c r="C3" s="447"/>
      <c r="D3" s="449"/>
      <c r="E3" s="451"/>
      <c r="F3" s="451"/>
      <c r="G3" s="15" t="s">
        <v>118</v>
      </c>
      <c r="H3" s="15" t="s">
        <v>119</v>
      </c>
      <c r="I3" s="16" t="s">
        <v>120</v>
      </c>
      <c r="J3" s="441"/>
      <c r="K3" s="443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15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3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3</v>
      </c>
      <c r="AP6" s="265" t="s">
        <v>3</v>
      </c>
      <c r="AQ6" s="45">
        <v>0</v>
      </c>
      <c r="AR6" s="46">
        <f t="shared" si="6"/>
        <v>-1</v>
      </c>
      <c r="AS6" s="46">
        <v>0</v>
      </c>
      <c r="AT6" s="134">
        <f t="shared" si="11"/>
        <v>-1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20</v>
      </c>
      <c r="E8" s="41">
        <f t="shared" si="4"/>
        <v>1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48" t="s">
        <v>3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4</v>
      </c>
      <c r="E17" s="41">
        <f>COUNTIF(L17:AP17,"S")</f>
        <v>2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407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44" t="s">
        <v>0</v>
      </c>
      <c r="AL42" s="30" t="s">
        <v>54</v>
      </c>
      <c r="AM42" s="30" t="s">
        <v>54</v>
      </c>
      <c r="AN42" s="30" t="s">
        <v>3</v>
      </c>
      <c r="AO42" s="32" t="s">
        <v>1</v>
      </c>
      <c r="AP42" s="32" t="s">
        <v>1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118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72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7</v>
      </c>
      <c r="AN54" s="97">
        <f t="shared" si="88"/>
        <v>8</v>
      </c>
      <c r="AO54" s="98">
        <f t="shared" si="88"/>
        <v>6</v>
      </c>
      <c r="AP54" s="99">
        <f t="shared" si="88"/>
        <v>4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18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6</v>
      </c>
      <c r="AP55" s="102">
        <f t="shared" si="89"/>
        <v>10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4</v>
      </c>
      <c r="AL56" s="39">
        <f t="shared" si="90"/>
        <v>2</v>
      </c>
      <c r="AM56" s="39">
        <f t="shared" si="90"/>
        <v>3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4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A2:A3"/>
    <mergeCell ref="B2:B3"/>
    <mergeCell ref="C2:C3"/>
    <mergeCell ref="D2:D3"/>
    <mergeCell ref="E2:E3"/>
    <mergeCell ref="F2:F3"/>
    <mergeCell ref="AW2:AY2"/>
    <mergeCell ref="L1:AI1"/>
    <mergeCell ref="AJ1:AL1"/>
    <mergeCell ref="AM1:AO1"/>
    <mergeCell ref="J2:J3"/>
    <mergeCell ref="K2:K3"/>
  </mergeCells>
  <conditionalFormatting sqref="L4:T38 V4:AP38 L39:AP40 L41:T41 V41:AP41 L42:AP44">
    <cfRule type="expression" dxfId="75" priority="15">
      <formula>"OR(K4=""T中"", K4=""中"", K4=2, K4=""小夜"")"</formula>
    </cfRule>
    <cfRule type="expression" dxfId="74" priority="16">
      <formula>OR(L4="T早", L4="早", L4="M1", L4=1, L4="日")</formula>
    </cfRule>
    <cfRule type="expression" dxfId="73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72" priority="14">
      <formula>OR(L4="晚", L4=3, L4="大夜")</formula>
    </cfRule>
  </conditionalFormatting>
  <conditionalFormatting sqref="L45:AP53">
    <cfRule type="cellIs" dxfId="71" priority="1246" operator="equal">
      <formula>3</formula>
    </cfRule>
    <cfRule type="cellIs" dxfId="70" priority="1244" operator="equal">
      <formula>5</formula>
    </cfRule>
    <cfRule type="cellIs" dxfId="69" priority="1245" operator="equal">
      <formula>4</formula>
    </cfRule>
    <cfRule type="cellIs" dxfId="68" priority="1248" operator="equal">
      <formula>1</formula>
    </cfRule>
    <cfRule type="cellIs" dxfId="67" priority="1247" operator="equal">
      <formula>2</formula>
    </cfRule>
  </conditionalFormatting>
  <conditionalFormatting sqref="L51:AP53">
    <cfRule type="cellIs" dxfId="66" priority="1249" operator="equal">
      <formula>"T中"</formula>
    </cfRule>
  </conditionalFormatting>
  <conditionalFormatting sqref="U4:U10 U12:U38">
    <cfRule type="expression" dxfId="65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64" priority="10">
      <formula>OR(U4="晚", U4=3, U4="大夜")</formula>
    </cfRule>
    <cfRule type="expression" dxfId="63" priority="11">
      <formula>"OR(K4=""T中"", K4=""中"", K4=2, K4=""小夜"")"</formula>
    </cfRule>
    <cfRule type="expression" dxfId="62" priority="12">
      <formula>OR(U4="T早", U4="早", U4="M1", U4=1, U4="日")</formula>
    </cfRule>
  </conditionalFormatting>
  <conditionalFormatting sqref="U11">
    <cfRule type="expression" dxfId="61" priority="2">
      <formula>OR(U11="晚", U11=3, U11="大夜")</formula>
    </cfRule>
    <cfRule type="expression" dxfId="60" priority="3">
      <formula>"OR(K4=""T中"", K4=""中"", K4=2, K4=""小夜"")"</formula>
    </cfRule>
    <cfRule type="expression" dxfId="59" priority="4">
      <formula>OR(U11="T早", U11="早", U11="M1", U11=1, U11="日")</formula>
    </cfRule>
    <cfRule type="expression" dxfId="58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57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56" priority="8">
      <formula>OR(U41="T早", U41="早", U41="M1", U41=1, U41="日")</formula>
    </cfRule>
    <cfRule type="expression" dxfId="55" priority="7">
      <formula>"OR(K4=""T中"", K4=""中"", K4=2, K4=""小夜"")"</formula>
    </cfRule>
    <cfRule type="expression" dxfId="54" priority="6">
      <formula>OR(U41="晚", U41=3, U41="大夜")</formula>
    </cfRule>
  </conditionalFormatting>
  <conditionalFormatting sqref="AQ24">
    <cfRule type="cellIs" dxfId="53" priority="1252" operator="equal">
      <formula>"大夜"</formula>
    </cfRule>
    <cfRule type="cellIs" dxfId="52" priority="1253" operator="equal">
      <formula>"晚"</formula>
    </cfRule>
    <cfRule type="cellIs" dxfId="51" priority="1254" operator="equal">
      <formula>3</formula>
    </cfRule>
    <cfRule type="cellIs" dxfId="50" priority="1255" operator="equal">
      <formula>"小夜"</formula>
    </cfRule>
    <cfRule type="cellIs" dxfId="49" priority="1256" operator="equal">
      <formula>"T中"</formula>
    </cfRule>
    <cfRule type="cellIs" dxfId="48" priority="1257" operator="equal">
      <formula>"中"</formula>
    </cfRule>
    <cfRule type="cellIs" dxfId="47" priority="1258" operator="equal">
      <formula>"M2"</formula>
    </cfRule>
    <cfRule type="cellIs" dxfId="46" priority="1259" operator="equal">
      <formula>2</formula>
    </cfRule>
    <cfRule type="cellIs" dxfId="45" priority="1260" operator="equal">
      <formula>"日"</formula>
    </cfRule>
    <cfRule type="cellIs" dxfId="44" priority="1261" operator="equal">
      <formula>"T早"</formula>
    </cfRule>
    <cfRule type="cellIs" dxfId="43" priority="1262" operator="equal">
      <formula>"早"</formula>
    </cfRule>
    <cfRule type="cellIs" dxfId="42" priority="1263" operator="equal">
      <formula>"M1"</formula>
    </cfRule>
    <cfRule type="cellIs" dxfId="41" priority="1264" operator="equal">
      <formula>1</formula>
    </cfRule>
  </conditionalFormatting>
  <conditionalFormatting sqref="AT4:AT44">
    <cfRule type="cellIs" dxfId="40" priority="1250" operator="equal">
      <formula>-2</formula>
    </cfRule>
    <cfRule type="cellIs" dxfId="39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X186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B37" sqref="AB37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13" width="6.109375" style="6" hidden="1" customWidth="1"/>
    <col min="14" max="14" width="6" style="6" hidden="1" customWidth="1"/>
    <col min="15" max="16" width="6.109375" style="6" hidden="1" customWidth="1"/>
    <col min="17" max="44" width="6.109375" style="6" customWidth="1"/>
    <col min="45" max="45" width="6" style="6" customWidth="1"/>
    <col min="46" max="47" width="6.109375" style="6" customWidth="1"/>
    <col min="48" max="49" width="7.88671875" style="6" customWidth="1"/>
    <col min="50" max="50" width="7.88671875" style="7" customWidth="1"/>
    <col min="51" max="51" width="5.88671875" style="6" customWidth="1"/>
    <col min="52" max="239" width="9" style="6" customWidth="1"/>
    <col min="240" max="240" width="7.109375" style="6" customWidth="1"/>
    <col min="241" max="16384" width="9" style="6"/>
  </cols>
  <sheetData>
    <row r="1" spans="1:232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88"/>
      <c r="L1" s="388"/>
      <c r="M1" s="455"/>
      <c r="N1" s="456"/>
      <c r="O1" s="456"/>
      <c r="P1" s="5"/>
      <c r="Q1" s="457" t="str">
        <f>"TPKC剩餘人力："&amp;AX57&amp;" / NK剩餘人力："&amp;AY57&amp;" /  N班人力："&amp;AX52</f>
        <v>TPKC剩餘人力：0 / NK剩餘人力：0 /  N班人力：67</v>
      </c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8"/>
      <c r="AJ1" s="458"/>
      <c r="AK1" s="458"/>
      <c r="AL1" s="458"/>
      <c r="AM1" s="458"/>
      <c r="AN1" s="458"/>
      <c r="AO1" s="459"/>
      <c r="AP1" s="458"/>
      <c r="AQ1" s="458"/>
      <c r="AR1" s="455"/>
      <c r="AS1" s="456"/>
      <c r="AT1" s="456"/>
      <c r="AU1" s="5"/>
      <c r="AX1" s="6"/>
      <c r="AY1" s="7"/>
    </row>
    <row r="2" spans="1:232" ht="23.25" customHeight="1" thickBot="1">
      <c r="A2" s="444">
        <v>1</v>
      </c>
      <c r="B2" s="446">
        <v>2</v>
      </c>
      <c r="C2" s="446">
        <v>3</v>
      </c>
      <c r="D2" s="448" t="s">
        <v>104</v>
      </c>
      <c r="E2" s="450" t="s">
        <v>105</v>
      </c>
      <c r="F2" s="8" t="s">
        <v>106</v>
      </c>
      <c r="G2" s="8" t="s">
        <v>107</v>
      </c>
      <c r="H2" s="8" t="s">
        <v>108</v>
      </c>
      <c r="I2" s="440" t="s">
        <v>109</v>
      </c>
      <c r="J2" s="442" t="s">
        <v>164</v>
      </c>
      <c r="K2" s="11" t="s">
        <v>111</v>
      </c>
      <c r="L2" s="12" t="s">
        <v>112</v>
      </c>
      <c r="M2" s="12" t="s">
        <v>113</v>
      </c>
      <c r="N2" s="12" t="s">
        <v>114</v>
      </c>
      <c r="O2" s="12" t="s">
        <v>115</v>
      </c>
      <c r="P2" s="349" t="s">
        <v>116</v>
      </c>
      <c r="Q2" s="14" t="s">
        <v>117</v>
      </c>
      <c r="R2" s="14" t="s">
        <v>111</v>
      </c>
      <c r="S2" s="9" t="s">
        <v>112</v>
      </c>
      <c r="T2" s="9" t="s">
        <v>113</v>
      </c>
      <c r="U2" s="9" t="s">
        <v>114</v>
      </c>
      <c r="V2" s="9" t="s">
        <v>115</v>
      </c>
      <c r="W2" s="10" t="s">
        <v>116</v>
      </c>
      <c r="X2" s="11" t="s">
        <v>117</v>
      </c>
      <c r="Y2" s="11" t="s">
        <v>111</v>
      </c>
      <c r="Z2" s="12" t="s">
        <v>112</v>
      </c>
      <c r="AA2" s="12" t="s">
        <v>113</v>
      </c>
      <c r="AB2" s="12" t="s">
        <v>114</v>
      </c>
      <c r="AC2" s="12" t="s">
        <v>115</v>
      </c>
      <c r="AD2" s="13" t="s">
        <v>116</v>
      </c>
      <c r="AE2" s="14" t="s">
        <v>117</v>
      </c>
      <c r="AF2" s="14" t="s">
        <v>111</v>
      </c>
      <c r="AG2" s="9" t="s">
        <v>112</v>
      </c>
      <c r="AH2" s="9" t="s">
        <v>113</v>
      </c>
      <c r="AI2" s="9" t="s">
        <v>114</v>
      </c>
      <c r="AJ2" s="9" t="s">
        <v>115</v>
      </c>
      <c r="AK2" s="10" t="s">
        <v>116</v>
      </c>
      <c r="AL2" s="11" t="s">
        <v>117</v>
      </c>
      <c r="AM2" s="11" t="s">
        <v>111</v>
      </c>
      <c r="AN2" s="12" t="s">
        <v>112</v>
      </c>
      <c r="AO2" s="12" t="s">
        <v>113</v>
      </c>
      <c r="AP2" s="12" t="s">
        <v>114</v>
      </c>
      <c r="AQ2" s="12" t="s">
        <v>115</v>
      </c>
      <c r="AR2" s="13" t="s">
        <v>116</v>
      </c>
      <c r="AS2" s="14" t="s">
        <v>117</v>
      </c>
      <c r="AT2" s="14" t="s">
        <v>111</v>
      </c>
      <c r="AU2" s="9" t="s">
        <v>112</v>
      </c>
      <c r="AX2" s="6"/>
      <c r="BC2" s="452" t="s">
        <v>48</v>
      </c>
      <c r="BD2" s="453"/>
      <c r="BE2" s="454"/>
    </row>
    <row r="3" spans="1:232" ht="24.6" customHeight="1" thickBot="1">
      <c r="A3" s="445"/>
      <c r="B3" s="447"/>
      <c r="C3" s="447"/>
      <c r="D3" s="449"/>
      <c r="E3" s="451"/>
      <c r="F3" s="15" t="s">
        <v>118</v>
      </c>
      <c r="G3" s="15" t="s">
        <v>119</v>
      </c>
      <c r="H3" s="16" t="s">
        <v>120</v>
      </c>
      <c r="I3" s="441"/>
      <c r="J3" s="443"/>
      <c r="K3" s="18">
        <v>26</v>
      </c>
      <c r="L3" s="17">
        <v>27</v>
      </c>
      <c r="M3" s="17">
        <v>28</v>
      </c>
      <c r="N3" s="17">
        <v>29</v>
      </c>
      <c r="O3" s="17">
        <v>30</v>
      </c>
      <c r="P3" s="355">
        <v>31</v>
      </c>
      <c r="Q3" s="144">
        <v>1</v>
      </c>
      <c r="R3" s="18">
        <v>2</v>
      </c>
      <c r="S3" s="160" t="s">
        <v>40</v>
      </c>
      <c r="T3" s="17">
        <v>4</v>
      </c>
      <c r="U3" s="17">
        <v>5</v>
      </c>
      <c r="V3" s="17">
        <v>6</v>
      </c>
      <c r="W3" s="17">
        <v>7</v>
      </c>
      <c r="X3" s="18">
        <v>8</v>
      </c>
      <c r="Y3" s="18">
        <v>9</v>
      </c>
      <c r="Z3" s="17">
        <v>10</v>
      </c>
      <c r="AA3" s="17">
        <v>11</v>
      </c>
      <c r="AB3" s="17">
        <v>12</v>
      </c>
      <c r="AC3" s="17">
        <v>13</v>
      </c>
      <c r="AD3" s="17">
        <v>14</v>
      </c>
      <c r="AE3" s="18">
        <v>15</v>
      </c>
      <c r="AF3" s="18">
        <v>16</v>
      </c>
      <c r="AG3" s="17">
        <v>17</v>
      </c>
      <c r="AH3" s="17">
        <v>18</v>
      </c>
      <c r="AI3" s="17">
        <v>19</v>
      </c>
      <c r="AJ3" s="17">
        <v>20</v>
      </c>
      <c r="AK3" s="17">
        <v>21</v>
      </c>
      <c r="AL3" s="18">
        <v>22</v>
      </c>
      <c r="AM3" s="18">
        <v>23</v>
      </c>
      <c r="AN3" s="17">
        <v>24</v>
      </c>
      <c r="AO3" s="17">
        <v>25</v>
      </c>
      <c r="AP3" s="17">
        <v>26</v>
      </c>
      <c r="AQ3" s="17">
        <v>27</v>
      </c>
      <c r="AR3" s="17">
        <v>28</v>
      </c>
      <c r="AS3" s="18">
        <v>29</v>
      </c>
      <c r="AT3" s="18">
        <v>30</v>
      </c>
      <c r="AU3" s="355">
        <v>31</v>
      </c>
      <c r="AV3" s="19" t="s">
        <v>121</v>
      </c>
      <c r="AW3" s="19" t="s">
        <v>122</v>
      </c>
      <c r="AX3" s="20" t="s">
        <v>123</v>
      </c>
      <c r="AY3" s="21" t="s">
        <v>109</v>
      </c>
      <c r="AZ3" s="22" t="s">
        <v>124</v>
      </c>
      <c r="BC3" s="117" t="s">
        <v>49</v>
      </c>
      <c r="BD3" s="117" t="s">
        <v>50</v>
      </c>
      <c r="BE3" s="117" t="s">
        <v>51</v>
      </c>
    </row>
    <row r="4" spans="1:232" ht="25.5" customHeight="1">
      <c r="A4" s="23">
        <f>COUNTIF(Q4:AU4,1)+COUNTIF(Q4:AU4,"早")+COUNTIF(Q4:AU4,"M1")+COUNTIF(Q4:AU4,"T早")+COUNTIF(Q4:AU4,"日")</f>
        <v>2</v>
      </c>
      <c r="B4" s="24">
        <f>COUNTIF(Q4:AU4,2)+COUNTIF(Q4:AU4,"中")+COUNTIF(Q4:AU4,"M2")+COUNTIF(Q4:AU4,"T中")+COUNTIF(Q4:AU4,"小夜")</f>
        <v>0</v>
      </c>
      <c r="C4" s="25">
        <f>COUNTIF(Q4:AU4,3)+COUNTIF(Q4:AU4,"晚")+COUNTIF(Q4:AU4,"大夜")</f>
        <v>18</v>
      </c>
      <c r="D4" s="24">
        <f>COUNTIF(Q4:AU4,"N")+COUNTIF(Q4:AU4,"N8")</f>
        <v>0</v>
      </c>
      <c r="E4" s="26">
        <f>COUNTIF(Q4:AU4,"S")</f>
        <v>1</v>
      </c>
      <c r="F4" s="26">
        <f>COUNTIF(Q4:AU4,"X")</f>
        <v>5</v>
      </c>
      <c r="G4" s="26">
        <f>COUNTIF(Q4:AU4,"Y")</f>
        <v>5</v>
      </c>
      <c r="H4" s="26">
        <f>COUNTIF(Q4:AU4,"Z")</f>
        <v>0</v>
      </c>
      <c r="I4" s="27">
        <f t="shared" ref="I4:I45" si="0">SUM(A4:H4)</f>
        <v>31</v>
      </c>
      <c r="J4" s="282" t="s">
        <v>152</v>
      </c>
      <c r="K4" s="389" t="s">
        <v>0</v>
      </c>
      <c r="L4" s="390" t="s">
        <v>0</v>
      </c>
      <c r="M4" s="390">
        <v>3</v>
      </c>
      <c r="N4" s="390">
        <v>3</v>
      </c>
      <c r="O4" s="390" t="s">
        <v>40</v>
      </c>
      <c r="P4" s="408">
        <v>3</v>
      </c>
      <c r="Q4" s="412">
        <v>3</v>
      </c>
      <c r="R4" s="235" t="s">
        <v>0</v>
      </c>
      <c r="S4" s="413" t="s">
        <v>40</v>
      </c>
      <c r="T4" s="413" t="s">
        <v>40</v>
      </c>
      <c r="U4" s="413">
        <v>3</v>
      </c>
      <c r="V4" s="413">
        <v>3</v>
      </c>
      <c r="W4" s="413">
        <v>3</v>
      </c>
      <c r="X4" s="235" t="s">
        <v>52</v>
      </c>
      <c r="Y4" s="413">
        <v>3</v>
      </c>
      <c r="Z4" s="413">
        <v>3</v>
      </c>
      <c r="AA4" s="413">
        <v>3</v>
      </c>
      <c r="AB4" s="413">
        <v>3</v>
      </c>
      <c r="AC4" s="413">
        <v>3</v>
      </c>
      <c r="AD4" s="254" t="s">
        <v>1</v>
      </c>
      <c r="AE4" s="233" t="s">
        <v>52</v>
      </c>
      <c r="AF4" s="233" t="s">
        <v>0</v>
      </c>
      <c r="AG4" s="413">
        <v>3</v>
      </c>
      <c r="AH4" s="413">
        <v>3</v>
      </c>
      <c r="AI4" s="413">
        <v>3</v>
      </c>
      <c r="AJ4" s="413">
        <v>3</v>
      </c>
      <c r="AK4" s="235" t="s">
        <v>52</v>
      </c>
      <c r="AL4" s="235">
        <v>1</v>
      </c>
      <c r="AM4" s="235">
        <v>1</v>
      </c>
      <c r="AN4" s="235" t="s">
        <v>0</v>
      </c>
      <c r="AO4" s="238" t="s">
        <v>52</v>
      </c>
      <c r="AP4" s="235" t="s">
        <v>40</v>
      </c>
      <c r="AQ4" s="259">
        <v>3</v>
      </c>
      <c r="AR4" s="235">
        <v>3</v>
      </c>
      <c r="AS4" s="233" t="s">
        <v>52</v>
      </c>
      <c r="AT4" s="233" t="s">
        <v>0</v>
      </c>
      <c r="AU4" s="414" t="s">
        <v>0</v>
      </c>
      <c r="AV4" s="35">
        <v>0</v>
      </c>
      <c r="AW4" s="36">
        <f t="shared" ref="AW4:AW45" si="1">$F4+$G4+H4-$I$1</f>
        <v>0</v>
      </c>
      <c r="AX4" s="36">
        <v>0</v>
      </c>
      <c r="AY4" s="133">
        <f>SUM(AV4:AX4)</f>
        <v>0</v>
      </c>
      <c r="AZ4" s="328" t="s">
        <v>126</v>
      </c>
      <c r="BC4" s="6" cm="1">
        <f t="array" ref="BC4">SUMPRODUCT(COUNTIF(Q4:R4,{"X";"Y";"Z";"S"}))+SUMPRODUCT(COUNTIF(X4:Y4,{"X";"Y";"Z";"S"}))+SUMPRODUCT(COUNTIF(AE4:AF4,{"X";"Y";"Z";"S"}))+SUMPRODUCT(COUNTIF(AL4:AM4,{"X";"Y";"Z";"S"}))+SUMPRODUCT(COUNTIF(AS4:AT4,{"X";"Y";"Z";"S"}))-5</f>
        <v>1</v>
      </c>
      <c r="BD4" s="6">
        <v>5</v>
      </c>
      <c r="BE4" s="6">
        <f>BC4+BD4</f>
        <v>6</v>
      </c>
    </row>
    <row r="5" spans="1:232" ht="25.5" customHeight="1">
      <c r="A5" s="38">
        <f t="shared" ref="A5:A10" si="2">COUNTIF(Q5:AU5,1)+COUNTIF(Q5:AU5,"早")+COUNTIF(Q5:AU5,"M1")+COUNTIF(Q5:AU5,"T早")+COUNTIF(Q5:AU5,"日")</f>
        <v>2</v>
      </c>
      <c r="B5" s="39">
        <f t="shared" ref="B5:B10" si="3">COUNTIF(Q5:AU5,2)+COUNTIF(Q5:AU5,"中")+COUNTIF(Q5:AU5,"M2")+COUNTIF(Q5:AU5,"T中")+COUNTIF(Q5:AU5,"小夜")</f>
        <v>9</v>
      </c>
      <c r="C5" s="40">
        <f t="shared" ref="C5:C10" si="4">COUNTIF(Q5:AU5,3)+COUNTIF(Q5:AU5,"晚")+COUNTIF(Q5:AU5,"大夜")</f>
        <v>9</v>
      </c>
      <c r="D5" s="39">
        <f t="shared" ref="D5:D10" si="5">COUNTIF(Q5:AU5,"N")+COUNTIF(Q5:AU5,"N8")</f>
        <v>0</v>
      </c>
      <c r="E5" s="41">
        <f t="shared" ref="E5:E10" si="6">COUNTIF(Q5:AU5,"S")</f>
        <v>1</v>
      </c>
      <c r="F5" s="41">
        <f t="shared" ref="F5:F10" si="7">COUNTIF(Q5:AU5,"X")</f>
        <v>5</v>
      </c>
      <c r="G5" s="41">
        <f t="shared" ref="G5:G10" si="8">COUNTIF(Q5:AU5,"Y")</f>
        <v>5</v>
      </c>
      <c r="H5" s="41">
        <f t="shared" ref="H5:H10" si="9">COUNTIF(Q5:AU5,"Z")</f>
        <v>0</v>
      </c>
      <c r="I5" s="42">
        <f t="shared" si="0"/>
        <v>31</v>
      </c>
      <c r="J5" s="208" t="s">
        <v>2</v>
      </c>
      <c r="K5" s="392">
        <v>3</v>
      </c>
      <c r="L5" s="393">
        <v>3</v>
      </c>
      <c r="M5" s="394" t="s">
        <v>0</v>
      </c>
      <c r="N5" s="394" t="s">
        <v>3</v>
      </c>
      <c r="O5" s="394" t="s">
        <v>3</v>
      </c>
      <c r="P5" s="409" t="s">
        <v>36</v>
      </c>
      <c r="Q5" s="237" t="s">
        <v>52</v>
      </c>
      <c r="R5" s="239" t="s">
        <v>0</v>
      </c>
      <c r="S5" s="234" t="s">
        <v>0</v>
      </c>
      <c r="T5" s="259">
        <v>2</v>
      </c>
      <c r="U5" s="259">
        <v>2</v>
      </c>
      <c r="V5" s="259">
        <v>2</v>
      </c>
      <c r="W5" s="259">
        <v>2</v>
      </c>
      <c r="X5" s="259">
        <v>2</v>
      </c>
      <c r="Y5" s="259">
        <v>2</v>
      </c>
      <c r="Z5" s="238" t="s">
        <v>52</v>
      </c>
      <c r="AA5" s="238" t="s">
        <v>38</v>
      </c>
      <c r="AB5" s="238" t="s">
        <v>38</v>
      </c>
      <c r="AC5" s="238" t="s">
        <v>38</v>
      </c>
      <c r="AD5" s="234" t="s">
        <v>0</v>
      </c>
      <c r="AE5" s="239" t="s">
        <v>52</v>
      </c>
      <c r="AF5" s="239" t="s">
        <v>0</v>
      </c>
      <c r="AG5" s="234" t="s">
        <v>1</v>
      </c>
      <c r="AH5" s="238" t="s">
        <v>36</v>
      </c>
      <c r="AI5" s="238" t="s">
        <v>36</v>
      </c>
      <c r="AJ5" s="238" t="s">
        <v>52</v>
      </c>
      <c r="AK5" s="259">
        <v>3</v>
      </c>
      <c r="AL5" s="259">
        <v>3</v>
      </c>
      <c r="AM5" s="259">
        <v>3</v>
      </c>
      <c r="AN5" s="259">
        <v>3</v>
      </c>
      <c r="AO5" s="259">
        <v>3</v>
      </c>
      <c r="AP5" s="259">
        <v>3</v>
      </c>
      <c r="AQ5" s="238" t="s">
        <v>52</v>
      </c>
      <c r="AR5" s="415">
        <v>3</v>
      </c>
      <c r="AS5" s="259">
        <v>3</v>
      </c>
      <c r="AT5" s="259">
        <v>3</v>
      </c>
      <c r="AU5" s="261" t="s">
        <v>0</v>
      </c>
      <c r="AV5" s="45">
        <v>0</v>
      </c>
      <c r="AW5" s="46">
        <f t="shared" si="1"/>
        <v>0</v>
      </c>
      <c r="AX5" s="46">
        <v>0</v>
      </c>
      <c r="AY5" s="134">
        <f t="shared" ref="AY5:AY16" si="10">SUM(AV5:AX5)</f>
        <v>0</v>
      </c>
      <c r="AZ5" s="329" t="s">
        <v>128</v>
      </c>
    </row>
    <row r="6" spans="1:232" ht="25.5" customHeight="1">
      <c r="A6" s="38">
        <f>COUNTIF(Q6:AU6,1)+COUNTIF(Q6:AU6,"早")+COUNTIF(Q6:AU6,"M1")+COUNTIF(Q6:AU6,"T早")+COUNTIF(Q6:AU6,"日")</f>
        <v>10</v>
      </c>
      <c r="B6" s="39">
        <f t="shared" si="3"/>
        <v>0</v>
      </c>
      <c r="C6" s="40">
        <f t="shared" si="4"/>
        <v>0</v>
      </c>
      <c r="D6" s="39">
        <f t="shared" si="5"/>
        <v>5</v>
      </c>
      <c r="E6" s="41">
        <f t="shared" si="6"/>
        <v>5</v>
      </c>
      <c r="F6" s="41">
        <f t="shared" si="7"/>
        <v>5</v>
      </c>
      <c r="G6" s="41">
        <f t="shared" si="8"/>
        <v>6</v>
      </c>
      <c r="H6" s="41">
        <f t="shared" si="9"/>
        <v>0</v>
      </c>
      <c r="I6" s="42">
        <f t="shared" si="0"/>
        <v>31</v>
      </c>
      <c r="J6" s="209" t="s">
        <v>129</v>
      </c>
      <c r="K6" s="392">
        <v>2</v>
      </c>
      <c r="L6" s="394" t="s">
        <v>0</v>
      </c>
      <c r="M6" s="394" t="s">
        <v>3</v>
      </c>
      <c r="N6" s="394" t="s">
        <v>3</v>
      </c>
      <c r="O6" s="394" t="s">
        <v>3</v>
      </c>
      <c r="P6" s="409" t="s">
        <v>3</v>
      </c>
      <c r="Q6" s="237" t="s">
        <v>52</v>
      </c>
      <c r="R6" s="239" t="s">
        <v>0</v>
      </c>
      <c r="S6" s="242" t="s">
        <v>3</v>
      </c>
      <c r="T6" s="242" t="s">
        <v>3</v>
      </c>
      <c r="U6" s="242" t="s">
        <v>3</v>
      </c>
      <c r="V6" s="238" t="s">
        <v>0</v>
      </c>
      <c r="W6" s="259">
        <v>1</v>
      </c>
      <c r="X6" s="259">
        <v>1</v>
      </c>
      <c r="Y6" s="238" t="s">
        <v>52</v>
      </c>
      <c r="Z6" s="238" t="s">
        <v>36</v>
      </c>
      <c r="AA6" s="238" t="s">
        <v>36</v>
      </c>
      <c r="AB6" s="259">
        <v>1</v>
      </c>
      <c r="AC6" s="259">
        <v>1</v>
      </c>
      <c r="AD6" s="259">
        <v>1</v>
      </c>
      <c r="AE6" s="239" t="s">
        <v>52</v>
      </c>
      <c r="AF6" s="239" t="s">
        <v>0</v>
      </c>
      <c r="AG6" s="242" t="s">
        <v>3</v>
      </c>
      <c r="AH6" s="238" t="s">
        <v>3</v>
      </c>
      <c r="AI6" s="238" t="s">
        <v>36</v>
      </c>
      <c r="AJ6" s="238" t="s">
        <v>52</v>
      </c>
      <c r="AK6" s="234" t="s">
        <v>0</v>
      </c>
      <c r="AL6" s="239" t="s">
        <v>52</v>
      </c>
      <c r="AM6" s="234" t="s">
        <v>1</v>
      </c>
      <c r="AN6" s="234" t="s">
        <v>1</v>
      </c>
      <c r="AO6" s="234" t="s">
        <v>1</v>
      </c>
      <c r="AP6" s="234" t="s">
        <v>1</v>
      </c>
      <c r="AQ6" s="234" t="s">
        <v>1</v>
      </c>
      <c r="AR6" s="239" t="s">
        <v>0</v>
      </c>
      <c r="AS6" s="238" t="s">
        <v>52</v>
      </c>
      <c r="AT6" s="238" t="s">
        <v>36</v>
      </c>
      <c r="AU6" s="241" t="s">
        <v>36</v>
      </c>
      <c r="AV6" s="45">
        <v>-1</v>
      </c>
      <c r="AW6" s="46">
        <f t="shared" si="1"/>
        <v>1</v>
      </c>
      <c r="AX6" s="46">
        <v>0</v>
      </c>
      <c r="AY6" s="134">
        <f t="shared" si="10"/>
        <v>0</v>
      </c>
      <c r="AZ6" s="329" t="s">
        <v>128</v>
      </c>
      <c r="BC6" s="6" cm="1">
        <f t="array" ref="BC6">SUMPRODUCT(COUNTIF(Q6:R6,{"X";"Y";"Z";"S"}))+SUMPRODUCT(COUNTIF(X6:Y6,{"X";"Y";"Z";"S"}))+SUMPRODUCT(COUNTIF(AE6:AF6,{"X";"Y";"Z";"S"}))+SUMPRODUCT(COUNTIF(AL6:AM6,{"X";"Y";"Z";"S"}))+SUMPRODUCT(COUNTIF(AS6:AT6,{"X";"Y";"Z";"S"}))-5</f>
        <v>3</v>
      </c>
      <c r="BD6" s="6">
        <v>1</v>
      </c>
      <c r="BE6" s="6">
        <f t="shared" ref="BE6:BE7" si="11">BC6+BD6</f>
        <v>4</v>
      </c>
    </row>
    <row r="7" spans="1:232" ht="25.2" customHeight="1">
      <c r="A7" s="38">
        <f t="shared" si="2"/>
        <v>19</v>
      </c>
      <c r="B7" s="39">
        <f t="shared" si="3"/>
        <v>0</v>
      </c>
      <c r="C7" s="40">
        <f t="shared" si="4"/>
        <v>0</v>
      </c>
      <c r="D7" s="39">
        <f t="shared" si="5"/>
        <v>1</v>
      </c>
      <c r="E7" s="41">
        <f t="shared" si="6"/>
        <v>1</v>
      </c>
      <c r="F7" s="41">
        <f t="shared" si="7"/>
        <v>5</v>
      </c>
      <c r="G7" s="41">
        <f t="shared" si="8"/>
        <v>5</v>
      </c>
      <c r="H7" s="41">
        <f t="shared" si="9"/>
        <v>0</v>
      </c>
      <c r="I7" s="42">
        <f t="shared" si="0"/>
        <v>31</v>
      </c>
      <c r="J7" s="209" t="s">
        <v>130</v>
      </c>
      <c r="K7" s="396" t="s">
        <v>0</v>
      </c>
      <c r="L7" s="394" t="s">
        <v>36</v>
      </c>
      <c r="M7" s="394" t="s">
        <v>3</v>
      </c>
      <c r="N7" s="394" t="s">
        <v>36</v>
      </c>
      <c r="O7" s="394" t="s">
        <v>1</v>
      </c>
      <c r="P7" s="409" t="s">
        <v>1</v>
      </c>
      <c r="Q7" s="237" t="s">
        <v>52</v>
      </c>
      <c r="R7" s="239" t="s">
        <v>0</v>
      </c>
      <c r="S7" s="238" t="s">
        <v>36</v>
      </c>
      <c r="T7" s="238" t="s">
        <v>36</v>
      </c>
      <c r="U7" s="238" t="s">
        <v>36</v>
      </c>
      <c r="V7" s="238" t="s">
        <v>0</v>
      </c>
      <c r="W7" s="259" t="s">
        <v>36</v>
      </c>
      <c r="X7" s="238" t="s">
        <v>36</v>
      </c>
      <c r="Y7" s="238" t="s">
        <v>36</v>
      </c>
      <c r="Z7" s="238" t="s">
        <v>52</v>
      </c>
      <c r="AA7" s="238">
        <v>1</v>
      </c>
      <c r="AB7" s="259" t="s">
        <v>36</v>
      </c>
      <c r="AC7" s="259" t="s">
        <v>36</v>
      </c>
      <c r="AD7" s="238" t="s">
        <v>36</v>
      </c>
      <c r="AE7" s="239" t="s">
        <v>52</v>
      </c>
      <c r="AF7" s="239" t="s">
        <v>0</v>
      </c>
      <c r="AG7" s="259">
        <v>1</v>
      </c>
      <c r="AH7" s="242" t="s">
        <v>3</v>
      </c>
      <c r="AI7" s="238">
        <v>1</v>
      </c>
      <c r="AJ7" s="238" t="s">
        <v>0</v>
      </c>
      <c r="AK7" s="259" t="s">
        <v>36</v>
      </c>
      <c r="AL7" s="238" t="s">
        <v>36</v>
      </c>
      <c r="AM7" s="238" t="s">
        <v>36</v>
      </c>
      <c r="AN7" s="234" t="s">
        <v>52</v>
      </c>
      <c r="AO7" s="238" t="s">
        <v>36</v>
      </c>
      <c r="AP7" s="238" t="s">
        <v>36</v>
      </c>
      <c r="AQ7" s="238" t="s">
        <v>36</v>
      </c>
      <c r="AR7" s="259">
        <v>1</v>
      </c>
      <c r="AS7" s="239" t="s">
        <v>52</v>
      </c>
      <c r="AT7" s="234" t="s">
        <v>1</v>
      </c>
      <c r="AU7" s="420" t="s">
        <v>0</v>
      </c>
      <c r="AV7" s="45">
        <v>0</v>
      </c>
      <c r="AW7" s="46">
        <f t="shared" si="1"/>
        <v>0</v>
      </c>
      <c r="AX7" s="46">
        <v>0</v>
      </c>
      <c r="AY7" s="134">
        <f t="shared" si="10"/>
        <v>0</v>
      </c>
      <c r="AZ7" s="329" t="s">
        <v>128</v>
      </c>
      <c r="BC7" s="6" cm="1">
        <f t="array" ref="BC7">SUMPRODUCT(COUNTIF(Q7:R7,{"X";"Y";"Z";"S"}))+SUMPRODUCT(COUNTIF(X7:Y7,{"X";"Y";"Z";"S"}))+SUMPRODUCT(COUNTIF(AE7:AF7,{"X";"Y";"Z";"S"}))+SUMPRODUCT(COUNTIF(AL7:AM7,{"X";"Y";"Z";"S"}))+SUMPRODUCT(COUNTIF(AS7:AT7,{"X";"Y";"Z";"S"}))-5</f>
        <v>1</v>
      </c>
      <c r="BD7" s="6">
        <v>2</v>
      </c>
      <c r="BE7" s="6">
        <f t="shared" si="11"/>
        <v>3</v>
      </c>
    </row>
    <row r="8" spans="1:232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21</v>
      </c>
      <c r="E8" s="41">
        <f t="shared" si="6"/>
        <v>0</v>
      </c>
      <c r="F8" s="41">
        <f t="shared" si="7"/>
        <v>5</v>
      </c>
      <c r="G8" s="41">
        <f t="shared" si="8"/>
        <v>5</v>
      </c>
      <c r="H8" s="41">
        <f t="shared" si="9"/>
        <v>0</v>
      </c>
      <c r="I8" s="42">
        <f t="shared" si="0"/>
        <v>31</v>
      </c>
      <c r="J8" s="209" t="s">
        <v>132</v>
      </c>
      <c r="K8" s="392" t="s">
        <v>0</v>
      </c>
      <c r="L8" s="394" t="s">
        <v>3</v>
      </c>
      <c r="M8" s="394" t="s">
        <v>3</v>
      </c>
      <c r="N8" s="394" t="s">
        <v>3</v>
      </c>
      <c r="O8" s="394" t="s">
        <v>3</v>
      </c>
      <c r="P8" s="409" t="s">
        <v>3</v>
      </c>
      <c r="Q8" s="237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38" t="s">
        <v>3</v>
      </c>
      <c r="AD8" s="238" t="s">
        <v>3</v>
      </c>
      <c r="AE8" s="239" t="s">
        <v>52</v>
      </c>
      <c r="AF8" s="239" t="s">
        <v>0</v>
      </c>
      <c r="AG8" s="238" t="s">
        <v>3</v>
      </c>
      <c r="AH8" s="238" t="s">
        <v>3</v>
      </c>
      <c r="AI8" s="238" t="s">
        <v>3</v>
      </c>
      <c r="AJ8" s="238" t="s">
        <v>3</v>
      </c>
      <c r="AK8" s="238" t="s">
        <v>3</v>
      </c>
      <c r="AL8" s="239" t="s">
        <v>52</v>
      </c>
      <c r="AM8" s="239" t="s">
        <v>0</v>
      </c>
      <c r="AN8" s="238" t="s">
        <v>3</v>
      </c>
      <c r="AO8" s="238" t="s">
        <v>3</v>
      </c>
      <c r="AP8" s="238" t="s">
        <v>3</v>
      </c>
      <c r="AQ8" s="238" t="s">
        <v>3</v>
      </c>
      <c r="AR8" s="238" t="s">
        <v>3</v>
      </c>
      <c r="AS8" s="239" t="s">
        <v>52</v>
      </c>
      <c r="AT8" s="239" t="s">
        <v>0</v>
      </c>
      <c r="AU8" s="241" t="s">
        <v>3</v>
      </c>
      <c r="AV8" s="45">
        <v>0</v>
      </c>
      <c r="AW8" s="46">
        <f t="shared" si="1"/>
        <v>0</v>
      </c>
      <c r="AX8" s="46">
        <v>0</v>
      </c>
      <c r="AY8" s="134">
        <f t="shared" si="10"/>
        <v>0</v>
      </c>
      <c r="AZ8" s="329" t="s">
        <v>133</v>
      </c>
    </row>
    <row r="9" spans="1:232" s="50" customFormat="1" ht="24.75" customHeight="1">
      <c r="A9" s="38">
        <f t="shared" si="2"/>
        <v>15</v>
      </c>
      <c r="B9" s="39">
        <f t="shared" si="3"/>
        <v>3</v>
      </c>
      <c r="C9" s="40">
        <f t="shared" si="4"/>
        <v>0</v>
      </c>
      <c r="D9" s="39">
        <f t="shared" si="5"/>
        <v>1</v>
      </c>
      <c r="E9" s="41">
        <f t="shared" si="6"/>
        <v>1</v>
      </c>
      <c r="F9" s="41">
        <f t="shared" si="7"/>
        <v>5</v>
      </c>
      <c r="G9" s="41">
        <f t="shared" si="8"/>
        <v>6</v>
      </c>
      <c r="H9" s="41">
        <f t="shared" si="9"/>
        <v>0</v>
      </c>
      <c r="I9" s="42">
        <f t="shared" si="0"/>
        <v>31</v>
      </c>
      <c r="J9" s="209" t="s">
        <v>4</v>
      </c>
      <c r="K9" s="392" t="s">
        <v>0</v>
      </c>
      <c r="L9" s="394" t="s">
        <v>52</v>
      </c>
      <c r="M9" s="394" t="s">
        <v>36</v>
      </c>
      <c r="N9" s="394">
        <v>1</v>
      </c>
      <c r="O9" s="394" t="s">
        <v>36</v>
      </c>
      <c r="P9" s="409">
        <v>1</v>
      </c>
      <c r="Q9" s="258">
        <v>2</v>
      </c>
      <c r="R9" s="259">
        <v>2</v>
      </c>
      <c r="S9" s="238" t="s">
        <v>52</v>
      </c>
      <c r="T9" s="242" t="s">
        <v>3</v>
      </c>
      <c r="U9" s="259">
        <v>1</v>
      </c>
      <c r="V9" s="238" t="s">
        <v>36</v>
      </c>
      <c r="W9" s="234" t="s">
        <v>0</v>
      </c>
      <c r="X9" s="239" t="s">
        <v>52</v>
      </c>
      <c r="Y9" s="239" t="s">
        <v>0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4" t="s">
        <v>52</v>
      </c>
      <c r="AE9" s="238">
        <v>2</v>
      </c>
      <c r="AF9" s="238" t="s">
        <v>52</v>
      </c>
      <c r="AG9" s="238" t="s">
        <v>36</v>
      </c>
      <c r="AH9" s="238" t="s">
        <v>36</v>
      </c>
      <c r="AI9" s="238" t="s">
        <v>36</v>
      </c>
      <c r="AJ9" s="238" t="s">
        <v>36</v>
      </c>
      <c r="AK9" s="238" t="s">
        <v>36</v>
      </c>
      <c r="AL9" s="239" t="s">
        <v>52</v>
      </c>
      <c r="AM9" s="239" t="s">
        <v>0</v>
      </c>
      <c r="AN9" s="259">
        <v>1</v>
      </c>
      <c r="AO9" s="259">
        <v>1</v>
      </c>
      <c r="AP9" s="259">
        <v>1</v>
      </c>
      <c r="AQ9" s="238" t="s">
        <v>0</v>
      </c>
      <c r="AR9" s="234" t="s">
        <v>154</v>
      </c>
      <c r="AS9" s="239" t="s">
        <v>52</v>
      </c>
      <c r="AT9" s="239" t="s">
        <v>0</v>
      </c>
      <c r="AU9" s="241" t="s">
        <v>36</v>
      </c>
      <c r="AV9" s="45">
        <v>-1</v>
      </c>
      <c r="AW9" s="46">
        <f t="shared" si="1"/>
        <v>1</v>
      </c>
      <c r="AX9" s="46">
        <v>0</v>
      </c>
      <c r="AY9" s="134">
        <f t="shared" si="10"/>
        <v>0</v>
      </c>
      <c r="AZ9" s="329" t="s">
        <v>126</v>
      </c>
      <c r="BA9" s="6"/>
      <c r="BB9" s="6"/>
      <c r="BC9" s="6" cm="1">
        <f t="array" ref="BC9">SUMPRODUCT(COUNTIF(Q9:R9,{"X";"Y";"Z";"S"}))+SUMPRODUCT(COUNTIF(X9:Y9,{"X";"Y";"Z";"S"}))+SUMPRODUCT(COUNTIF(AE9:AF9,{"X";"Y";"Z";"S"}))+SUMPRODUCT(COUNTIF(AL9:AM9,{"X";"Y";"Z";"S"}))+SUMPRODUCT(COUNTIF(AS9:AT9,{"X";"Y";"Z";"S"}))-5</f>
        <v>2</v>
      </c>
      <c r="BD9" s="6">
        <v>5</v>
      </c>
      <c r="BE9" s="6">
        <f t="shared" ref="BE9:BE13" si="12">BC9+BD9</f>
        <v>7</v>
      </c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</row>
    <row r="10" spans="1:232" s="50" customFormat="1" ht="29.25" customHeight="1">
      <c r="A10" s="38">
        <f t="shared" si="2"/>
        <v>9</v>
      </c>
      <c r="B10" s="39">
        <f t="shared" si="3"/>
        <v>1</v>
      </c>
      <c r="C10" s="40">
        <f t="shared" si="4"/>
        <v>0</v>
      </c>
      <c r="D10" s="39">
        <f t="shared" si="5"/>
        <v>1</v>
      </c>
      <c r="E10" s="41">
        <f t="shared" si="6"/>
        <v>9</v>
      </c>
      <c r="F10" s="41">
        <f t="shared" si="7"/>
        <v>5</v>
      </c>
      <c r="G10" s="41">
        <f t="shared" si="8"/>
        <v>6</v>
      </c>
      <c r="H10" s="41">
        <f t="shared" si="9"/>
        <v>0</v>
      </c>
      <c r="I10" s="42">
        <f t="shared" si="0"/>
        <v>31</v>
      </c>
      <c r="J10" s="210" t="s">
        <v>134</v>
      </c>
      <c r="K10" s="392" t="s">
        <v>36</v>
      </c>
      <c r="L10" s="394">
        <v>2</v>
      </c>
      <c r="M10" s="394" t="s">
        <v>52</v>
      </c>
      <c r="N10" s="394">
        <v>1</v>
      </c>
      <c r="O10" s="394" t="s">
        <v>36</v>
      </c>
      <c r="P10" s="409" t="s">
        <v>36</v>
      </c>
      <c r="Q10" s="258">
        <v>1</v>
      </c>
      <c r="R10" s="259">
        <v>1</v>
      </c>
      <c r="S10" s="238">
        <v>1</v>
      </c>
      <c r="T10" s="238" t="s">
        <v>0</v>
      </c>
      <c r="U10" s="234" t="s">
        <v>1</v>
      </c>
      <c r="V10" s="234" t="s">
        <v>1</v>
      </c>
      <c r="W10" s="234" t="s">
        <v>1</v>
      </c>
      <c r="X10" s="239" t="s">
        <v>52</v>
      </c>
      <c r="Y10" s="239" t="s">
        <v>0</v>
      </c>
      <c r="Z10" s="234" t="s">
        <v>1</v>
      </c>
      <c r="AA10" s="234" t="s">
        <v>1</v>
      </c>
      <c r="AB10" s="234" t="s">
        <v>1</v>
      </c>
      <c r="AC10" s="234" t="s">
        <v>1</v>
      </c>
      <c r="AD10" s="234" t="s">
        <v>1</v>
      </c>
      <c r="AE10" s="239" t="s">
        <v>52</v>
      </c>
      <c r="AF10" s="239" t="s">
        <v>0</v>
      </c>
      <c r="AG10" s="242" t="s">
        <v>3</v>
      </c>
      <c r="AH10" s="259" t="s">
        <v>36</v>
      </c>
      <c r="AI10" s="243">
        <v>2</v>
      </c>
      <c r="AJ10" s="238" t="s">
        <v>52</v>
      </c>
      <c r="AK10" s="259">
        <v>1</v>
      </c>
      <c r="AL10" s="238" t="s">
        <v>36</v>
      </c>
      <c r="AM10" s="238" t="s">
        <v>36</v>
      </c>
      <c r="AN10" s="259" t="s">
        <v>36</v>
      </c>
      <c r="AO10" s="243" t="s">
        <v>52</v>
      </c>
      <c r="AP10" s="234" t="s">
        <v>52</v>
      </c>
      <c r="AQ10" s="234" t="s">
        <v>1</v>
      </c>
      <c r="AR10" s="234" t="s">
        <v>0</v>
      </c>
      <c r="AS10" s="239" t="s">
        <v>52</v>
      </c>
      <c r="AT10" s="239" t="s">
        <v>0</v>
      </c>
      <c r="AU10" s="260" t="s">
        <v>36</v>
      </c>
      <c r="AV10" s="45">
        <v>-1</v>
      </c>
      <c r="AW10" s="46">
        <f t="shared" si="1"/>
        <v>1</v>
      </c>
      <c r="AX10" s="46">
        <v>0</v>
      </c>
      <c r="AY10" s="134">
        <f t="shared" si="10"/>
        <v>0</v>
      </c>
      <c r="AZ10" s="329" t="s">
        <v>128</v>
      </c>
      <c r="BA10" s="6"/>
      <c r="BB10" s="6"/>
      <c r="BC10" s="6" cm="1">
        <f t="array" ref="BC10">SUMPRODUCT(COUNTIF(Q10:R10,{"X";"Y";"Z";"S"}))+SUMPRODUCT(COUNTIF(X10:Y10,{"X";"Y";"Z";"S"}))+SUMPRODUCT(COUNTIF(AE10:AF10,{"X";"Y";"Z";"S"}))+SUMPRODUCT(COUNTIF(AL10:AM10,{"X";"Y";"Z";"S"}))+SUMPRODUCT(COUNTIF(AS10:AT10,{"X";"Y";"Z";"S"}))-5</f>
        <v>1</v>
      </c>
      <c r="BD10" s="6">
        <v>1</v>
      </c>
      <c r="BE10" s="6">
        <f t="shared" si="12"/>
        <v>2</v>
      </c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</row>
    <row r="11" spans="1:232" s="50" customFormat="1" ht="25.5" customHeight="1">
      <c r="A11" s="38">
        <f>COUNTIF(Q11:AU11,1)+COUNTIF(Q11:AU11,"早")+COUNTIF(Q11:AU11,"M1")+COUNTIF(Q11:AU11,"T早")+COUNTIF(Q11:AU11,"日")</f>
        <v>14</v>
      </c>
      <c r="B11" s="39">
        <f>COUNTIF(Q11:AU11,2)+COUNTIF(Q11:AU11,"中")+COUNTIF(Q11:AU11,"M2")+COUNTIF(Q11:AU11,"T中")+COUNTIF(Q11:AU11,"小夜")</f>
        <v>3</v>
      </c>
      <c r="C11" s="40">
        <f>COUNTIF(Q11:AU11,3)+COUNTIF(Q11:AU11,"晚")+COUNTIF(Q11:AU11,"大夜")</f>
        <v>0</v>
      </c>
      <c r="D11" s="39">
        <f>COUNTIF(Q11:AU11,"N")+COUNTIF(Q11:AU11,"N8")</f>
        <v>0</v>
      </c>
      <c r="E11" s="41">
        <f>COUNTIF(Q11:AU11,"S")</f>
        <v>3</v>
      </c>
      <c r="F11" s="41">
        <f>COUNTIF(Q11:AU11,"X")</f>
        <v>5</v>
      </c>
      <c r="G11" s="41">
        <f>COUNTIF(Q11:AU11,"Y")</f>
        <v>6</v>
      </c>
      <c r="H11" s="41">
        <f>COUNTIF(Q11:AU11,"Z")</f>
        <v>0</v>
      </c>
      <c r="I11" s="42">
        <f t="shared" si="0"/>
        <v>31</v>
      </c>
      <c r="J11" s="209" t="s">
        <v>6</v>
      </c>
      <c r="K11" s="392" t="s">
        <v>1</v>
      </c>
      <c r="L11" s="394" t="s">
        <v>1</v>
      </c>
      <c r="M11" s="394" t="s">
        <v>36</v>
      </c>
      <c r="N11" s="394" t="s">
        <v>3</v>
      </c>
      <c r="O11" s="397" t="s">
        <v>5</v>
      </c>
      <c r="P11" s="409" t="s">
        <v>0</v>
      </c>
      <c r="Q11" s="237" t="s">
        <v>52</v>
      </c>
      <c r="R11" s="239" t="s">
        <v>0</v>
      </c>
      <c r="S11" s="238" t="s">
        <v>0</v>
      </c>
      <c r="T11" s="238" t="s">
        <v>36</v>
      </c>
      <c r="U11" s="238" t="s">
        <v>36</v>
      </c>
      <c r="V11" s="256" t="s">
        <v>5</v>
      </c>
      <c r="W11" s="234" t="s">
        <v>156</v>
      </c>
      <c r="X11" s="238" t="s">
        <v>36</v>
      </c>
      <c r="Y11" s="238" t="s">
        <v>36</v>
      </c>
      <c r="Z11" s="256" t="s">
        <v>5</v>
      </c>
      <c r="AA11" s="234" t="s">
        <v>52</v>
      </c>
      <c r="AB11" s="238">
        <v>1</v>
      </c>
      <c r="AC11" s="238" t="s">
        <v>36</v>
      </c>
      <c r="AD11" s="238" t="s">
        <v>36</v>
      </c>
      <c r="AE11" s="259">
        <v>2</v>
      </c>
      <c r="AF11" s="259">
        <v>2</v>
      </c>
      <c r="AG11" s="238" t="s">
        <v>52</v>
      </c>
      <c r="AH11" s="238" t="s">
        <v>36</v>
      </c>
      <c r="AI11" s="238" t="s">
        <v>36</v>
      </c>
      <c r="AJ11" s="234" t="s">
        <v>154</v>
      </c>
      <c r="AK11" s="238" t="s">
        <v>36</v>
      </c>
      <c r="AL11" s="239" t="s">
        <v>52</v>
      </c>
      <c r="AM11" s="239" t="s">
        <v>0</v>
      </c>
      <c r="AN11" s="234" t="s">
        <v>1</v>
      </c>
      <c r="AO11" s="238" t="s">
        <v>52</v>
      </c>
      <c r="AP11" s="238" t="s">
        <v>36</v>
      </c>
      <c r="AQ11" s="256" t="s">
        <v>5</v>
      </c>
      <c r="AR11" s="234" t="s">
        <v>154</v>
      </c>
      <c r="AS11" s="238" t="s">
        <v>52</v>
      </c>
      <c r="AT11" s="259">
        <v>2</v>
      </c>
      <c r="AU11" s="261" t="s">
        <v>0</v>
      </c>
      <c r="AV11" s="45">
        <v>-1</v>
      </c>
      <c r="AW11" s="46">
        <f t="shared" si="1"/>
        <v>1</v>
      </c>
      <c r="AX11" s="46">
        <v>0</v>
      </c>
      <c r="AY11" s="134">
        <f t="shared" si="10"/>
        <v>0</v>
      </c>
      <c r="AZ11" s="329" t="s">
        <v>126</v>
      </c>
      <c r="BA11" s="6"/>
      <c r="BB11" s="6"/>
      <c r="BC11" s="6" cm="1">
        <f t="array" ref="BC11">SUMPRODUCT(COUNTIF(Q11:R11,{"X";"Y";"Z";"S"}))+SUMPRODUCT(COUNTIF(X11:Y11,{"X";"Y";"Z";"S"}))+SUMPRODUCT(COUNTIF(AE11:AF11,{"X";"Y";"Z";"S"}))+SUMPRODUCT(COUNTIF(AL11:AM11,{"X";"Y";"Z";"S"}))+SUMPRODUCT(COUNTIF(AS11:AT11,{"X";"Y";"Z";"S"}))-5</f>
        <v>0</v>
      </c>
      <c r="BD11" s="6">
        <v>4</v>
      </c>
      <c r="BE11" s="6">
        <f t="shared" si="12"/>
        <v>4</v>
      </c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</row>
    <row r="12" spans="1:232" s="50" customFormat="1" ht="25.5" customHeight="1">
      <c r="A12" s="38">
        <f t="shared" ref="A12" si="13">COUNTIF(Q12:AU12,1)+COUNTIF(Q12:AU12,"早")+COUNTIF(Q12:AU12,"M1")+COUNTIF(Q12:AU12,"T早")+COUNTIF(Q12:AU12,"日")</f>
        <v>19</v>
      </c>
      <c r="B12" s="39">
        <f t="shared" ref="B12" si="14">COUNTIF(Q12:AU12,2)+COUNTIF(Q12:AU12,"中")+COUNTIF(Q12:AU12,"M2")+COUNTIF(Q12:AU12,"T中")+COUNTIF(Q12:AU12,"小夜")</f>
        <v>2</v>
      </c>
      <c r="C12" s="40">
        <f t="shared" ref="C12" si="15">COUNTIF(Q12:AU12,3)+COUNTIF(Q12:AU12,"晚")+COUNTIF(Q12:AU12,"大夜")</f>
        <v>0</v>
      </c>
      <c r="D12" s="39">
        <f t="shared" ref="D12" si="16">COUNTIF(Q12:AU12,"N")+COUNTIF(Q12:AU12,"N8")</f>
        <v>0</v>
      </c>
      <c r="E12" s="41">
        <f t="shared" ref="E12" si="17">COUNTIF(Q12:AU12,"S")</f>
        <v>0</v>
      </c>
      <c r="F12" s="41">
        <f t="shared" ref="F12" si="18">COUNTIF(Q12:AU12,"X")</f>
        <v>5</v>
      </c>
      <c r="G12" s="41">
        <f t="shared" ref="G12" si="19">COUNTIF(Q12:AU12,"Y")</f>
        <v>5</v>
      </c>
      <c r="H12" s="41">
        <f t="shared" ref="H12" si="20">COUNTIF(Q12:AU12,"Z")</f>
        <v>0</v>
      </c>
      <c r="I12" s="42">
        <f t="shared" si="0"/>
        <v>31</v>
      </c>
      <c r="J12" s="209" t="s">
        <v>135</v>
      </c>
      <c r="K12" s="392" t="s">
        <v>36</v>
      </c>
      <c r="L12" s="394" t="s">
        <v>36</v>
      </c>
      <c r="M12" s="394" t="s">
        <v>3</v>
      </c>
      <c r="N12" s="394" t="s">
        <v>36</v>
      </c>
      <c r="O12" s="394" t="s">
        <v>52</v>
      </c>
      <c r="P12" s="409" t="s">
        <v>1</v>
      </c>
      <c r="Q12" s="237" t="s">
        <v>52</v>
      </c>
      <c r="R12" s="239" t="s">
        <v>0</v>
      </c>
      <c r="S12" s="259">
        <v>1</v>
      </c>
      <c r="T12" s="238" t="s">
        <v>36</v>
      </c>
      <c r="U12" s="238" t="s">
        <v>36</v>
      </c>
      <c r="V12" s="238" t="s">
        <v>52</v>
      </c>
      <c r="W12" s="238" t="s">
        <v>36</v>
      </c>
      <c r="X12" s="238">
        <v>1</v>
      </c>
      <c r="Y12" s="259">
        <v>1</v>
      </c>
      <c r="Z12" s="238" t="s">
        <v>0</v>
      </c>
      <c r="AA12" s="238" t="s">
        <v>36</v>
      </c>
      <c r="AB12" s="238" t="s">
        <v>36</v>
      </c>
      <c r="AC12" s="238" t="s">
        <v>36</v>
      </c>
      <c r="AD12" s="238" t="s">
        <v>36</v>
      </c>
      <c r="AE12" s="239" t="s">
        <v>52</v>
      </c>
      <c r="AF12" s="239" t="s">
        <v>0</v>
      </c>
      <c r="AG12" s="238" t="s">
        <v>36</v>
      </c>
      <c r="AH12" s="238">
        <v>1</v>
      </c>
      <c r="AI12" s="238" t="s">
        <v>52</v>
      </c>
      <c r="AJ12" s="238" t="s">
        <v>36</v>
      </c>
      <c r="AK12" s="238" t="s">
        <v>36</v>
      </c>
      <c r="AL12" s="259">
        <v>2</v>
      </c>
      <c r="AM12" s="259">
        <v>2</v>
      </c>
      <c r="AN12" s="238" t="s">
        <v>0</v>
      </c>
      <c r="AO12" s="238" t="s">
        <v>36</v>
      </c>
      <c r="AP12" s="238" t="s">
        <v>36</v>
      </c>
      <c r="AQ12" s="238" t="s">
        <v>36</v>
      </c>
      <c r="AR12" s="238" t="s">
        <v>36</v>
      </c>
      <c r="AS12" s="239" t="s">
        <v>52</v>
      </c>
      <c r="AT12" s="239" t="s">
        <v>0</v>
      </c>
      <c r="AU12" s="260">
        <v>1</v>
      </c>
      <c r="AV12" s="45">
        <v>0</v>
      </c>
      <c r="AW12" s="46">
        <f t="shared" si="1"/>
        <v>0</v>
      </c>
      <c r="AX12" s="46">
        <v>0</v>
      </c>
      <c r="AY12" s="134">
        <f t="shared" si="10"/>
        <v>0</v>
      </c>
      <c r="AZ12" s="329" t="s">
        <v>128</v>
      </c>
      <c r="BA12" s="6"/>
      <c r="BB12" s="6"/>
      <c r="BC12" s="6" cm="1">
        <f t="array" ref="BC12">SUMPRODUCT(COUNTIF(Q12:R12,{"X";"Y";"Z";"S"}))+SUMPRODUCT(COUNTIF(X12:Y12,{"X";"Y";"Z";"S"}))+SUMPRODUCT(COUNTIF(AE12:AF12,{"X";"Y";"Z";"S"}))+SUMPRODUCT(COUNTIF(AL12:AM12,{"X";"Y";"Z";"S"}))+SUMPRODUCT(COUNTIF(AS12:AT12,{"X";"Y";"Z";"S"}))-5</f>
        <v>1</v>
      </c>
      <c r="BD12" s="6">
        <v>1</v>
      </c>
      <c r="BE12" s="6">
        <f t="shared" si="12"/>
        <v>2</v>
      </c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</row>
    <row r="13" spans="1:232" s="50" customFormat="1" ht="28.35" customHeight="1">
      <c r="A13" s="38">
        <f>COUNTIF(Q13:AU13,1)+COUNTIF(Q13:AU13,"早")+COUNTIF(Q13:AU13,"M1")+COUNTIF(Q13:AU13,"T早")+COUNTIF(Q13:AU13,"日")</f>
        <v>15</v>
      </c>
      <c r="B13" s="39">
        <f>COUNTIF(Q13:AU13,2)+COUNTIF(Q13:AU13,"中")+COUNTIF(Q13:AU13,"M2")+COUNTIF(Q13:AU13,"T中")+COUNTIF(Q13:AU13,"小夜")</f>
        <v>1</v>
      </c>
      <c r="C13" s="40">
        <f>COUNTIF(Q13:AU13,3)+COUNTIF(Q13:AU13,"晚")+COUNTIF(Q13:AU13,"大夜")</f>
        <v>0</v>
      </c>
      <c r="D13" s="39">
        <f>COUNTIF(Q13:AU13,"N")+COUNTIF(Q13:AU13,"N8")</f>
        <v>3</v>
      </c>
      <c r="E13" s="41">
        <f>COUNTIF(Q13:AU13,"S")</f>
        <v>2</v>
      </c>
      <c r="F13" s="41">
        <f>COUNTIF(Q13:AU13,"X")</f>
        <v>5</v>
      </c>
      <c r="G13" s="41">
        <f>COUNTIF(Q13:AU13,"Y")</f>
        <v>5</v>
      </c>
      <c r="H13" s="41">
        <f>COUNTIF(Q13:AU13,"Z")</f>
        <v>0</v>
      </c>
      <c r="I13" s="42">
        <f t="shared" si="0"/>
        <v>31</v>
      </c>
      <c r="J13" s="210" t="s">
        <v>136</v>
      </c>
      <c r="K13" s="392" t="s">
        <v>0</v>
      </c>
      <c r="L13" s="394">
        <v>1</v>
      </c>
      <c r="M13" s="394" t="s">
        <v>41</v>
      </c>
      <c r="N13" s="394" t="s">
        <v>36</v>
      </c>
      <c r="O13" s="394" t="s">
        <v>0</v>
      </c>
      <c r="P13" s="410" t="s">
        <v>162</v>
      </c>
      <c r="Q13" s="237" t="s">
        <v>52</v>
      </c>
      <c r="R13" s="239" t="s">
        <v>0</v>
      </c>
      <c r="S13" s="242" t="s">
        <v>3</v>
      </c>
      <c r="T13" s="256" t="s">
        <v>162</v>
      </c>
      <c r="U13" s="234" t="s">
        <v>1</v>
      </c>
      <c r="V13" s="234" t="s">
        <v>1</v>
      </c>
      <c r="W13" s="234" t="s">
        <v>52</v>
      </c>
      <c r="X13" s="238" t="s">
        <v>36</v>
      </c>
      <c r="Y13" s="238" t="s">
        <v>36</v>
      </c>
      <c r="Z13" s="234" t="s">
        <v>0</v>
      </c>
      <c r="AA13" s="256" t="s">
        <v>162</v>
      </c>
      <c r="AB13" s="238">
        <v>1</v>
      </c>
      <c r="AC13" s="246">
        <v>1</v>
      </c>
      <c r="AD13" s="256" t="s">
        <v>162</v>
      </c>
      <c r="AE13" s="238" t="s">
        <v>52</v>
      </c>
      <c r="AF13" s="238">
        <v>1</v>
      </c>
      <c r="AG13" s="242" t="s">
        <v>3</v>
      </c>
      <c r="AH13" s="242" t="s">
        <v>3</v>
      </c>
      <c r="AI13" s="256" t="s">
        <v>162</v>
      </c>
      <c r="AJ13" s="238" t="s">
        <v>36</v>
      </c>
      <c r="AK13" s="256">
        <v>2</v>
      </c>
      <c r="AL13" s="239" t="s">
        <v>52</v>
      </c>
      <c r="AM13" s="239" t="s">
        <v>0</v>
      </c>
      <c r="AN13" s="238" t="s">
        <v>36</v>
      </c>
      <c r="AO13" s="238" t="s">
        <v>36</v>
      </c>
      <c r="AP13" s="238" t="s">
        <v>52</v>
      </c>
      <c r="AQ13" s="238" t="s">
        <v>0</v>
      </c>
      <c r="AR13" s="256" t="s">
        <v>162</v>
      </c>
      <c r="AS13" s="244">
        <v>1</v>
      </c>
      <c r="AT13" s="259">
        <v>1</v>
      </c>
      <c r="AU13" s="261" t="s">
        <v>0</v>
      </c>
      <c r="AV13" s="45">
        <v>0</v>
      </c>
      <c r="AW13" s="46">
        <f t="shared" si="1"/>
        <v>0</v>
      </c>
      <c r="AX13" s="46">
        <v>0</v>
      </c>
      <c r="AY13" s="134">
        <f t="shared" si="10"/>
        <v>0</v>
      </c>
      <c r="AZ13" s="329" t="s">
        <v>126</v>
      </c>
      <c r="BA13" s="6"/>
      <c r="BB13" s="6"/>
      <c r="BC13" s="6" cm="1">
        <f t="array" ref="BC13">SUMPRODUCT(COUNTIF(Q13:R13,{"X";"Y";"Z";"S"}))+SUMPRODUCT(COUNTIF(X13:Y13,{"X";"Y";"Z";"S"}))+SUMPRODUCT(COUNTIF(AE13:AF13,{"X";"Y";"Z";"S"}))+SUMPRODUCT(COUNTIF(AL13:AM13,{"X";"Y";"Z";"S"}))+SUMPRODUCT(COUNTIF(AS13:AT13,{"X";"Y";"Z";"S"}))-5</f>
        <v>0</v>
      </c>
      <c r="BD13" s="6">
        <v>4</v>
      </c>
      <c r="BE13" s="6">
        <f t="shared" si="12"/>
        <v>4</v>
      </c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</row>
    <row r="14" spans="1:232" s="50" customFormat="1" ht="25.5" customHeight="1">
      <c r="A14" s="38">
        <f t="shared" ref="A14:A16" si="21">COUNTIF(Q14:AU14,1)+COUNTIF(Q14:AU14,"早")+COUNTIF(Q14:AU14,"M1")+COUNTIF(Q14:AU14,"T早")+COUNTIF(Q14:AU14,"日")</f>
        <v>0</v>
      </c>
      <c r="B14" s="39">
        <f t="shared" ref="B14:B16" si="22">COUNTIF(Q14:AU14,2)+COUNTIF(Q14:AU14,"中")+COUNTIF(Q14:AU14,"M2")+COUNTIF(Q14:AU14,"T中")+COUNTIF(Q14:AU14,"小夜")</f>
        <v>13</v>
      </c>
      <c r="C14" s="40">
        <f t="shared" ref="C14:C16" si="23">COUNTIF(Q14:AU14,3)+COUNTIF(Q14:AU14,"晚")+COUNTIF(Q14:AU14,"大夜")</f>
        <v>3</v>
      </c>
      <c r="D14" s="39">
        <f t="shared" ref="D14:D16" si="24">COUNTIF(Q14:AU14,"N")+COUNTIF(Q14:AU14,"N8")</f>
        <v>2</v>
      </c>
      <c r="E14" s="41">
        <f t="shared" ref="E14:E16" si="25">COUNTIF(Q14:AU14,"S")</f>
        <v>2</v>
      </c>
      <c r="F14" s="41">
        <f t="shared" ref="F14:F16" si="26">COUNTIF(Q14:AU14,"X")</f>
        <v>5</v>
      </c>
      <c r="G14" s="41">
        <f t="shared" ref="G14:G16" si="27">COUNTIF(Q14:AU14,"Y")</f>
        <v>6</v>
      </c>
      <c r="H14" s="41">
        <f t="shared" ref="H14:H16" si="28">COUNTIF(Q14:AU14,"Z")</f>
        <v>0</v>
      </c>
      <c r="I14" s="42">
        <f t="shared" si="0"/>
        <v>31</v>
      </c>
      <c r="J14" s="211" t="s">
        <v>7</v>
      </c>
      <c r="K14" s="392" t="s">
        <v>40</v>
      </c>
      <c r="L14" s="394" t="s">
        <v>0</v>
      </c>
      <c r="M14" s="394">
        <v>2</v>
      </c>
      <c r="N14" s="394">
        <v>2</v>
      </c>
      <c r="O14" s="394">
        <v>2</v>
      </c>
      <c r="P14" s="409" t="s">
        <v>52</v>
      </c>
      <c r="Q14" s="237" t="s">
        <v>52</v>
      </c>
      <c r="R14" s="259">
        <v>3</v>
      </c>
      <c r="S14" s="259">
        <v>2</v>
      </c>
      <c r="T14" s="238" t="s">
        <v>0</v>
      </c>
      <c r="U14" s="242" t="s">
        <v>3</v>
      </c>
      <c r="V14" s="238">
        <v>2</v>
      </c>
      <c r="W14" s="238" t="s">
        <v>52</v>
      </c>
      <c r="X14" s="259">
        <v>3</v>
      </c>
      <c r="Y14" s="238" t="s">
        <v>52</v>
      </c>
      <c r="Z14" s="259">
        <v>2</v>
      </c>
      <c r="AA14" s="259">
        <v>2</v>
      </c>
      <c r="AB14" s="259">
        <v>2</v>
      </c>
      <c r="AC14" s="259">
        <v>2</v>
      </c>
      <c r="AD14" s="259">
        <v>2</v>
      </c>
      <c r="AE14" s="239" t="s">
        <v>52</v>
      </c>
      <c r="AF14" s="259">
        <v>3</v>
      </c>
      <c r="AG14" s="238" t="s">
        <v>0</v>
      </c>
      <c r="AH14" s="242" t="s">
        <v>3</v>
      </c>
      <c r="AI14" s="238" t="s">
        <v>0</v>
      </c>
      <c r="AJ14" s="234" t="s">
        <v>0</v>
      </c>
      <c r="AK14" s="234" t="s">
        <v>52</v>
      </c>
      <c r="AL14" s="234" t="s">
        <v>1</v>
      </c>
      <c r="AM14" s="234" t="s">
        <v>1</v>
      </c>
      <c r="AN14" s="259">
        <v>2</v>
      </c>
      <c r="AO14" s="259">
        <v>2</v>
      </c>
      <c r="AP14" s="259">
        <v>2</v>
      </c>
      <c r="AQ14" s="234" t="s">
        <v>52</v>
      </c>
      <c r="AR14" s="238">
        <v>2</v>
      </c>
      <c r="AS14" s="259">
        <v>2</v>
      </c>
      <c r="AT14" s="239" t="s">
        <v>0</v>
      </c>
      <c r="AU14" s="260">
        <v>2</v>
      </c>
      <c r="AV14" s="45">
        <v>-1</v>
      </c>
      <c r="AW14" s="46">
        <f t="shared" si="1"/>
        <v>1</v>
      </c>
      <c r="AX14" s="46">
        <v>0</v>
      </c>
      <c r="AY14" s="134">
        <f t="shared" si="10"/>
        <v>0</v>
      </c>
      <c r="AZ14" s="329" t="s">
        <v>128</v>
      </c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</row>
    <row r="15" spans="1:232" s="50" customFormat="1" ht="25.5" customHeight="1">
      <c r="A15" s="38">
        <f t="shared" si="21"/>
        <v>12</v>
      </c>
      <c r="B15" s="39">
        <f t="shared" si="22"/>
        <v>2</v>
      </c>
      <c r="C15" s="40">
        <f t="shared" si="23"/>
        <v>0</v>
      </c>
      <c r="D15" s="39">
        <f t="shared" si="24"/>
        <v>5</v>
      </c>
      <c r="E15" s="41">
        <f t="shared" si="25"/>
        <v>2</v>
      </c>
      <c r="F15" s="41">
        <f t="shared" si="26"/>
        <v>5</v>
      </c>
      <c r="G15" s="41">
        <f t="shared" si="27"/>
        <v>5</v>
      </c>
      <c r="H15" s="41">
        <f t="shared" si="28"/>
        <v>0</v>
      </c>
      <c r="I15" s="42">
        <f t="shared" si="0"/>
        <v>31</v>
      </c>
      <c r="J15" s="209" t="s">
        <v>8</v>
      </c>
      <c r="K15" s="392" t="s">
        <v>1</v>
      </c>
      <c r="L15" s="394" t="s">
        <v>3</v>
      </c>
      <c r="M15" s="394">
        <v>1</v>
      </c>
      <c r="N15" s="394">
        <v>1</v>
      </c>
      <c r="O15" s="397" t="s">
        <v>58</v>
      </c>
      <c r="P15" s="409" t="s">
        <v>52</v>
      </c>
      <c r="Q15" s="245">
        <v>2</v>
      </c>
      <c r="R15" s="238">
        <v>2</v>
      </c>
      <c r="S15" s="238" t="s">
        <v>52</v>
      </c>
      <c r="T15" s="238">
        <v>1</v>
      </c>
      <c r="U15" s="259" t="s">
        <v>36</v>
      </c>
      <c r="V15" s="256" t="s">
        <v>58</v>
      </c>
      <c r="W15" s="242" t="s">
        <v>3</v>
      </c>
      <c r="X15" s="239" t="s">
        <v>52</v>
      </c>
      <c r="Y15" s="239" t="s">
        <v>0</v>
      </c>
      <c r="Z15" s="238" t="s">
        <v>36</v>
      </c>
      <c r="AA15" s="238" t="s">
        <v>36</v>
      </c>
      <c r="AB15" s="238" t="s">
        <v>0</v>
      </c>
      <c r="AC15" s="242" t="s">
        <v>3</v>
      </c>
      <c r="AD15" s="238" t="s">
        <v>52</v>
      </c>
      <c r="AE15" s="259">
        <v>1</v>
      </c>
      <c r="AF15" s="259">
        <v>1</v>
      </c>
      <c r="AG15" s="242" t="s">
        <v>3</v>
      </c>
      <c r="AH15" s="242" t="s">
        <v>3</v>
      </c>
      <c r="AI15" s="259">
        <v>1</v>
      </c>
      <c r="AJ15" s="256" t="s">
        <v>58</v>
      </c>
      <c r="AK15" s="239" t="s">
        <v>52</v>
      </c>
      <c r="AL15" s="234" t="s">
        <v>1</v>
      </c>
      <c r="AM15" s="234" t="s">
        <v>1</v>
      </c>
      <c r="AN15" s="238" t="s">
        <v>0</v>
      </c>
      <c r="AO15" s="238" t="s">
        <v>52</v>
      </c>
      <c r="AP15" s="238" t="s">
        <v>0</v>
      </c>
      <c r="AQ15" s="256" t="s">
        <v>58</v>
      </c>
      <c r="AR15" s="242" t="s">
        <v>3</v>
      </c>
      <c r="AS15" s="238">
        <v>1</v>
      </c>
      <c r="AT15" s="244">
        <v>1</v>
      </c>
      <c r="AU15" s="420" t="s">
        <v>0</v>
      </c>
      <c r="AV15" s="45">
        <v>0</v>
      </c>
      <c r="AW15" s="46">
        <f t="shared" si="1"/>
        <v>0</v>
      </c>
      <c r="AX15" s="46">
        <v>0</v>
      </c>
      <c r="AY15" s="134">
        <f t="shared" si="10"/>
        <v>0</v>
      </c>
      <c r="AZ15" s="329" t="s">
        <v>126</v>
      </c>
      <c r="BA15" s="6"/>
      <c r="BB15" s="6"/>
      <c r="BC15" s="6" cm="1">
        <f t="array" ref="BC15">SUMPRODUCT(COUNTIF(Q15:R15,{"X";"Y";"Z";"S"}))+SUMPRODUCT(COUNTIF(X15:Y15,{"X";"Y";"Z";"S"}))+SUMPRODUCT(COUNTIF(AE15:AF15,{"X";"Y";"Z";"S"}))+SUMPRODUCT(COUNTIF(AL15:AM15,{"X";"Y";"Z";"S"}))+SUMPRODUCT(COUNTIF(AS15:AT15,{"X";"Y";"Z";"S"}))-5</f>
        <v>-1</v>
      </c>
      <c r="BD15" s="6">
        <v>5</v>
      </c>
      <c r="BE15" s="6">
        <f t="shared" ref="BE15:BE18" si="29">BC15+BD15</f>
        <v>4</v>
      </c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</row>
    <row r="16" spans="1:232" s="50" customFormat="1" ht="25.5" customHeight="1">
      <c r="A16" s="38">
        <f t="shared" si="21"/>
        <v>15</v>
      </c>
      <c r="B16" s="39">
        <f t="shared" si="22"/>
        <v>2</v>
      </c>
      <c r="C16" s="40">
        <f t="shared" si="23"/>
        <v>0</v>
      </c>
      <c r="D16" s="39">
        <f t="shared" si="24"/>
        <v>4</v>
      </c>
      <c r="E16" s="41">
        <f t="shared" si="25"/>
        <v>0</v>
      </c>
      <c r="F16" s="41">
        <f t="shared" si="26"/>
        <v>5</v>
      </c>
      <c r="G16" s="41">
        <f t="shared" si="27"/>
        <v>5</v>
      </c>
      <c r="H16" s="41">
        <f t="shared" si="28"/>
        <v>0</v>
      </c>
      <c r="I16" s="42">
        <f t="shared" si="0"/>
        <v>31</v>
      </c>
      <c r="J16" s="212" t="s">
        <v>93</v>
      </c>
      <c r="K16" s="396">
        <v>1</v>
      </c>
      <c r="L16" s="394" t="s">
        <v>0</v>
      </c>
      <c r="M16" s="394" t="s">
        <v>52</v>
      </c>
      <c r="N16" s="394" t="s">
        <v>0</v>
      </c>
      <c r="O16" s="394" t="s">
        <v>3</v>
      </c>
      <c r="P16" s="409">
        <v>2</v>
      </c>
      <c r="Q16" s="237" t="s">
        <v>52</v>
      </c>
      <c r="R16" s="239" t="s">
        <v>0</v>
      </c>
      <c r="S16" s="238" t="s">
        <v>36</v>
      </c>
      <c r="T16" s="259" t="s">
        <v>5</v>
      </c>
      <c r="U16" s="242" t="s">
        <v>3</v>
      </c>
      <c r="V16" s="238" t="s">
        <v>0</v>
      </c>
      <c r="W16" s="238">
        <v>1</v>
      </c>
      <c r="X16" s="238">
        <v>1</v>
      </c>
      <c r="Y16" s="238">
        <v>1</v>
      </c>
      <c r="Z16" s="238" t="s">
        <v>52</v>
      </c>
      <c r="AA16" s="256" t="s">
        <v>5</v>
      </c>
      <c r="AB16" s="242" t="s">
        <v>3</v>
      </c>
      <c r="AC16" s="238">
        <v>1</v>
      </c>
      <c r="AD16" s="238">
        <v>1</v>
      </c>
      <c r="AE16" s="239" t="s">
        <v>52</v>
      </c>
      <c r="AF16" s="239" t="s">
        <v>0</v>
      </c>
      <c r="AG16" s="238" t="s">
        <v>36</v>
      </c>
      <c r="AH16" s="256" t="s">
        <v>5</v>
      </c>
      <c r="AI16" s="242" t="s">
        <v>3</v>
      </c>
      <c r="AJ16" s="256" t="s">
        <v>5</v>
      </c>
      <c r="AK16" s="238" t="s">
        <v>52</v>
      </c>
      <c r="AL16" s="246">
        <v>1</v>
      </c>
      <c r="AM16" s="238">
        <v>1</v>
      </c>
      <c r="AN16" s="238" t="s">
        <v>36</v>
      </c>
      <c r="AO16" s="234" t="s">
        <v>0</v>
      </c>
      <c r="AP16" s="242" t="s">
        <v>3</v>
      </c>
      <c r="AQ16" s="415">
        <v>2</v>
      </c>
      <c r="AR16" s="259" t="s">
        <v>38</v>
      </c>
      <c r="AS16" s="239" t="s">
        <v>52</v>
      </c>
      <c r="AT16" s="239" t="s">
        <v>0</v>
      </c>
      <c r="AU16" s="241" t="s">
        <v>36</v>
      </c>
      <c r="AV16" s="45">
        <v>0</v>
      </c>
      <c r="AW16" s="46">
        <f t="shared" si="1"/>
        <v>0</v>
      </c>
      <c r="AX16" s="46">
        <v>0</v>
      </c>
      <c r="AY16" s="134">
        <f t="shared" si="10"/>
        <v>0</v>
      </c>
      <c r="AZ16" s="329" t="s">
        <v>128</v>
      </c>
      <c r="BA16" s="6"/>
      <c r="BB16" s="6"/>
      <c r="BC16" s="6" cm="1">
        <f t="array" ref="BC16">SUMPRODUCT(COUNTIF(Q16:R16,{"X";"Y";"Z";"S"}))+SUMPRODUCT(COUNTIF(X16:Y16,{"X";"Y";"Z";"S"}))+SUMPRODUCT(COUNTIF(AE16:AF16,{"X";"Y";"Z";"S"}))+SUMPRODUCT(COUNTIF(AM16:AM16,{"X";"Y";"Z";"S"}))+SUMPRODUCT(COUNTIF(AS16:AT16,{"X";"Y";"Z";"S"}))-5</f>
        <v>1</v>
      </c>
      <c r="BD16" s="6">
        <v>3</v>
      </c>
      <c r="BE16" s="6">
        <f t="shared" si="29"/>
        <v>4</v>
      </c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</row>
    <row r="17" spans="1:232" ht="25.2" customHeight="1">
      <c r="A17" s="54">
        <f>COUNTIF(Q17:AU17,1)+COUNTIF(Q17:AU17,"早")+COUNTIF(Q17:AU17,"M1")+COUNTIF(Q17:AU17,"T早")+COUNTIF(Q17:AU17,"日")</f>
        <v>9</v>
      </c>
      <c r="B17" s="55">
        <f>COUNTIF(Q17:AU17,2)+COUNTIF(Q17:AU17,"中")+COUNTIF(Q17:AU17,"M2")+COUNTIF(Q17:AU17,"T中")+COUNTIF(Q17:AU17,"小夜")</f>
        <v>4</v>
      </c>
      <c r="C17" s="56">
        <f>COUNTIF(Q17:AU17,3)+COUNTIF(Q17:AU17,"晚")+COUNTIF(Q17:AU17,"大夜")</f>
        <v>3</v>
      </c>
      <c r="D17" s="55">
        <f>COUNTIF(Q17:AU17,"N")+COUNTIF(Q17:AU17,"N8")</f>
        <v>2</v>
      </c>
      <c r="E17" s="17">
        <f>COUNTIF(Q17:AU17,"S")</f>
        <v>2</v>
      </c>
      <c r="F17" s="17">
        <f>COUNTIF(Q17:AU17,"X")</f>
        <v>5</v>
      </c>
      <c r="G17" s="17">
        <f>COUNTIF(Q17:AU17,"Y")</f>
        <v>6</v>
      </c>
      <c r="H17" s="17">
        <f>COUNTIF(Q17:AU17,"Z")</f>
        <v>0</v>
      </c>
      <c r="I17" s="57">
        <f t="shared" si="0"/>
        <v>31</v>
      </c>
      <c r="J17" s="209" t="s">
        <v>9</v>
      </c>
      <c r="K17" s="392" t="s">
        <v>0</v>
      </c>
      <c r="L17" s="394" t="s">
        <v>36</v>
      </c>
      <c r="M17" s="394" t="s">
        <v>3</v>
      </c>
      <c r="N17" s="394" t="s">
        <v>52</v>
      </c>
      <c r="O17" s="394" t="s">
        <v>36</v>
      </c>
      <c r="P17" s="409" t="s">
        <v>3</v>
      </c>
      <c r="Q17" s="245" t="s">
        <v>36</v>
      </c>
      <c r="R17" s="238" t="s">
        <v>36</v>
      </c>
      <c r="S17" s="238" t="s">
        <v>36</v>
      </c>
      <c r="T17" s="242" t="s">
        <v>3</v>
      </c>
      <c r="U17" s="238" t="s">
        <v>52</v>
      </c>
      <c r="V17" s="238" t="s">
        <v>36</v>
      </c>
      <c r="W17" s="238" t="s">
        <v>36</v>
      </c>
      <c r="X17" s="239" t="s">
        <v>52</v>
      </c>
      <c r="Y17" s="239" t="s">
        <v>0</v>
      </c>
      <c r="Z17" s="234" t="s">
        <v>1</v>
      </c>
      <c r="AA17" s="238" t="s">
        <v>0</v>
      </c>
      <c r="AB17" s="238" t="s">
        <v>52</v>
      </c>
      <c r="AC17" s="238" t="s">
        <v>52</v>
      </c>
      <c r="AD17" s="259">
        <v>3</v>
      </c>
      <c r="AE17" s="259">
        <v>3</v>
      </c>
      <c r="AF17" s="238" t="s">
        <v>0</v>
      </c>
      <c r="AG17" s="259">
        <v>2</v>
      </c>
      <c r="AH17" s="259">
        <v>2</v>
      </c>
      <c r="AI17" s="259">
        <v>2</v>
      </c>
      <c r="AJ17" s="259">
        <v>2</v>
      </c>
      <c r="AK17" s="239" t="s">
        <v>52</v>
      </c>
      <c r="AL17" s="234" t="s">
        <v>1</v>
      </c>
      <c r="AM17" s="239" t="s">
        <v>0</v>
      </c>
      <c r="AN17" s="238" t="s">
        <v>0</v>
      </c>
      <c r="AO17" s="416" t="s">
        <v>41</v>
      </c>
      <c r="AP17" s="238">
        <v>1</v>
      </c>
      <c r="AQ17" s="238" t="s">
        <v>36</v>
      </c>
      <c r="AR17" s="238" t="s">
        <v>36</v>
      </c>
      <c r="AS17" s="238" t="s">
        <v>36</v>
      </c>
      <c r="AT17" s="238" t="s">
        <v>52</v>
      </c>
      <c r="AU17" s="259">
        <v>3</v>
      </c>
      <c r="AV17" s="45">
        <v>-1</v>
      </c>
      <c r="AW17" s="46">
        <f t="shared" si="1"/>
        <v>1</v>
      </c>
      <c r="AX17" s="46">
        <v>0</v>
      </c>
      <c r="AY17" s="134">
        <f>SUM(AV17:AX17)</f>
        <v>0</v>
      </c>
      <c r="AZ17" s="329" t="s">
        <v>126</v>
      </c>
      <c r="BC17" s="6" cm="1">
        <f t="array" ref="BC17">SUMPRODUCT(COUNTIF(Q17:R17,{"X";"Y";"Z";"S"}))+SUMPRODUCT(COUNTIF(X17:Y17,{"X";"Y";"Z";"S"}))+SUMPRODUCT(COUNTIF(AE17:AF17,{"X";"Y";"Z";"S"}))+SUMPRODUCT(COUNTIF(AL17:AM17,{"X";"Y";"Z";"S"}))+SUMPRODUCT(COUNTIF(AS17:AT17,{"X";"Y";"Z";"S"}))-5</f>
        <v>1</v>
      </c>
      <c r="BD17" s="6">
        <v>5</v>
      </c>
      <c r="BE17" s="6">
        <f t="shared" si="29"/>
        <v>6</v>
      </c>
    </row>
    <row r="18" spans="1:232" ht="25.5" customHeight="1" thickBot="1">
      <c r="A18" s="38">
        <f t="shared" ref="A18:A38" si="30">COUNTIF(Q18:AU18,1)+COUNTIF(Q18:AU18,"早")+COUNTIF(Q18:AU18,"M1")+COUNTIF(Q18:AU18,"T早")+COUNTIF(Q18:AU18,"日")</f>
        <v>14</v>
      </c>
      <c r="B18" s="39">
        <f t="shared" ref="B18:B38" si="31">COUNTIF(Q18:AU18,2)+COUNTIF(Q18:AU18,"中")+COUNTIF(Q18:AU18,"M2")+COUNTIF(Q18:AU18,"T中")+COUNTIF(Q18:AU18,"小夜")</f>
        <v>0</v>
      </c>
      <c r="C18" s="40">
        <f t="shared" ref="C18:C38" si="32">COUNTIF(Q18:AU18,3)+COUNTIF(Q18:AU18,"晚")+COUNTIF(Q18:AU18,"大夜")</f>
        <v>0</v>
      </c>
      <c r="D18" s="39">
        <f t="shared" ref="D18:D38" si="33">COUNTIF(Q18:AU18,"N")+COUNTIF(Q18:AU18,"N8")</f>
        <v>3</v>
      </c>
      <c r="E18" s="41">
        <f t="shared" ref="E18:E38" si="34">COUNTIF(Q18:AU18,"S")</f>
        <v>3</v>
      </c>
      <c r="F18" s="41">
        <f t="shared" ref="F18:F38" si="35">COUNTIF(Q18:AU18,"X")</f>
        <v>5</v>
      </c>
      <c r="G18" s="41">
        <f t="shared" ref="G18:G38" si="36">COUNTIF(Q18:AU18,"Y")</f>
        <v>6</v>
      </c>
      <c r="H18" s="41">
        <f t="shared" ref="H18:H38" si="37">COUNTIF(Q18:AU18,"Z")</f>
        <v>0</v>
      </c>
      <c r="I18" s="42">
        <f t="shared" si="0"/>
        <v>31</v>
      </c>
      <c r="J18" s="213" t="s">
        <v>137</v>
      </c>
      <c r="K18" s="398" t="s">
        <v>36</v>
      </c>
      <c r="L18" s="399" t="s">
        <v>36</v>
      </c>
      <c r="M18" s="399" t="s">
        <v>36</v>
      </c>
      <c r="N18" s="399" t="s">
        <v>1</v>
      </c>
      <c r="O18" s="399" t="s">
        <v>52</v>
      </c>
      <c r="P18" s="411" t="s">
        <v>36</v>
      </c>
      <c r="Q18" s="262" t="s">
        <v>52</v>
      </c>
      <c r="R18" s="249" t="s">
        <v>0</v>
      </c>
      <c r="S18" s="263" t="s">
        <v>36</v>
      </c>
      <c r="T18" s="251" t="s">
        <v>1</v>
      </c>
      <c r="U18" s="248" t="s">
        <v>36</v>
      </c>
      <c r="V18" s="248" t="s">
        <v>36</v>
      </c>
      <c r="W18" s="417" t="s">
        <v>3</v>
      </c>
      <c r="X18" s="248" t="s">
        <v>52</v>
      </c>
      <c r="Y18" s="248">
        <v>1</v>
      </c>
      <c r="Z18" s="263" t="s">
        <v>36</v>
      </c>
      <c r="AA18" s="248" t="s">
        <v>52</v>
      </c>
      <c r="AB18" s="248" t="s">
        <v>36</v>
      </c>
      <c r="AC18" s="417" t="s">
        <v>3</v>
      </c>
      <c r="AD18" s="248" t="s">
        <v>0</v>
      </c>
      <c r="AE18" s="249" t="s">
        <v>52</v>
      </c>
      <c r="AF18" s="249" t="s">
        <v>0</v>
      </c>
      <c r="AG18" s="263" t="s">
        <v>36</v>
      </c>
      <c r="AH18" s="417" t="s">
        <v>3</v>
      </c>
      <c r="AI18" s="248" t="s">
        <v>52</v>
      </c>
      <c r="AJ18" s="248" t="s">
        <v>36</v>
      </c>
      <c r="AK18" s="248" t="s">
        <v>36</v>
      </c>
      <c r="AL18" s="263">
        <v>1</v>
      </c>
      <c r="AM18" s="263">
        <v>1</v>
      </c>
      <c r="AN18" s="248" t="s">
        <v>0</v>
      </c>
      <c r="AO18" s="263" t="s">
        <v>36</v>
      </c>
      <c r="AP18" s="263" t="s">
        <v>36</v>
      </c>
      <c r="AQ18" s="248">
        <v>1</v>
      </c>
      <c r="AR18" s="249" t="s">
        <v>52</v>
      </c>
      <c r="AS18" s="251" t="s">
        <v>1</v>
      </c>
      <c r="AT18" s="251" t="s">
        <v>1</v>
      </c>
      <c r="AU18" s="421" t="s">
        <v>0</v>
      </c>
      <c r="AV18" s="385">
        <v>-1</v>
      </c>
      <c r="AW18" s="386">
        <f t="shared" si="1"/>
        <v>1</v>
      </c>
      <c r="AX18" s="386">
        <v>0</v>
      </c>
      <c r="AY18" s="355">
        <f t="shared" ref="AY18:AY45" si="38">SUM(AV18:AX18)</f>
        <v>0</v>
      </c>
      <c r="AZ18" s="387" t="s">
        <v>128</v>
      </c>
      <c r="BC18" s="6" cm="1">
        <f t="array" ref="BC18">SUMPRODUCT(COUNTIF(Q18:R18,{"X";"Y";"Z";"S"}))+SUMPRODUCT(COUNTIF(X18:Y18,{"X";"Y";"Z";"S"}))+SUMPRODUCT(COUNTIF(AE18:AF18,{"X";"Y";"Z";"S"}))+SUMPRODUCT(COUNTIF(AL18:AM18,{"X";"Y";"Z";"S"}))+SUMPRODUCT(COUNTIF(AS18:AT18,{"X";"Y";"Z";"S"}))-5</f>
        <v>2</v>
      </c>
      <c r="BD18" s="6">
        <v>1</v>
      </c>
      <c r="BE18" s="6">
        <f t="shared" si="29"/>
        <v>3</v>
      </c>
    </row>
    <row r="19" spans="1:232" s="50" customFormat="1" ht="25.2" customHeight="1">
      <c r="A19" s="23">
        <f t="shared" si="30"/>
        <v>3</v>
      </c>
      <c r="B19" s="24">
        <f t="shared" si="31"/>
        <v>15</v>
      </c>
      <c r="C19" s="25">
        <f t="shared" si="32"/>
        <v>0</v>
      </c>
      <c r="D19" s="24">
        <f t="shared" si="33"/>
        <v>0</v>
      </c>
      <c r="E19" s="26">
        <f t="shared" si="34"/>
        <v>3</v>
      </c>
      <c r="F19" s="26">
        <f t="shared" si="35"/>
        <v>5</v>
      </c>
      <c r="G19" s="26">
        <f t="shared" si="36"/>
        <v>5</v>
      </c>
      <c r="H19" s="26">
        <f t="shared" si="37"/>
        <v>0</v>
      </c>
      <c r="I19" s="27">
        <f t="shared" si="0"/>
        <v>31</v>
      </c>
      <c r="J19" s="189" t="s">
        <v>10</v>
      </c>
      <c r="K19" s="389">
        <v>2</v>
      </c>
      <c r="L19" s="390" t="s">
        <v>52</v>
      </c>
      <c r="M19" s="390" t="s">
        <v>1</v>
      </c>
      <c r="N19" s="390" t="s">
        <v>0</v>
      </c>
      <c r="O19" s="390">
        <v>3</v>
      </c>
      <c r="P19" s="391">
        <v>3</v>
      </c>
      <c r="Q19" s="418" t="s">
        <v>52</v>
      </c>
      <c r="R19" s="235">
        <v>2</v>
      </c>
      <c r="S19" s="235">
        <v>2</v>
      </c>
      <c r="T19" s="235">
        <v>2</v>
      </c>
      <c r="U19" s="235">
        <v>2</v>
      </c>
      <c r="V19" s="235" t="s">
        <v>0</v>
      </c>
      <c r="W19" s="235">
        <v>2</v>
      </c>
      <c r="X19" s="235">
        <v>2</v>
      </c>
      <c r="Y19" s="235">
        <v>2</v>
      </c>
      <c r="Z19" s="254" t="s">
        <v>52</v>
      </c>
      <c r="AA19" s="254" t="s">
        <v>1</v>
      </c>
      <c r="AB19" s="254" t="s">
        <v>1</v>
      </c>
      <c r="AC19" s="254" t="s">
        <v>0</v>
      </c>
      <c r="AD19" s="254" t="s">
        <v>0</v>
      </c>
      <c r="AE19" s="235">
        <v>1</v>
      </c>
      <c r="AF19" s="235">
        <v>2</v>
      </c>
      <c r="AG19" s="235">
        <v>2</v>
      </c>
      <c r="AH19" s="235">
        <v>2</v>
      </c>
      <c r="AI19" s="235">
        <v>2</v>
      </c>
      <c r="AJ19" s="235" t="s">
        <v>52</v>
      </c>
      <c r="AK19" s="235">
        <v>1</v>
      </c>
      <c r="AL19" s="235">
        <v>2</v>
      </c>
      <c r="AM19" s="235">
        <v>2</v>
      </c>
      <c r="AN19" s="235">
        <v>2</v>
      </c>
      <c r="AO19" s="235" t="s">
        <v>52</v>
      </c>
      <c r="AP19" s="235">
        <v>1</v>
      </c>
      <c r="AQ19" s="235">
        <v>2</v>
      </c>
      <c r="AR19" s="254" t="s">
        <v>52</v>
      </c>
      <c r="AS19" s="254" t="s">
        <v>1</v>
      </c>
      <c r="AT19" s="254" t="s">
        <v>0</v>
      </c>
      <c r="AU19" s="414" t="s">
        <v>0</v>
      </c>
      <c r="AV19" s="313">
        <v>0</v>
      </c>
      <c r="AW19" s="36">
        <f t="shared" si="1"/>
        <v>0</v>
      </c>
      <c r="AX19" s="36">
        <v>0</v>
      </c>
      <c r="AY19" s="26">
        <f t="shared" si="38"/>
        <v>0</v>
      </c>
      <c r="AZ19" s="328" t="s">
        <v>128</v>
      </c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</row>
    <row r="20" spans="1:232" s="50" customFormat="1" ht="25.5" customHeight="1">
      <c r="A20" s="38">
        <f t="shared" si="30"/>
        <v>2</v>
      </c>
      <c r="B20" s="39">
        <f t="shared" si="31"/>
        <v>15</v>
      </c>
      <c r="C20" s="40">
        <f t="shared" si="32"/>
        <v>1</v>
      </c>
      <c r="D20" s="39">
        <f t="shared" si="33"/>
        <v>2</v>
      </c>
      <c r="E20" s="41">
        <f t="shared" si="34"/>
        <v>1</v>
      </c>
      <c r="F20" s="41">
        <f t="shared" si="35"/>
        <v>5</v>
      </c>
      <c r="G20" s="41">
        <f t="shared" si="36"/>
        <v>5</v>
      </c>
      <c r="H20" s="41">
        <f t="shared" si="37"/>
        <v>0</v>
      </c>
      <c r="I20" s="42">
        <f t="shared" si="0"/>
        <v>31</v>
      </c>
      <c r="J20" s="190" t="s">
        <v>11</v>
      </c>
      <c r="K20" s="396">
        <v>2</v>
      </c>
      <c r="L20" s="394" t="s">
        <v>52</v>
      </c>
      <c r="M20" s="394" t="s">
        <v>1</v>
      </c>
      <c r="N20" s="394" t="s">
        <v>38</v>
      </c>
      <c r="O20" s="394" t="s">
        <v>38</v>
      </c>
      <c r="P20" s="395" t="s">
        <v>38</v>
      </c>
      <c r="Q20" s="245" t="s">
        <v>38</v>
      </c>
      <c r="R20" s="238" t="s">
        <v>38</v>
      </c>
      <c r="S20" s="238" t="s">
        <v>52</v>
      </c>
      <c r="T20" s="238" t="s">
        <v>38</v>
      </c>
      <c r="U20" s="238" t="s">
        <v>38</v>
      </c>
      <c r="V20" s="238" t="s">
        <v>38</v>
      </c>
      <c r="W20" s="238" t="s">
        <v>38</v>
      </c>
      <c r="X20" s="239" t="s">
        <v>52</v>
      </c>
      <c r="Y20" s="239" t="s">
        <v>0</v>
      </c>
      <c r="Z20" s="271" t="s">
        <v>0</v>
      </c>
      <c r="AA20" s="234" t="s">
        <v>1</v>
      </c>
      <c r="AB20" s="242" t="s">
        <v>3</v>
      </c>
      <c r="AC20" s="238" t="s">
        <v>38</v>
      </c>
      <c r="AD20" s="238">
        <v>2</v>
      </c>
      <c r="AE20" s="239" t="s">
        <v>52</v>
      </c>
      <c r="AF20" s="239" t="s">
        <v>0</v>
      </c>
      <c r="AG20" s="238" t="s">
        <v>0</v>
      </c>
      <c r="AH20" s="238" t="s">
        <v>36</v>
      </c>
      <c r="AI20" s="238" t="s">
        <v>38</v>
      </c>
      <c r="AJ20" s="238" t="s">
        <v>38</v>
      </c>
      <c r="AK20" s="238" t="s">
        <v>38</v>
      </c>
      <c r="AL20" s="238" t="s">
        <v>38</v>
      </c>
      <c r="AM20" s="238" t="s">
        <v>38</v>
      </c>
      <c r="AN20" s="238" t="s">
        <v>52</v>
      </c>
      <c r="AO20" s="238">
        <v>1</v>
      </c>
      <c r="AP20" s="242" t="s">
        <v>3</v>
      </c>
      <c r="AQ20" s="238" t="s">
        <v>38</v>
      </c>
      <c r="AR20" s="238" t="s">
        <v>38</v>
      </c>
      <c r="AS20" s="239" t="s">
        <v>52</v>
      </c>
      <c r="AT20" s="239" t="s">
        <v>0</v>
      </c>
      <c r="AU20" s="241" t="s">
        <v>40</v>
      </c>
      <c r="AV20" s="45">
        <v>0</v>
      </c>
      <c r="AW20" s="46">
        <f t="shared" si="1"/>
        <v>0</v>
      </c>
      <c r="AX20" s="46">
        <v>0</v>
      </c>
      <c r="AY20" s="41">
        <f t="shared" si="38"/>
        <v>0</v>
      </c>
      <c r="AZ20" s="329" t="s">
        <v>128</v>
      </c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</row>
    <row r="21" spans="1:232" ht="25.5" customHeight="1">
      <c r="A21" s="38">
        <f>COUNTIF(Q21:AU21,1)+COUNTIF(Q21:AU21,"早")+COUNTIF(Q21:AU21,"M1")+COUNTIF(Q21:AU21,"T早")+COUNTIF(Q21:AU21,"日")</f>
        <v>7</v>
      </c>
      <c r="B21" s="39">
        <f>COUNTIF(Q21:AU21,2)+COUNTIF(Q21:AU21,"中")+COUNTIF(Q21:AU21,"M2")+COUNTIF(Q21:AU21,"T中")+COUNTIF(Q21:AU21,"小夜")</f>
        <v>7</v>
      </c>
      <c r="C21" s="40">
        <f>COUNTIF(Q21:AU21,3)+COUNTIF(Q21:AU21,"晚")+COUNTIF(Q21:AU21,"大夜")</f>
        <v>4</v>
      </c>
      <c r="D21" s="39">
        <f>COUNTIF(Q21:AU21,"N")+COUNTIF(Q21:AU21,"N8")</f>
        <v>1</v>
      </c>
      <c r="E21" s="41">
        <f>COUNTIF(Q21:AU21,"S")</f>
        <v>2</v>
      </c>
      <c r="F21" s="41">
        <f>COUNTIF(Q21:AU21,"X")</f>
        <v>5</v>
      </c>
      <c r="G21" s="41">
        <f>COUNTIF(Q21:AU21,"Y")</f>
        <v>5</v>
      </c>
      <c r="H21" s="41">
        <f>COUNTIF(Q21:AU21,"Z")</f>
        <v>0</v>
      </c>
      <c r="I21" s="42">
        <f t="shared" si="0"/>
        <v>31</v>
      </c>
      <c r="J21" s="192" t="s">
        <v>12</v>
      </c>
      <c r="K21" s="392" t="s">
        <v>0</v>
      </c>
      <c r="L21" s="394" t="s">
        <v>40</v>
      </c>
      <c r="M21" s="394" t="s">
        <v>40</v>
      </c>
      <c r="N21" s="394" t="s">
        <v>40</v>
      </c>
      <c r="O21" s="394" t="s">
        <v>1</v>
      </c>
      <c r="P21" s="395" t="s">
        <v>52</v>
      </c>
      <c r="Q21" s="237" t="s">
        <v>52</v>
      </c>
      <c r="R21" s="234" t="s">
        <v>1</v>
      </c>
      <c r="S21" s="239" t="s">
        <v>0</v>
      </c>
      <c r="T21" s="238" t="s">
        <v>52</v>
      </c>
      <c r="U21" s="238" t="s">
        <v>40</v>
      </c>
      <c r="V21" s="238" t="s">
        <v>40</v>
      </c>
      <c r="W21" s="238" t="s">
        <v>0</v>
      </c>
      <c r="X21" s="238" t="s">
        <v>38</v>
      </c>
      <c r="Y21" s="238" t="s">
        <v>38</v>
      </c>
      <c r="Z21" s="238" t="s">
        <v>52</v>
      </c>
      <c r="AA21" s="238">
        <v>2</v>
      </c>
      <c r="AB21" s="238">
        <v>2</v>
      </c>
      <c r="AC21" s="238">
        <v>2</v>
      </c>
      <c r="AD21" s="238" t="s">
        <v>0</v>
      </c>
      <c r="AE21" s="238" t="s">
        <v>36</v>
      </c>
      <c r="AF21" s="238" t="s">
        <v>36</v>
      </c>
      <c r="AG21" s="238" t="s">
        <v>36</v>
      </c>
      <c r="AH21" s="238" t="s">
        <v>0</v>
      </c>
      <c r="AI21" s="242" t="s">
        <v>3</v>
      </c>
      <c r="AJ21" s="238">
        <v>2</v>
      </c>
      <c r="AK21" s="238">
        <v>2</v>
      </c>
      <c r="AL21" s="239" t="s">
        <v>52</v>
      </c>
      <c r="AM21" s="234" t="s">
        <v>1</v>
      </c>
      <c r="AN21" s="238" t="s">
        <v>36</v>
      </c>
      <c r="AO21" s="238" t="s">
        <v>36</v>
      </c>
      <c r="AP21" s="238" t="s">
        <v>36</v>
      </c>
      <c r="AQ21" s="238" t="s">
        <v>36</v>
      </c>
      <c r="AR21" s="238" t="s">
        <v>52</v>
      </c>
      <c r="AS21" s="238">
        <v>3</v>
      </c>
      <c r="AT21" s="238">
        <v>3</v>
      </c>
      <c r="AU21" s="420" t="s">
        <v>0</v>
      </c>
      <c r="AV21" s="45">
        <v>0</v>
      </c>
      <c r="AW21" s="46">
        <f t="shared" si="1"/>
        <v>0</v>
      </c>
      <c r="AX21" s="46">
        <v>0</v>
      </c>
      <c r="AY21" s="41">
        <f t="shared" si="38"/>
        <v>0</v>
      </c>
      <c r="AZ21" s="329" t="s">
        <v>126</v>
      </c>
    </row>
    <row r="22" spans="1:232" ht="25.5" customHeight="1">
      <c r="A22" s="38">
        <f t="shared" si="30"/>
        <v>3</v>
      </c>
      <c r="B22" s="39">
        <f t="shared" si="31"/>
        <v>0</v>
      </c>
      <c r="C22" s="40">
        <f t="shared" si="32"/>
        <v>16</v>
      </c>
      <c r="D22" s="39">
        <f t="shared" si="33"/>
        <v>0</v>
      </c>
      <c r="E22" s="41">
        <f t="shared" si="34"/>
        <v>2</v>
      </c>
      <c r="F22" s="41">
        <f t="shared" si="35"/>
        <v>5</v>
      </c>
      <c r="G22" s="41">
        <f t="shared" si="36"/>
        <v>5</v>
      </c>
      <c r="H22" s="41">
        <f t="shared" si="37"/>
        <v>0</v>
      </c>
      <c r="I22" s="42">
        <f t="shared" si="0"/>
        <v>31</v>
      </c>
      <c r="J22" s="190" t="s">
        <v>13</v>
      </c>
      <c r="K22" s="396">
        <v>3</v>
      </c>
      <c r="L22" s="393">
        <v>3</v>
      </c>
      <c r="M22" s="394">
        <v>3</v>
      </c>
      <c r="N22" s="394">
        <v>3</v>
      </c>
      <c r="O22" s="394" t="s">
        <v>0</v>
      </c>
      <c r="P22" s="395" t="s">
        <v>40</v>
      </c>
      <c r="Q22" s="237" t="s">
        <v>52</v>
      </c>
      <c r="R22" s="239" t="s">
        <v>0</v>
      </c>
      <c r="S22" s="238" t="s">
        <v>40</v>
      </c>
      <c r="T22" s="238" t="s">
        <v>40</v>
      </c>
      <c r="U22" s="238" t="s">
        <v>40</v>
      </c>
      <c r="V22" s="238" t="s">
        <v>52</v>
      </c>
      <c r="W22" s="238">
        <v>3</v>
      </c>
      <c r="X22" s="238">
        <v>3</v>
      </c>
      <c r="Y22" s="238">
        <v>3</v>
      </c>
      <c r="Z22" s="238" t="s">
        <v>40</v>
      </c>
      <c r="AA22" s="238" t="s">
        <v>40</v>
      </c>
      <c r="AB22" s="238" t="s">
        <v>0</v>
      </c>
      <c r="AC22" s="238" t="s">
        <v>40</v>
      </c>
      <c r="AD22" s="238" t="s">
        <v>40</v>
      </c>
      <c r="AE22" s="239" t="s">
        <v>52</v>
      </c>
      <c r="AF22" s="234" t="s">
        <v>1</v>
      </c>
      <c r="AG22" s="239" t="s">
        <v>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36</v>
      </c>
      <c r="AM22" s="238" t="s">
        <v>36</v>
      </c>
      <c r="AN22" s="238" t="s">
        <v>36</v>
      </c>
      <c r="AO22" s="234" t="s">
        <v>1</v>
      </c>
      <c r="AP22" s="234" t="s">
        <v>0</v>
      </c>
      <c r="AQ22" s="238" t="s">
        <v>40</v>
      </c>
      <c r="AR22" s="238" t="s">
        <v>40</v>
      </c>
      <c r="AS22" s="239" t="s">
        <v>52</v>
      </c>
      <c r="AT22" s="239" t="s">
        <v>0</v>
      </c>
      <c r="AU22" s="241">
        <v>3</v>
      </c>
      <c r="AV22" s="45">
        <v>0</v>
      </c>
      <c r="AW22" s="46">
        <f t="shared" si="1"/>
        <v>0</v>
      </c>
      <c r="AX22" s="46">
        <v>0</v>
      </c>
      <c r="AY22" s="41">
        <f t="shared" si="38"/>
        <v>0</v>
      </c>
      <c r="AZ22" s="329" t="s">
        <v>128</v>
      </c>
    </row>
    <row r="23" spans="1:232" s="50" customFormat="1" ht="25.5" customHeight="1">
      <c r="A23" s="38">
        <f t="shared" si="30"/>
        <v>5</v>
      </c>
      <c r="B23" s="39">
        <f t="shared" si="31"/>
        <v>8</v>
      </c>
      <c r="C23" s="40">
        <f t="shared" si="32"/>
        <v>8</v>
      </c>
      <c r="D23" s="39">
        <f t="shared" si="33"/>
        <v>0</v>
      </c>
      <c r="E23" s="41">
        <f t="shared" si="34"/>
        <v>0</v>
      </c>
      <c r="F23" s="41">
        <f t="shared" si="35"/>
        <v>5</v>
      </c>
      <c r="G23" s="41">
        <f t="shared" si="36"/>
        <v>5</v>
      </c>
      <c r="H23" s="41">
        <f t="shared" si="37"/>
        <v>0</v>
      </c>
      <c r="I23" s="42">
        <f t="shared" si="0"/>
        <v>31</v>
      </c>
      <c r="J23" s="193" t="s">
        <v>138</v>
      </c>
      <c r="K23" s="392" t="s">
        <v>0</v>
      </c>
      <c r="L23" s="394" t="s">
        <v>38</v>
      </c>
      <c r="M23" s="394" t="s">
        <v>38</v>
      </c>
      <c r="N23" s="394" t="s">
        <v>38</v>
      </c>
      <c r="O23" s="394" t="s">
        <v>52</v>
      </c>
      <c r="P23" s="395" t="s">
        <v>38</v>
      </c>
      <c r="Q23" s="245" t="s">
        <v>38</v>
      </c>
      <c r="R23" s="238" t="s">
        <v>38</v>
      </c>
      <c r="S23" s="238" t="s">
        <v>38</v>
      </c>
      <c r="T23" s="238" t="s">
        <v>38</v>
      </c>
      <c r="U23" s="238" t="s">
        <v>52</v>
      </c>
      <c r="V23" s="238" t="s">
        <v>40</v>
      </c>
      <c r="W23" s="238" t="s">
        <v>40</v>
      </c>
      <c r="X23" s="239" t="s">
        <v>52</v>
      </c>
      <c r="Y23" s="239" t="s">
        <v>0</v>
      </c>
      <c r="Z23" s="238" t="s">
        <v>0</v>
      </c>
      <c r="AA23" s="238" t="s">
        <v>40</v>
      </c>
      <c r="AB23" s="238" t="s">
        <v>40</v>
      </c>
      <c r="AC23" s="238" t="s">
        <v>0</v>
      </c>
      <c r="AD23" s="238" t="s">
        <v>52</v>
      </c>
      <c r="AE23" s="238" t="s">
        <v>36</v>
      </c>
      <c r="AF23" s="238" t="s">
        <v>36</v>
      </c>
      <c r="AG23" s="238" t="s">
        <v>0</v>
      </c>
      <c r="AH23" s="238" t="s">
        <v>40</v>
      </c>
      <c r="AI23" s="238" t="s">
        <v>40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38" t="s">
        <v>38</v>
      </c>
      <c r="AP23" s="238" t="s">
        <v>38</v>
      </c>
      <c r="AQ23" s="238" t="s">
        <v>52</v>
      </c>
      <c r="AR23" s="238" t="s">
        <v>36</v>
      </c>
      <c r="AS23" s="238" t="s">
        <v>36</v>
      </c>
      <c r="AT23" s="238" t="s">
        <v>36</v>
      </c>
      <c r="AU23" s="241">
        <v>2</v>
      </c>
      <c r="AV23" s="45">
        <v>0</v>
      </c>
      <c r="AW23" s="46">
        <f t="shared" si="1"/>
        <v>0</v>
      </c>
      <c r="AX23" s="46">
        <v>0</v>
      </c>
      <c r="AY23" s="41">
        <f t="shared" si="38"/>
        <v>0</v>
      </c>
      <c r="AZ23" s="329" t="s">
        <v>126</v>
      </c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</row>
    <row r="24" spans="1:232" s="50" customFormat="1" ht="25.5" customHeight="1">
      <c r="A24" s="38">
        <f t="shared" si="30"/>
        <v>12</v>
      </c>
      <c r="B24" s="39">
        <f t="shared" si="31"/>
        <v>0</v>
      </c>
      <c r="C24" s="40">
        <f t="shared" si="32"/>
        <v>0</v>
      </c>
      <c r="D24" s="39">
        <f t="shared" si="33"/>
        <v>9</v>
      </c>
      <c r="E24" s="41">
        <f t="shared" si="34"/>
        <v>0</v>
      </c>
      <c r="F24" s="41">
        <f t="shared" si="35"/>
        <v>5</v>
      </c>
      <c r="G24" s="41">
        <f t="shared" si="36"/>
        <v>5</v>
      </c>
      <c r="H24" s="41">
        <f t="shared" si="37"/>
        <v>0</v>
      </c>
      <c r="I24" s="42">
        <f t="shared" si="0"/>
        <v>31</v>
      </c>
      <c r="J24" s="194" t="s">
        <v>165</v>
      </c>
      <c r="K24" s="392" t="s">
        <v>0</v>
      </c>
      <c r="L24" s="394">
        <v>1</v>
      </c>
      <c r="M24" s="394" t="s">
        <v>3</v>
      </c>
      <c r="N24" s="394" t="s">
        <v>3</v>
      </c>
      <c r="O24" s="394">
        <v>1</v>
      </c>
      <c r="P24" s="395">
        <v>1</v>
      </c>
      <c r="Q24" s="237" t="s">
        <v>52</v>
      </c>
      <c r="R24" s="239" t="s">
        <v>0</v>
      </c>
      <c r="S24" s="238">
        <v>1</v>
      </c>
      <c r="T24" s="242" t="s">
        <v>3</v>
      </c>
      <c r="U24" s="238">
        <v>1</v>
      </c>
      <c r="V24" s="238">
        <v>1</v>
      </c>
      <c r="W24" s="238" t="s">
        <v>3</v>
      </c>
      <c r="X24" s="239" t="s">
        <v>52</v>
      </c>
      <c r="Y24" s="239" t="s">
        <v>0</v>
      </c>
      <c r="Z24" s="238">
        <v>1</v>
      </c>
      <c r="AA24" s="242" t="s">
        <v>3</v>
      </c>
      <c r="AB24" s="242" t="s">
        <v>3</v>
      </c>
      <c r="AC24" s="238" t="s">
        <v>3</v>
      </c>
      <c r="AD24" s="238">
        <v>1</v>
      </c>
      <c r="AE24" s="239" t="s">
        <v>52</v>
      </c>
      <c r="AF24" s="239" t="s">
        <v>0</v>
      </c>
      <c r="AG24" s="238">
        <v>1</v>
      </c>
      <c r="AH24" s="242" t="s">
        <v>3</v>
      </c>
      <c r="AI24" s="242" t="s">
        <v>3</v>
      </c>
      <c r="AJ24" s="238">
        <v>1</v>
      </c>
      <c r="AK24" s="238" t="s">
        <v>3</v>
      </c>
      <c r="AL24" s="239" t="s">
        <v>52</v>
      </c>
      <c r="AM24" s="239" t="s">
        <v>0</v>
      </c>
      <c r="AN24" s="238">
        <v>1</v>
      </c>
      <c r="AO24" s="238">
        <v>1</v>
      </c>
      <c r="AP24" s="242" t="s">
        <v>3</v>
      </c>
      <c r="AQ24" s="238">
        <v>1</v>
      </c>
      <c r="AR24" s="238">
        <v>1</v>
      </c>
      <c r="AS24" s="239" t="s">
        <v>52</v>
      </c>
      <c r="AT24" s="239" t="s">
        <v>0</v>
      </c>
      <c r="AU24" s="241">
        <v>1</v>
      </c>
      <c r="AV24" s="45">
        <v>0</v>
      </c>
      <c r="AW24" s="46">
        <f t="shared" si="1"/>
        <v>0</v>
      </c>
      <c r="AX24" s="46">
        <v>0</v>
      </c>
      <c r="AY24" s="41">
        <f t="shared" si="38"/>
        <v>0</v>
      </c>
      <c r="AZ24" s="329" t="s">
        <v>133</v>
      </c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</row>
    <row r="25" spans="1:232" s="50" customFormat="1" ht="25.5" customHeight="1">
      <c r="A25" s="38">
        <f>COUNTIF(Q25:AU25,1)+COUNTIF(Q25:AU25,"早")+COUNTIF(Q25:AU25,"M1")+COUNTIF(Q25:AU25,"T早")+COUNTIF(Q25:AU25,"日")</f>
        <v>9</v>
      </c>
      <c r="B25" s="39">
        <f>COUNTIF(Q25:AU25,2)+COUNTIF(Q25:AU25,"中")+COUNTIF(Q25:AU25,"M2")+COUNTIF(Q25:AU25,"T中")+COUNTIF(Q25:AU25,"小夜")</f>
        <v>7</v>
      </c>
      <c r="C25" s="40">
        <f>COUNTIF(Q25:AU25,3)+COUNTIF(Q25:AU25,"晚")+COUNTIF(Q25:AU25,"大夜")</f>
        <v>5</v>
      </c>
      <c r="D25" s="39">
        <f>COUNTIF(Q25:AU25,"N")+COUNTIF(Q25:AU25,"N8")</f>
        <v>0</v>
      </c>
      <c r="E25" s="41">
        <f>COUNTIF(Q25:AU25,"S")</f>
        <v>0</v>
      </c>
      <c r="F25" s="41">
        <f>COUNTIF(Q25:AU25,"X")</f>
        <v>5</v>
      </c>
      <c r="G25" s="41">
        <f>COUNTIF(Q25:AU25,"Y")</f>
        <v>5</v>
      </c>
      <c r="H25" s="41">
        <f>COUNTIF(Q25:AU25,"Z")</f>
        <v>0</v>
      </c>
      <c r="I25" s="42">
        <f t="shared" si="0"/>
        <v>31</v>
      </c>
      <c r="J25" s="194" t="s">
        <v>16</v>
      </c>
      <c r="K25" s="392" t="s">
        <v>0</v>
      </c>
      <c r="L25" s="394" t="s">
        <v>36</v>
      </c>
      <c r="M25" s="394" t="s">
        <v>36</v>
      </c>
      <c r="N25" s="394" t="s">
        <v>36</v>
      </c>
      <c r="O25" s="394" t="s">
        <v>36</v>
      </c>
      <c r="P25" s="395" t="s">
        <v>0</v>
      </c>
      <c r="Q25" s="245" t="s">
        <v>36</v>
      </c>
      <c r="R25" s="238" t="s">
        <v>36</v>
      </c>
      <c r="S25" s="238" t="s">
        <v>36</v>
      </c>
      <c r="T25" s="238">
        <v>2</v>
      </c>
      <c r="U25" s="238" t="s">
        <v>0</v>
      </c>
      <c r="V25" s="238" t="s">
        <v>36</v>
      </c>
      <c r="W25" s="238" t="s">
        <v>36</v>
      </c>
      <c r="X25" s="239" t="s">
        <v>52</v>
      </c>
      <c r="Y25" s="239" t="s">
        <v>0</v>
      </c>
      <c r="Z25" s="234" t="s">
        <v>0</v>
      </c>
      <c r="AA25" s="238" t="s">
        <v>40</v>
      </c>
      <c r="AB25" s="238" t="s">
        <v>40</v>
      </c>
      <c r="AC25" s="238" t="s">
        <v>40</v>
      </c>
      <c r="AD25" s="238" t="s">
        <v>52</v>
      </c>
      <c r="AE25" s="238" t="s">
        <v>38</v>
      </c>
      <c r="AF25" s="238" t="s">
        <v>38</v>
      </c>
      <c r="AG25" s="238" t="s">
        <v>38</v>
      </c>
      <c r="AH25" s="238" t="s">
        <v>38</v>
      </c>
      <c r="AI25" s="238" t="s">
        <v>52</v>
      </c>
      <c r="AJ25" s="238" t="s">
        <v>38</v>
      </c>
      <c r="AK25" s="238" t="s">
        <v>38</v>
      </c>
      <c r="AL25" s="239" t="s">
        <v>52</v>
      </c>
      <c r="AM25" s="239" t="s">
        <v>0</v>
      </c>
      <c r="AN25" s="238" t="s">
        <v>40</v>
      </c>
      <c r="AO25" s="238" t="s">
        <v>40</v>
      </c>
      <c r="AP25" s="238" t="s">
        <v>52</v>
      </c>
      <c r="AQ25" s="238" t="s">
        <v>0</v>
      </c>
      <c r="AR25" s="238" t="s">
        <v>36</v>
      </c>
      <c r="AS25" s="238" t="s">
        <v>36</v>
      </c>
      <c r="AT25" s="238" t="s">
        <v>36</v>
      </c>
      <c r="AU25" s="241" t="s">
        <v>36</v>
      </c>
      <c r="AV25" s="45">
        <v>0</v>
      </c>
      <c r="AW25" s="46">
        <f t="shared" si="1"/>
        <v>0</v>
      </c>
      <c r="AX25" s="46">
        <v>0</v>
      </c>
      <c r="AY25" s="41">
        <f t="shared" si="38"/>
        <v>0</v>
      </c>
      <c r="AZ25" s="329" t="s">
        <v>126</v>
      </c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</row>
    <row r="26" spans="1:232" s="50" customFormat="1" ht="27" customHeight="1">
      <c r="A26" s="38">
        <f t="shared" ref="A26:A28" si="39">COUNTIF(Q26:AU26,1)+COUNTIF(Q26:AU26,"早")+COUNTIF(Q26:AU26,"M1")+COUNTIF(Q26:AU26,"T早")+COUNTIF(Q26:AU26,"日")</f>
        <v>4</v>
      </c>
      <c r="B26" s="39">
        <f t="shared" ref="B26:B28" si="40">COUNTIF(Q26:AU26,2)+COUNTIF(Q26:AU26,"中")+COUNTIF(Q26:AU26,"M2")+COUNTIF(Q26:AU26,"T中")+COUNTIF(Q26:AU26,"小夜")</f>
        <v>1</v>
      </c>
      <c r="C26" s="40">
        <f t="shared" ref="C26:C28" si="41">COUNTIF(Q26:AU26,3)+COUNTIF(Q26:AU26,"晚")+COUNTIF(Q26:AU26,"大夜")</f>
        <v>14</v>
      </c>
      <c r="D26" s="39">
        <f t="shared" ref="D26:D28" si="42">COUNTIF(Q26:AU26,"N")+COUNTIF(Q26:AU26,"N8")</f>
        <v>2</v>
      </c>
      <c r="E26" s="41">
        <f t="shared" ref="E26:E28" si="43">COUNTIF(Q26:AU26,"S")</f>
        <v>0</v>
      </c>
      <c r="F26" s="41">
        <f t="shared" ref="F26:F28" si="44">COUNTIF(Q26:AU26,"X")</f>
        <v>5</v>
      </c>
      <c r="G26" s="41">
        <f t="shared" ref="G26:G28" si="45">COUNTIF(Q26:AU26,"Y")</f>
        <v>5</v>
      </c>
      <c r="H26" s="41">
        <f t="shared" ref="H26:H28" si="46">COUNTIF(Q26:AU26,"Z")</f>
        <v>0</v>
      </c>
      <c r="I26" s="42">
        <f t="shared" si="0"/>
        <v>31</v>
      </c>
      <c r="J26" s="194" t="s">
        <v>139</v>
      </c>
      <c r="K26" s="392" t="s">
        <v>0</v>
      </c>
      <c r="L26" s="394">
        <v>2</v>
      </c>
      <c r="M26" s="394">
        <v>2</v>
      </c>
      <c r="N26" s="394">
        <v>2</v>
      </c>
      <c r="O26" s="394">
        <v>2</v>
      </c>
      <c r="P26" s="395">
        <v>2</v>
      </c>
      <c r="Q26" s="245">
        <v>2</v>
      </c>
      <c r="R26" s="238" t="s">
        <v>52</v>
      </c>
      <c r="S26" s="238">
        <v>3</v>
      </c>
      <c r="T26" s="238">
        <v>3</v>
      </c>
      <c r="U26" s="238">
        <v>3</v>
      </c>
      <c r="V26" s="238">
        <v>3</v>
      </c>
      <c r="W26" s="234" t="s">
        <v>0</v>
      </c>
      <c r="X26" s="239" t="s">
        <v>52</v>
      </c>
      <c r="Y26" s="239" t="s">
        <v>0</v>
      </c>
      <c r="Z26" s="238">
        <v>1</v>
      </c>
      <c r="AA26" s="238">
        <v>1</v>
      </c>
      <c r="AB26" s="242" t="s">
        <v>3</v>
      </c>
      <c r="AC26" s="242" t="s">
        <v>3</v>
      </c>
      <c r="AD26" s="238" t="s">
        <v>52</v>
      </c>
      <c r="AE26" s="238">
        <v>3</v>
      </c>
      <c r="AF26" s="238">
        <v>3</v>
      </c>
      <c r="AG26" s="238">
        <v>3</v>
      </c>
      <c r="AH26" s="238">
        <v>3</v>
      </c>
      <c r="AI26" s="238">
        <v>3</v>
      </c>
      <c r="AJ26" s="238">
        <v>3</v>
      </c>
      <c r="AK26" s="234" t="s">
        <v>0</v>
      </c>
      <c r="AL26" s="239" t="s">
        <v>52</v>
      </c>
      <c r="AM26" s="239" t="s">
        <v>0</v>
      </c>
      <c r="AN26" s="238">
        <v>3</v>
      </c>
      <c r="AO26" s="238">
        <v>3</v>
      </c>
      <c r="AP26" s="238">
        <v>3</v>
      </c>
      <c r="AQ26" s="238">
        <v>3</v>
      </c>
      <c r="AR26" s="238" t="s">
        <v>52</v>
      </c>
      <c r="AS26" s="238">
        <v>1</v>
      </c>
      <c r="AT26" s="238">
        <v>1</v>
      </c>
      <c r="AU26" s="241" t="s">
        <v>0</v>
      </c>
      <c r="AV26" s="45">
        <v>0</v>
      </c>
      <c r="AW26" s="46">
        <f t="shared" si="1"/>
        <v>0</v>
      </c>
      <c r="AX26" s="46">
        <v>0</v>
      </c>
      <c r="AY26" s="41">
        <f t="shared" si="38"/>
        <v>0</v>
      </c>
      <c r="AZ26" s="329" t="s">
        <v>126</v>
      </c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</row>
    <row r="27" spans="1:232" s="50" customFormat="1" ht="25.5" customHeight="1">
      <c r="A27" s="38">
        <f t="shared" si="39"/>
        <v>0</v>
      </c>
      <c r="B27" s="39">
        <f t="shared" si="40"/>
        <v>3</v>
      </c>
      <c r="C27" s="40">
        <f t="shared" si="41"/>
        <v>18</v>
      </c>
      <c r="D27" s="39">
        <f t="shared" si="42"/>
        <v>0</v>
      </c>
      <c r="E27" s="41">
        <f t="shared" si="43"/>
        <v>0</v>
      </c>
      <c r="F27" s="41">
        <f t="shared" si="44"/>
        <v>5</v>
      </c>
      <c r="G27" s="41">
        <f t="shared" si="45"/>
        <v>5</v>
      </c>
      <c r="H27" s="41">
        <f t="shared" si="46"/>
        <v>0</v>
      </c>
      <c r="I27" s="42">
        <f t="shared" si="0"/>
        <v>31</v>
      </c>
      <c r="J27" s="194" t="s">
        <v>140</v>
      </c>
      <c r="K27" s="392">
        <v>1</v>
      </c>
      <c r="L27" s="394">
        <v>1</v>
      </c>
      <c r="M27" s="394">
        <v>1</v>
      </c>
      <c r="N27" s="394" t="s">
        <v>52</v>
      </c>
      <c r="O27" s="394">
        <v>3</v>
      </c>
      <c r="P27" s="395">
        <v>3</v>
      </c>
      <c r="Q27" s="245">
        <v>3</v>
      </c>
      <c r="R27" s="238">
        <v>3</v>
      </c>
      <c r="S27" s="238">
        <v>3</v>
      </c>
      <c r="T27" s="238">
        <v>3</v>
      </c>
      <c r="U27" s="238" t="s">
        <v>0</v>
      </c>
      <c r="V27" s="238">
        <v>3</v>
      </c>
      <c r="W27" s="238">
        <v>3</v>
      </c>
      <c r="X27" s="239" t="s">
        <v>52</v>
      </c>
      <c r="Y27" s="239" t="s">
        <v>0</v>
      </c>
      <c r="Z27" s="238">
        <v>3</v>
      </c>
      <c r="AA27" s="238">
        <v>3</v>
      </c>
      <c r="AB27" s="238">
        <v>3</v>
      </c>
      <c r="AC27" s="238">
        <v>3</v>
      </c>
      <c r="AD27" s="238">
        <v>3</v>
      </c>
      <c r="AE27" s="239" t="s">
        <v>52</v>
      </c>
      <c r="AF27" s="239" t="s">
        <v>0</v>
      </c>
      <c r="AG27" s="238">
        <v>3</v>
      </c>
      <c r="AH27" s="238">
        <v>3</v>
      </c>
      <c r="AI27" s="238" t="s">
        <v>0</v>
      </c>
      <c r="AJ27" s="238" t="s">
        <v>52</v>
      </c>
      <c r="AK27" s="238">
        <v>3</v>
      </c>
      <c r="AL27" s="238">
        <v>3</v>
      </c>
      <c r="AM27" s="238">
        <v>3</v>
      </c>
      <c r="AN27" s="238">
        <v>3</v>
      </c>
      <c r="AO27" s="238" t="s">
        <v>52</v>
      </c>
      <c r="AP27" s="238">
        <v>2</v>
      </c>
      <c r="AQ27" s="240">
        <v>2</v>
      </c>
      <c r="AR27" s="238">
        <v>2</v>
      </c>
      <c r="AS27" s="239" t="s">
        <v>52</v>
      </c>
      <c r="AT27" s="239" t="s">
        <v>0</v>
      </c>
      <c r="AU27" s="241">
        <v>3</v>
      </c>
      <c r="AV27" s="62">
        <v>0</v>
      </c>
      <c r="AW27" s="46">
        <f t="shared" si="1"/>
        <v>0</v>
      </c>
      <c r="AX27" s="46">
        <v>0</v>
      </c>
      <c r="AY27" s="41">
        <f t="shared" si="38"/>
        <v>0</v>
      </c>
      <c r="AZ27" s="329" t="s">
        <v>128</v>
      </c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</row>
    <row r="28" spans="1:232" s="50" customFormat="1" ht="25.5" customHeight="1">
      <c r="A28" s="38">
        <f t="shared" si="39"/>
        <v>3</v>
      </c>
      <c r="B28" s="39">
        <f t="shared" si="40"/>
        <v>10</v>
      </c>
      <c r="C28" s="40">
        <f t="shared" si="41"/>
        <v>7</v>
      </c>
      <c r="D28" s="39">
        <f t="shared" si="42"/>
        <v>0</v>
      </c>
      <c r="E28" s="41">
        <f t="shared" si="43"/>
        <v>0</v>
      </c>
      <c r="F28" s="41">
        <f t="shared" si="44"/>
        <v>5</v>
      </c>
      <c r="G28" s="41">
        <f t="shared" si="45"/>
        <v>6</v>
      </c>
      <c r="H28" s="41">
        <f t="shared" si="46"/>
        <v>0</v>
      </c>
      <c r="I28" s="42">
        <f t="shared" si="0"/>
        <v>31</v>
      </c>
      <c r="J28" s="194" t="s">
        <v>19</v>
      </c>
      <c r="K28" s="392" t="s">
        <v>0</v>
      </c>
      <c r="L28" s="393">
        <v>2</v>
      </c>
      <c r="M28" s="400">
        <v>2</v>
      </c>
      <c r="N28" s="400">
        <v>2</v>
      </c>
      <c r="O28" s="394">
        <v>2</v>
      </c>
      <c r="P28" s="395">
        <v>2</v>
      </c>
      <c r="Q28" s="237" t="s">
        <v>52</v>
      </c>
      <c r="R28" s="239" t="s">
        <v>0</v>
      </c>
      <c r="S28" s="238">
        <v>3</v>
      </c>
      <c r="T28" s="238">
        <v>3</v>
      </c>
      <c r="U28" s="238">
        <v>3</v>
      </c>
      <c r="V28" s="238" t="s">
        <v>52</v>
      </c>
      <c r="W28" s="234" t="s">
        <v>52</v>
      </c>
      <c r="X28" s="238">
        <v>2</v>
      </c>
      <c r="Y28" s="238">
        <v>2</v>
      </c>
      <c r="Z28" s="238">
        <v>2</v>
      </c>
      <c r="AA28" s="238" t="s">
        <v>0</v>
      </c>
      <c r="AB28" s="238">
        <v>2</v>
      </c>
      <c r="AC28" s="238">
        <v>2</v>
      </c>
      <c r="AD28" s="238">
        <v>2</v>
      </c>
      <c r="AE28" s="239" t="s">
        <v>52</v>
      </c>
      <c r="AF28" s="239" t="s">
        <v>0</v>
      </c>
      <c r="AG28" s="238" t="s">
        <v>0</v>
      </c>
      <c r="AH28" s="238">
        <v>1</v>
      </c>
      <c r="AI28" s="238">
        <v>1</v>
      </c>
      <c r="AJ28" s="238">
        <v>2</v>
      </c>
      <c r="AK28" s="238">
        <v>2</v>
      </c>
      <c r="AL28" s="238">
        <v>2</v>
      </c>
      <c r="AM28" s="238">
        <v>2</v>
      </c>
      <c r="AN28" s="238" t="s">
        <v>52</v>
      </c>
      <c r="AO28" s="238">
        <v>3</v>
      </c>
      <c r="AP28" s="238">
        <v>3</v>
      </c>
      <c r="AQ28" s="238">
        <v>3</v>
      </c>
      <c r="AR28" s="238">
        <v>3</v>
      </c>
      <c r="AS28" s="239" t="s">
        <v>52</v>
      </c>
      <c r="AT28" s="239" t="s">
        <v>0</v>
      </c>
      <c r="AU28" s="241">
        <v>1</v>
      </c>
      <c r="AV28" s="62">
        <v>-1</v>
      </c>
      <c r="AW28" s="46">
        <f t="shared" si="1"/>
        <v>1</v>
      </c>
      <c r="AX28" s="46">
        <v>0</v>
      </c>
      <c r="AY28" s="41">
        <f t="shared" si="38"/>
        <v>0</v>
      </c>
      <c r="AZ28" s="329" t="s">
        <v>128</v>
      </c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</row>
    <row r="29" spans="1:232" s="50" customFormat="1" ht="25.5" customHeight="1">
      <c r="A29" s="38">
        <f>COUNTIF(Q29:AU29,1)+COUNTIF(Q29:AU29,"早")+COUNTIF(Q29:AU29,"M1")+COUNTIF(Q29:AU29,"T早")+COUNTIF(Q29:AU29,"日")</f>
        <v>9</v>
      </c>
      <c r="B29" s="39">
        <f>COUNTIF(Q29:AU29,2)+COUNTIF(Q29:AU29,"中")+COUNTIF(Q29:AU29,"M2")+COUNTIF(Q29:AU29,"T中")+COUNTIF(Q29:AU29,"小夜")</f>
        <v>6</v>
      </c>
      <c r="C29" s="40">
        <f>COUNTIF(Q29:AU29,3)+COUNTIF(Q29:AU29,"晚")+COUNTIF(Q29:AU29,"大夜")</f>
        <v>6</v>
      </c>
      <c r="D29" s="39">
        <f>COUNTIF(Q29:AU29,"N")+COUNTIF(Q29:AU29,"N8")</f>
        <v>0</v>
      </c>
      <c r="E29" s="41">
        <f>COUNTIF(Q29:AU29,"S")</f>
        <v>0</v>
      </c>
      <c r="F29" s="41">
        <f>COUNTIF(Q29:AU29,"X")</f>
        <v>5</v>
      </c>
      <c r="G29" s="41">
        <f>COUNTIF(Q29:AU29,"Y")</f>
        <v>5</v>
      </c>
      <c r="H29" s="41">
        <f>COUNTIF(Q29:AU29,"Z")</f>
        <v>0</v>
      </c>
      <c r="I29" s="42">
        <f t="shared" si="0"/>
        <v>31</v>
      </c>
      <c r="J29" s="194" t="s">
        <v>20</v>
      </c>
      <c r="K29" s="392" t="s">
        <v>0</v>
      </c>
      <c r="L29" s="394" t="s">
        <v>0</v>
      </c>
      <c r="M29" s="394">
        <v>1</v>
      </c>
      <c r="N29" s="394">
        <v>1</v>
      </c>
      <c r="O29" s="394">
        <v>1</v>
      </c>
      <c r="P29" s="395">
        <v>1</v>
      </c>
      <c r="Q29" s="245">
        <v>1</v>
      </c>
      <c r="R29" s="238">
        <v>1</v>
      </c>
      <c r="S29" s="238" t="s">
        <v>0</v>
      </c>
      <c r="T29" s="238">
        <v>1</v>
      </c>
      <c r="U29" s="238">
        <v>1</v>
      </c>
      <c r="V29" s="238">
        <v>1</v>
      </c>
      <c r="W29" s="238">
        <v>1</v>
      </c>
      <c r="X29" s="239" t="s">
        <v>52</v>
      </c>
      <c r="Y29" s="239" t="s">
        <v>0</v>
      </c>
      <c r="Z29" s="238">
        <v>3</v>
      </c>
      <c r="AA29" s="238">
        <v>3</v>
      </c>
      <c r="AB29" s="238">
        <v>3</v>
      </c>
      <c r="AC29" s="238">
        <v>3</v>
      </c>
      <c r="AD29" s="238" t="s">
        <v>52</v>
      </c>
      <c r="AE29" s="238">
        <v>1</v>
      </c>
      <c r="AF29" s="238">
        <v>1</v>
      </c>
      <c r="AG29" s="238">
        <v>1</v>
      </c>
      <c r="AH29" s="238" t="s">
        <v>0</v>
      </c>
      <c r="AI29" s="238" t="s">
        <v>0</v>
      </c>
      <c r="AJ29" s="238">
        <v>3</v>
      </c>
      <c r="AK29" s="238">
        <v>3</v>
      </c>
      <c r="AL29" s="239" t="s">
        <v>52</v>
      </c>
      <c r="AM29" s="239" t="s">
        <v>0</v>
      </c>
      <c r="AN29" s="238">
        <v>2</v>
      </c>
      <c r="AO29" s="238">
        <v>2</v>
      </c>
      <c r="AP29" s="238">
        <v>2</v>
      </c>
      <c r="AQ29" s="238" t="s">
        <v>52</v>
      </c>
      <c r="AR29" s="238">
        <v>2</v>
      </c>
      <c r="AS29" s="238">
        <v>2</v>
      </c>
      <c r="AT29" s="238">
        <v>2</v>
      </c>
      <c r="AU29" s="241" t="s">
        <v>52</v>
      </c>
      <c r="AV29" s="62">
        <v>0</v>
      </c>
      <c r="AW29" s="46">
        <f t="shared" si="1"/>
        <v>0</v>
      </c>
      <c r="AX29" s="46">
        <v>0</v>
      </c>
      <c r="AY29" s="41">
        <f>SUM(AV29:AX29)</f>
        <v>0</v>
      </c>
      <c r="AZ29" s="329" t="s">
        <v>126</v>
      </c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</row>
    <row r="30" spans="1:232" s="50" customFormat="1" ht="25.5" customHeight="1">
      <c r="A30" s="54">
        <f t="shared" ref="A30:A32" si="47">COUNTIF(Q30:AU30,1)+COUNTIF(Q30:AU30,"早")+COUNTIF(Q30:AU30,"M1")+COUNTIF(Q30:AU30,"T早")+COUNTIF(Q30:AU30,"日")</f>
        <v>6</v>
      </c>
      <c r="B30" s="55">
        <f t="shared" ref="B30:B32" si="48">COUNTIF(Q30:AU30,2)+COUNTIF(Q30:AU30,"中")+COUNTIF(Q30:AU30,"M2")+COUNTIF(Q30:AU30,"T中")+COUNTIF(Q30:AU30,"小夜")</f>
        <v>14</v>
      </c>
      <c r="C30" s="56">
        <f t="shared" ref="C30:C32" si="49">COUNTIF(Q30:AU30,3)+COUNTIF(Q30:AU30,"晚")+COUNTIF(Q30:AU30,"大夜")</f>
        <v>1</v>
      </c>
      <c r="D30" s="55">
        <f t="shared" ref="D30:D32" si="50">COUNTIF(Q30:AU30,"N")+COUNTIF(Q30:AU30,"N8")</f>
        <v>0</v>
      </c>
      <c r="E30" s="17">
        <f t="shared" ref="E30:E32" si="51">COUNTIF(Q30:AU30,"S")</f>
        <v>0</v>
      </c>
      <c r="F30" s="17">
        <f t="shared" ref="F30:F32" si="52">COUNTIF(Q30:AU30,"X")</f>
        <v>5</v>
      </c>
      <c r="G30" s="17">
        <f t="shared" ref="G30:G32" si="53">COUNTIF(Q30:AU30,"Y")</f>
        <v>5</v>
      </c>
      <c r="H30" s="17">
        <f t="shared" ref="H30:H32" si="54">COUNTIF(Q30:AU30,"Z")</f>
        <v>0</v>
      </c>
      <c r="I30" s="57">
        <f t="shared" si="0"/>
        <v>31</v>
      </c>
      <c r="J30" s="194" t="s">
        <v>21</v>
      </c>
      <c r="K30" s="392" t="s">
        <v>0</v>
      </c>
      <c r="L30" s="394">
        <v>3</v>
      </c>
      <c r="M30" s="394">
        <v>3</v>
      </c>
      <c r="N30" s="394">
        <v>3</v>
      </c>
      <c r="O30" s="394">
        <v>3</v>
      </c>
      <c r="P30" s="395" t="s">
        <v>52</v>
      </c>
      <c r="Q30" s="245">
        <v>1</v>
      </c>
      <c r="R30" s="238">
        <v>1</v>
      </c>
      <c r="S30" s="238">
        <v>2</v>
      </c>
      <c r="T30" s="238" t="s">
        <v>52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2</v>
      </c>
      <c r="AA30" s="238">
        <v>2</v>
      </c>
      <c r="AB30" s="238" t="s">
        <v>0</v>
      </c>
      <c r="AC30" s="238" t="s">
        <v>52</v>
      </c>
      <c r="AD30" s="238">
        <v>3</v>
      </c>
      <c r="AE30" s="238">
        <v>2</v>
      </c>
      <c r="AF30" s="238">
        <v>2</v>
      </c>
      <c r="AG30" s="238">
        <v>2</v>
      </c>
      <c r="AH30" s="238">
        <v>2</v>
      </c>
      <c r="AI30" s="238" t="s">
        <v>0</v>
      </c>
      <c r="AJ30" s="238">
        <v>1</v>
      </c>
      <c r="AK30" s="238">
        <v>1</v>
      </c>
      <c r="AL30" s="239" t="s">
        <v>52</v>
      </c>
      <c r="AM30" s="239" t="s">
        <v>0</v>
      </c>
      <c r="AN30" s="238">
        <v>1</v>
      </c>
      <c r="AO30" s="238">
        <v>2</v>
      </c>
      <c r="AP30" s="238" t="s">
        <v>0</v>
      </c>
      <c r="AQ30" s="238" t="s">
        <v>52</v>
      </c>
      <c r="AR30" s="238">
        <v>1</v>
      </c>
      <c r="AS30" s="238">
        <v>2</v>
      </c>
      <c r="AT30" s="238">
        <v>2</v>
      </c>
      <c r="AU30" s="241">
        <v>2</v>
      </c>
      <c r="AV30" s="62">
        <v>0</v>
      </c>
      <c r="AW30" s="46">
        <f t="shared" si="1"/>
        <v>0</v>
      </c>
      <c r="AX30" s="46">
        <v>0</v>
      </c>
      <c r="AY30" s="41">
        <f t="shared" ref="AY30:AY32" si="55">SUM(AV30:AX30)</f>
        <v>0</v>
      </c>
      <c r="AZ30" s="329" t="s">
        <v>126</v>
      </c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</row>
    <row r="31" spans="1:232" s="50" customFormat="1" ht="25.5" customHeight="1">
      <c r="A31" s="54">
        <f t="shared" si="47"/>
        <v>21</v>
      </c>
      <c r="B31" s="55">
        <f t="shared" si="48"/>
        <v>0</v>
      </c>
      <c r="C31" s="56">
        <f t="shared" si="49"/>
        <v>0</v>
      </c>
      <c r="D31" s="55">
        <f t="shared" si="50"/>
        <v>0</v>
      </c>
      <c r="E31" s="17">
        <f t="shared" si="51"/>
        <v>0</v>
      </c>
      <c r="F31" s="17">
        <f t="shared" si="52"/>
        <v>5</v>
      </c>
      <c r="G31" s="17">
        <f t="shared" si="53"/>
        <v>5</v>
      </c>
      <c r="H31" s="17">
        <f t="shared" si="54"/>
        <v>0</v>
      </c>
      <c r="I31" s="57">
        <f t="shared" si="0"/>
        <v>31</v>
      </c>
      <c r="J31" s="194" t="s">
        <v>166</v>
      </c>
      <c r="K31" s="392" t="s">
        <v>0</v>
      </c>
      <c r="L31" s="394">
        <v>1</v>
      </c>
      <c r="M31" s="394">
        <v>1</v>
      </c>
      <c r="N31" s="394">
        <v>1</v>
      </c>
      <c r="O31" s="394">
        <v>1</v>
      </c>
      <c r="P31" s="395">
        <v>1</v>
      </c>
      <c r="Q31" s="237" t="s">
        <v>52</v>
      </c>
      <c r="R31" s="239" t="s">
        <v>0</v>
      </c>
      <c r="S31" s="238">
        <v>1</v>
      </c>
      <c r="T31" s="238">
        <v>1</v>
      </c>
      <c r="U31" s="238">
        <v>1</v>
      </c>
      <c r="V31" s="238">
        <v>1</v>
      </c>
      <c r="W31" s="238">
        <v>1</v>
      </c>
      <c r="X31" s="239" t="s">
        <v>52</v>
      </c>
      <c r="Y31" s="239" t="s">
        <v>0</v>
      </c>
      <c r="Z31" s="238">
        <v>1</v>
      </c>
      <c r="AA31" s="238">
        <v>1</v>
      </c>
      <c r="AB31" s="238">
        <v>1</v>
      </c>
      <c r="AC31" s="238">
        <v>1</v>
      </c>
      <c r="AD31" s="238">
        <v>1</v>
      </c>
      <c r="AE31" s="239" t="s">
        <v>52</v>
      </c>
      <c r="AF31" s="239" t="s">
        <v>0</v>
      </c>
      <c r="AG31" s="238">
        <v>1</v>
      </c>
      <c r="AH31" s="238">
        <v>1</v>
      </c>
      <c r="AI31" s="238">
        <v>1</v>
      </c>
      <c r="AJ31" s="238">
        <v>1</v>
      </c>
      <c r="AK31" s="238">
        <v>1</v>
      </c>
      <c r="AL31" s="239" t="s">
        <v>52</v>
      </c>
      <c r="AM31" s="239" t="s">
        <v>0</v>
      </c>
      <c r="AN31" s="238">
        <v>1</v>
      </c>
      <c r="AO31" s="238">
        <v>1</v>
      </c>
      <c r="AP31" s="238">
        <v>1</v>
      </c>
      <c r="AQ31" s="238">
        <v>1</v>
      </c>
      <c r="AR31" s="238">
        <v>1</v>
      </c>
      <c r="AS31" s="239" t="s">
        <v>52</v>
      </c>
      <c r="AT31" s="239" t="s">
        <v>0</v>
      </c>
      <c r="AU31" s="241">
        <v>1</v>
      </c>
      <c r="AV31" s="45">
        <v>0</v>
      </c>
      <c r="AW31" s="46">
        <f t="shared" si="1"/>
        <v>0</v>
      </c>
      <c r="AX31" s="46">
        <v>0</v>
      </c>
      <c r="AY31" s="41">
        <f t="shared" si="55"/>
        <v>0</v>
      </c>
      <c r="AZ31" s="329" t="s">
        <v>133</v>
      </c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</row>
    <row r="32" spans="1:232" s="50" customFormat="1" ht="25.5" customHeight="1" thickBot="1">
      <c r="A32" s="54">
        <f t="shared" si="47"/>
        <v>21</v>
      </c>
      <c r="B32" s="55">
        <f t="shared" si="48"/>
        <v>0</v>
      </c>
      <c r="C32" s="56">
        <f t="shared" si="49"/>
        <v>0</v>
      </c>
      <c r="D32" s="55">
        <f t="shared" si="50"/>
        <v>0</v>
      </c>
      <c r="E32" s="17">
        <f t="shared" si="51"/>
        <v>0</v>
      </c>
      <c r="F32" s="17">
        <f t="shared" si="52"/>
        <v>5</v>
      </c>
      <c r="G32" s="17">
        <f t="shared" si="53"/>
        <v>5</v>
      </c>
      <c r="H32" s="17">
        <f t="shared" si="54"/>
        <v>0</v>
      </c>
      <c r="I32" s="57">
        <f t="shared" si="0"/>
        <v>31</v>
      </c>
      <c r="J32" s="195" t="s">
        <v>167</v>
      </c>
      <c r="K32" s="401" t="s">
        <v>0</v>
      </c>
      <c r="L32" s="402">
        <v>1</v>
      </c>
      <c r="M32" s="402">
        <v>1</v>
      </c>
      <c r="N32" s="402">
        <v>1</v>
      </c>
      <c r="O32" s="402">
        <v>1</v>
      </c>
      <c r="P32" s="403">
        <v>1</v>
      </c>
      <c r="Q32" s="262" t="s">
        <v>52</v>
      </c>
      <c r="R32" s="249" t="s">
        <v>0</v>
      </c>
      <c r="S32" s="248">
        <v>1</v>
      </c>
      <c r="T32" s="248">
        <v>1</v>
      </c>
      <c r="U32" s="248">
        <v>1</v>
      </c>
      <c r="V32" s="248">
        <v>1</v>
      </c>
      <c r="W32" s="248">
        <v>1</v>
      </c>
      <c r="X32" s="249" t="s">
        <v>52</v>
      </c>
      <c r="Y32" s="249" t="s">
        <v>0</v>
      </c>
      <c r="Z32" s="248">
        <v>1</v>
      </c>
      <c r="AA32" s="248">
        <v>1</v>
      </c>
      <c r="AB32" s="248">
        <v>1</v>
      </c>
      <c r="AC32" s="248">
        <v>1</v>
      </c>
      <c r="AD32" s="248">
        <v>1</v>
      </c>
      <c r="AE32" s="249" t="s">
        <v>52</v>
      </c>
      <c r="AF32" s="249" t="s">
        <v>0</v>
      </c>
      <c r="AG32" s="248">
        <v>1</v>
      </c>
      <c r="AH32" s="248">
        <v>1</v>
      </c>
      <c r="AI32" s="248">
        <v>1</v>
      </c>
      <c r="AJ32" s="248">
        <v>1</v>
      </c>
      <c r="AK32" s="248">
        <v>1</v>
      </c>
      <c r="AL32" s="249" t="s">
        <v>52</v>
      </c>
      <c r="AM32" s="249" t="s">
        <v>0</v>
      </c>
      <c r="AN32" s="248">
        <v>1</v>
      </c>
      <c r="AO32" s="248">
        <v>1</v>
      </c>
      <c r="AP32" s="248">
        <v>1</v>
      </c>
      <c r="AQ32" s="248">
        <v>1</v>
      </c>
      <c r="AR32" s="248">
        <v>1</v>
      </c>
      <c r="AS32" s="249" t="s">
        <v>52</v>
      </c>
      <c r="AT32" s="249" t="s">
        <v>0</v>
      </c>
      <c r="AU32" s="252">
        <v>1</v>
      </c>
      <c r="AV32" s="73">
        <v>0</v>
      </c>
      <c r="AW32" s="74">
        <f t="shared" si="1"/>
        <v>0</v>
      </c>
      <c r="AX32" s="74">
        <v>0</v>
      </c>
      <c r="AY32" s="63">
        <f t="shared" si="55"/>
        <v>0</v>
      </c>
      <c r="AZ32" s="330" t="s">
        <v>133</v>
      </c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</row>
    <row r="33" spans="1:232" s="50" customFormat="1" ht="25.5" customHeight="1">
      <c r="A33" s="23">
        <f t="shared" si="30"/>
        <v>3</v>
      </c>
      <c r="B33" s="24">
        <f t="shared" si="31"/>
        <v>0</v>
      </c>
      <c r="C33" s="25">
        <f t="shared" si="32"/>
        <v>12</v>
      </c>
      <c r="D33" s="24">
        <f t="shared" si="33"/>
        <v>0</v>
      </c>
      <c r="E33" s="26">
        <f t="shared" si="34"/>
        <v>6</v>
      </c>
      <c r="F33" s="26">
        <f t="shared" si="35"/>
        <v>5</v>
      </c>
      <c r="G33" s="26">
        <f t="shared" si="36"/>
        <v>5</v>
      </c>
      <c r="H33" s="26">
        <f t="shared" si="37"/>
        <v>0</v>
      </c>
      <c r="I33" s="27">
        <f t="shared" si="0"/>
        <v>31</v>
      </c>
      <c r="J33" s="301" t="s">
        <v>22</v>
      </c>
      <c r="K33" s="404" t="s">
        <v>0</v>
      </c>
      <c r="L33" s="405" t="s">
        <v>40</v>
      </c>
      <c r="M33" s="405" t="s">
        <v>40</v>
      </c>
      <c r="N33" s="405" t="s">
        <v>40</v>
      </c>
      <c r="O33" s="405" t="s">
        <v>40</v>
      </c>
      <c r="P33" s="406" t="s">
        <v>52</v>
      </c>
      <c r="Q33" s="253" t="s">
        <v>52</v>
      </c>
      <c r="R33" s="233" t="s">
        <v>0</v>
      </c>
      <c r="S33" s="254" t="s">
        <v>1</v>
      </c>
      <c r="T33" s="254" t="s">
        <v>1</v>
      </c>
      <c r="U33" s="254" t="s">
        <v>1</v>
      </c>
      <c r="V33" s="254" t="s">
        <v>1</v>
      </c>
      <c r="W33" s="235" t="s">
        <v>0</v>
      </c>
      <c r="X33" s="235" t="s">
        <v>40</v>
      </c>
      <c r="Y33" s="235" t="s">
        <v>40</v>
      </c>
      <c r="Z33" s="235" t="s">
        <v>40</v>
      </c>
      <c r="AA33" s="235" t="s">
        <v>52</v>
      </c>
      <c r="AB33" s="235" t="s">
        <v>36</v>
      </c>
      <c r="AC33" s="235" t="s">
        <v>36</v>
      </c>
      <c r="AD33" s="235" t="s">
        <v>36</v>
      </c>
      <c r="AE33" s="233" t="s">
        <v>52</v>
      </c>
      <c r="AF33" s="233" t="s">
        <v>0</v>
      </c>
      <c r="AG33" s="235" t="s">
        <v>40</v>
      </c>
      <c r="AH33" s="235" t="s">
        <v>40</v>
      </c>
      <c r="AI33" s="235">
        <v>3</v>
      </c>
      <c r="AJ33" s="235" t="s">
        <v>52</v>
      </c>
      <c r="AK33" s="235" t="s">
        <v>40</v>
      </c>
      <c r="AL33" s="235" t="s">
        <v>40</v>
      </c>
      <c r="AM33" s="235" t="s">
        <v>40</v>
      </c>
      <c r="AN33" s="235" t="s">
        <v>40</v>
      </c>
      <c r="AO33" s="254" t="s">
        <v>0</v>
      </c>
      <c r="AP33" s="235" t="s">
        <v>40</v>
      </c>
      <c r="AQ33" s="235" t="s">
        <v>40</v>
      </c>
      <c r="AR33" s="233" t="s">
        <v>52</v>
      </c>
      <c r="AS33" s="254" t="s">
        <v>1</v>
      </c>
      <c r="AT33" s="254" t="s">
        <v>1</v>
      </c>
      <c r="AU33" s="422" t="s">
        <v>0</v>
      </c>
      <c r="AV33" s="338">
        <v>0</v>
      </c>
      <c r="AW33" s="167">
        <f t="shared" si="1"/>
        <v>0</v>
      </c>
      <c r="AX33" s="167">
        <v>0</v>
      </c>
      <c r="AY33" s="168">
        <f t="shared" si="38"/>
        <v>0</v>
      </c>
      <c r="AZ33" s="332" t="s">
        <v>128</v>
      </c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</row>
    <row r="34" spans="1:232" s="50" customFormat="1" ht="27.75" customHeight="1">
      <c r="A34" s="38">
        <f>COUNTIF(Q34:AU34,1)+COUNTIF(Q34:AU34,"早")+COUNTIF(Q34:AU34,"M1")+COUNTIF(Q34:AU34,"T早")+COUNTIF(Q34:AU34,"日")</f>
        <v>1</v>
      </c>
      <c r="B34" s="39">
        <f>COUNTIF(Q34:AU34,2)+COUNTIF(Q34:AU34,"中")+COUNTIF(Q34:AU34,"M2")+COUNTIF(Q34:AU34,"T中")+COUNTIF(Q34:AU34,"小夜")</f>
        <v>13</v>
      </c>
      <c r="C34" s="40">
        <f>COUNTIF(Q34:AU34,3)+COUNTIF(Q34:AU34,"晚")+COUNTIF(Q34:AU34,"大夜")</f>
        <v>6</v>
      </c>
      <c r="D34" s="39">
        <f>COUNTIF(Q34:AU34,"N")+COUNTIF(Q34:AU34,"N8")</f>
        <v>0</v>
      </c>
      <c r="E34" s="41">
        <f>COUNTIF(Q34:AU34,"S")</f>
        <v>1</v>
      </c>
      <c r="F34" s="41">
        <f>COUNTIF(Q34:AU34,"X")</f>
        <v>5</v>
      </c>
      <c r="G34" s="41">
        <f>COUNTIF(Q34:AU34,"Y")</f>
        <v>5</v>
      </c>
      <c r="H34" s="41">
        <f>COUNTIF(Q34:AU34,"Z")</f>
        <v>0</v>
      </c>
      <c r="I34" s="42">
        <f t="shared" si="0"/>
        <v>31</v>
      </c>
      <c r="J34" s="193" t="s">
        <v>23</v>
      </c>
      <c r="K34" s="392" t="s">
        <v>38</v>
      </c>
      <c r="L34" s="394" t="s">
        <v>0</v>
      </c>
      <c r="M34" s="394" t="s">
        <v>52</v>
      </c>
      <c r="N34" s="394" t="s">
        <v>0</v>
      </c>
      <c r="O34" s="394" t="s">
        <v>38</v>
      </c>
      <c r="P34" s="395" t="s">
        <v>38</v>
      </c>
      <c r="Q34" s="237" t="s">
        <v>52</v>
      </c>
      <c r="R34" s="239" t="s">
        <v>0</v>
      </c>
      <c r="S34" s="238" t="s">
        <v>38</v>
      </c>
      <c r="T34" s="238" t="s">
        <v>38</v>
      </c>
      <c r="U34" s="238" t="s">
        <v>38</v>
      </c>
      <c r="V34" s="238" t="s">
        <v>0</v>
      </c>
      <c r="W34" s="238" t="s">
        <v>36</v>
      </c>
      <c r="X34" s="238" t="s">
        <v>38</v>
      </c>
      <c r="Y34" s="238" t="s">
        <v>38</v>
      </c>
      <c r="Z34" s="238" t="s">
        <v>38</v>
      </c>
      <c r="AA34" s="238" t="s">
        <v>52</v>
      </c>
      <c r="AB34" s="238" t="s">
        <v>38</v>
      </c>
      <c r="AC34" s="238" t="s">
        <v>38</v>
      </c>
      <c r="AD34" s="238" t="s">
        <v>38</v>
      </c>
      <c r="AE34" s="239" t="s">
        <v>52</v>
      </c>
      <c r="AF34" s="239" t="s">
        <v>0</v>
      </c>
      <c r="AG34" s="238" t="s">
        <v>38</v>
      </c>
      <c r="AH34" s="238" t="s">
        <v>38</v>
      </c>
      <c r="AI34" s="238" t="s">
        <v>38</v>
      </c>
      <c r="AJ34" s="238" t="s">
        <v>52</v>
      </c>
      <c r="AK34" s="238" t="s">
        <v>40</v>
      </c>
      <c r="AL34" s="238" t="s">
        <v>40</v>
      </c>
      <c r="AM34" s="238" t="s">
        <v>40</v>
      </c>
      <c r="AN34" s="238" t="s">
        <v>0</v>
      </c>
      <c r="AO34" s="238" t="s">
        <v>40</v>
      </c>
      <c r="AP34" s="238" t="s">
        <v>40</v>
      </c>
      <c r="AQ34" s="238" t="s">
        <v>40</v>
      </c>
      <c r="AR34" s="271" t="s">
        <v>1</v>
      </c>
      <c r="AS34" s="239" t="s">
        <v>52</v>
      </c>
      <c r="AT34" s="239" t="s">
        <v>0</v>
      </c>
      <c r="AU34" s="241" t="s">
        <v>38</v>
      </c>
      <c r="AV34" s="45">
        <v>0</v>
      </c>
      <c r="AW34" s="46">
        <f t="shared" si="1"/>
        <v>0</v>
      </c>
      <c r="AX34" s="46">
        <v>0</v>
      </c>
      <c r="AY34" s="134">
        <f t="shared" si="38"/>
        <v>0</v>
      </c>
      <c r="AZ34" s="329" t="s">
        <v>128</v>
      </c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</row>
    <row r="35" spans="1:232" s="50" customFormat="1" ht="27.75" customHeight="1">
      <c r="A35" s="38">
        <f t="shared" si="30"/>
        <v>0</v>
      </c>
      <c r="B35" s="39">
        <f t="shared" si="31"/>
        <v>21</v>
      </c>
      <c r="C35" s="40">
        <f t="shared" si="32"/>
        <v>0</v>
      </c>
      <c r="D35" s="39">
        <f t="shared" si="33"/>
        <v>0</v>
      </c>
      <c r="E35" s="41">
        <f t="shared" si="34"/>
        <v>0</v>
      </c>
      <c r="F35" s="41">
        <f t="shared" si="35"/>
        <v>5</v>
      </c>
      <c r="G35" s="41">
        <f t="shared" si="36"/>
        <v>5</v>
      </c>
      <c r="H35" s="41">
        <f t="shared" si="37"/>
        <v>0</v>
      </c>
      <c r="I35" s="42">
        <f t="shared" si="0"/>
        <v>31</v>
      </c>
      <c r="J35" s="193" t="s">
        <v>24</v>
      </c>
      <c r="K35" s="392" t="s">
        <v>0</v>
      </c>
      <c r="L35" s="394" t="s">
        <v>38</v>
      </c>
      <c r="M35" s="394" t="s">
        <v>38</v>
      </c>
      <c r="N35" s="394" t="s">
        <v>38</v>
      </c>
      <c r="O35" s="394" t="s">
        <v>38</v>
      </c>
      <c r="P35" s="395" t="s">
        <v>52</v>
      </c>
      <c r="Q35" s="245" t="s">
        <v>38</v>
      </c>
      <c r="R35" s="238" t="s">
        <v>38</v>
      </c>
      <c r="S35" s="238" t="s">
        <v>38</v>
      </c>
      <c r="T35" s="238" t="s">
        <v>52</v>
      </c>
      <c r="U35" s="238" t="s">
        <v>38</v>
      </c>
      <c r="V35" s="238" t="s">
        <v>38</v>
      </c>
      <c r="W35" s="238" t="s">
        <v>38</v>
      </c>
      <c r="X35" s="239" t="s">
        <v>52</v>
      </c>
      <c r="Y35" s="239" t="s">
        <v>0</v>
      </c>
      <c r="Z35" s="238" t="s">
        <v>38</v>
      </c>
      <c r="AA35" s="238" t="s">
        <v>38</v>
      </c>
      <c r="AB35" s="238" t="s">
        <v>38</v>
      </c>
      <c r="AC35" s="238" t="s">
        <v>0</v>
      </c>
      <c r="AD35" s="238" t="s">
        <v>38</v>
      </c>
      <c r="AE35" s="238" t="s">
        <v>38</v>
      </c>
      <c r="AF35" s="238" t="s">
        <v>38</v>
      </c>
      <c r="AG35" s="238" t="s">
        <v>38</v>
      </c>
      <c r="AH35" s="238" t="s">
        <v>38</v>
      </c>
      <c r="AI35" s="238" t="s">
        <v>52</v>
      </c>
      <c r="AJ35" s="238" t="s">
        <v>0</v>
      </c>
      <c r="AK35" s="238" t="s">
        <v>0</v>
      </c>
      <c r="AL35" s="239" t="s">
        <v>52</v>
      </c>
      <c r="AM35" s="239" t="s">
        <v>0</v>
      </c>
      <c r="AN35" s="238" t="s">
        <v>38</v>
      </c>
      <c r="AO35" s="238" t="s">
        <v>38</v>
      </c>
      <c r="AP35" s="238" t="s">
        <v>38</v>
      </c>
      <c r="AQ35" s="238" t="s">
        <v>38</v>
      </c>
      <c r="AR35" s="240" t="s">
        <v>52</v>
      </c>
      <c r="AS35" s="238" t="s">
        <v>38</v>
      </c>
      <c r="AT35" s="238" t="s">
        <v>38</v>
      </c>
      <c r="AU35" s="241" t="s">
        <v>38</v>
      </c>
      <c r="AV35" s="45">
        <v>0</v>
      </c>
      <c r="AW35" s="46">
        <f t="shared" si="1"/>
        <v>0</v>
      </c>
      <c r="AX35" s="46">
        <v>0</v>
      </c>
      <c r="AY35" s="134">
        <f t="shared" si="38"/>
        <v>0</v>
      </c>
      <c r="AZ35" s="329" t="s">
        <v>126</v>
      </c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</row>
    <row r="36" spans="1:232" s="50" customFormat="1" ht="27.6" customHeight="1">
      <c r="A36" s="38">
        <f t="shared" si="30"/>
        <v>0</v>
      </c>
      <c r="B36" s="39">
        <f t="shared" si="31"/>
        <v>15</v>
      </c>
      <c r="C36" s="40">
        <f t="shared" si="32"/>
        <v>3</v>
      </c>
      <c r="D36" s="39">
        <f t="shared" si="33"/>
        <v>0</v>
      </c>
      <c r="E36" s="41">
        <f t="shared" si="34"/>
        <v>2</v>
      </c>
      <c r="F36" s="41">
        <f t="shared" si="35"/>
        <v>5</v>
      </c>
      <c r="G36" s="41">
        <f t="shared" si="36"/>
        <v>6</v>
      </c>
      <c r="H36" s="41">
        <f t="shared" si="37"/>
        <v>0</v>
      </c>
      <c r="I36" s="42">
        <f t="shared" si="0"/>
        <v>31</v>
      </c>
      <c r="J36" s="214" t="s">
        <v>25</v>
      </c>
      <c r="K36" s="392" t="s">
        <v>38</v>
      </c>
      <c r="L36" s="394" t="s">
        <v>38</v>
      </c>
      <c r="M36" s="394" t="s">
        <v>38</v>
      </c>
      <c r="N36" s="394" t="s">
        <v>52</v>
      </c>
      <c r="O36" s="394" t="s">
        <v>0</v>
      </c>
      <c r="P36" s="395" t="s">
        <v>40</v>
      </c>
      <c r="Q36" s="245" t="s">
        <v>40</v>
      </c>
      <c r="R36" s="238" t="s">
        <v>40</v>
      </c>
      <c r="S36" s="238" t="s">
        <v>40</v>
      </c>
      <c r="T36" s="238" t="s">
        <v>52</v>
      </c>
      <c r="U36" s="238" t="s">
        <v>0</v>
      </c>
      <c r="V36" s="238" t="s">
        <v>38</v>
      </c>
      <c r="W36" s="238" t="s">
        <v>38</v>
      </c>
      <c r="X36" s="238" t="s">
        <v>26</v>
      </c>
      <c r="Y36" s="238" t="s">
        <v>38</v>
      </c>
      <c r="Z36" s="238" t="s">
        <v>38</v>
      </c>
      <c r="AA36" s="238" t="s">
        <v>0</v>
      </c>
      <c r="AB36" s="238" t="s">
        <v>52</v>
      </c>
      <c r="AC36" s="238" t="s">
        <v>52</v>
      </c>
      <c r="AD36" s="238" t="s">
        <v>38</v>
      </c>
      <c r="AE36" s="238" t="s">
        <v>26</v>
      </c>
      <c r="AF36" s="238" t="s">
        <v>38</v>
      </c>
      <c r="AG36" s="238" t="s">
        <v>0</v>
      </c>
      <c r="AH36" s="238" t="s">
        <v>52</v>
      </c>
      <c r="AI36" s="238" t="s">
        <v>0</v>
      </c>
      <c r="AJ36" s="234" t="s">
        <v>1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38" t="s">
        <v>38</v>
      </c>
      <c r="AP36" s="240" t="s">
        <v>0</v>
      </c>
      <c r="AQ36" s="234" t="s">
        <v>1</v>
      </c>
      <c r="AR36" s="234" t="s">
        <v>52</v>
      </c>
      <c r="AS36" s="238" t="s">
        <v>26</v>
      </c>
      <c r="AT36" s="238" t="s">
        <v>38</v>
      </c>
      <c r="AU36" s="241" t="s">
        <v>38</v>
      </c>
      <c r="AV36" s="45">
        <v>-1</v>
      </c>
      <c r="AW36" s="46">
        <f t="shared" si="1"/>
        <v>1</v>
      </c>
      <c r="AX36" s="46">
        <v>0</v>
      </c>
      <c r="AY36" s="134">
        <f t="shared" si="38"/>
        <v>0</v>
      </c>
      <c r="AZ36" s="329" t="s">
        <v>128</v>
      </c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</row>
    <row r="37" spans="1:232" s="50" customFormat="1" ht="24" customHeight="1">
      <c r="A37" s="38">
        <f t="shared" si="30"/>
        <v>3</v>
      </c>
      <c r="B37" s="39">
        <f t="shared" si="31"/>
        <v>10</v>
      </c>
      <c r="C37" s="40">
        <f t="shared" si="32"/>
        <v>2</v>
      </c>
      <c r="D37" s="39">
        <f t="shared" si="33"/>
        <v>2</v>
      </c>
      <c r="E37" s="41">
        <f t="shared" si="34"/>
        <v>4</v>
      </c>
      <c r="F37" s="41">
        <f t="shared" si="35"/>
        <v>5</v>
      </c>
      <c r="G37" s="41">
        <f t="shared" si="36"/>
        <v>5</v>
      </c>
      <c r="H37" s="41">
        <f t="shared" si="37"/>
        <v>0</v>
      </c>
      <c r="I37" s="42">
        <f t="shared" si="0"/>
        <v>31</v>
      </c>
      <c r="J37" s="193" t="s">
        <v>27</v>
      </c>
      <c r="K37" s="392" t="s">
        <v>38</v>
      </c>
      <c r="L37" s="394" t="s">
        <v>52</v>
      </c>
      <c r="M37" s="394" t="s">
        <v>40</v>
      </c>
      <c r="N37" s="394" t="s">
        <v>40</v>
      </c>
      <c r="O37" s="394" t="s">
        <v>40</v>
      </c>
      <c r="P37" s="395" t="s">
        <v>40</v>
      </c>
      <c r="Q37" s="245" t="s">
        <v>40</v>
      </c>
      <c r="R37" s="238" t="s">
        <v>40</v>
      </c>
      <c r="S37" s="238" t="s">
        <v>52</v>
      </c>
      <c r="T37" s="238" t="s">
        <v>36</v>
      </c>
      <c r="U37" s="242" t="s">
        <v>3</v>
      </c>
      <c r="V37" s="234" t="s">
        <v>1</v>
      </c>
      <c r="W37" s="234" t="s">
        <v>1</v>
      </c>
      <c r="X37" s="239" t="s">
        <v>52</v>
      </c>
      <c r="Y37" s="239" t="s">
        <v>0</v>
      </c>
      <c r="Z37" s="234" t="s">
        <v>1</v>
      </c>
      <c r="AA37" s="234" t="s">
        <v>1</v>
      </c>
      <c r="AB37" s="234" t="s">
        <v>0</v>
      </c>
      <c r="AC37" s="234" t="s">
        <v>52</v>
      </c>
      <c r="AD37" s="238" t="s">
        <v>0</v>
      </c>
      <c r="AE37" s="238" t="s">
        <v>36</v>
      </c>
      <c r="AF37" s="238" t="s">
        <v>36</v>
      </c>
      <c r="AG37" s="238" t="s">
        <v>52</v>
      </c>
      <c r="AH37" s="242" t="s">
        <v>3</v>
      </c>
      <c r="AI37" s="238" t="s">
        <v>38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0</v>
      </c>
      <c r="AO37" s="238" t="s">
        <v>52</v>
      </c>
      <c r="AP37" s="238" t="s">
        <v>38</v>
      </c>
      <c r="AQ37" s="238" t="s">
        <v>38</v>
      </c>
      <c r="AR37" s="238" t="s">
        <v>38</v>
      </c>
      <c r="AS37" s="238" t="s">
        <v>38</v>
      </c>
      <c r="AT37" s="238" t="s">
        <v>38</v>
      </c>
      <c r="AU37" s="241" t="s">
        <v>0</v>
      </c>
      <c r="AV37" s="45">
        <v>0</v>
      </c>
      <c r="AW37" s="46">
        <f t="shared" si="1"/>
        <v>0</v>
      </c>
      <c r="AX37" s="46">
        <v>0</v>
      </c>
      <c r="AY37" s="134">
        <f t="shared" si="38"/>
        <v>0</v>
      </c>
      <c r="AZ37" s="329" t="s">
        <v>126</v>
      </c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</row>
    <row r="38" spans="1:232" ht="25.2" customHeight="1">
      <c r="A38" s="38">
        <f t="shared" si="30"/>
        <v>0</v>
      </c>
      <c r="B38" s="39">
        <f t="shared" si="31"/>
        <v>0</v>
      </c>
      <c r="C38" s="40">
        <f t="shared" si="32"/>
        <v>16</v>
      </c>
      <c r="D38" s="39">
        <f t="shared" si="33"/>
        <v>0</v>
      </c>
      <c r="E38" s="41">
        <f t="shared" si="34"/>
        <v>4</v>
      </c>
      <c r="F38" s="41">
        <f t="shared" si="35"/>
        <v>5</v>
      </c>
      <c r="G38" s="41">
        <f t="shared" si="36"/>
        <v>6</v>
      </c>
      <c r="H38" s="41">
        <f t="shared" si="37"/>
        <v>0</v>
      </c>
      <c r="I38" s="42">
        <f t="shared" si="0"/>
        <v>31</v>
      </c>
      <c r="J38" s="193" t="s">
        <v>57</v>
      </c>
      <c r="K38" s="392" t="s">
        <v>1</v>
      </c>
      <c r="L38" s="394" t="s">
        <v>3</v>
      </c>
      <c r="M38" s="394" t="s">
        <v>36</v>
      </c>
      <c r="N38" s="394" t="s">
        <v>52</v>
      </c>
      <c r="O38" s="394" t="s">
        <v>1</v>
      </c>
      <c r="P38" s="395" t="s">
        <v>0</v>
      </c>
      <c r="Q38" s="237" t="s">
        <v>52</v>
      </c>
      <c r="R38" s="234" t="s">
        <v>1</v>
      </c>
      <c r="S38" s="234" t="s">
        <v>1</v>
      </c>
      <c r="T38" s="234" t="s">
        <v>1</v>
      </c>
      <c r="U38" s="234" t="s">
        <v>1</v>
      </c>
      <c r="V38" s="239" t="s">
        <v>52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52</v>
      </c>
      <c r="AB38" s="238" t="s">
        <v>40</v>
      </c>
      <c r="AC38" s="238" t="s">
        <v>40</v>
      </c>
      <c r="AD38" s="238" t="s">
        <v>40</v>
      </c>
      <c r="AE38" s="238" t="s">
        <v>40</v>
      </c>
      <c r="AF38" s="238" t="s">
        <v>40</v>
      </c>
      <c r="AG38" s="238" t="s">
        <v>40</v>
      </c>
      <c r="AH38" s="238" t="s">
        <v>52</v>
      </c>
      <c r="AI38" s="238" t="s">
        <v>0</v>
      </c>
      <c r="AJ38" s="234" t="s">
        <v>0</v>
      </c>
      <c r="AK38" s="234" t="s">
        <v>52</v>
      </c>
      <c r="AL38" s="239" t="s">
        <v>0</v>
      </c>
      <c r="AM38" s="239" t="s">
        <v>0</v>
      </c>
      <c r="AN38" s="238" t="s">
        <v>40</v>
      </c>
      <c r="AO38" s="238" t="s">
        <v>40</v>
      </c>
      <c r="AP38" s="238" t="s">
        <v>52</v>
      </c>
      <c r="AQ38" s="238" t="s">
        <v>0</v>
      </c>
      <c r="AR38" s="238" t="s">
        <v>40</v>
      </c>
      <c r="AS38" s="238" t="s">
        <v>40</v>
      </c>
      <c r="AT38" s="238" t="s">
        <v>40</v>
      </c>
      <c r="AU38" s="241" t="s">
        <v>40</v>
      </c>
      <c r="AV38" s="45">
        <v>-1</v>
      </c>
      <c r="AW38" s="46">
        <f t="shared" si="1"/>
        <v>1</v>
      </c>
      <c r="AX38" s="46">
        <v>0</v>
      </c>
      <c r="AY38" s="134">
        <f t="shared" si="38"/>
        <v>0</v>
      </c>
      <c r="AZ38" s="329" t="s">
        <v>126</v>
      </c>
    </row>
    <row r="39" spans="1:232" ht="25.5" customHeight="1" thickBot="1">
      <c r="A39" s="54">
        <f>COUNTIF(Q39:AU39,1)+COUNTIF(Q39:AU39,"早")+COUNTIF(Q39:AU39,"M1")+COUNTIF(Q39:AU39,"T早")+COUNTIF(Q39:AU39,"日")</f>
        <v>3</v>
      </c>
      <c r="B39" s="55">
        <f>COUNTIF(Q39:AU39,2)+COUNTIF(Q39:AU39,"中")+COUNTIF(Q39:AU39,"M2")+COUNTIF(Q39:AU39,"T中")+COUNTIF(Q39:AU39,"小夜")</f>
        <v>1</v>
      </c>
      <c r="C39" s="56">
        <f>COUNTIF(Q39:AU39,3)+COUNTIF(Q39:AU39,"晚")+COUNTIF(Q39:AU39,"大夜")</f>
        <v>14</v>
      </c>
      <c r="D39" s="55">
        <f>COUNTIF(Q39:AU39,"N")+COUNTIF(Q39:AU39,"N8")</f>
        <v>3</v>
      </c>
      <c r="E39" s="17">
        <f>COUNTIF(Q39:AU39,"S")</f>
        <v>0</v>
      </c>
      <c r="F39" s="17">
        <f>COUNTIF(Q39:AU39,"X")</f>
        <v>5</v>
      </c>
      <c r="G39" s="17">
        <f>COUNTIF(Q39:AU39,"Y")</f>
        <v>5</v>
      </c>
      <c r="H39" s="17">
        <f>COUNTIF(Q39:AU39,"Z")</f>
        <v>0</v>
      </c>
      <c r="I39" s="57">
        <f t="shared" si="0"/>
        <v>31</v>
      </c>
      <c r="J39" s="215" t="s">
        <v>28</v>
      </c>
      <c r="K39" s="401" t="s">
        <v>40</v>
      </c>
      <c r="L39" s="402" t="s">
        <v>40</v>
      </c>
      <c r="M39" s="402" t="s">
        <v>52</v>
      </c>
      <c r="N39" s="402" t="s">
        <v>36</v>
      </c>
      <c r="O39" s="402" t="s">
        <v>3</v>
      </c>
      <c r="P39" s="403" t="s">
        <v>36</v>
      </c>
      <c r="Q39" s="247" t="s">
        <v>36</v>
      </c>
      <c r="R39" s="248" t="s">
        <v>36</v>
      </c>
      <c r="S39" s="248" t="s">
        <v>0</v>
      </c>
      <c r="T39" s="248" t="s">
        <v>40</v>
      </c>
      <c r="U39" s="248" t="s">
        <v>40</v>
      </c>
      <c r="V39" s="248" t="s">
        <v>40</v>
      </c>
      <c r="W39" s="248" t="s">
        <v>40</v>
      </c>
      <c r="X39" s="249" t="s">
        <v>52</v>
      </c>
      <c r="Y39" s="249" t="s">
        <v>0</v>
      </c>
      <c r="Z39" s="248" t="s">
        <v>36</v>
      </c>
      <c r="AA39" s="248" t="s">
        <v>38</v>
      </c>
      <c r="AB39" s="248" t="s">
        <v>52</v>
      </c>
      <c r="AC39" s="248" t="s">
        <v>0</v>
      </c>
      <c r="AD39" s="248" t="s">
        <v>40</v>
      </c>
      <c r="AE39" s="248" t="s">
        <v>40</v>
      </c>
      <c r="AF39" s="248" t="s">
        <v>40</v>
      </c>
      <c r="AG39" s="248" t="s">
        <v>40</v>
      </c>
      <c r="AH39" s="248" t="s">
        <v>52</v>
      </c>
      <c r="AI39" s="248" t="s">
        <v>40</v>
      </c>
      <c r="AJ39" s="248" t="s">
        <v>40</v>
      </c>
      <c r="AK39" s="251" t="s">
        <v>0</v>
      </c>
      <c r="AL39" s="249" t="s">
        <v>52</v>
      </c>
      <c r="AM39" s="249" t="s">
        <v>0</v>
      </c>
      <c r="AN39" s="417" t="s">
        <v>3</v>
      </c>
      <c r="AO39" s="417" t="s">
        <v>3</v>
      </c>
      <c r="AP39" s="417" t="s">
        <v>3</v>
      </c>
      <c r="AQ39" s="248" t="s">
        <v>52</v>
      </c>
      <c r="AR39" s="248" t="s">
        <v>40</v>
      </c>
      <c r="AS39" s="248" t="s">
        <v>40</v>
      </c>
      <c r="AT39" s="248" t="s">
        <v>40</v>
      </c>
      <c r="AU39" s="252" t="s">
        <v>40</v>
      </c>
      <c r="AV39" s="73">
        <v>0</v>
      </c>
      <c r="AW39" s="74">
        <f t="shared" si="1"/>
        <v>0</v>
      </c>
      <c r="AX39" s="74">
        <v>0</v>
      </c>
      <c r="AY39" s="127">
        <f t="shared" si="38"/>
        <v>0</v>
      </c>
      <c r="AZ39" s="330" t="s">
        <v>126</v>
      </c>
    </row>
    <row r="40" spans="1:232" s="50" customFormat="1" ht="24.75" customHeight="1">
      <c r="A40" s="23">
        <f>COUNTIF(Q40:AU40,1)+COUNTIF(Q40:AU40,"早")+COUNTIF(Q40:AU40,"M1")+COUNTIF(Q40:AU40,"T早")+COUNTIF(Q40:AU40,"日")</f>
        <v>8</v>
      </c>
      <c r="B40" s="24">
        <f>COUNTIF(Q40:AU40,2)+COUNTIF(Q40:AU40,"中")+COUNTIF(Q40:AU40,"M2")+COUNTIF(Q40:AU40,"T中")+COUNTIF(Q40:AU40,"小夜")</f>
        <v>0</v>
      </c>
      <c r="C40" s="25">
        <f>COUNTIF(Q40:AU40,3)+COUNTIF(Q40:AU40,"晚")+COUNTIF(Q40:AU40,"大夜")</f>
        <v>9</v>
      </c>
      <c r="D40" s="24">
        <f>COUNTIF(Q40:AU40,"N")+COUNTIF(Q40:AU40,"N8")</f>
        <v>3</v>
      </c>
      <c r="E40" s="26">
        <f>COUNTIF(Q40:AU40,"S")</f>
        <v>0</v>
      </c>
      <c r="F40" s="26">
        <f>COUNTIF(Q40:AU40,"X")</f>
        <v>5</v>
      </c>
      <c r="G40" s="26">
        <f>COUNTIF(Q40:AU40,"Y")</f>
        <v>6</v>
      </c>
      <c r="H40" s="26">
        <f>COUNTIF(Q40:AU40,"Z")</f>
        <v>0</v>
      </c>
      <c r="I40" s="176">
        <f t="shared" si="0"/>
        <v>31</v>
      </c>
      <c r="J40" s="66" t="s">
        <v>142</v>
      </c>
      <c r="K40" s="389" t="s">
        <v>54</v>
      </c>
      <c r="L40" s="390" t="s">
        <v>0</v>
      </c>
      <c r="M40" s="390" t="s">
        <v>55</v>
      </c>
      <c r="N40" s="390" t="s">
        <v>55</v>
      </c>
      <c r="O40" s="390" t="s">
        <v>55</v>
      </c>
      <c r="P40" s="391" t="s">
        <v>55</v>
      </c>
      <c r="Q40" s="418" t="s">
        <v>55</v>
      </c>
      <c r="R40" s="235" t="s">
        <v>55</v>
      </c>
      <c r="S40" s="235" t="s">
        <v>52</v>
      </c>
      <c r="T40" s="235" t="s">
        <v>3</v>
      </c>
      <c r="U40" s="235" t="s">
        <v>54</v>
      </c>
      <c r="V40" s="235" t="s">
        <v>54</v>
      </c>
      <c r="W40" s="235" t="s">
        <v>54</v>
      </c>
      <c r="X40" s="233" t="s">
        <v>52</v>
      </c>
      <c r="Y40" s="233" t="s">
        <v>0</v>
      </c>
      <c r="Z40" s="235" t="s">
        <v>55</v>
      </c>
      <c r="AA40" s="235" t="s">
        <v>55</v>
      </c>
      <c r="AB40" s="235" t="s">
        <v>55</v>
      </c>
      <c r="AC40" s="235" t="s">
        <v>55</v>
      </c>
      <c r="AD40" s="235" t="s">
        <v>55</v>
      </c>
      <c r="AE40" s="233" t="s">
        <v>52</v>
      </c>
      <c r="AF40" s="233" t="s">
        <v>0</v>
      </c>
      <c r="AG40" s="235" t="s">
        <v>54</v>
      </c>
      <c r="AH40" s="235" t="s">
        <v>3</v>
      </c>
      <c r="AI40" s="235" t="s">
        <v>0</v>
      </c>
      <c r="AJ40" s="235" t="s">
        <v>52</v>
      </c>
      <c r="AK40" s="235" t="s">
        <v>0</v>
      </c>
      <c r="AL40" s="235" t="s">
        <v>55</v>
      </c>
      <c r="AM40" s="235" t="s">
        <v>55</v>
      </c>
      <c r="AN40" s="235" t="s">
        <v>52</v>
      </c>
      <c r="AO40" s="419" t="s">
        <v>3</v>
      </c>
      <c r="AP40" s="235" t="s">
        <v>54</v>
      </c>
      <c r="AQ40" s="235" t="s">
        <v>54</v>
      </c>
      <c r="AR40" s="235" t="s">
        <v>54</v>
      </c>
      <c r="AS40" s="233" t="s">
        <v>52</v>
      </c>
      <c r="AT40" s="233" t="s">
        <v>0</v>
      </c>
      <c r="AU40" s="236" t="s">
        <v>54</v>
      </c>
      <c r="AV40" s="35">
        <v>-1</v>
      </c>
      <c r="AW40" s="36">
        <f t="shared" si="1"/>
        <v>1</v>
      </c>
      <c r="AX40" s="36">
        <v>0</v>
      </c>
      <c r="AY40" s="133">
        <f t="shared" si="38"/>
        <v>0</v>
      </c>
      <c r="AZ40" s="332" t="s">
        <v>128</v>
      </c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</row>
    <row r="41" spans="1:232" s="50" customFormat="1" ht="24.75" customHeight="1">
      <c r="A41" s="38">
        <f>COUNTIF(Q41:AU41,1)+COUNTIF(Q41:AU41,"早")+COUNTIF(Q41:AU41,"M1")+COUNTIF(Q41:AU41,"T早")+COUNTIF(Q41:AU41,"日")</f>
        <v>5</v>
      </c>
      <c r="B41" s="39">
        <f>COUNTIF(Q41:AU41,2)+COUNTIF(Q41:AU41,"中")+COUNTIF(Q41:AU41,"M2")+COUNTIF(Q41:AU41,"T中")+COUNTIF(Q41:AU41,"小夜")</f>
        <v>11</v>
      </c>
      <c r="C41" s="40">
        <f>COUNTIF(Q41:AU41,3)+COUNTIF(Q41:AU41,"晚")+COUNTIF(Q41:AU41,"大夜")</f>
        <v>0</v>
      </c>
      <c r="D41" s="39">
        <f>COUNTIF(Q41:AU41,"N")+COUNTIF(Q41:AU41,"N8")</f>
        <v>5</v>
      </c>
      <c r="E41" s="41">
        <f>COUNTIF(Q41:AU41,"S")</f>
        <v>0</v>
      </c>
      <c r="F41" s="41">
        <f>COUNTIF(Q41:AU41,"X")</f>
        <v>5</v>
      </c>
      <c r="G41" s="41">
        <f>COUNTIF(Q41:AU41,"Y")</f>
        <v>5</v>
      </c>
      <c r="H41" s="41">
        <f>COUNTIF(Q41:AU41,"Z")</f>
        <v>0</v>
      </c>
      <c r="I41" s="177">
        <f t="shared" si="0"/>
        <v>31</v>
      </c>
      <c r="J41" s="67" t="s">
        <v>29</v>
      </c>
      <c r="K41" s="392" t="s">
        <v>0</v>
      </c>
      <c r="L41" s="394" t="s">
        <v>56</v>
      </c>
      <c r="M41" s="394" t="s">
        <v>56</v>
      </c>
      <c r="N41" s="394" t="s">
        <v>56</v>
      </c>
      <c r="O41" s="394" t="s">
        <v>56</v>
      </c>
      <c r="P41" s="395" t="s">
        <v>56</v>
      </c>
      <c r="Q41" s="237" t="s">
        <v>52</v>
      </c>
      <c r="R41" s="239" t="s">
        <v>0</v>
      </c>
      <c r="S41" s="238" t="s">
        <v>3</v>
      </c>
      <c r="T41" s="238" t="s">
        <v>56</v>
      </c>
      <c r="U41" s="238" t="s">
        <v>56</v>
      </c>
      <c r="V41" s="238" t="s">
        <v>56</v>
      </c>
      <c r="W41" s="238" t="s">
        <v>52</v>
      </c>
      <c r="X41" s="238" t="s">
        <v>54</v>
      </c>
      <c r="Y41" s="238" t="s">
        <v>54</v>
      </c>
      <c r="Z41" s="238" t="s">
        <v>56</v>
      </c>
      <c r="AA41" s="238" t="s">
        <v>0</v>
      </c>
      <c r="AB41" s="238" t="s">
        <v>3</v>
      </c>
      <c r="AC41" s="238" t="s">
        <v>3</v>
      </c>
      <c r="AD41" s="238" t="s">
        <v>54</v>
      </c>
      <c r="AE41" s="239" t="s">
        <v>52</v>
      </c>
      <c r="AF41" s="239" t="s">
        <v>0</v>
      </c>
      <c r="AG41" s="238" t="s">
        <v>56</v>
      </c>
      <c r="AH41" s="238" t="s">
        <v>56</v>
      </c>
      <c r="AI41" s="238" t="s">
        <v>56</v>
      </c>
      <c r="AJ41" s="238" t="s">
        <v>56</v>
      </c>
      <c r="AK41" s="238" t="s">
        <v>52</v>
      </c>
      <c r="AL41" s="238" t="s">
        <v>54</v>
      </c>
      <c r="AM41" s="238" t="s">
        <v>54</v>
      </c>
      <c r="AN41" s="238" t="s">
        <v>56</v>
      </c>
      <c r="AO41" s="238" t="s">
        <v>56</v>
      </c>
      <c r="AP41" s="238" t="s">
        <v>0</v>
      </c>
      <c r="AQ41" s="238" t="s">
        <v>3</v>
      </c>
      <c r="AR41" s="238" t="s">
        <v>56</v>
      </c>
      <c r="AS41" s="239" t="s">
        <v>52</v>
      </c>
      <c r="AT41" s="239" t="s">
        <v>0</v>
      </c>
      <c r="AU41" s="241" t="s">
        <v>3</v>
      </c>
      <c r="AV41" s="45">
        <v>0</v>
      </c>
      <c r="AW41" s="46">
        <f t="shared" si="1"/>
        <v>0</v>
      </c>
      <c r="AX41" s="46">
        <v>0</v>
      </c>
      <c r="AY41" s="134">
        <f t="shared" si="38"/>
        <v>0</v>
      </c>
      <c r="AZ41" s="329" t="s">
        <v>128</v>
      </c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</row>
    <row r="42" spans="1:232" ht="25.2" customHeight="1">
      <c r="A42" s="38">
        <f t="shared" ref="A42:A44" si="56">COUNTIF(Q42:AU42,1)+COUNTIF(Q42:AU42,"早")+COUNTIF(Q42:AU42,"M1")+COUNTIF(Q42:AU42,"T早")+COUNTIF(Q42:AU42,"日")</f>
        <v>1</v>
      </c>
      <c r="B42" s="39">
        <f t="shared" ref="B42:B44" si="57">COUNTIF(Q42:AU42,2)+COUNTIF(Q42:AU42,"中")+COUNTIF(Q42:AU42,"M2")+COUNTIF(Q42:AU42,"T中")+COUNTIF(Q42:AU42,"小夜")</f>
        <v>8</v>
      </c>
      <c r="C42" s="40">
        <f t="shared" ref="C42:C44" si="58">COUNTIF(Q42:AU42,3)+COUNTIF(Q42:AU42,"晚")+COUNTIF(Q42:AU42,"大夜")</f>
        <v>5</v>
      </c>
      <c r="D42" s="39">
        <f t="shared" ref="D42:D44" si="59">COUNTIF(Q42:AU42,"N")+COUNTIF(Q42:AU42,"N8")</f>
        <v>5</v>
      </c>
      <c r="E42" s="41">
        <f t="shared" ref="E42:E44" si="60">COUNTIF(Q42:AU42,"S")</f>
        <v>2</v>
      </c>
      <c r="F42" s="41">
        <f>COUNTIF(Q42:AU42,"X")</f>
        <v>5</v>
      </c>
      <c r="G42" s="41">
        <f t="shared" ref="G42:G44" si="61">COUNTIF(Q42:AU42,"Y")</f>
        <v>5</v>
      </c>
      <c r="H42" s="41">
        <f t="shared" ref="H42:H44" si="62">COUNTIF(Q42:AU42,"Z")</f>
        <v>0</v>
      </c>
      <c r="I42" s="177">
        <f t="shared" si="0"/>
        <v>31</v>
      </c>
      <c r="J42" s="68" t="s">
        <v>30</v>
      </c>
      <c r="K42" s="392" t="s">
        <v>56</v>
      </c>
      <c r="L42" s="394" t="s">
        <v>0</v>
      </c>
      <c r="M42" s="394" t="s">
        <v>52</v>
      </c>
      <c r="N42" s="394" t="s">
        <v>3</v>
      </c>
      <c r="O42" s="394" t="s">
        <v>3</v>
      </c>
      <c r="P42" s="395" t="s">
        <v>3</v>
      </c>
      <c r="Q42" s="237" t="s">
        <v>52</v>
      </c>
      <c r="R42" s="239" t="s">
        <v>0</v>
      </c>
      <c r="S42" s="238" t="s">
        <v>55</v>
      </c>
      <c r="T42" s="238" t="s">
        <v>55</v>
      </c>
      <c r="U42" s="238" t="s">
        <v>55</v>
      </c>
      <c r="V42" s="238" t="s">
        <v>0</v>
      </c>
      <c r="W42" s="238" t="s">
        <v>0</v>
      </c>
      <c r="X42" s="238" t="s">
        <v>55</v>
      </c>
      <c r="Y42" s="238" t="s">
        <v>55</v>
      </c>
      <c r="Z42" s="238" t="s">
        <v>52</v>
      </c>
      <c r="AA42" s="238" t="s">
        <v>56</v>
      </c>
      <c r="AB42" s="238" t="s">
        <v>56</v>
      </c>
      <c r="AC42" s="238" t="s">
        <v>56</v>
      </c>
      <c r="AD42" s="238" t="s">
        <v>56</v>
      </c>
      <c r="AE42" s="239" t="s">
        <v>52</v>
      </c>
      <c r="AF42" s="234" t="s">
        <v>1</v>
      </c>
      <c r="AG42" s="234" t="s">
        <v>1</v>
      </c>
      <c r="AH42" s="239" t="s">
        <v>0</v>
      </c>
      <c r="AI42" s="238" t="s">
        <v>54</v>
      </c>
      <c r="AJ42" s="238" t="s">
        <v>3</v>
      </c>
      <c r="AK42" s="238" t="s">
        <v>56</v>
      </c>
      <c r="AL42" s="238" t="s">
        <v>56</v>
      </c>
      <c r="AM42" s="238" t="s">
        <v>56</v>
      </c>
      <c r="AN42" s="238" t="s">
        <v>52</v>
      </c>
      <c r="AO42" s="416" t="s">
        <v>3</v>
      </c>
      <c r="AP42" s="238" t="s">
        <v>3</v>
      </c>
      <c r="AQ42" s="238" t="s">
        <v>3</v>
      </c>
      <c r="AR42" s="238" t="s">
        <v>3</v>
      </c>
      <c r="AS42" s="239" t="s">
        <v>52</v>
      </c>
      <c r="AT42" s="239" t="s">
        <v>0</v>
      </c>
      <c r="AU42" s="241" t="s">
        <v>56</v>
      </c>
      <c r="AV42" s="45">
        <v>0</v>
      </c>
      <c r="AW42" s="46">
        <f t="shared" si="1"/>
        <v>0</v>
      </c>
      <c r="AX42" s="46">
        <v>0</v>
      </c>
      <c r="AY42" s="134">
        <f t="shared" si="38"/>
        <v>0</v>
      </c>
      <c r="AZ42" s="329" t="s">
        <v>128</v>
      </c>
    </row>
    <row r="43" spans="1:232" s="50" customFormat="1" ht="25.5" customHeight="1">
      <c r="A43" s="38">
        <f t="shared" si="56"/>
        <v>7</v>
      </c>
      <c r="B43" s="39">
        <f t="shared" si="57"/>
        <v>5</v>
      </c>
      <c r="C43" s="40">
        <f t="shared" si="58"/>
        <v>4</v>
      </c>
      <c r="D43" s="39">
        <f t="shared" si="59"/>
        <v>2</v>
      </c>
      <c r="E43" s="41">
        <f t="shared" si="60"/>
        <v>3</v>
      </c>
      <c r="F43" s="41">
        <f t="shared" ref="F43:F44" si="63">COUNTIF(Q43:AU43,"X")</f>
        <v>5</v>
      </c>
      <c r="G43" s="41">
        <f t="shared" si="61"/>
        <v>5</v>
      </c>
      <c r="H43" s="41">
        <f t="shared" si="62"/>
        <v>0</v>
      </c>
      <c r="I43" s="177">
        <f t="shared" si="0"/>
        <v>31</v>
      </c>
      <c r="J43" s="68" t="s">
        <v>31</v>
      </c>
      <c r="K43" s="394" t="s">
        <v>1</v>
      </c>
      <c r="L43" s="394" t="s">
        <v>54</v>
      </c>
      <c r="M43" s="394" t="s">
        <v>54</v>
      </c>
      <c r="N43" s="394" t="s">
        <v>3</v>
      </c>
      <c r="O43" s="394" t="s">
        <v>1</v>
      </c>
      <c r="P43" s="392" t="s">
        <v>0</v>
      </c>
      <c r="Q43" s="245" t="s">
        <v>56</v>
      </c>
      <c r="R43" s="238" t="s">
        <v>56</v>
      </c>
      <c r="S43" s="238" t="s">
        <v>56</v>
      </c>
      <c r="T43" s="238" t="s">
        <v>52</v>
      </c>
      <c r="U43" s="234" t="s">
        <v>1</v>
      </c>
      <c r="V43" s="234" t="s">
        <v>1</v>
      </c>
      <c r="W43" s="234" t="s">
        <v>1</v>
      </c>
      <c r="X43" s="239" t="s">
        <v>52</v>
      </c>
      <c r="Y43" s="239" t="s">
        <v>0</v>
      </c>
      <c r="Z43" s="238" t="s">
        <v>3</v>
      </c>
      <c r="AA43" s="238" t="s">
        <v>3</v>
      </c>
      <c r="AB43" s="238" t="s">
        <v>54</v>
      </c>
      <c r="AC43" s="238" t="s">
        <v>0</v>
      </c>
      <c r="AD43" s="238" t="s">
        <v>52</v>
      </c>
      <c r="AE43" s="238" t="s">
        <v>54</v>
      </c>
      <c r="AF43" s="238" t="s">
        <v>54</v>
      </c>
      <c r="AG43" s="238" t="s">
        <v>0</v>
      </c>
      <c r="AH43" s="238" t="s">
        <v>55</v>
      </c>
      <c r="AI43" s="238" t="s">
        <v>55</v>
      </c>
      <c r="AJ43" s="238" t="s">
        <v>55</v>
      </c>
      <c r="AK43" s="238" t="s">
        <v>55</v>
      </c>
      <c r="AL43" s="239" t="s">
        <v>52</v>
      </c>
      <c r="AM43" s="239" t="s">
        <v>0</v>
      </c>
      <c r="AN43" s="238" t="s">
        <v>54</v>
      </c>
      <c r="AO43" s="238" t="s">
        <v>54</v>
      </c>
      <c r="AP43" s="238" t="s">
        <v>56</v>
      </c>
      <c r="AQ43" s="238" t="s">
        <v>56</v>
      </c>
      <c r="AR43" s="238" t="s">
        <v>0</v>
      </c>
      <c r="AS43" s="238" t="s">
        <v>54</v>
      </c>
      <c r="AT43" s="238" t="s">
        <v>54</v>
      </c>
      <c r="AU43" s="241" t="s">
        <v>52</v>
      </c>
      <c r="AV43" s="45">
        <v>0</v>
      </c>
      <c r="AW43" s="46">
        <f t="shared" si="1"/>
        <v>0</v>
      </c>
      <c r="AX43" s="46">
        <v>0</v>
      </c>
      <c r="AY43" s="134">
        <f t="shared" si="38"/>
        <v>0</v>
      </c>
      <c r="AZ43" s="329" t="s">
        <v>126</v>
      </c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</row>
    <row r="44" spans="1:232" s="50" customFormat="1" ht="25.5" customHeight="1">
      <c r="A44" s="38">
        <f t="shared" si="56"/>
        <v>7</v>
      </c>
      <c r="B44" s="39">
        <f t="shared" si="57"/>
        <v>0</v>
      </c>
      <c r="C44" s="40">
        <f t="shared" si="58"/>
        <v>9</v>
      </c>
      <c r="D44" s="39">
        <f t="shared" si="59"/>
        <v>5</v>
      </c>
      <c r="E44" s="41">
        <f t="shared" si="60"/>
        <v>0</v>
      </c>
      <c r="F44" s="41">
        <f t="shared" si="63"/>
        <v>5</v>
      </c>
      <c r="G44" s="41">
        <f t="shared" si="61"/>
        <v>5</v>
      </c>
      <c r="H44" s="41">
        <f t="shared" si="62"/>
        <v>0</v>
      </c>
      <c r="I44" s="177">
        <f t="shared" si="0"/>
        <v>31</v>
      </c>
      <c r="J44" s="68" t="s">
        <v>32</v>
      </c>
      <c r="K44" s="392" t="s">
        <v>55</v>
      </c>
      <c r="L44" s="405" t="s">
        <v>55</v>
      </c>
      <c r="M44" s="394" t="s">
        <v>52</v>
      </c>
      <c r="N44" s="394" t="s">
        <v>3</v>
      </c>
      <c r="O44" s="394" t="s">
        <v>54</v>
      </c>
      <c r="P44" s="395" t="s">
        <v>54</v>
      </c>
      <c r="Q44" s="245" t="s">
        <v>54</v>
      </c>
      <c r="R44" s="238" t="s">
        <v>54</v>
      </c>
      <c r="S44" s="234" t="s">
        <v>52</v>
      </c>
      <c r="T44" s="234" t="s">
        <v>0</v>
      </c>
      <c r="U44" s="238" t="s">
        <v>0</v>
      </c>
      <c r="V44" s="238" t="s">
        <v>55</v>
      </c>
      <c r="W44" s="238" t="s">
        <v>55</v>
      </c>
      <c r="X44" s="239" t="s">
        <v>52</v>
      </c>
      <c r="Y44" s="239" t="s">
        <v>0</v>
      </c>
      <c r="Z44" s="238" t="s">
        <v>54</v>
      </c>
      <c r="AA44" s="238" t="s">
        <v>54</v>
      </c>
      <c r="AB44" s="238" t="s">
        <v>3</v>
      </c>
      <c r="AC44" s="238" t="s">
        <v>54</v>
      </c>
      <c r="AD44" s="238" t="s">
        <v>52</v>
      </c>
      <c r="AE44" s="238" t="s">
        <v>55</v>
      </c>
      <c r="AF44" s="238" t="s">
        <v>55</v>
      </c>
      <c r="AG44" s="238" t="s">
        <v>55</v>
      </c>
      <c r="AH44" s="238" t="s">
        <v>0</v>
      </c>
      <c r="AI44" s="238" t="s">
        <v>3</v>
      </c>
      <c r="AJ44" s="238" t="s">
        <v>54</v>
      </c>
      <c r="AK44" s="238" t="s">
        <v>54</v>
      </c>
      <c r="AL44" s="239" t="s">
        <v>52</v>
      </c>
      <c r="AM44" s="239" t="s">
        <v>0</v>
      </c>
      <c r="AN44" s="238" t="s">
        <v>3</v>
      </c>
      <c r="AO44" s="416" t="s">
        <v>3</v>
      </c>
      <c r="AP44" s="238" t="s">
        <v>3</v>
      </c>
      <c r="AQ44" s="238" t="s">
        <v>52</v>
      </c>
      <c r="AR44" s="238" t="s">
        <v>55</v>
      </c>
      <c r="AS44" s="238" t="s">
        <v>55</v>
      </c>
      <c r="AT44" s="238" t="s">
        <v>55</v>
      </c>
      <c r="AU44" s="241" t="s">
        <v>55</v>
      </c>
      <c r="AV44" s="45">
        <v>0</v>
      </c>
      <c r="AW44" s="46">
        <f t="shared" si="1"/>
        <v>0</v>
      </c>
      <c r="AX44" s="46">
        <v>0</v>
      </c>
      <c r="AY44" s="134">
        <f t="shared" si="38"/>
        <v>0</v>
      </c>
      <c r="AZ44" s="329" t="s">
        <v>126</v>
      </c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</row>
    <row r="45" spans="1:232" s="50" customFormat="1" ht="25.5" customHeight="1" thickBot="1">
      <c r="A45" s="69">
        <f t="shared" ref="A45" si="64">COUNTIF(Q45:AU45,1)+COUNTIF(Q45:AU45,"早")+COUNTIF(Q45:AU45,"M1")+COUNTIF(Q45:AU45,"T早")+COUNTIF(Q45:AU45,"日")</f>
        <v>3</v>
      </c>
      <c r="B45" s="70">
        <f t="shared" ref="B45" si="65">COUNTIF(Q45:AU45,2)+COUNTIF(Q45:AU45,"中")+COUNTIF(Q45:AU45,"M2")+COUNTIF(Q45:AU45,"T中")+COUNTIF(Q45:AU45,"小夜")</f>
        <v>7</v>
      </c>
      <c r="C45" s="71">
        <f t="shared" ref="C45" si="66">COUNTIF(Q45:AU45,3)+COUNTIF(Q45:AU45,"晚")+COUNTIF(Q45:AU45,"大夜")</f>
        <v>4</v>
      </c>
      <c r="D45" s="70">
        <f t="shared" ref="D45" si="67">COUNTIF(Q45:AU45,"N")+COUNTIF(Q45:AU45,"N8")</f>
        <v>5</v>
      </c>
      <c r="E45" s="63">
        <f t="shared" ref="E45" si="68">COUNTIF(Q45:AU45,"S")</f>
        <v>2</v>
      </c>
      <c r="F45" s="63">
        <f t="shared" ref="F45" si="69">COUNTIF(Q45:AU45,"X")</f>
        <v>5</v>
      </c>
      <c r="G45" s="63">
        <f t="shared" ref="G45" si="70">COUNTIF(Q45:AU45,"Y")</f>
        <v>5</v>
      </c>
      <c r="H45" s="63">
        <f t="shared" ref="H45" si="71">COUNTIF(Q45:AU45,"Z")</f>
        <v>0</v>
      </c>
      <c r="I45" s="178">
        <f t="shared" si="0"/>
        <v>31</v>
      </c>
      <c r="J45" s="72" t="s">
        <v>33</v>
      </c>
      <c r="K45" s="401" t="s">
        <v>1</v>
      </c>
      <c r="L45" s="402" t="s">
        <v>1</v>
      </c>
      <c r="M45" s="402" t="s">
        <v>1</v>
      </c>
      <c r="N45" s="402" t="s">
        <v>54</v>
      </c>
      <c r="O45" s="402" t="s">
        <v>1</v>
      </c>
      <c r="P45" s="403" t="s">
        <v>52</v>
      </c>
      <c r="Q45" s="262" t="s">
        <v>0</v>
      </c>
      <c r="R45" s="249" t="s">
        <v>0</v>
      </c>
      <c r="S45" s="248" t="s">
        <v>54</v>
      </c>
      <c r="T45" s="248" t="s">
        <v>54</v>
      </c>
      <c r="U45" s="251" t="s">
        <v>1</v>
      </c>
      <c r="V45" s="248" t="s">
        <v>52</v>
      </c>
      <c r="W45" s="248" t="s">
        <v>56</v>
      </c>
      <c r="X45" s="248" t="s">
        <v>56</v>
      </c>
      <c r="Y45" s="248" t="s">
        <v>56</v>
      </c>
      <c r="Z45" s="248" t="s">
        <v>0</v>
      </c>
      <c r="AA45" s="251" t="s">
        <v>1</v>
      </c>
      <c r="AB45" s="248" t="s">
        <v>52</v>
      </c>
      <c r="AC45" s="248" t="s">
        <v>3</v>
      </c>
      <c r="AD45" s="248" t="s">
        <v>3</v>
      </c>
      <c r="AE45" s="248" t="s">
        <v>56</v>
      </c>
      <c r="AF45" s="248" t="s">
        <v>56</v>
      </c>
      <c r="AG45" s="248" t="s">
        <v>52</v>
      </c>
      <c r="AH45" s="248" t="s">
        <v>54</v>
      </c>
      <c r="AI45" s="248" t="s">
        <v>3</v>
      </c>
      <c r="AJ45" s="248" t="s">
        <v>3</v>
      </c>
      <c r="AK45" s="248" t="s">
        <v>3</v>
      </c>
      <c r="AL45" s="249" t="s">
        <v>52</v>
      </c>
      <c r="AM45" s="249" t="s">
        <v>0</v>
      </c>
      <c r="AN45" s="248" t="s">
        <v>55</v>
      </c>
      <c r="AO45" s="248" t="s">
        <v>55</v>
      </c>
      <c r="AP45" s="248" t="s">
        <v>55</v>
      </c>
      <c r="AQ45" s="248" t="s">
        <v>55</v>
      </c>
      <c r="AR45" s="248" t="s">
        <v>52</v>
      </c>
      <c r="AS45" s="248" t="s">
        <v>56</v>
      </c>
      <c r="AT45" s="248" t="s">
        <v>56</v>
      </c>
      <c r="AU45" s="252" t="s">
        <v>0</v>
      </c>
      <c r="AV45" s="73">
        <v>0</v>
      </c>
      <c r="AW45" s="74">
        <f t="shared" si="1"/>
        <v>0</v>
      </c>
      <c r="AX45" s="74">
        <v>0</v>
      </c>
      <c r="AY45" s="127">
        <f t="shared" si="38"/>
        <v>0</v>
      </c>
      <c r="AZ45" s="330" t="s">
        <v>126</v>
      </c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</row>
    <row r="46" spans="1:232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346" cm="2">
        <f t="array" ref="K46">SUMPRODUCT(COUNTIF(K4:K45,{"1";"M1"}))</f>
        <v>2</v>
      </c>
      <c r="L46" s="346" cm="2">
        <f t="array" ref="L46">SUMPRODUCT(COUNTIF(L4:L45,{"1";"M1"}))</f>
        <v>5</v>
      </c>
      <c r="M46" s="346" cm="2">
        <f t="array" ref="M46">SUMPRODUCT(COUNTIF(M4:M45,{"1";"M1"}))</f>
        <v>5</v>
      </c>
      <c r="N46" s="346" cm="2">
        <f t="array" ref="N46">SUMPRODUCT(COUNTIF(N4:N45,{"1";"M1"}))</f>
        <v>6</v>
      </c>
      <c r="O46" s="346" cm="2">
        <f t="array" ref="O46">SUMPRODUCT(COUNTIF(O4:O45,{"1";"M1"}))</f>
        <v>5</v>
      </c>
      <c r="P46" s="346" cm="2">
        <f t="array" ref="P46">SUMPRODUCT(COUNTIF(P4:P45,{"1";"M1"}))</f>
        <v>5</v>
      </c>
      <c r="Q46" s="423" cm="2">
        <f t="array" ref="Q46">SUMPRODUCT(COUNTIF(Q4:Q45,{"1";"M1"}))</f>
        <v>3</v>
      </c>
      <c r="R46" s="424" cm="2">
        <f t="array" ref="R46">SUMPRODUCT(COUNTIF(R4:R45,{"1";"M1"}))</f>
        <v>3</v>
      </c>
      <c r="S46" s="424" cm="2">
        <f t="array" ref="S46">SUMPRODUCT(COUNTIF(S4:S45,{"1";"M1"}))</f>
        <v>5</v>
      </c>
      <c r="T46" s="424" cm="2">
        <f t="array" ref="T46">SUMPRODUCT(COUNTIF(T4:T45,{"1";"M1"}))</f>
        <v>5</v>
      </c>
      <c r="U46" s="424" cm="2">
        <f t="array" ref="U46">SUMPRODUCT(COUNTIF(U4:U45,{"1";"M1"}))</f>
        <v>5</v>
      </c>
      <c r="V46" s="424" cm="2">
        <f t="array" ref="V46">SUMPRODUCT(COUNTIF(V4:V45,{"1";"M1"}))</f>
        <v>5</v>
      </c>
      <c r="W46" s="424" cm="2">
        <f t="array" ref="W46">SUMPRODUCT(COUNTIF(W4:W45,{"1";"M1"}))</f>
        <v>5</v>
      </c>
      <c r="X46" s="424" cm="2">
        <f t="array" ref="X46">SUMPRODUCT(COUNTIF(X4:X45,{"1";"M1"}))</f>
        <v>3</v>
      </c>
      <c r="Y46" s="424" cm="2">
        <f t="array" ref="Y46">SUMPRODUCT(COUNTIF(Y4:Y45,{"1";"M1"}))</f>
        <v>3</v>
      </c>
      <c r="Z46" s="424" cm="2">
        <f t="array" ref="Z46">SUMPRODUCT(COUNTIF(Z4:Z45,{"1";"M1"}))</f>
        <v>5</v>
      </c>
      <c r="AA46" s="424" cm="2">
        <f t="array" ref="AA46">SUMPRODUCT(COUNTIF(AA4:AA45,{"1";"M1"}))</f>
        <v>5</v>
      </c>
      <c r="AB46" s="424" cm="2">
        <f t="array" ref="AB46">SUMPRODUCT(COUNTIF(AB4:AB45,{"1";"M1"}))</f>
        <v>5</v>
      </c>
      <c r="AC46" s="424" cm="2">
        <f t="array" ref="AC46">SUMPRODUCT(COUNTIF(AC4:AC45,{"1";"M1"}))</f>
        <v>5</v>
      </c>
      <c r="AD46" s="424" cm="2">
        <f t="array" ref="AD46">SUMPRODUCT(COUNTIF(AD4:AD45,{"1";"M1"}))</f>
        <v>5</v>
      </c>
      <c r="AE46" s="424" cm="2">
        <f t="array" ref="AE46">SUMPRODUCT(COUNTIF(AE4:AE45,{"1";"M1"}))</f>
        <v>3</v>
      </c>
      <c r="AF46" s="424" cm="2">
        <f t="array" ref="AF46">SUMPRODUCT(COUNTIF(AF4:AF45,{"1";"M1"}))</f>
        <v>3</v>
      </c>
      <c r="AG46" s="424" cm="2">
        <f t="array" ref="AG46">SUMPRODUCT(COUNTIF(AG4:AG45,{"1";"M1"}))</f>
        <v>5</v>
      </c>
      <c r="AH46" s="424" cm="2">
        <f t="array" ref="AH46">SUMPRODUCT(COUNTIF(AH4:AH45,{"1";"M1"}))</f>
        <v>5</v>
      </c>
      <c r="AI46" s="424" cm="2">
        <f t="array" ref="AI46">SUMPRODUCT(COUNTIF(AI4:AI45,{"1";"M1"}))</f>
        <v>5</v>
      </c>
      <c r="AJ46" s="424" cm="2">
        <f t="array" ref="AJ46">SUMPRODUCT(COUNTIF(AJ4:AJ45,{"1";"M1"}))</f>
        <v>5</v>
      </c>
      <c r="AK46" s="424" cm="2">
        <f t="array" ref="AK46">SUMPRODUCT(COUNTIF(AK4:AK45,{"1";"M1"}))</f>
        <v>5</v>
      </c>
      <c r="AL46" s="424" cm="2">
        <f t="array" ref="AL46">SUMPRODUCT(COUNTIF(AL4:AL45,{"1";"M1"}))</f>
        <v>3</v>
      </c>
      <c r="AM46" s="424" cm="2">
        <f t="array" ref="AM46">SUMPRODUCT(COUNTIF(AM4:AM45,{"1";"M1"}))</f>
        <v>3</v>
      </c>
      <c r="AN46" s="424" cm="2">
        <f t="array" ref="AN46">SUMPRODUCT(COUNTIF(AN4:AN45,{"1";"M1"}))</f>
        <v>5</v>
      </c>
      <c r="AO46" s="424" cm="2">
        <f t="array" ref="AO46">SUMPRODUCT(COUNTIF(AO4:AO45,{"1";"M1"}))</f>
        <v>5</v>
      </c>
      <c r="AP46" s="424" cm="2">
        <f t="array" ref="AP46">SUMPRODUCT(COUNTIF(AP4:AP45,{"1";"M1"}))</f>
        <v>5</v>
      </c>
      <c r="AQ46" s="424" cm="2">
        <f t="array" ref="AQ46">SUMPRODUCT(COUNTIF(AQ4:AQ45,{"1";"M1"}))</f>
        <v>5</v>
      </c>
      <c r="AR46" s="424" cm="2">
        <f t="array" ref="AR46">SUMPRODUCT(COUNTIF(AR4:AR45,{"1";"M1"}))</f>
        <v>5</v>
      </c>
      <c r="AS46" s="424" cm="2">
        <f t="array" ref="AS46">SUMPRODUCT(COUNTIF(AS4:AS45,{"1";"M1"}))</f>
        <v>3</v>
      </c>
      <c r="AT46" s="424" cm="2">
        <f t="array" ref="AT46">SUMPRODUCT(COUNTIF(AT4:AT45,{"1";"M1"}))</f>
        <v>3</v>
      </c>
      <c r="AU46" s="425" cm="2">
        <f t="array" ref="AU46">SUMPRODUCT(COUNTIF(AU4:AU45,{"1";"M1"}))</f>
        <v>5</v>
      </c>
      <c r="AW46" s="50"/>
      <c r="AX46" s="6"/>
      <c r="AY46" s="75"/>
      <c r="AZ46" s="79"/>
      <c r="BC46" s="6"/>
      <c r="BD46" s="6"/>
      <c r="BE46" s="6"/>
    </row>
    <row r="47" spans="1:232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426" cm="2">
        <f t="array" ref="Q47">SUMPRODUCT(COUNTIF(Q4:Q45,{"2";"M2"}))</f>
        <v>3</v>
      </c>
      <c r="R47" s="427" cm="2">
        <f t="array" ref="R47">SUMPRODUCT(COUNTIF(R4:R45,{"2";"M2"}))</f>
        <v>3</v>
      </c>
      <c r="S47" s="427" cm="2">
        <f t="array" ref="S47">SUMPRODUCT(COUNTIF(S4:S45,{"2";"M2"}))</f>
        <v>3</v>
      </c>
      <c r="T47" s="427" cm="2">
        <f t="array" ref="T47">SUMPRODUCT(COUNTIF(T4:T45,{"2";"M2"}))</f>
        <v>3</v>
      </c>
      <c r="U47" s="427" cm="2">
        <f t="array" ref="U47">SUMPRODUCT(COUNTIF(U4:U45,{"2";"M2"}))</f>
        <v>3</v>
      </c>
      <c r="V47" s="427" cm="2">
        <f t="array" ref="V47">SUMPRODUCT(COUNTIF(V4:V45,{"2";"M2"}))</f>
        <v>3</v>
      </c>
      <c r="W47" s="427" cm="2">
        <f t="array" ref="W47">SUMPRODUCT(COUNTIF(W4:W45,{"2";"M2"}))</f>
        <v>3</v>
      </c>
      <c r="X47" s="427" cm="2">
        <f t="array" ref="X47">SUMPRODUCT(COUNTIF(X4:X45,{"2";"M2"}))</f>
        <v>3</v>
      </c>
      <c r="Y47" s="427" cm="2">
        <f t="array" ref="Y47">SUMPRODUCT(COUNTIF(Y4:Y45,{"2";"M2"}))</f>
        <v>3</v>
      </c>
      <c r="Z47" s="427" cm="2">
        <f t="array" ref="Z47">SUMPRODUCT(COUNTIF(Z4:Z45,{"2";"M2"}))</f>
        <v>3</v>
      </c>
      <c r="AA47" s="427" cm="2">
        <f t="array" ref="AA47">SUMPRODUCT(COUNTIF(AA4:AA45,{"2";"M2"}))</f>
        <v>3</v>
      </c>
      <c r="AB47" s="427" cm="2">
        <f t="array" ref="AB47">SUMPRODUCT(COUNTIF(AB4:AB45,{"2";"M2"}))</f>
        <v>3</v>
      </c>
      <c r="AC47" s="427" cm="2">
        <f t="array" ref="AC47">SUMPRODUCT(COUNTIF(AC4:AC45,{"2";"M2"}))</f>
        <v>3</v>
      </c>
      <c r="AD47" s="427" cm="2">
        <f t="array" ref="AD47">SUMPRODUCT(COUNTIF(AD4:AD45,{"2";"M2"}))</f>
        <v>3</v>
      </c>
      <c r="AE47" s="427" cm="2">
        <f t="array" ref="AE47">SUMPRODUCT(COUNTIF(AE4:AE45,{"2";"M2"}))</f>
        <v>3</v>
      </c>
      <c r="AF47" s="427" cm="2">
        <f t="array" ref="AF47">SUMPRODUCT(COUNTIF(AF4:AF45,{"2";"M2"}))</f>
        <v>3</v>
      </c>
      <c r="AG47" s="427" cm="2">
        <f t="array" ref="AG47">SUMPRODUCT(COUNTIF(AG4:AG45,{"2";"M2"}))</f>
        <v>3</v>
      </c>
      <c r="AH47" s="427" cm="2">
        <f t="array" ref="AH47">SUMPRODUCT(COUNTIF(AH4:AH45,{"2";"M2"}))</f>
        <v>3</v>
      </c>
      <c r="AI47" s="427" cm="2">
        <f t="array" ref="AI47">SUMPRODUCT(COUNTIF(AI4:AI45,{"2";"M2"}))</f>
        <v>3</v>
      </c>
      <c r="AJ47" s="427" cm="2">
        <f t="array" ref="AJ47">SUMPRODUCT(COUNTIF(AJ4:AJ45,{"2";"M2"}))</f>
        <v>3</v>
      </c>
      <c r="AK47" s="427" cm="2">
        <f t="array" ref="AK47">SUMPRODUCT(COUNTIF(AK4:AK45,{"2";"M2"}))</f>
        <v>3</v>
      </c>
      <c r="AL47" s="427" cm="2">
        <f t="array" ref="AL47">SUMPRODUCT(COUNTIF(AL4:AL45,{"2";"M2"}))</f>
        <v>3</v>
      </c>
      <c r="AM47" s="427" cm="2">
        <f t="array" ref="AM47">SUMPRODUCT(COUNTIF(AM4:AM45,{"2";"M2"}))</f>
        <v>3</v>
      </c>
      <c r="AN47" s="427" cm="2">
        <f t="array" ref="AN47">SUMPRODUCT(COUNTIF(AN4:AN45,{"2";"M2"}))</f>
        <v>3</v>
      </c>
      <c r="AO47" s="427" cm="2">
        <f t="array" ref="AO47">SUMPRODUCT(COUNTIF(AO4:AO45,{"2";"M2"}))</f>
        <v>3</v>
      </c>
      <c r="AP47" s="427" cm="2">
        <f t="array" ref="AP47">SUMPRODUCT(COUNTIF(AP4:AP45,{"2";"M2"}))</f>
        <v>3</v>
      </c>
      <c r="AQ47" s="427" cm="2">
        <f t="array" ref="AQ47">SUMPRODUCT(COUNTIF(AQ4:AQ45,{"2";"M2"}))</f>
        <v>3</v>
      </c>
      <c r="AR47" s="427" cm="2">
        <f t="array" ref="AR47">SUMPRODUCT(COUNTIF(AR4:AR45,{"2";"M2"}))</f>
        <v>3</v>
      </c>
      <c r="AS47" s="427" cm="2">
        <f t="array" ref="AS47">SUMPRODUCT(COUNTIF(AS4:AS45,{"2";"M2"}))</f>
        <v>3</v>
      </c>
      <c r="AT47" s="427" cm="2">
        <f t="array" ref="AT47">SUMPRODUCT(COUNTIF(AT4:AT45,{"2";"M2"}))</f>
        <v>3</v>
      </c>
      <c r="AU47" s="428" cm="2">
        <f t="array" ref="AU47">SUMPRODUCT(COUNTIF(AU4:AU45,{"2";"M2"}))</f>
        <v>3</v>
      </c>
      <c r="AW47" s="50"/>
      <c r="AX47" s="6" t="s">
        <v>34</v>
      </c>
      <c r="AY47" s="75" t="s">
        <v>35</v>
      </c>
      <c r="AZ47" s="84"/>
    </row>
    <row r="48" spans="1:232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P48" si="72">COUNTIF(K4:K45,3)</f>
        <v>2</v>
      </c>
      <c r="L48" s="130">
        <f t="shared" si="72"/>
        <v>3</v>
      </c>
      <c r="M48" s="130">
        <f t="shared" si="72"/>
        <v>3</v>
      </c>
      <c r="N48" s="130">
        <f t="shared" si="72"/>
        <v>3</v>
      </c>
      <c r="O48" s="130">
        <f t="shared" si="72"/>
        <v>3</v>
      </c>
      <c r="P48" s="130">
        <f t="shared" si="72"/>
        <v>3</v>
      </c>
      <c r="Q48" s="429">
        <f t="shared" ref="Q48:AU48" si="73">COUNTIF(Q4:Q45,3)</f>
        <v>2</v>
      </c>
      <c r="R48" s="430">
        <f t="shared" si="73"/>
        <v>2</v>
      </c>
      <c r="S48" s="430">
        <f t="shared" si="73"/>
        <v>3</v>
      </c>
      <c r="T48" s="430">
        <f t="shared" si="73"/>
        <v>3</v>
      </c>
      <c r="U48" s="430">
        <f t="shared" si="73"/>
        <v>3</v>
      </c>
      <c r="V48" s="430">
        <f t="shared" si="73"/>
        <v>3</v>
      </c>
      <c r="W48" s="430">
        <f t="shared" si="73"/>
        <v>3</v>
      </c>
      <c r="X48" s="430">
        <f t="shared" si="73"/>
        <v>2</v>
      </c>
      <c r="Y48" s="430">
        <f t="shared" si="73"/>
        <v>2</v>
      </c>
      <c r="Z48" s="430">
        <f t="shared" si="73"/>
        <v>3</v>
      </c>
      <c r="AA48" s="430">
        <f t="shared" si="73"/>
        <v>3</v>
      </c>
      <c r="AB48" s="430">
        <f t="shared" si="73"/>
        <v>3</v>
      </c>
      <c r="AC48" s="430">
        <f t="shared" si="73"/>
        <v>3</v>
      </c>
      <c r="AD48" s="430">
        <f t="shared" si="73"/>
        <v>3</v>
      </c>
      <c r="AE48" s="430">
        <f t="shared" si="73"/>
        <v>2</v>
      </c>
      <c r="AF48" s="430">
        <f t="shared" si="73"/>
        <v>2</v>
      </c>
      <c r="AG48" s="430">
        <f t="shared" si="73"/>
        <v>3</v>
      </c>
      <c r="AH48" s="430">
        <f t="shared" si="73"/>
        <v>3</v>
      </c>
      <c r="AI48" s="430">
        <f t="shared" si="73"/>
        <v>3</v>
      </c>
      <c r="AJ48" s="430">
        <f t="shared" si="73"/>
        <v>3</v>
      </c>
      <c r="AK48" s="430">
        <f t="shared" si="73"/>
        <v>3</v>
      </c>
      <c r="AL48" s="430">
        <f t="shared" si="73"/>
        <v>2</v>
      </c>
      <c r="AM48" s="430">
        <f t="shared" si="73"/>
        <v>2</v>
      </c>
      <c r="AN48" s="430">
        <f t="shared" si="73"/>
        <v>3</v>
      </c>
      <c r="AO48" s="430">
        <f t="shared" si="73"/>
        <v>3</v>
      </c>
      <c r="AP48" s="430">
        <f t="shared" si="73"/>
        <v>3</v>
      </c>
      <c r="AQ48" s="430">
        <f t="shared" si="73"/>
        <v>3</v>
      </c>
      <c r="AR48" s="430">
        <f t="shared" si="73"/>
        <v>3</v>
      </c>
      <c r="AS48" s="430">
        <f t="shared" si="73"/>
        <v>2</v>
      </c>
      <c r="AT48" s="430">
        <f t="shared" si="73"/>
        <v>2</v>
      </c>
      <c r="AU48" s="431">
        <f t="shared" si="73"/>
        <v>3</v>
      </c>
      <c r="AW48" s="75" t="s">
        <v>109</v>
      </c>
      <c r="AX48" s="75">
        <f>36*31</f>
        <v>1116</v>
      </c>
      <c r="AY48" s="75">
        <f>6*31</f>
        <v>186</v>
      </c>
      <c r="AZ48" s="84"/>
    </row>
    <row r="49" spans="1:57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5</v>
      </c>
      <c r="M49" s="128" cm="2">
        <f t="array" ref="M49">SUMPRODUCT(COUNTIF(M4:M45,{"早";"T早"}))</f>
        <v>5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432" cm="2">
        <f t="array" ref="Q49">SUMPRODUCT(COUNTIF(Q4:Q45,{"早";"T早"}))</f>
        <v>3</v>
      </c>
      <c r="R49" s="433" cm="2">
        <f t="array" ref="R49">SUMPRODUCT(COUNTIF(R4:R45,{"早";"T早"}))</f>
        <v>3</v>
      </c>
      <c r="S49" s="433" cm="2">
        <f t="array" ref="S49">SUMPRODUCT(COUNTIF(S4:S45,{"早";"T早"}))</f>
        <v>5</v>
      </c>
      <c r="T49" s="433" cm="2">
        <f t="array" ref="T49">SUMPRODUCT(COUNTIF(T4:T45,{"早";"T早"}))</f>
        <v>5</v>
      </c>
      <c r="U49" s="433" cm="2">
        <f t="array" ref="U49">SUMPRODUCT(COUNTIF(U4:U45,{"早";"T早"}))</f>
        <v>5</v>
      </c>
      <c r="V49" s="433" cm="2">
        <f t="array" ref="V49">SUMPRODUCT(COUNTIF(V4:V45,{"早";"T早"}))</f>
        <v>5</v>
      </c>
      <c r="W49" s="433" cm="2">
        <f t="array" ref="W49">SUMPRODUCT(COUNTIF(W4:W45,{"早";"T早"}))</f>
        <v>5</v>
      </c>
      <c r="X49" s="433" cm="2">
        <f t="array" ref="X49">SUMPRODUCT(COUNTIF(X4:X45,{"早";"T早"}))</f>
        <v>3</v>
      </c>
      <c r="Y49" s="433" cm="2">
        <f t="array" ref="Y49">SUMPRODUCT(COUNTIF(Y4:Y45,{"早";"T早"}))</f>
        <v>3</v>
      </c>
      <c r="Z49" s="433" cm="2">
        <f t="array" ref="Z49">SUMPRODUCT(COUNTIF(Z4:Z45,{"早";"T早"}))</f>
        <v>5</v>
      </c>
      <c r="AA49" s="433" cm="2">
        <f t="array" ref="AA49">SUMPRODUCT(COUNTIF(AA4:AA45,{"早";"T早"}))</f>
        <v>5</v>
      </c>
      <c r="AB49" s="433" cm="2">
        <f t="array" ref="AB49">SUMPRODUCT(COUNTIF(AB4:AB45,{"早";"T早"}))</f>
        <v>5</v>
      </c>
      <c r="AC49" s="433" cm="2">
        <f t="array" ref="AC49">SUMPRODUCT(COUNTIF(AC4:AC45,{"早";"T早"}))</f>
        <v>5</v>
      </c>
      <c r="AD49" s="433" cm="2">
        <f t="array" ref="AD49">SUMPRODUCT(COUNTIF(AD4:AD45,{"早";"T早"}))</f>
        <v>5</v>
      </c>
      <c r="AE49" s="433" cm="2">
        <f t="array" ref="AE49">SUMPRODUCT(COUNTIF(AE4:AE45,{"早";"T早"}))</f>
        <v>3</v>
      </c>
      <c r="AF49" s="433" cm="2">
        <f t="array" ref="AF49">SUMPRODUCT(COUNTIF(AF4:AF45,{"早";"T早"}))</f>
        <v>3</v>
      </c>
      <c r="AG49" s="433" cm="2">
        <f t="array" ref="AG49">SUMPRODUCT(COUNTIF(AG4:AG45,{"早";"T早"}))</f>
        <v>5</v>
      </c>
      <c r="AH49" s="433" cm="2">
        <f t="array" ref="AH49">SUMPRODUCT(COUNTIF(AH4:AH45,{"早";"T早"}))</f>
        <v>5</v>
      </c>
      <c r="AI49" s="433" cm="2">
        <f t="array" ref="AI49">SUMPRODUCT(COUNTIF(AI4:AI45,{"早";"T早"}))</f>
        <v>5</v>
      </c>
      <c r="AJ49" s="433" cm="2">
        <f t="array" ref="AJ49">SUMPRODUCT(COUNTIF(AJ4:AJ45,{"早";"T早"}))</f>
        <v>5</v>
      </c>
      <c r="AK49" s="433" cm="2">
        <f t="array" ref="AK49">SUMPRODUCT(COUNTIF(AK4:AK45,{"早";"T早"}))</f>
        <v>5</v>
      </c>
      <c r="AL49" s="433" cm="2">
        <f t="array" ref="AL49">SUMPRODUCT(COUNTIF(AL4:AL45,{"早";"T早"}))</f>
        <v>3</v>
      </c>
      <c r="AM49" s="433" cm="2">
        <f t="array" ref="AM49">SUMPRODUCT(COUNTIF(AM4:AM45,{"早";"T早"}))</f>
        <v>3</v>
      </c>
      <c r="AN49" s="433" cm="2">
        <f t="array" ref="AN49">SUMPRODUCT(COUNTIF(AN4:AN45,{"早";"T早"}))</f>
        <v>5</v>
      </c>
      <c r="AO49" s="433" cm="2">
        <f t="array" ref="AO49">SUMPRODUCT(COUNTIF(AO4:AO45,{"早";"T早"}))</f>
        <v>5</v>
      </c>
      <c r="AP49" s="433" cm="2">
        <f t="array" ref="AP49">SUMPRODUCT(COUNTIF(AP4:AP45,{"早";"T早"}))</f>
        <v>5</v>
      </c>
      <c r="AQ49" s="433" cm="2">
        <f t="array" ref="AQ49">SUMPRODUCT(COUNTIF(AQ4:AQ45,{"早";"T早"}))</f>
        <v>5</v>
      </c>
      <c r="AR49" s="433" cm="2">
        <f t="array" ref="AR49">SUMPRODUCT(COUNTIF(AR4:AR45,{"早";"T早"}))</f>
        <v>5</v>
      </c>
      <c r="AS49" s="433" cm="2">
        <f t="array" ref="AS49">SUMPRODUCT(COUNTIF(AS4:AS45,{"早";"T早"}))</f>
        <v>3</v>
      </c>
      <c r="AT49" s="433" cm="2">
        <f t="array" ref="AT49">SUMPRODUCT(COUNTIF(AT4:AT45,{"早";"T早"}))</f>
        <v>3</v>
      </c>
      <c r="AU49" s="434" cm="2">
        <f t="array" ref="AU49">SUMPRODUCT(COUNTIF(AU4:AU45,{"早";"T早"}))</f>
        <v>5</v>
      </c>
      <c r="AW49" s="87" t="s">
        <v>37</v>
      </c>
      <c r="AX49" s="75">
        <f>22*(31-I1)</f>
        <v>462</v>
      </c>
      <c r="AY49" s="75">
        <f>3*(31-I1)</f>
        <v>63</v>
      </c>
      <c r="BA49" s="84"/>
    </row>
    <row r="50" spans="1:57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435" cm="2">
        <f t="array" ref="Q50">SUMPRODUCT(COUNTIF(Q4:Q45,{"中";"T中"}))</f>
        <v>3</v>
      </c>
      <c r="R50" s="436" cm="2">
        <f t="array" ref="R50">SUMPRODUCT(COUNTIF(R4:R45,{"中";"T中"}))</f>
        <v>3</v>
      </c>
      <c r="S50" s="436" cm="2">
        <f t="array" ref="S50">SUMPRODUCT(COUNTIF(S4:S45,{"中";"T中"}))</f>
        <v>3</v>
      </c>
      <c r="T50" s="436" cm="2">
        <f t="array" ref="T50">SUMPRODUCT(COUNTIF(T4:T45,{"中";"T中"}))</f>
        <v>3</v>
      </c>
      <c r="U50" s="436" cm="2">
        <f t="array" ref="U50">SUMPRODUCT(COUNTIF(U4:U45,{"中";"T中"}))</f>
        <v>3</v>
      </c>
      <c r="V50" s="436" cm="2">
        <f t="array" ref="V50">SUMPRODUCT(COUNTIF(V4:V45,{"中";"T中"}))</f>
        <v>3</v>
      </c>
      <c r="W50" s="436" cm="2">
        <f t="array" ref="W50">SUMPRODUCT(COUNTIF(W4:W45,{"中";"T中"}))</f>
        <v>3</v>
      </c>
      <c r="X50" s="436" cm="2">
        <f t="array" ref="X50">SUMPRODUCT(COUNTIF(X4:X45,{"中";"T中"}))</f>
        <v>3</v>
      </c>
      <c r="Y50" s="436" cm="2">
        <f t="array" ref="Y50">SUMPRODUCT(COUNTIF(Y4:Y45,{"中";"T中"}))</f>
        <v>3</v>
      </c>
      <c r="Z50" s="436" cm="2">
        <f t="array" ref="Z50">SUMPRODUCT(COUNTIF(Z4:Z45,{"中";"T中"}))</f>
        <v>3</v>
      </c>
      <c r="AA50" s="436" cm="2">
        <f t="array" ref="AA50">SUMPRODUCT(COUNTIF(AA4:AA45,{"中";"T中"}))</f>
        <v>3</v>
      </c>
      <c r="AB50" s="436" cm="2">
        <f t="array" ref="AB50">SUMPRODUCT(COUNTIF(AB4:AB45,{"中";"T中"}))</f>
        <v>3</v>
      </c>
      <c r="AC50" s="436" cm="2">
        <f t="array" ref="AC50">SUMPRODUCT(COUNTIF(AC4:AC45,{"中";"T中"}))</f>
        <v>3</v>
      </c>
      <c r="AD50" s="436" cm="2">
        <f t="array" ref="AD50">SUMPRODUCT(COUNTIF(AD4:AD45,{"中";"T中"}))</f>
        <v>3</v>
      </c>
      <c r="AE50" s="436" cm="2">
        <f t="array" ref="AE50">SUMPRODUCT(COUNTIF(AE4:AE45,{"中";"T中"}))</f>
        <v>3</v>
      </c>
      <c r="AF50" s="436" cm="2">
        <f t="array" ref="AF50">SUMPRODUCT(COUNTIF(AF4:AF45,{"中";"T中"}))</f>
        <v>3</v>
      </c>
      <c r="AG50" s="436" cm="2">
        <f t="array" ref="AG50">SUMPRODUCT(COUNTIF(AG4:AG45,{"中";"T中"}))</f>
        <v>3</v>
      </c>
      <c r="AH50" s="436" cm="2">
        <f t="array" ref="AH50">SUMPRODUCT(COUNTIF(AH4:AH45,{"中";"T中"}))</f>
        <v>3</v>
      </c>
      <c r="AI50" s="436" cm="2">
        <f t="array" ref="AI50">SUMPRODUCT(COUNTIF(AI4:AI45,{"中";"T中"}))</f>
        <v>3</v>
      </c>
      <c r="AJ50" s="436" cm="2">
        <f t="array" ref="AJ50">SUMPRODUCT(COUNTIF(AJ4:AJ45,{"中";"T中"}))</f>
        <v>3</v>
      </c>
      <c r="AK50" s="436" cm="2">
        <f t="array" ref="AK50">SUMPRODUCT(COUNTIF(AK4:AK45,{"中";"T中"}))</f>
        <v>3</v>
      </c>
      <c r="AL50" s="436" cm="2">
        <f t="array" ref="AL50">SUMPRODUCT(COUNTIF(AL4:AL45,{"中";"T中"}))</f>
        <v>3</v>
      </c>
      <c r="AM50" s="436" cm="2">
        <f t="array" ref="AM50">SUMPRODUCT(COUNTIF(AM4:AM45,{"中";"T中"}))</f>
        <v>3</v>
      </c>
      <c r="AN50" s="436" cm="2">
        <f t="array" ref="AN50">SUMPRODUCT(COUNTIF(AN4:AN45,{"中";"T中"}))</f>
        <v>3</v>
      </c>
      <c r="AO50" s="436" cm="2">
        <f t="array" ref="AO50">SUMPRODUCT(COUNTIF(AO4:AO45,{"中";"T中"}))</f>
        <v>3</v>
      </c>
      <c r="AP50" s="436" cm="2">
        <f t="array" ref="AP50">SUMPRODUCT(COUNTIF(AP4:AP45,{"中";"T中"}))</f>
        <v>3</v>
      </c>
      <c r="AQ50" s="436" cm="2">
        <f t="array" ref="AQ50">SUMPRODUCT(COUNTIF(AQ4:AQ45,{"中";"T中"}))</f>
        <v>3</v>
      </c>
      <c r="AR50" s="436" cm="2">
        <f t="array" ref="AR50">SUMPRODUCT(COUNTIF(AR4:AR45,{"中";"T中"}))</f>
        <v>3</v>
      </c>
      <c r="AS50" s="436" cm="2">
        <f t="array" ref="AS50">SUMPRODUCT(COUNTIF(AS4:AS45,{"中";"T中"}))</f>
        <v>3</v>
      </c>
      <c r="AT50" s="436" cm="2">
        <f t="array" ref="AT50">SUMPRODUCT(COUNTIF(AT4:AT45,{"中";"T中"}))</f>
        <v>3</v>
      </c>
      <c r="AU50" s="437" cm="2">
        <f t="array" ref="AU50">SUMPRODUCT(COUNTIF(AU4:AU45,{"中";"T中"}))</f>
        <v>3</v>
      </c>
      <c r="AW50" s="87" t="s">
        <v>39</v>
      </c>
      <c r="AX50" s="75">
        <f>16*I1</f>
        <v>160</v>
      </c>
      <c r="AY50" s="75">
        <f>3*I1</f>
        <v>30</v>
      </c>
      <c r="BA50" s="89"/>
    </row>
    <row r="51" spans="1:57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P51" si="74">COUNTIF(K4:K45,"晚")</f>
        <v>2</v>
      </c>
      <c r="L51" s="130">
        <f t="shared" si="74"/>
        <v>3</v>
      </c>
      <c r="M51" s="130">
        <f t="shared" si="74"/>
        <v>3</v>
      </c>
      <c r="N51" s="130">
        <f t="shared" si="74"/>
        <v>3</v>
      </c>
      <c r="O51" s="130">
        <f t="shared" si="74"/>
        <v>3</v>
      </c>
      <c r="P51" s="130">
        <f t="shared" si="74"/>
        <v>3</v>
      </c>
      <c r="Q51" s="429">
        <f t="shared" ref="Q51:AU51" si="75">COUNTIF(Q4:Q45,"晚")</f>
        <v>2</v>
      </c>
      <c r="R51" s="430">
        <f t="shared" si="75"/>
        <v>2</v>
      </c>
      <c r="S51" s="430">
        <f t="shared" si="75"/>
        <v>3</v>
      </c>
      <c r="T51" s="430">
        <f t="shared" si="75"/>
        <v>3</v>
      </c>
      <c r="U51" s="430">
        <f t="shared" si="75"/>
        <v>3</v>
      </c>
      <c r="V51" s="430">
        <f t="shared" si="75"/>
        <v>3</v>
      </c>
      <c r="W51" s="430">
        <f t="shared" si="75"/>
        <v>3</v>
      </c>
      <c r="X51" s="430">
        <f t="shared" si="75"/>
        <v>2</v>
      </c>
      <c r="Y51" s="430">
        <f t="shared" si="75"/>
        <v>2</v>
      </c>
      <c r="Z51" s="430">
        <f t="shared" si="75"/>
        <v>3</v>
      </c>
      <c r="AA51" s="430">
        <f t="shared" si="75"/>
        <v>3</v>
      </c>
      <c r="AB51" s="430">
        <f t="shared" si="75"/>
        <v>3</v>
      </c>
      <c r="AC51" s="430">
        <f t="shared" si="75"/>
        <v>3</v>
      </c>
      <c r="AD51" s="430">
        <f t="shared" si="75"/>
        <v>3</v>
      </c>
      <c r="AE51" s="430">
        <f t="shared" si="75"/>
        <v>2</v>
      </c>
      <c r="AF51" s="430">
        <f t="shared" si="75"/>
        <v>2</v>
      </c>
      <c r="AG51" s="430">
        <f t="shared" si="75"/>
        <v>3</v>
      </c>
      <c r="AH51" s="430">
        <f t="shared" si="75"/>
        <v>3</v>
      </c>
      <c r="AI51" s="430">
        <f t="shared" si="75"/>
        <v>3</v>
      </c>
      <c r="AJ51" s="430">
        <f t="shared" si="75"/>
        <v>3</v>
      </c>
      <c r="AK51" s="430">
        <f t="shared" si="75"/>
        <v>3</v>
      </c>
      <c r="AL51" s="430">
        <f t="shared" si="75"/>
        <v>2</v>
      </c>
      <c r="AM51" s="430">
        <f t="shared" si="75"/>
        <v>2</v>
      </c>
      <c r="AN51" s="430">
        <f t="shared" si="75"/>
        <v>3</v>
      </c>
      <c r="AO51" s="430">
        <f t="shared" si="75"/>
        <v>3</v>
      </c>
      <c r="AP51" s="430">
        <f t="shared" si="75"/>
        <v>3</v>
      </c>
      <c r="AQ51" s="430">
        <f t="shared" si="75"/>
        <v>3</v>
      </c>
      <c r="AR51" s="430">
        <f t="shared" si="75"/>
        <v>3</v>
      </c>
      <c r="AS51" s="430">
        <f t="shared" si="75"/>
        <v>2</v>
      </c>
      <c r="AT51" s="430">
        <f t="shared" si="75"/>
        <v>2</v>
      </c>
      <c r="AU51" s="431">
        <f t="shared" si="75"/>
        <v>3</v>
      </c>
      <c r="AW51" s="75" t="s">
        <v>0</v>
      </c>
      <c r="AX51" s="91">
        <f>36*I1</f>
        <v>360</v>
      </c>
      <c r="AY51" s="75">
        <f>6*I1</f>
        <v>60</v>
      </c>
    </row>
    <row r="52" spans="1:57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P52" si="76">COUNTIF(K4:K45,"日")</f>
        <v>1</v>
      </c>
      <c r="L52" s="128">
        <f t="shared" si="76"/>
        <v>1</v>
      </c>
      <c r="M52" s="128">
        <f t="shared" si="76"/>
        <v>1</v>
      </c>
      <c r="N52" s="128">
        <f t="shared" si="76"/>
        <v>1</v>
      </c>
      <c r="O52" s="128">
        <f t="shared" si="76"/>
        <v>1</v>
      </c>
      <c r="P52" s="128">
        <f t="shared" si="76"/>
        <v>1</v>
      </c>
      <c r="Q52" s="432">
        <f t="shared" ref="Q52:AU52" si="77">COUNTIF(Q4:Q45,"日")</f>
        <v>1</v>
      </c>
      <c r="R52" s="433">
        <f t="shared" si="77"/>
        <v>1</v>
      </c>
      <c r="S52" s="433">
        <f t="shared" si="77"/>
        <v>1</v>
      </c>
      <c r="T52" s="433">
        <f t="shared" si="77"/>
        <v>1</v>
      </c>
      <c r="U52" s="433">
        <f t="shared" si="77"/>
        <v>1</v>
      </c>
      <c r="V52" s="433">
        <f t="shared" si="77"/>
        <v>1</v>
      </c>
      <c r="W52" s="433">
        <f t="shared" si="77"/>
        <v>1</v>
      </c>
      <c r="X52" s="433">
        <f t="shared" si="77"/>
        <v>1</v>
      </c>
      <c r="Y52" s="433">
        <f t="shared" si="77"/>
        <v>1</v>
      </c>
      <c r="Z52" s="433">
        <f t="shared" si="77"/>
        <v>1</v>
      </c>
      <c r="AA52" s="433">
        <f t="shared" si="77"/>
        <v>1</v>
      </c>
      <c r="AB52" s="433">
        <f t="shared" si="77"/>
        <v>1</v>
      </c>
      <c r="AC52" s="433">
        <f t="shared" si="77"/>
        <v>1</v>
      </c>
      <c r="AD52" s="433">
        <f t="shared" si="77"/>
        <v>1</v>
      </c>
      <c r="AE52" s="433">
        <f t="shared" si="77"/>
        <v>1</v>
      </c>
      <c r="AF52" s="433">
        <f t="shared" si="77"/>
        <v>1</v>
      </c>
      <c r="AG52" s="433">
        <f t="shared" si="77"/>
        <v>1</v>
      </c>
      <c r="AH52" s="433">
        <f t="shared" si="77"/>
        <v>1</v>
      </c>
      <c r="AI52" s="433">
        <f t="shared" si="77"/>
        <v>1</v>
      </c>
      <c r="AJ52" s="433">
        <f t="shared" si="77"/>
        <v>1</v>
      </c>
      <c r="AK52" s="433">
        <f t="shared" si="77"/>
        <v>1</v>
      </c>
      <c r="AL52" s="433">
        <f t="shared" si="77"/>
        <v>1</v>
      </c>
      <c r="AM52" s="433">
        <f t="shared" si="77"/>
        <v>1</v>
      </c>
      <c r="AN52" s="433">
        <f t="shared" si="77"/>
        <v>1</v>
      </c>
      <c r="AO52" s="433">
        <f t="shared" si="77"/>
        <v>1</v>
      </c>
      <c r="AP52" s="433">
        <f t="shared" si="77"/>
        <v>1</v>
      </c>
      <c r="AQ52" s="433">
        <f t="shared" si="77"/>
        <v>1</v>
      </c>
      <c r="AR52" s="433">
        <f t="shared" si="77"/>
        <v>1</v>
      </c>
      <c r="AS52" s="433">
        <f t="shared" si="77"/>
        <v>1</v>
      </c>
      <c r="AT52" s="433">
        <f t="shared" si="77"/>
        <v>1</v>
      </c>
      <c r="AU52" s="434">
        <f t="shared" si="77"/>
        <v>1</v>
      </c>
      <c r="AW52" s="50" t="s">
        <v>104</v>
      </c>
      <c r="AX52" s="91" cm="2">
        <f t="array" ref="AX52">SUMPRODUCT(COUNTIF(Q4:AU39,{"N";"N8"}))</f>
        <v>67</v>
      </c>
      <c r="AY52" s="91" cm="2">
        <f t="array" ref="AY52">SUMPRODUCT(COUNTIF(Q40:AU45,{"N";"N8"}))</f>
        <v>25</v>
      </c>
    </row>
    <row r="53" spans="1:57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P53" si="78">COUNTIF(K4:K45,"小夜")</f>
        <v>1</v>
      </c>
      <c r="L53" s="129">
        <f t="shared" si="78"/>
        <v>1</v>
      </c>
      <c r="M53" s="129">
        <f t="shared" si="78"/>
        <v>1</v>
      </c>
      <c r="N53" s="129">
        <f t="shared" si="78"/>
        <v>1</v>
      </c>
      <c r="O53" s="129">
        <f t="shared" si="78"/>
        <v>1</v>
      </c>
      <c r="P53" s="129">
        <f t="shared" si="78"/>
        <v>1</v>
      </c>
      <c r="Q53" s="435">
        <f t="shared" ref="Q53:AU53" si="79">COUNTIF(Q4:Q45,"小夜")</f>
        <v>1</v>
      </c>
      <c r="R53" s="436">
        <f t="shared" si="79"/>
        <v>1</v>
      </c>
      <c r="S53" s="436">
        <f t="shared" si="79"/>
        <v>1</v>
      </c>
      <c r="T53" s="436">
        <f t="shared" si="79"/>
        <v>1</v>
      </c>
      <c r="U53" s="436">
        <f t="shared" si="79"/>
        <v>1</v>
      </c>
      <c r="V53" s="436">
        <f t="shared" si="79"/>
        <v>1</v>
      </c>
      <c r="W53" s="436">
        <f t="shared" si="79"/>
        <v>1</v>
      </c>
      <c r="X53" s="436">
        <f t="shared" si="79"/>
        <v>1</v>
      </c>
      <c r="Y53" s="436">
        <f t="shared" si="79"/>
        <v>1</v>
      </c>
      <c r="Z53" s="436">
        <f t="shared" si="79"/>
        <v>1</v>
      </c>
      <c r="AA53" s="436">
        <f t="shared" si="79"/>
        <v>1</v>
      </c>
      <c r="AB53" s="436">
        <f t="shared" si="79"/>
        <v>1</v>
      </c>
      <c r="AC53" s="436">
        <f t="shared" si="79"/>
        <v>1</v>
      </c>
      <c r="AD53" s="436">
        <f t="shared" si="79"/>
        <v>1</v>
      </c>
      <c r="AE53" s="436">
        <f t="shared" si="79"/>
        <v>1</v>
      </c>
      <c r="AF53" s="436">
        <f t="shared" si="79"/>
        <v>1</v>
      </c>
      <c r="AG53" s="436">
        <f t="shared" si="79"/>
        <v>1</v>
      </c>
      <c r="AH53" s="436">
        <f t="shared" si="79"/>
        <v>1</v>
      </c>
      <c r="AI53" s="436">
        <f t="shared" si="79"/>
        <v>1</v>
      </c>
      <c r="AJ53" s="436">
        <f t="shared" si="79"/>
        <v>1</v>
      </c>
      <c r="AK53" s="436">
        <f t="shared" si="79"/>
        <v>1</v>
      </c>
      <c r="AL53" s="436">
        <f t="shared" si="79"/>
        <v>1</v>
      </c>
      <c r="AM53" s="436">
        <f t="shared" si="79"/>
        <v>1</v>
      </c>
      <c r="AN53" s="436">
        <f t="shared" si="79"/>
        <v>1</v>
      </c>
      <c r="AO53" s="436">
        <f t="shared" si="79"/>
        <v>1</v>
      </c>
      <c r="AP53" s="436">
        <f t="shared" si="79"/>
        <v>1</v>
      </c>
      <c r="AQ53" s="436">
        <f t="shared" si="79"/>
        <v>1</v>
      </c>
      <c r="AR53" s="436">
        <f t="shared" si="79"/>
        <v>1</v>
      </c>
      <c r="AS53" s="436">
        <f t="shared" si="79"/>
        <v>1</v>
      </c>
      <c r="AT53" s="436">
        <f t="shared" si="79"/>
        <v>1</v>
      </c>
      <c r="AU53" s="437">
        <f t="shared" si="79"/>
        <v>1</v>
      </c>
      <c r="AW53" s="50" t="s">
        <v>105</v>
      </c>
      <c r="AX53" s="92" cm="2">
        <f t="array" ref="AX53">SUMPRODUCT(COUNTIF(Q4:AU39,{"S"}))</f>
        <v>57</v>
      </c>
      <c r="AY53" s="75" cm="2">
        <f t="array" ref="AY53">SUMPRODUCT(COUNTIF(Q40:AU45,{"S"}))</f>
        <v>7</v>
      </c>
    </row>
    <row r="54" spans="1:57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P54" si="80">COUNTIF(K7:K48,"大夜")</f>
        <v>1</v>
      </c>
      <c r="L54" s="130">
        <f t="shared" si="80"/>
        <v>1</v>
      </c>
      <c r="M54" s="130">
        <f t="shared" si="80"/>
        <v>1</v>
      </c>
      <c r="N54" s="130">
        <f t="shared" si="80"/>
        <v>1</v>
      </c>
      <c r="O54" s="130">
        <f t="shared" si="80"/>
        <v>1</v>
      </c>
      <c r="P54" s="130">
        <f t="shared" si="80"/>
        <v>1</v>
      </c>
      <c r="Q54" s="429">
        <f t="shared" ref="Q54:AU54" si="81">COUNTIF(Q7:Q48,"大夜")</f>
        <v>1</v>
      </c>
      <c r="R54" s="430">
        <f t="shared" si="81"/>
        <v>1</v>
      </c>
      <c r="S54" s="430">
        <f t="shared" si="81"/>
        <v>1</v>
      </c>
      <c r="T54" s="430">
        <f t="shared" si="81"/>
        <v>1</v>
      </c>
      <c r="U54" s="430">
        <f t="shared" si="81"/>
        <v>1</v>
      </c>
      <c r="V54" s="430">
        <f t="shared" si="81"/>
        <v>1</v>
      </c>
      <c r="W54" s="430">
        <f t="shared" si="81"/>
        <v>1</v>
      </c>
      <c r="X54" s="430">
        <f t="shared" si="81"/>
        <v>1</v>
      </c>
      <c r="Y54" s="430">
        <f t="shared" si="81"/>
        <v>1</v>
      </c>
      <c r="Z54" s="430">
        <f t="shared" si="81"/>
        <v>1</v>
      </c>
      <c r="AA54" s="430">
        <f t="shared" si="81"/>
        <v>1</v>
      </c>
      <c r="AB54" s="430">
        <f t="shared" si="81"/>
        <v>1</v>
      </c>
      <c r="AC54" s="430">
        <f t="shared" si="81"/>
        <v>1</v>
      </c>
      <c r="AD54" s="430">
        <f t="shared" si="81"/>
        <v>1</v>
      </c>
      <c r="AE54" s="430">
        <f t="shared" si="81"/>
        <v>1</v>
      </c>
      <c r="AF54" s="430">
        <f t="shared" si="81"/>
        <v>1</v>
      </c>
      <c r="AG54" s="430">
        <f t="shared" si="81"/>
        <v>1</v>
      </c>
      <c r="AH54" s="430">
        <f t="shared" si="81"/>
        <v>1</v>
      </c>
      <c r="AI54" s="430">
        <f t="shared" si="81"/>
        <v>1</v>
      </c>
      <c r="AJ54" s="430">
        <f t="shared" si="81"/>
        <v>1</v>
      </c>
      <c r="AK54" s="430">
        <f t="shared" si="81"/>
        <v>1</v>
      </c>
      <c r="AL54" s="430">
        <f t="shared" si="81"/>
        <v>1</v>
      </c>
      <c r="AM54" s="430">
        <f t="shared" si="81"/>
        <v>1</v>
      </c>
      <c r="AN54" s="430">
        <f t="shared" si="81"/>
        <v>1</v>
      </c>
      <c r="AO54" s="430">
        <f t="shared" si="81"/>
        <v>1</v>
      </c>
      <c r="AP54" s="430">
        <f t="shared" si="81"/>
        <v>1</v>
      </c>
      <c r="AQ54" s="430">
        <f t="shared" si="81"/>
        <v>1</v>
      </c>
      <c r="AR54" s="430">
        <f t="shared" si="81"/>
        <v>1</v>
      </c>
      <c r="AS54" s="430">
        <f t="shared" si="81"/>
        <v>1</v>
      </c>
      <c r="AT54" s="430">
        <f t="shared" si="81"/>
        <v>1</v>
      </c>
      <c r="AU54" s="431">
        <f t="shared" si="81"/>
        <v>1</v>
      </c>
      <c r="AW54" s="93" t="s">
        <v>145</v>
      </c>
      <c r="AX54" s="75">
        <v>0</v>
      </c>
      <c r="AY54" s="75">
        <v>0</v>
      </c>
    </row>
    <row r="55" spans="1:57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P55" si="82">COUNTIF(K4:K45,"N")+COUNTIF(K4:K45,"N8")</f>
        <v>0</v>
      </c>
      <c r="L55" s="96">
        <f t="shared" si="82"/>
        <v>3</v>
      </c>
      <c r="M55" s="96">
        <f t="shared" si="82"/>
        <v>7</v>
      </c>
      <c r="N55" s="97">
        <f t="shared" si="82"/>
        <v>8</v>
      </c>
      <c r="O55" s="98">
        <f t="shared" si="82"/>
        <v>6</v>
      </c>
      <c r="P55" s="99">
        <f t="shared" si="82"/>
        <v>4</v>
      </c>
      <c r="Q55" s="347">
        <f t="shared" ref="Q55:AU55" si="83">COUNTIF(Q4:Q45,"N")+COUNTIF(Q4:Q45,"N8")</f>
        <v>0</v>
      </c>
      <c r="R55" s="438">
        <f t="shared" si="83"/>
        <v>0</v>
      </c>
      <c r="S55" s="438">
        <f t="shared" si="83"/>
        <v>4</v>
      </c>
      <c r="T55" s="438">
        <f t="shared" si="83"/>
        <v>6</v>
      </c>
      <c r="U55" s="438">
        <f t="shared" si="83"/>
        <v>5</v>
      </c>
      <c r="V55" s="438">
        <f t="shared" si="83"/>
        <v>1</v>
      </c>
      <c r="W55" s="438">
        <f t="shared" si="83"/>
        <v>4</v>
      </c>
      <c r="X55" s="438">
        <f t="shared" si="83"/>
        <v>0</v>
      </c>
      <c r="Y55" s="438">
        <f t="shared" si="83"/>
        <v>0</v>
      </c>
      <c r="Z55" s="438">
        <f t="shared" si="83"/>
        <v>2</v>
      </c>
      <c r="AA55" s="438">
        <f t="shared" si="83"/>
        <v>3</v>
      </c>
      <c r="AB55" s="438">
        <f t="shared" si="83"/>
        <v>7</v>
      </c>
      <c r="AC55" s="438">
        <f t="shared" si="83"/>
        <v>7</v>
      </c>
      <c r="AD55" s="438">
        <f t="shared" si="83"/>
        <v>2</v>
      </c>
      <c r="AE55" s="438">
        <f t="shared" si="83"/>
        <v>0</v>
      </c>
      <c r="AF55" s="438">
        <f t="shared" si="83"/>
        <v>0</v>
      </c>
      <c r="AG55" s="438">
        <f t="shared" si="83"/>
        <v>5</v>
      </c>
      <c r="AH55" s="438">
        <f t="shared" si="83"/>
        <v>10</v>
      </c>
      <c r="AI55" s="438">
        <f t="shared" si="83"/>
        <v>6</v>
      </c>
      <c r="AJ55" s="438">
        <f t="shared" si="83"/>
        <v>3</v>
      </c>
      <c r="AK55" s="438">
        <f t="shared" si="83"/>
        <v>3</v>
      </c>
      <c r="AL55" s="438">
        <f t="shared" si="83"/>
        <v>0</v>
      </c>
      <c r="AM55" s="438">
        <f t="shared" si="83"/>
        <v>0</v>
      </c>
      <c r="AN55" s="438">
        <f t="shared" si="83"/>
        <v>3</v>
      </c>
      <c r="AO55" s="438">
        <f t="shared" si="83"/>
        <v>6</v>
      </c>
      <c r="AP55" s="438">
        <f t="shared" si="83"/>
        <v>7</v>
      </c>
      <c r="AQ55" s="438">
        <f t="shared" si="83"/>
        <v>3</v>
      </c>
      <c r="AR55" s="438">
        <f t="shared" si="83"/>
        <v>3</v>
      </c>
      <c r="AS55" s="438">
        <f t="shared" si="83"/>
        <v>0</v>
      </c>
      <c r="AT55" s="438">
        <f t="shared" si="83"/>
        <v>0</v>
      </c>
      <c r="AU55" s="439">
        <f t="shared" si="83"/>
        <v>2</v>
      </c>
      <c r="AW55" s="100" t="s">
        <v>42</v>
      </c>
      <c r="AX55" s="101">
        <v>-10</v>
      </c>
      <c r="AY55" s="75">
        <v>-1</v>
      </c>
    </row>
    <row r="56" spans="1:57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4">
        <f t="shared" ref="K56:P56" si="84">COUNTIF(K4:K45,"X")+COUNTIF(K4:K45,"Y")+COUNTIF(K4:K45,"Z")</f>
        <v>19</v>
      </c>
      <c r="L56" s="24">
        <f t="shared" si="84"/>
        <v>12</v>
      </c>
      <c r="M56" s="24">
        <f t="shared" si="84"/>
        <v>7</v>
      </c>
      <c r="N56" s="24">
        <f t="shared" si="84"/>
        <v>7</v>
      </c>
      <c r="O56" s="24">
        <f t="shared" si="84"/>
        <v>6</v>
      </c>
      <c r="P56" s="102">
        <f t="shared" si="84"/>
        <v>11</v>
      </c>
      <c r="Q56" s="297">
        <f t="shared" ref="Q56:AU56" si="85">COUNTIF(Q4:Q45,"X")+COUNTIF(Q4:Q45,"Y")+COUNTIF(Q4:Q45,"Z")</f>
        <v>23</v>
      </c>
      <c r="R56" s="24">
        <f t="shared" si="85"/>
        <v>21</v>
      </c>
      <c r="S56" s="24">
        <f t="shared" si="85"/>
        <v>11</v>
      </c>
      <c r="T56" s="24">
        <f t="shared" si="85"/>
        <v>8</v>
      </c>
      <c r="U56" s="24">
        <f t="shared" si="85"/>
        <v>6</v>
      </c>
      <c r="V56" s="24">
        <f t="shared" si="85"/>
        <v>11</v>
      </c>
      <c r="W56" s="24">
        <f t="shared" si="85"/>
        <v>10</v>
      </c>
      <c r="X56" s="24">
        <f t="shared" si="85"/>
        <v>23</v>
      </c>
      <c r="Y56" s="24">
        <f t="shared" si="85"/>
        <v>23</v>
      </c>
      <c r="Z56" s="24">
        <f t="shared" si="85"/>
        <v>12</v>
      </c>
      <c r="AA56" s="24">
        <f t="shared" si="85"/>
        <v>9</v>
      </c>
      <c r="AB56" s="24">
        <f t="shared" si="85"/>
        <v>8</v>
      </c>
      <c r="AC56" s="24">
        <f t="shared" si="85"/>
        <v>9</v>
      </c>
      <c r="AD56" s="24">
        <f t="shared" si="85"/>
        <v>13</v>
      </c>
      <c r="AE56" s="24">
        <f t="shared" si="85"/>
        <v>23</v>
      </c>
      <c r="AF56" s="24">
        <f t="shared" si="85"/>
        <v>21</v>
      </c>
      <c r="AG56" s="24">
        <f t="shared" si="85"/>
        <v>10</v>
      </c>
      <c r="AH56" s="24">
        <f t="shared" si="85"/>
        <v>7</v>
      </c>
      <c r="AI56" s="24">
        <f t="shared" si="85"/>
        <v>11</v>
      </c>
      <c r="AJ56" s="24">
        <f t="shared" si="85"/>
        <v>12</v>
      </c>
      <c r="AK56" s="24">
        <f t="shared" si="85"/>
        <v>14</v>
      </c>
      <c r="AL56" s="24">
        <f t="shared" si="85"/>
        <v>20</v>
      </c>
      <c r="AM56" s="24">
        <f t="shared" si="85"/>
        <v>19</v>
      </c>
      <c r="AN56" s="24">
        <f t="shared" si="85"/>
        <v>12</v>
      </c>
      <c r="AO56" s="24">
        <f t="shared" si="85"/>
        <v>9</v>
      </c>
      <c r="AP56" s="24">
        <f t="shared" si="85"/>
        <v>9</v>
      </c>
      <c r="AQ56" s="24">
        <f t="shared" si="85"/>
        <v>11</v>
      </c>
      <c r="AR56" s="24">
        <f t="shared" si="85"/>
        <v>11</v>
      </c>
      <c r="AS56" s="24">
        <f t="shared" si="85"/>
        <v>20</v>
      </c>
      <c r="AT56" s="24">
        <f t="shared" si="85"/>
        <v>20</v>
      </c>
      <c r="AU56" s="102">
        <f t="shared" si="85"/>
        <v>15</v>
      </c>
      <c r="AW56" s="100" t="s">
        <v>146</v>
      </c>
      <c r="AX56" s="101">
        <v>0</v>
      </c>
      <c r="AY56" s="75">
        <v>0</v>
      </c>
    </row>
    <row r="57" spans="1:57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39">
        <f t="shared" ref="K57:P57" si="86">COUNTIF(K4:K45,"S")</f>
        <v>5</v>
      </c>
      <c r="L57" s="39">
        <f t="shared" si="86"/>
        <v>2</v>
      </c>
      <c r="M57" s="39">
        <f t="shared" si="86"/>
        <v>3</v>
      </c>
      <c r="N57" s="39">
        <f t="shared" si="86"/>
        <v>1</v>
      </c>
      <c r="O57" s="39">
        <f t="shared" si="86"/>
        <v>5</v>
      </c>
      <c r="P57" s="83">
        <f t="shared" si="86"/>
        <v>2</v>
      </c>
      <c r="Q57" s="294">
        <f t="shared" ref="Q57:AU57" si="87">COUNTIF(Q4:Q45,"S")</f>
        <v>0</v>
      </c>
      <c r="R57" s="39">
        <f t="shared" si="87"/>
        <v>2</v>
      </c>
      <c r="S57" s="39">
        <f t="shared" si="87"/>
        <v>2</v>
      </c>
      <c r="T57" s="39">
        <f t="shared" si="87"/>
        <v>3</v>
      </c>
      <c r="U57" s="39">
        <f t="shared" si="87"/>
        <v>6</v>
      </c>
      <c r="V57" s="39">
        <f t="shared" si="87"/>
        <v>5</v>
      </c>
      <c r="W57" s="39">
        <f t="shared" si="87"/>
        <v>3</v>
      </c>
      <c r="X57" s="39">
        <f t="shared" si="87"/>
        <v>0</v>
      </c>
      <c r="Y57" s="39">
        <f t="shared" si="87"/>
        <v>0</v>
      </c>
      <c r="Z57" s="39">
        <f t="shared" si="87"/>
        <v>3</v>
      </c>
      <c r="AA57" s="39">
        <f t="shared" si="87"/>
        <v>5</v>
      </c>
      <c r="AB57" s="39">
        <f t="shared" si="87"/>
        <v>2</v>
      </c>
      <c r="AC57" s="39">
        <f t="shared" si="87"/>
        <v>1</v>
      </c>
      <c r="AD57" s="39">
        <f t="shared" si="87"/>
        <v>2</v>
      </c>
      <c r="AE57" s="39">
        <f t="shared" si="87"/>
        <v>0</v>
      </c>
      <c r="AF57" s="39">
        <f t="shared" si="87"/>
        <v>2</v>
      </c>
      <c r="AG57" s="39">
        <f t="shared" si="87"/>
        <v>2</v>
      </c>
      <c r="AH57" s="39">
        <f t="shared" si="87"/>
        <v>0</v>
      </c>
      <c r="AI57" s="39">
        <f t="shared" si="87"/>
        <v>0</v>
      </c>
      <c r="AJ57" s="39">
        <f t="shared" si="87"/>
        <v>2</v>
      </c>
      <c r="AK57" s="39">
        <f t="shared" si="87"/>
        <v>0</v>
      </c>
      <c r="AL57" s="39">
        <f t="shared" si="87"/>
        <v>3</v>
      </c>
      <c r="AM57" s="39">
        <f t="shared" si="87"/>
        <v>4</v>
      </c>
      <c r="AN57" s="39">
        <f t="shared" si="87"/>
        <v>2</v>
      </c>
      <c r="AO57" s="39">
        <f t="shared" si="87"/>
        <v>2</v>
      </c>
      <c r="AP57" s="39">
        <f t="shared" si="87"/>
        <v>1</v>
      </c>
      <c r="AQ57" s="39">
        <f t="shared" si="87"/>
        <v>3</v>
      </c>
      <c r="AR57" s="39">
        <f t="shared" si="87"/>
        <v>3</v>
      </c>
      <c r="AS57" s="39">
        <f t="shared" si="87"/>
        <v>3</v>
      </c>
      <c r="AT57" s="39">
        <f t="shared" si="87"/>
        <v>3</v>
      </c>
      <c r="AU57" s="83">
        <f t="shared" si="87"/>
        <v>0</v>
      </c>
      <c r="AW57" s="107" t="s">
        <v>46</v>
      </c>
      <c r="AX57" s="105">
        <f>AX48-AX49-AX51-AX52-AX53-AX54+AX55+AX56-AX50</f>
        <v>0</v>
      </c>
      <c r="AY57" s="105">
        <f>AY48-AY49-AY51-AY52-AY53-AY54+AY55+AY56-AY50</f>
        <v>0</v>
      </c>
      <c r="AZ57" s="6"/>
    </row>
    <row r="58" spans="1:57" ht="18" customHeight="1" thickBot="1">
      <c r="A58" s="80"/>
      <c r="B58" s="80"/>
      <c r="C58" s="80"/>
      <c r="D58" s="80"/>
      <c r="I58" s="80"/>
      <c r="J58" s="103" t="s">
        <v>45</v>
      </c>
      <c r="K58" s="39">
        <f t="shared" ref="K58:P58" si="88">COUNTIF(K4:K45,"T")</f>
        <v>0</v>
      </c>
      <c r="L58" s="39">
        <f t="shared" si="88"/>
        <v>0</v>
      </c>
      <c r="M58" s="39">
        <f t="shared" si="88"/>
        <v>0</v>
      </c>
      <c r="N58" s="39">
        <f t="shared" si="88"/>
        <v>0</v>
      </c>
      <c r="O58" s="39">
        <f t="shared" si="88"/>
        <v>0</v>
      </c>
      <c r="P58" s="83">
        <f t="shared" si="88"/>
        <v>0</v>
      </c>
      <c r="Q58" s="294">
        <f t="shared" ref="Q58:AU58" si="89">COUNTIF(Q4:Q45,"T")</f>
        <v>0</v>
      </c>
      <c r="R58" s="39">
        <f t="shared" si="89"/>
        <v>0</v>
      </c>
      <c r="S58" s="39">
        <f t="shared" si="89"/>
        <v>0</v>
      </c>
      <c r="T58" s="39">
        <f t="shared" si="89"/>
        <v>0</v>
      </c>
      <c r="U58" s="39">
        <f t="shared" si="89"/>
        <v>0</v>
      </c>
      <c r="V58" s="39">
        <f t="shared" si="89"/>
        <v>0</v>
      </c>
      <c r="W58" s="39">
        <f t="shared" si="89"/>
        <v>0</v>
      </c>
      <c r="X58" s="39">
        <f t="shared" si="89"/>
        <v>0</v>
      </c>
      <c r="Y58" s="39">
        <f t="shared" si="89"/>
        <v>0</v>
      </c>
      <c r="Z58" s="39">
        <f t="shared" si="89"/>
        <v>0</v>
      </c>
      <c r="AA58" s="39">
        <f t="shared" si="89"/>
        <v>0</v>
      </c>
      <c r="AB58" s="39">
        <f t="shared" si="89"/>
        <v>0</v>
      </c>
      <c r="AC58" s="39">
        <f t="shared" si="89"/>
        <v>0</v>
      </c>
      <c r="AD58" s="39">
        <f t="shared" si="89"/>
        <v>0</v>
      </c>
      <c r="AE58" s="39">
        <f t="shared" si="89"/>
        <v>0</v>
      </c>
      <c r="AF58" s="39">
        <f t="shared" si="89"/>
        <v>0</v>
      </c>
      <c r="AG58" s="39">
        <f t="shared" si="89"/>
        <v>0</v>
      </c>
      <c r="AH58" s="39">
        <f t="shared" si="89"/>
        <v>0</v>
      </c>
      <c r="AI58" s="39">
        <f t="shared" si="89"/>
        <v>0</v>
      </c>
      <c r="AJ58" s="39">
        <f t="shared" si="89"/>
        <v>0</v>
      </c>
      <c r="AK58" s="39">
        <f t="shared" si="89"/>
        <v>0</v>
      </c>
      <c r="AL58" s="39">
        <f t="shared" si="89"/>
        <v>0</v>
      </c>
      <c r="AM58" s="39">
        <f t="shared" si="89"/>
        <v>0</v>
      </c>
      <c r="AN58" s="39">
        <f t="shared" si="89"/>
        <v>0</v>
      </c>
      <c r="AO58" s="39">
        <f t="shared" si="89"/>
        <v>0</v>
      </c>
      <c r="AP58" s="39">
        <f t="shared" si="89"/>
        <v>0</v>
      </c>
      <c r="AQ58" s="39">
        <f t="shared" si="89"/>
        <v>0</v>
      </c>
      <c r="AR58" s="39">
        <f t="shared" si="89"/>
        <v>0</v>
      </c>
      <c r="AS58" s="39">
        <f t="shared" si="89"/>
        <v>0</v>
      </c>
      <c r="AT58" s="39">
        <f t="shared" si="89"/>
        <v>0</v>
      </c>
      <c r="AU58" s="83">
        <f t="shared" si="89"/>
        <v>0</v>
      </c>
      <c r="AV58" s="77"/>
      <c r="AX58" s="50"/>
      <c r="AY58" s="111"/>
      <c r="BA58" s="77"/>
      <c r="BC58" s="77"/>
      <c r="BD58" s="77"/>
      <c r="BE58" s="77"/>
    </row>
    <row r="59" spans="1:57" ht="18" customHeight="1" thickBot="1">
      <c r="A59" s="80"/>
      <c r="B59" s="80"/>
      <c r="C59" s="80"/>
      <c r="D59" s="80"/>
      <c r="I59" s="80"/>
      <c r="J59" s="108" t="s">
        <v>109</v>
      </c>
      <c r="K59" s="109">
        <f t="shared" ref="K59:P59" si="90">SUM(K46:K58)</f>
        <v>42</v>
      </c>
      <c r="L59" s="109">
        <f t="shared" si="90"/>
        <v>42</v>
      </c>
      <c r="M59" s="109">
        <f t="shared" si="90"/>
        <v>42</v>
      </c>
      <c r="N59" s="109">
        <f t="shared" si="90"/>
        <v>42</v>
      </c>
      <c r="O59" s="109">
        <f t="shared" si="90"/>
        <v>42</v>
      </c>
      <c r="P59" s="110">
        <f t="shared" si="90"/>
        <v>42</v>
      </c>
      <c r="Q59" s="298">
        <f>SUM(Q46:Q58)</f>
        <v>42</v>
      </c>
      <c r="R59" s="109">
        <f t="shared" ref="R59:AU59" si="91">SUM(R46:R58)</f>
        <v>42</v>
      </c>
      <c r="S59" s="109">
        <f t="shared" si="91"/>
        <v>42</v>
      </c>
      <c r="T59" s="109">
        <f t="shared" si="91"/>
        <v>42</v>
      </c>
      <c r="U59" s="109">
        <f t="shared" si="91"/>
        <v>42</v>
      </c>
      <c r="V59" s="109">
        <f t="shared" si="91"/>
        <v>42</v>
      </c>
      <c r="W59" s="109">
        <f t="shared" si="91"/>
        <v>42</v>
      </c>
      <c r="X59" s="109">
        <f t="shared" si="91"/>
        <v>42</v>
      </c>
      <c r="Y59" s="109">
        <f t="shared" si="91"/>
        <v>42</v>
      </c>
      <c r="Z59" s="109">
        <f t="shared" si="91"/>
        <v>42</v>
      </c>
      <c r="AA59" s="109">
        <f t="shared" si="91"/>
        <v>42</v>
      </c>
      <c r="AB59" s="109">
        <f t="shared" si="91"/>
        <v>42</v>
      </c>
      <c r="AC59" s="109">
        <f t="shared" si="91"/>
        <v>42</v>
      </c>
      <c r="AD59" s="109">
        <f t="shared" si="91"/>
        <v>42</v>
      </c>
      <c r="AE59" s="109">
        <f t="shared" si="91"/>
        <v>42</v>
      </c>
      <c r="AF59" s="109">
        <f t="shared" si="91"/>
        <v>42</v>
      </c>
      <c r="AG59" s="109">
        <f t="shared" si="91"/>
        <v>42</v>
      </c>
      <c r="AH59" s="109">
        <f t="shared" si="91"/>
        <v>42</v>
      </c>
      <c r="AI59" s="109">
        <f t="shared" si="91"/>
        <v>42</v>
      </c>
      <c r="AJ59" s="109">
        <f t="shared" si="91"/>
        <v>42</v>
      </c>
      <c r="AK59" s="109">
        <f t="shared" si="91"/>
        <v>42</v>
      </c>
      <c r="AL59" s="109">
        <f t="shared" si="91"/>
        <v>42</v>
      </c>
      <c r="AM59" s="109">
        <f t="shared" si="91"/>
        <v>42</v>
      </c>
      <c r="AN59" s="109">
        <f t="shared" si="91"/>
        <v>42</v>
      </c>
      <c r="AO59" s="109">
        <f t="shared" si="91"/>
        <v>42</v>
      </c>
      <c r="AP59" s="109">
        <f t="shared" si="91"/>
        <v>42</v>
      </c>
      <c r="AQ59" s="109">
        <f t="shared" si="91"/>
        <v>42</v>
      </c>
      <c r="AR59" s="109">
        <f t="shared" si="91"/>
        <v>42</v>
      </c>
      <c r="AS59" s="109">
        <f t="shared" si="91"/>
        <v>42</v>
      </c>
      <c r="AT59" s="109">
        <f t="shared" si="91"/>
        <v>42</v>
      </c>
      <c r="AU59" s="110">
        <f t="shared" si="91"/>
        <v>42</v>
      </c>
      <c r="AW59" s="7"/>
      <c r="AX59" s="6"/>
      <c r="AY59" s="111"/>
      <c r="BA59" s="37"/>
    </row>
    <row r="60" spans="1:57" ht="24.6" customHeight="1">
      <c r="A60" s="80"/>
      <c r="B60" s="80"/>
      <c r="C60" s="80"/>
      <c r="D60" s="80"/>
      <c r="G60" s="80"/>
      <c r="H60" s="112"/>
      <c r="I60" s="113"/>
      <c r="K60" s="113">
        <f>41-K55-K56-K57-19</f>
        <v>-2</v>
      </c>
      <c r="L60" s="113">
        <f>41-L55-L56-L57-24</f>
        <v>0</v>
      </c>
      <c r="M60" s="113">
        <f t="shared" ref="M60:P60" si="92">41-M55-M56-M57-24</f>
        <v>0</v>
      </c>
      <c r="N60" s="113">
        <f t="shared" si="92"/>
        <v>1</v>
      </c>
      <c r="O60" s="113">
        <f t="shared" si="92"/>
        <v>0</v>
      </c>
      <c r="P60" s="113">
        <f t="shared" si="92"/>
        <v>0</v>
      </c>
      <c r="Q60" s="113">
        <f>42-Q55-Q56-Q57-19</f>
        <v>0</v>
      </c>
      <c r="R60" s="113">
        <f>42-R55-R56-R57-19</f>
        <v>0</v>
      </c>
      <c r="S60" s="113">
        <f>42-S55-S56-S57-25</f>
        <v>0</v>
      </c>
      <c r="T60" s="113">
        <f t="shared" ref="T60:W60" si="93">42-T55-T56-T57-25</f>
        <v>0</v>
      </c>
      <c r="U60" s="113">
        <f t="shared" si="93"/>
        <v>0</v>
      </c>
      <c r="V60" s="113">
        <f t="shared" si="93"/>
        <v>0</v>
      </c>
      <c r="W60" s="113">
        <f t="shared" si="93"/>
        <v>0</v>
      </c>
      <c r="X60" s="113">
        <f>42-X55-X56-X57-19</f>
        <v>0</v>
      </c>
      <c r="Y60" s="113">
        <f>42-Y55-Y56-Y57-19</f>
        <v>0</v>
      </c>
      <c r="Z60" s="113">
        <f>42-Z55-Z56-Z57-25</f>
        <v>0</v>
      </c>
      <c r="AA60" s="113">
        <f t="shared" ref="AA60:AD60" si="94">42-AA55-AA56-AA57-25</f>
        <v>0</v>
      </c>
      <c r="AB60" s="113">
        <f t="shared" si="94"/>
        <v>0</v>
      </c>
      <c r="AC60" s="113">
        <f t="shared" si="94"/>
        <v>0</v>
      </c>
      <c r="AD60" s="113">
        <f t="shared" si="94"/>
        <v>0</v>
      </c>
      <c r="AE60" s="113">
        <f>42-AE55-AE56-AE57-19</f>
        <v>0</v>
      </c>
      <c r="AF60" s="113">
        <f>42-AF55-AF56-AF57-19</f>
        <v>0</v>
      </c>
      <c r="AG60" s="113">
        <f>42-AG55-AG56-AG57-25</f>
        <v>0</v>
      </c>
      <c r="AH60" s="113">
        <f t="shared" ref="AH60:AK60" si="95">42-AH55-AH56-AH57-25</f>
        <v>0</v>
      </c>
      <c r="AI60" s="113">
        <f t="shared" si="95"/>
        <v>0</v>
      </c>
      <c r="AJ60" s="113">
        <f t="shared" si="95"/>
        <v>0</v>
      </c>
      <c r="AK60" s="113">
        <f t="shared" si="95"/>
        <v>0</v>
      </c>
      <c r="AL60" s="113">
        <f>42-AL55-AL56-AL57-19</f>
        <v>0</v>
      </c>
      <c r="AM60" s="113">
        <f>42-AM55-AM56-AM57-19</f>
        <v>0</v>
      </c>
      <c r="AN60" s="113">
        <f>42-AN55-AN56-AN57-25</f>
        <v>0</v>
      </c>
      <c r="AO60" s="113">
        <f t="shared" ref="AO60:AR60" si="96">42-AO55-AO56-AO57-25</f>
        <v>0</v>
      </c>
      <c r="AP60" s="113">
        <f t="shared" si="96"/>
        <v>0</v>
      </c>
      <c r="AQ60" s="113">
        <f t="shared" si="96"/>
        <v>0</v>
      </c>
      <c r="AR60" s="113">
        <f t="shared" si="96"/>
        <v>0</v>
      </c>
      <c r="AS60" s="113">
        <f>42-AS55-AS56-AS57-19</f>
        <v>0</v>
      </c>
      <c r="AT60" s="113">
        <f>42-AT55-AT56-AT57-19</f>
        <v>0</v>
      </c>
      <c r="AU60" s="113">
        <f>42-AU55-AU56-AU57-25</f>
        <v>0</v>
      </c>
    </row>
    <row r="61" spans="1:57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  <c r="AQ61" s="113"/>
      <c r="AR61" s="113"/>
      <c r="AS61" s="113"/>
      <c r="AT61" s="113"/>
      <c r="AU61" s="113"/>
      <c r="AV61" s="7"/>
    </row>
    <row r="62" spans="1:57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113"/>
      <c r="AQ62" s="113"/>
      <c r="AR62" s="113"/>
      <c r="AS62" s="113"/>
      <c r="AT62" s="113"/>
      <c r="AU62" s="113"/>
    </row>
    <row r="63" spans="1:57" ht="24.6" customHeight="1" thickBot="1">
      <c r="A63" s="80"/>
      <c r="B63" s="80"/>
      <c r="C63" s="80"/>
      <c r="D63" s="80"/>
      <c r="I63" s="80"/>
      <c r="J63" s="228" t="s">
        <v>47</v>
      </c>
      <c r="K63" s="231" cm="1">
        <f t="array" ref="K63">SUMPRODUCT(COUNTIF(K4:K18,{"1";"M1"}))</f>
        <v>1</v>
      </c>
      <c r="L63" s="351" cm="1">
        <f t="array" ref="L63">SUMPRODUCT(COUNTIF(L4:L18,{"1";"M1"}))</f>
        <v>1</v>
      </c>
      <c r="M63" s="351" cm="1">
        <f t="array" ref="M63">SUMPRODUCT(COUNTIF(M4:M18,{"1";"M1"}))</f>
        <v>1</v>
      </c>
      <c r="N63" s="351" cm="1">
        <f t="array" ref="N63">SUMPRODUCT(COUNTIF(N4:N18,{"1";"M1"}))</f>
        <v>3</v>
      </c>
      <c r="O63" s="351" cm="1">
        <f t="array" ref="O63">SUMPRODUCT(COUNTIF(O4:O18,{"1";"M1"}))</f>
        <v>1</v>
      </c>
      <c r="P63" s="352" cm="1">
        <f t="array" ref="P63">SUMPRODUCT(COUNTIF(P4:P18,{"1";"M1"}))</f>
        <v>1</v>
      </c>
      <c r="Q63" s="229" cm="1">
        <f t="array" ref="Q63">SUMPRODUCT(COUNTIF(Q4:Q18,{"1";"M1"}))</f>
        <v>1</v>
      </c>
      <c r="R63" s="231" cm="1">
        <f t="array" ref="R63">SUMPRODUCT(COUNTIF(R4:R18,{"1";"M1"}))</f>
        <v>1</v>
      </c>
      <c r="S63" s="230" cm="1">
        <f t="array" ref="S63">SUMPRODUCT(COUNTIF(S4:S18,{"1";"M1"}))</f>
        <v>2</v>
      </c>
      <c r="T63" s="230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1" cm="1">
        <f t="array" ref="X63">SUMPRODUCT(COUNTIF(X4:X18,{"1";"M1"}))</f>
        <v>3</v>
      </c>
      <c r="Y63" s="231" cm="1">
        <f t="array" ref="Y63">SUMPRODUCT(COUNTIF(Y4:Y18,{"1";"M1"}))</f>
        <v>3</v>
      </c>
      <c r="Z63" s="230" cm="1">
        <f t="array" ref="Z63">SUMPRODUCT(COUNTIF(Z4:Z18,{"1";"M1"}))</f>
        <v>1</v>
      </c>
      <c r="AA63" s="230" cm="1">
        <f t="array" ref="AA63">SUMPRODUCT(COUNTIF(AA4:AA18,{"1";"M1"}))</f>
        <v>2</v>
      </c>
      <c r="AB63" s="230" cm="1">
        <f t="array" ref="AB63">SUMPRODUCT(COUNTIF(AB4:AB18,{"1";"M1"}))</f>
        <v>3</v>
      </c>
      <c r="AC63" s="230" cm="1">
        <f t="array" ref="AC63">SUMPRODUCT(COUNTIF(AC4:AC18,{"1";"M1"}))</f>
        <v>3</v>
      </c>
      <c r="AD63" s="230" cm="1">
        <f t="array" ref="AD63">SUMPRODUCT(COUNTIF(AD4:AD18,{"1";"M1"}))</f>
        <v>2</v>
      </c>
      <c r="AE63" s="231" cm="1">
        <f t="array" ref="AE63">SUMPRODUCT(COUNTIF(AE4:AE18,{"1";"M1"}))</f>
        <v>1</v>
      </c>
      <c r="AF63" s="231" cm="1">
        <f t="array" ref="AF63">SUMPRODUCT(COUNTIF(AF4:AF18,{"1";"M1"}))</f>
        <v>2</v>
      </c>
      <c r="AG63" s="230" cm="1">
        <f t="array" ref="AG63">SUMPRODUCT(COUNTIF(AG4:AG18,{"1";"M1"}))</f>
        <v>1</v>
      </c>
      <c r="AH63" s="230" cm="1">
        <f t="array" ref="AH63">SUMPRODUCT(COUNTIF(AH4:AH18,{"1";"M1"}))</f>
        <v>2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1</v>
      </c>
      <c r="AL63" s="231" cm="1">
        <f t="array" ref="AL63">SUMPRODUCT(COUNTIF(AL4:AL18,{"1";"M1"}))</f>
        <v>3</v>
      </c>
      <c r="AM63" s="231" cm="1">
        <f t="array" ref="AM63">SUMPRODUCT(COUNTIF(AM4:AM18,{"1";"M1"}))</f>
        <v>3</v>
      </c>
      <c r="AN63" s="230" cm="1">
        <f t="array" ref="AN63">SUMPRODUCT(COUNTIF(AN4:AN18,{"1";"M1"}))</f>
        <v>1</v>
      </c>
      <c r="AO63" s="230" cm="1">
        <f t="array" ref="AO63">SUMPRODUCT(COUNTIF(AO4:AO18,{"1";"M1"}))</f>
        <v>1</v>
      </c>
      <c r="AP63" s="230" cm="1">
        <f t="array" ref="AP63">SUMPRODUCT(COUNTIF(AP4:AP18,{"1";"M1"}))</f>
        <v>2</v>
      </c>
      <c r="AQ63" s="230" cm="1">
        <f t="array" ref="AQ63">SUMPRODUCT(COUNTIF(AQ4:AQ18,{"1";"M1"}))</f>
        <v>2</v>
      </c>
      <c r="AR63" s="230" cm="1">
        <f t="array" ref="AR63">SUMPRODUCT(COUNTIF(AR4:AR18,{"1";"M1"}))</f>
        <v>1</v>
      </c>
      <c r="AS63" s="231" cm="1">
        <f t="array" ref="AS63">SUMPRODUCT(COUNTIF(AS4:AS18,{"1";"M1"}))</f>
        <v>2</v>
      </c>
      <c r="AT63" s="231" cm="1">
        <f t="array" ref="AT63">SUMPRODUCT(COUNTIF(AT4:AT18,{"1";"M1"}))</f>
        <v>2</v>
      </c>
      <c r="AU63" s="232" cm="1">
        <f t="array" ref="AU63">SUMPRODUCT(COUNTIF(AU4:AU18,{"1";"M1"}))</f>
        <v>1</v>
      </c>
    </row>
    <row r="64" spans="1:57" ht="24.6" customHeight="1">
      <c r="A64" s="80"/>
      <c r="B64" s="80"/>
      <c r="C64" s="80"/>
      <c r="D64" s="80"/>
      <c r="I64" s="80"/>
      <c r="R64" s="116"/>
      <c r="S64" s="116"/>
      <c r="T64" s="116"/>
      <c r="W64" s="116"/>
    </row>
    <row r="116" spans="10:232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7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</row>
    <row r="186" spans="21:21" ht="24.6" customHeight="1">
      <c r="U186" s="6" t="s">
        <v>168</v>
      </c>
    </row>
  </sheetData>
  <autoFilter ref="AZ3:AZ58" xr:uid="{00000000-0009-0000-0000-000007000000}"/>
  <mergeCells count="12">
    <mergeCell ref="BC2:BE2"/>
    <mergeCell ref="M1:O1"/>
    <mergeCell ref="Q1:AN1"/>
    <mergeCell ref="AO1:AQ1"/>
    <mergeCell ref="AR1:AT1"/>
    <mergeCell ref="I2:I3"/>
    <mergeCell ref="J2:J3"/>
    <mergeCell ref="A2:A3"/>
    <mergeCell ref="B2:B3"/>
    <mergeCell ref="C2:C3"/>
    <mergeCell ref="D2:D3"/>
    <mergeCell ref="E2:E3"/>
  </mergeCells>
  <conditionalFormatting sqref="K4:AU45">
    <cfRule type="expression" dxfId="38" priority="1">
      <formula>OR(K4="晚", K4=3, K4="大夜")</formula>
    </cfRule>
    <cfRule type="expression" dxfId="37" priority="2">
      <formula>OR(K4="T中", K4="中", K4=2, K4="小夜")</formula>
    </cfRule>
    <cfRule type="expression" dxfId="36" priority="3">
      <formula>OR(K4="T早", K4="早", K4="M1", K4=1, K4="日")</formula>
    </cfRule>
    <cfRule type="expression" dxfId="35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U54">
    <cfRule type="cellIs" dxfId="34" priority="1110" operator="equal">
      <formula>5</formula>
    </cfRule>
    <cfRule type="cellIs" dxfId="33" priority="1111" operator="equal">
      <formula>4</formula>
    </cfRule>
    <cfRule type="cellIs" dxfId="32" priority="1112" operator="equal">
      <formula>3</formula>
    </cfRule>
    <cfRule type="cellIs" dxfId="31" priority="1113" operator="equal">
      <formula>2</formula>
    </cfRule>
    <cfRule type="cellIs" dxfId="30" priority="1114" operator="equal">
      <formula>1</formula>
    </cfRule>
  </conditionalFormatting>
  <conditionalFormatting sqref="K52:AU54">
    <cfRule type="cellIs" dxfId="29" priority="1115" operator="equal">
      <formula>"T中"</formula>
    </cfRule>
  </conditionalFormatting>
  <conditionalFormatting sqref="Q46:AU46">
    <cfRule type="cellIs" dxfId="28" priority="12" operator="greaterThan">
      <formula>5</formula>
    </cfRule>
  </conditionalFormatting>
  <conditionalFormatting sqref="AV24">
    <cfRule type="cellIs" dxfId="27" priority="1157" operator="equal">
      <formula>"T中"</formula>
    </cfRule>
    <cfRule type="cellIs" dxfId="26" priority="1158" operator="equal">
      <formula>"中"</formula>
    </cfRule>
    <cfRule type="cellIs" dxfId="25" priority="1159" operator="equal">
      <formula>"M2"</formula>
    </cfRule>
    <cfRule type="cellIs" dxfId="24" priority="1160" operator="equal">
      <formula>2</formula>
    </cfRule>
    <cfRule type="cellIs" dxfId="23" priority="1161" operator="equal">
      <formula>"日"</formula>
    </cfRule>
    <cfRule type="cellIs" dxfId="22" priority="1162" operator="equal">
      <formula>"T早"</formula>
    </cfRule>
    <cfRule type="cellIs" dxfId="21" priority="1163" operator="equal">
      <formula>"早"</formula>
    </cfRule>
    <cfRule type="cellIs" dxfId="20" priority="1164" operator="equal">
      <formula>"M1"</formula>
    </cfRule>
    <cfRule type="cellIs" dxfId="19" priority="1165" operator="equal">
      <formula>1</formula>
    </cfRule>
    <cfRule type="cellIs" dxfId="18" priority="1153" operator="equal">
      <formula>"大夜"</formula>
    </cfRule>
    <cfRule type="cellIs" dxfId="17" priority="1154" operator="equal">
      <formula>"晚"</formula>
    </cfRule>
    <cfRule type="cellIs" dxfId="16" priority="1155" operator="equal">
      <formula>3</formula>
    </cfRule>
    <cfRule type="cellIs" dxfId="15" priority="1156" operator="equal">
      <formula>"小夜"</formula>
    </cfRule>
  </conditionalFormatting>
  <conditionalFormatting sqref="AV31:AV32">
    <cfRule type="cellIs" dxfId="14" priority="1138" operator="equal">
      <formula>"大夜"</formula>
    </cfRule>
    <cfRule type="cellIs" dxfId="13" priority="1139" operator="equal">
      <formula>"晚"</formula>
    </cfRule>
    <cfRule type="cellIs" dxfId="12" priority="1140" operator="equal">
      <formula>3</formula>
    </cfRule>
    <cfRule type="cellIs" dxfId="11" priority="1141" operator="equal">
      <formula>"小夜"</formula>
    </cfRule>
    <cfRule type="cellIs" dxfId="10" priority="1142" operator="equal">
      <formula>"T中"</formula>
    </cfRule>
    <cfRule type="cellIs" dxfId="9" priority="1143" operator="equal">
      <formula>"中"</formula>
    </cfRule>
    <cfRule type="cellIs" dxfId="8" priority="1144" operator="equal">
      <formula>"M2"</formula>
    </cfRule>
    <cfRule type="cellIs" dxfId="7" priority="1145" operator="equal">
      <formula>2</formula>
    </cfRule>
    <cfRule type="cellIs" dxfId="6" priority="1147" operator="equal">
      <formula>"T早"</formula>
    </cfRule>
    <cfRule type="cellIs" dxfId="5" priority="1148" operator="equal">
      <formula>"早"</formula>
    </cfRule>
    <cfRule type="cellIs" dxfId="4" priority="1149" operator="equal">
      <formula>"M1"</formula>
    </cfRule>
    <cfRule type="cellIs" dxfId="3" priority="1150" operator="equal">
      <formula>1</formula>
    </cfRule>
    <cfRule type="cellIs" dxfId="2" priority="1146" operator="equal">
      <formula>"日"</formula>
    </cfRule>
  </conditionalFormatting>
  <conditionalFormatting sqref="AY4:AY45">
    <cfRule type="cellIs" dxfId="1" priority="1151" operator="equal">
      <formula>-2</formula>
    </cfRule>
    <cfRule type="cellIs" dxfId="0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01</vt:lpstr>
      <vt:lpstr>02</vt:lpstr>
      <vt:lpstr>03</vt:lpstr>
      <vt:lpstr>04</vt:lpstr>
      <vt:lpstr>05</vt:lpstr>
      <vt:lpstr>06</vt:lpstr>
      <vt:lpstr>07</vt:lpstr>
      <vt:lpstr>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2026-07-27T06:15:00Z</dcterms:modified>
</cp:coreProperties>
</file>