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A4B88DC6-66ED-4E6E-B359-9EA1DEC41122}" xr6:coauthVersionLast="47" xr6:coauthVersionMax="47" xr10:uidLastSave="{00000000-0000-0000-0000-000000000000}"/>
  <bookViews>
    <workbookView xWindow="57480" yWindow="-120" windowWidth="29040" windowHeight="15840" activeTab="8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3880C30_E311_4DE4_96DE_9B46BB6A8D37_.wvu.FilterData" localSheetId="8" hidden="1">'09'!$AS$3:$AS$58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244B5B0_212B_4FBF_82F9_F588D1DDBE55_.wvu.FilterData" localSheetId="8" hidden="1">'09'!$AS$3:$AS$58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C34905_1601_4E5B_ACB5_480E1D8DEC31_.wvu.FilterData" localSheetId="8" hidden="1">'09'!$AS$3:$AS$58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F095E16_EFE7_4E8C_9FDD_D82226DB3762_.wvu.FilterData" localSheetId="8" hidden="1">'09'!$AS$3:$AS$58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DC1D2_F6A5_4780_BE2C_9EF4309C35C5_.wvu.FilterData" localSheetId="8" hidden="1">'09'!$AS$3:$AS$58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498531C_126E_4039_8DBD_A68A690FB243_.wvu.FilterData" localSheetId="8" hidden="1">'09'!$AS$3:$AS$58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477163_0230_4EA2_B409_15D15F578FD4_.wvu.FilterData" localSheetId="8" hidden="1">'09'!$AS$3:$AS$58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F3472EB_D2CA_45EF_B105_88D28EFE2989_.wvu.FilterData" localSheetId="8" hidden="1">'09'!$AS$3:$AS$58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B0261416_10FA_4EA7_9B1A_373D3E77FF98_.wvu.FilterData" localSheetId="8" hidden="1">'09'!$AS$3:$AS$58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675FB5_168D_4EC7_9395_5DE064850FC1_.wvu.FilterData" localSheetId="8" hidden="1">'09'!$AS$3:$AS$58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CC51770_0B7C_4318_82DD_1BF78E5E9554_.wvu.FilterData" localSheetId="8" hidden="1">'09'!$AS$3:$AS$58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32125AC_58EB_478E_AC6D_A6F58CEA4EE0_.wvu.FilterData" localSheetId="8" hidden="1">'09'!$AS$3:$AS$58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CEE278_AFC6_4210_8796_E55A1FE1F60B_.wvu.FilterData" localSheetId="8" hidden="1">'09'!$AS$3:$AS$58</definedName>
    <definedName name="Z_FDE4F21F_07B1_48EF_9661_F0A29AFE0CA7_.wvu.FilterData" localSheetId="8" hidden="1">'09'!$AS$3:$AS$58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52" i="26" l="1"/>
  <c r="AQ49" i="26"/>
  <c r="H33" i="26"/>
  <c r="G33" i="26"/>
  <c r="F33" i="26"/>
  <c r="E33" i="26"/>
  <c r="D33" i="26"/>
  <c r="C33" i="26"/>
  <c r="B33" i="26"/>
  <c r="A33" i="26"/>
  <c r="AP33" i="26" l="1"/>
  <c r="AR33" i="26" s="1"/>
  <c r="I33" i="26"/>
  <c r="AN64" i="26" l="1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N61" i="26" s="1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B61" i="26" s="1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K61" i="26" s="1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AP5" i="26" l="1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838C1840-C464-4E74-B80B-D528825ABDE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6" authorId="2" shapeId="0" xr:uid="{CB37E3F6-ACB1-4C2C-90E3-FF635D05E4F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6" authorId="2" shapeId="0" xr:uid="{02704535-8489-4BA7-A25C-16DC2CD48F9C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64F136ED-97DE-4ADD-BFCF-B43A5F78425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A23C2E3-D514-4A07-BC70-3C4BC8C5D7BD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3128A53C-83F4-4DD2-A552-AB7340A9916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B75ADA8E-F0BF-4441-A61D-9E24F54B6FC0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E561417F-3DA4-47FB-91F9-098172AD5F6E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4ABAE4F3-CEF9-4ED8-B8E4-9EC2CB10591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<sst xmlns="http://schemas.openxmlformats.org/spreadsheetml/2006/main" count="10414" uniqueCount="172">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</sst>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3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96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3" fillId="0" borderId="30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23" fillId="0" borderId="13" xfId="1" applyFont="1" applyFill="1" applyBorder="1" applyAlignment="1">
      <alignment horizontal="center" vertical="center"/>
    </xf>
    <xf numFmtId="0" fontId="23" fillId="0" borderId="21" xfId="1" applyFont="1" applyFill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292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81" t="str">
        <f>"TPKC剩餘人力："&amp;AR59&amp;" / NK剩餘人力："&amp;AS59&amp;" /  N班人力："&amp;AR53</f>
        <v>TPKC剩餘人力：0 / NK剩餘人力：0 /  N班人力：92</v>
      </c>
      <c r="L1" s="482"/>
      <c r="M1" s="482"/>
      <c r="N1" s="482"/>
      <c r="O1" s="482"/>
      <c r="P1" s="482"/>
      <c r="Q1" s="482"/>
      <c r="R1" s="482"/>
      <c r="S1" s="482"/>
      <c r="T1" s="482"/>
      <c r="U1" s="482"/>
      <c r="V1" s="482"/>
      <c r="W1" s="482"/>
      <c r="X1" s="482"/>
      <c r="Y1" s="482"/>
      <c r="Z1" s="482"/>
      <c r="AA1" s="482"/>
      <c r="AB1" s="482"/>
      <c r="AC1" s="482"/>
      <c r="AD1" s="482"/>
      <c r="AE1" s="482"/>
      <c r="AF1" s="482"/>
      <c r="AG1" s="482"/>
      <c r="AH1" s="482"/>
      <c r="AI1" s="483"/>
      <c r="AJ1" s="482"/>
      <c r="AK1" s="482"/>
      <c r="AL1" s="484"/>
      <c r="AM1" s="485"/>
      <c r="AN1" s="485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60</v>
      </c>
      <c r="E2" s="477" t="s">
        <v>61</v>
      </c>
      <c r="F2" s="8" t="s">
        <v>62</v>
      </c>
      <c r="G2" s="8" t="s">
        <v>63</v>
      </c>
      <c r="H2" s="8" t="s">
        <v>64</v>
      </c>
      <c r="I2" s="486" t="s">
        <v>65</v>
      </c>
      <c r="J2" s="469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79" t="s">
        <v>48</v>
      </c>
      <c r="AW2" s="480"/>
      <c r="AX2" s="480"/>
    </row>
    <row r="3" spans="1:226" ht="24.6" customHeight="1" thickBot="1">
      <c r="A3" s="472"/>
      <c r="B3" s="474"/>
      <c r="C3" s="474"/>
      <c r="D3" s="476"/>
      <c r="E3" s="478"/>
      <c r="F3" s="15" t="s">
        <v>74</v>
      </c>
      <c r="G3" s="15" t="s">
        <v>75</v>
      </c>
      <c r="H3" s="16" t="s">
        <v>76</v>
      </c>
      <c r="I3" s="487"/>
      <c r="J3" s="488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291" priority="1" operator="equal">
      <formula>"大夜"</formula>
    </cfRule>
    <cfRule type="cellIs" dxfId="290" priority="2" operator="equal">
      <formula>"晚"</formula>
    </cfRule>
    <cfRule type="cellIs" dxfId="289" priority="3" operator="equal">
      <formula>3</formula>
    </cfRule>
    <cfRule type="cellIs" dxfId="288" priority="4" operator="equal">
      <formula>"小夜"</formula>
    </cfRule>
    <cfRule type="cellIs" dxfId="287" priority="5" operator="equal">
      <formula>"T中"</formula>
    </cfRule>
    <cfRule type="cellIs" dxfId="286" priority="6" operator="equal">
      <formula>"中"</formula>
    </cfRule>
    <cfRule type="cellIs" dxfId="285" priority="7" operator="equal">
      <formula>2</formula>
    </cfRule>
    <cfRule type="cellIs" dxfId="284" priority="8" operator="equal">
      <formula>"日"</formula>
    </cfRule>
    <cfRule type="cellIs" dxfId="283" priority="9" operator="equal">
      <formula>"T早"</formula>
    </cfRule>
    <cfRule type="cellIs" dxfId="282" priority="10" operator="equal">
      <formula>"早"</formula>
    </cfRule>
    <cfRule type="cellIs" dxfId="281" priority="11" operator="equal">
      <formula>"M1"</formula>
    </cfRule>
    <cfRule type="cellIs" dxfId="280" priority="12" operator="equal">
      <formula>1</formula>
    </cfRule>
    <cfRule type="expression" dxfId="279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78" priority="4256" operator="equal">
      <formula>5</formula>
    </cfRule>
    <cfRule type="cellIs" dxfId="277" priority="4257" operator="equal">
      <formula>4</formula>
    </cfRule>
    <cfRule type="cellIs" dxfId="276" priority="4258" operator="equal">
      <formula>3</formula>
    </cfRule>
    <cfRule type="cellIs" dxfId="275" priority="4259" operator="equal">
      <formula>2</formula>
    </cfRule>
    <cfRule type="cellIs" dxfId="274" priority="4260" operator="equal">
      <formula>1</formula>
    </cfRule>
  </conditionalFormatting>
  <conditionalFormatting sqref="K53:AO55">
    <cfRule type="cellIs" dxfId="273" priority="4261" operator="equal">
      <formula>"T中"</formula>
    </cfRule>
  </conditionalFormatting>
  <conditionalFormatting sqref="AP25">
    <cfRule type="cellIs" dxfId="272" priority="4564" operator="equal">
      <formula>"大夜"</formula>
    </cfRule>
    <cfRule type="cellIs" dxfId="271" priority="4565" operator="equal">
      <formula>"晚"</formula>
    </cfRule>
    <cfRule type="cellIs" dxfId="270" priority="4566" operator="equal">
      <formula>3</formula>
    </cfRule>
    <cfRule type="cellIs" dxfId="269" priority="4567" operator="equal">
      <formula>"小夜"</formula>
    </cfRule>
    <cfRule type="cellIs" dxfId="268" priority="4568" operator="equal">
      <formula>"T中"</formula>
    </cfRule>
    <cfRule type="cellIs" dxfId="267" priority="4569" operator="equal">
      <formula>"中"</formula>
    </cfRule>
    <cfRule type="cellIs" dxfId="266" priority="4570" operator="equal">
      <formula>"M2"</formula>
    </cfRule>
    <cfRule type="cellIs" dxfId="265" priority="4571" operator="equal">
      <formula>2</formula>
    </cfRule>
    <cfRule type="cellIs" dxfId="264" priority="4572" operator="equal">
      <formula>"日"</formula>
    </cfRule>
    <cfRule type="cellIs" dxfId="263" priority="4573" operator="equal">
      <formula>"T早"</formula>
    </cfRule>
    <cfRule type="cellIs" dxfId="262" priority="4574" operator="equal">
      <formula>"早"</formula>
    </cfRule>
    <cfRule type="cellIs" dxfId="261" priority="4575" operator="equal">
      <formula>"M1"</formula>
    </cfRule>
    <cfRule type="cellIs" dxfId="260" priority="4576" operator="equal">
      <formula>1</formula>
    </cfRule>
  </conditionalFormatting>
  <conditionalFormatting sqref="AS4:AS46">
    <cfRule type="cellIs" dxfId="259" priority="4562" operator="equal">
      <formula>-2</formula>
    </cfRule>
    <cfRule type="cellIs" dxfId="258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81" t="str">
        <f>"TPKC剩餘人力："&amp;AO59&amp;" / NK剩餘人力："&amp;AP59&amp;" /  N班人力："&amp;AO54</f>
        <v>TPKC剩餘人力：0 / NK剩餘人力：0 /  N班人力：32</v>
      </c>
      <c r="L1" s="482"/>
      <c r="M1" s="482"/>
      <c r="N1" s="482"/>
      <c r="O1" s="482"/>
      <c r="P1" s="482"/>
      <c r="Q1" s="482"/>
      <c r="R1" s="482"/>
      <c r="S1" s="482"/>
      <c r="T1" s="482"/>
      <c r="U1" s="482"/>
      <c r="V1" s="482"/>
      <c r="W1" s="482"/>
      <c r="X1" s="482"/>
      <c r="Y1" s="482"/>
      <c r="Z1" s="482"/>
      <c r="AA1" s="482"/>
      <c r="AB1" s="482"/>
      <c r="AC1" s="482"/>
      <c r="AD1" s="482"/>
      <c r="AE1" s="482"/>
      <c r="AF1" s="482"/>
      <c r="AG1" s="482"/>
      <c r="AH1" s="482"/>
      <c r="AI1" s="483"/>
      <c r="AJ1" s="482"/>
      <c r="AK1" s="482"/>
      <c r="AL1" s="183"/>
      <c r="AO1" s="6"/>
      <c r="AP1" s="7"/>
    </row>
    <row r="2" spans="1:223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6" t="s">
        <v>109</v>
      </c>
      <c r="J2" s="489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79" t="s">
        <v>48</v>
      </c>
      <c r="AT2" s="480"/>
      <c r="AU2" s="480"/>
    </row>
    <row r="3" spans="1:223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7"/>
      <c r="J3" s="490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257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256" priority="1">
      <formula>OR(K4=3, K4="晚",  K4="大夜")</formula>
    </cfRule>
    <cfRule type="expression" dxfId="255" priority="2">
      <formula>OR(K4="M2", K4=2, K4="中", K4="T中", K4="小夜")</formula>
    </cfRule>
    <cfRule type="expression" dxfId="254" priority="4">
      <formula>OR(K4="M1", K4=1, K4="早", K4="T早", K4="日")</formula>
    </cfRule>
  </conditionalFormatting>
  <conditionalFormatting sqref="K47:AL55">
    <cfRule type="cellIs" dxfId="253" priority="214" operator="equal">
      <formula>5</formula>
    </cfRule>
    <cfRule type="cellIs" dxfId="252" priority="215" operator="equal">
      <formula>4</formula>
    </cfRule>
    <cfRule type="cellIs" dxfId="251" priority="216" operator="equal">
      <formula>3</formula>
    </cfRule>
    <cfRule type="cellIs" dxfId="250" priority="217" operator="equal">
      <formula>2</formula>
    </cfRule>
    <cfRule type="cellIs" dxfId="249" priority="218" operator="equal">
      <formula>1</formula>
    </cfRule>
  </conditionalFormatting>
  <conditionalFormatting sqref="K53:AL55">
    <cfRule type="cellIs" dxfId="248" priority="219" operator="equal">
      <formula>"T中"</formula>
    </cfRule>
  </conditionalFormatting>
  <conditionalFormatting sqref="AM25">
    <cfRule type="cellIs" dxfId="247" priority="228" operator="equal">
      <formula>"大夜"</formula>
    </cfRule>
    <cfRule type="cellIs" dxfId="246" priority="229" operator="equal">
      <formula>"晚"</formula>
    </cfRule>
    <cfRule type="cellIs" dxfId="245" priority="230" operator="equal">
      <formula>3</formula>
    </cfRule>
    <cfRule type="cellIs" dxfId="244" priority="231" operator="equal">
      <formula>"小夜"</formula>
    </cfRule>
    <cfRule type="cellIs" dxfId="243" priority="232" operator="equal">
      <formula>"T中"</formula>
    </cfRule>
    <cfRule type="cellIs" dxfId="242" priority="233" operator="equal">
      <formula>"中"</formula>
    </cfRule>
    <cfRule type="cellIs" dxfId="241" priority="234" operator="equal">
      <formula>"M2"</formula>
    </cfRule>
    <cfRule type="cellIs" dxfId="240" priority="235" operator="equal">
      <formula>2</formula>
    </cfRule>
    <cfRule type="cellIs" dxfId="239" priority="236" operator="equal">
      <formula>"日"</formula>
    </cfRule>
    <cfRule type="cellIs" dxfId="238" priority="237" operator="equal">
      <formula>"T早"</formula>
    </cfRule>
    <cfRule type="cellIs" dxfId="237" priority="238" operator="equal">
      <formula>"早"</formula>
    </cfRule>
    <cfRule type="cellIs" dxfId="236" priority="239" operator="equal">
      <formula>"M1"</formula>
    </cfRule>
    <cfRule type="cellIs" dxfId="235" priority="240" operator="equal">
      <formula>1</formula>
    </cfRule>
  </conditionalFormatting>
  <conditionalFormatting sqref="AP4:AP46">
    <cfRule type="cellIs" dxfId="234" priority="226" operator="equal">
      <formula>-2</formula>
    </cfRule>
    <cfRule type="cellIs" dxfId="233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1" t="str">
        <f>"TPKC剩餘人力："&amp;AR58&amp;" / NK剩餘人力："&amp;AS58&amp;" /  N班人力："&amp;AR53</f>
        <v>TPKC剩餘人力：2 / NK剩餘人力：0 /  N班人力：114</v>
      </c>
      <c r="L1" s="482"/>
      <c r="M1" s="482"/>
      <c r="N1" s="482"/>
      <c r="O1" s="482"/>
      <c r="P1" s="482"/>
      <c r="Q1" s="482"/>
      <c r="R1" s="482"/>
      <c r="S1" s="482"/>
      <c r="T1" s="482"/>
      <c r="U1" s="482"/>
      <c r="V1" s="482"/>
      <c r="W1" s="482"/>
      <c r="X1" s="482"/>
      <c r="Y1" s="482"/>
      <c r="Z1" s="482"/>
      <c r="AA1" s="482"/>
      <c r="AB1" s="482"/>
      <c r="AC1" s="482"/>
      <c r="AD1" s="482"/>
      <c r="AE1" s="482"/>
      <c r="AF1" s="482"/>
      <c r="AG1" s="482"/>
      <c r="AH1" s="482"/>
      <c r="AI1" s="483"/>
      <c r="AJ1" s="482"/>
      <c r="AK1" s="482"/>
      <c r="AL1" s="484"/>
      <c r="AM1" s="485"/>
      <c r="AN1" s="485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6" t="s">
        <v>109</v>
      </c>
      <c r="J2" s="491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79" t="s">
        <v>48</v>
      </c>
      <c r="AW2" s="480"/>
      <c r="AX2" s="480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7"/>
      <c r="J3" s="492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232" priority="1">
      <formula>OR(K4=3, K4="晚",  K4="大夜")</formula>
    </cfRule>
    <cfRule type="expression" dxfId="231" priority="2">
      <formula>OR(K4="M2", K4=2, K4="中", K4="T中", K4="小夜")</formula>
    </cfRule>
    <cfRule type="expression" dxfId="230" priority="3">
      <formula>OR(K4="M1", K4=1, K4="早", K4="T早", K4="日")</formula>
    </cfRule>
    <cfRule type="expression" dxfId="229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28" priority="202" operator="equal">
      <formula>5</formula>
    </cfRule>
    <cfRule type="cellIs" dxfId="227" priority="203" operator="equal">
      <formula>4</formula>
    </cfRule>
    <cfRule type="cellIs" dxfId="226" priority="204" operator="equal">
      <formula>3</formula>
    </cfRule>
    <cfRule type="cellIs" dxfId="225" priority="205" operator="equal">
      <formula>2</formula>
    </cfRule>
    <cfRule type="cellIs" dxfId="224" priority="206" operator="equal">
      <formula>1</formula>
    </cfRule>
  </conditionalFormatting>
  <conditionalFormatting sqref="K53:AO55">
    <cfRule type="cellIs" dxfId="223" priority="207" operator="equal">
      <formula>"T中"</formula>
    </cfRule>
  </conditionalFormatting>
  <conditionalFormatting sqref="AP25">
    <cfRule type="cellIs" dxfId="222" priority="210" operator="equal">
      <formula>"大夜"</formula>
    </cfRule>
    <cfRule type="cellIs" dxfId="221" priority="211" operator="equal">
      <formula>"晚"</formula>
    </cfRule>
    <cfRule type="cellIs" dxfId="220" priority="212" operator="equal">
      <formula>3</formula>
    </cfRule>
    <cfRule type="cellIs" dxfId="219" priority="213" operator="equal">
      <formula>"小夜"</formula>
    </cfRule>
    <cfRule type="cellIs" dxfId="218" priority="214" operator="equal">
      <formula>"T中"</formula>
    </cfRule>
    <cfRule type="cellIs" dxfId="217" priority="215" operator="equal">
      <formula>"中"</formula>
    </cfRule>
    <cfRule type="cellIs" dxfId="216" priority="216" operator="equal">
      <formula>"M2"</formula>
    </cfRule>
    <cfRule type="cellIs" dxfId="215" priority="217" operator="equal">
      <formula>2</formula>
    </cfRule>
    <cfRule type="cellIs" dxfId="214" priority="218" operator="equal">
      <formula>"日"</formula>
    </cfRule>
    <cfRule type="cellIs" dxfId="213" priority="219" operator="equal">
      <formula>"T早"</formula>
    </cfRule>
    <cfRule type="cellIs" dxfId="212" priority="220" operator="equal">
      <formula>"早"</formula>
    </cfRule>
    <cfRule type="cellIs" dxfId="211" priority="221" operator="equal">
      <formula>"M1"</formula>
    </cfRule>
    <cfRule type="cellIs" dxfId="210" priority="222" operator="equal">
      <formula>1</formula>
    </cfRule>
  </conditionalFormatting>
  <conditionalFormatting sqref="AS4:AS46">
    <cfRule type="cellIs" dxfId="209" priority="208" operator="equal">
      <formula>-2</formula>
    </cfRule>
    <cfRule type="cellIs" dxfId="208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1" t="str">
        <f>"TPKC剩餘人力："&amp;AQ58&amp;" / NK剩餘人力："&amp;AR58&amp;" /  N班人力："&amp;AQ53</f>
        <v>TPKC剩餘人力：0 / NK剩餘人力：0 /  N班人力：76</v>
      </c>
      <c r="L1" s="482"/>
      <c r="M1" s="482"/>
      <c r="N1" s="482"/>
      <c r="O1" s="482"/>
      <c r="P1" s="482"/>
      <c r="Q1" s="482"/>
      <c r="R1" s="482"/>
      <c r="S1" s="482"/>
      <c r="T1" s="482"/>
      <c r="U1" s="482"/>
      <c r="V1" s="482"/>
      <c r="W1" s="482"/>
      <c r="X1" s="482"/>
      <c r="Y1" s="482"/>
      <c r="Z1" s="482"/>
      <c r="AA1" s="482"/>
      <c r="AB1" s="482"/>
      <c r="AC1" s="482"/>
      <c r="AD1" s="482"/>
      <c r="AE1" s="482"/>
      <c r="AF1" s="482"/>
      <c r="AG1" s="482"/>
      <c r="AH1" s="482"/>
      <c r="AI1" s="483"/>
      <c r="AJ1" s="482"/>
      <c r="AK1" s="482"/>
      <c r="AL1" s="484"/>
      <c r="AM1" s="485"/>
      <c r="AN1" s="485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6" t="s">
        <v>109</v>
      </c>
      <c r="J2" s="469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79" t="s">
        <v>48</v>
      </c>
      <c r="AV2" s="480"/>
      <c r="AW2" s="480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7"/>
      <c r="J3" s="493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207" priority="65">
      <formula>OR(K4="T中", K4="中", K4=2, K4="小夜")</formula>
    </cfRule>
    <cfRule type="expression" dxfId="206" priority="66">
      <formula>OR(K4="T早", K4="早", K4="M1", K4=1, K4="日")</formula>
    </cfRule>
  </conditionalFormatting>
  <conditionalFormatting sqref="K4:AN46">
    <cfRule type="expression" dxfId="205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04" priority="4">
      <formula>OR(K4="晚", K4=3, K4="大夜")</formula>
    </cfRule>
  </conditionalFormatting>
  <conditionalFormatting sqref="K47:AN55">
    <cfRule type="cellIs" dxfId="203" priority="71" operator="equal">
      <formula>5</formula>
    </cfRule>
    <cfRule type="cellIs" dxfId="202" priority="72" operator="equal">
      <formula>4</formula>
    </cfRule>
    <cfRule type="cellIs" dxfId="201" priority="73" operator="equal">
      <formula>3</formula>
    </cfRule>
    <cfRule type="cellIs" dxfId="200" priority="74" operator="equal">
      <formula>2</formula>
    </cfRule>
    <cfRule type="cellIs" dxfId="199" priority="75" operator="equal">
      <formula>1</formula>
    </cfRule>
  </conditionalFormatting>
  <conditionalFormatting sqref="K53:AN55">
    <cfRule type="cellIs" dxfId="198" priority="76" operator="equal">
      <formula>"T中"</formula>
    </cfRule>
  </conditionalFormatting>
  <conditionalFormatting sqref="AM8:AN8">
    <cfRule type="expression" dxfId="197" priority="2">
      <formula>OR(AM8="T中", AM8="中", AM8=2, AM8="小夜")</formula>
    </cfRule>
    <cfRule type="expression" dxfId="196" priority="3">
      <formula>OR(AM8="T早", AM8="早", AM8="M1", AM8=1, AM8="日")</formula>
    </cfRule>
  </conditionalFormatting>
  <conditionalFormatting sqref="AO25">
    <cfRule type="cellIs" dxfId="195" priority="83" operator="equal">
      <formula>"大夜"</formula>
    </cfRule>
    <cfRule type="cellIs" dxfId="194" priority="84" operator="equal">
      <formula>"晚"</formula>
    </cfRule>
    <cfRule type="cellIs" dxfId="193" priority="85" operator="equal">
      <formula>3</formula>
    </cfRule>
    <cfRule type="cellIs" dxfId="192" priority="86" operator="equal">
      <formula>"小夜"</formula>
    </cfRule>
    <cfRule type="cellIs" dxfId="191" priority="87" operator="equal">
      <formula>"T中"</formula>
    </cfRule>
    <cfRule type="cellIs" dxfId="190" priority="88" operator="equal">
      <formula>"中"</formula>
    </cfRule>
    <cfRule type="cellIs" dxfId="189" priority="89" operator="equal">
      <formula>"M2"</formula>
    </cfRule>
    <cfRule type="cellIs" dxfId="188" priority="90" operator="equal">
      <formula>2</formula>
    </cfRule>
    <cfRule type="cellIs" dxfId="187" priority="91" operator="equal">
      <formula>"日"</formula>
    </cfRule>
    <cfRule type="cellIs" dxfId="186" priority="92" operator="equal">
      <formula>"T早"</formula>
    </cfRule>
    <cfRule type="cellIs" dxfId="185" priority="93" operator="equal">
      <formula>"早"</formula>
    </cfRule>
    <cfRule type="cellIs" dxfId="184" priority="94" operator="equal">
      <formula>"M1"</formula>
    </cfRule>
    <cfRule type="cellIs" dxfId="183" priority="95" operator="equal">
      <formula>1</formula>
    </cfRule>
  </conditionalFormatting>
  <conditionalFormatting sqref="AR4:AR46">
    <cfRule type="cellIs" dxfId="182" priority="81" operator="equal">
      <formula>-2</formula>
    </cfRule>
    <cfRule type="cellIs" dxfId="181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1" t="str">
        <f>"TPKC剩餘人力："&amp;AR57&amp;" / NK剩餘人力："&amp;AS57&amp;" /  N班人力："&amp;AR52</f>
        <v>TPKC剩餘人力：0 / NK剩餘人力：0 /  N班人力：79</v>
      </c>
      <c r="L1" s="482"/>
      <c r="M1" s="482"/>
      <c r="N1" s="482"/>
      <c r="O1" s="482"/>
      <c r="P1" s="482"/>
      <c r="Q1" s="482"/>
      <c r="R1" s="482"/>
      <c r="S1" s="482"/>
      <c r="T1" s="482"/>
      <c r="U1" s="482"/>
      <c r="V1" s="482"/>
      <c r="W1" s="482"/>
      <c r="X1" s="482"/>
      <c r="Y1" s="482"/>
      <c r="Z1" s="482"/>
      <c r="AA1" s="482"/>
      <c r="AB1" s="482"/>
      <c r="AC1" s="482"/>
      <c r="AD1" s="482"/>
      <c r="AE1" s="482"/>
      <c r="AF1" s="482"/>
      <c r="AG1" s="482"/>
      <c r="AH1" s="482"/>
      <c r="AI1" s="483"/>
      <c r="AJ1" s="482"/>
      <c r="AK1" s="482"/>
      <c r="AL1" s="484"/>
      <c r="AM1" s="485"/>
      <c r="AN1" s="485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6" t="s">
        <v>109</v>
      </c>
      <c r="J2" s="469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60" t="s">
        <v>48</v>
      </c>
      <c r="AX2" s="461"/>
      <c r="AY2" s="462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7"/>
      <c r="J3" s="493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180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179" priority="6">
      <formula>OR(K4="T中", K4="中", K4=2, K4="小夜")</formula>
    </cfRule>
    <cfRule type="expression" dxfId="178" priority="7">
      <formula>OR(K4="T早", K4="早", K4="M1", K4=1, K4="日")</formula>
    </cfRule>
    <cfRule type="expression" dxfId="177" priority="8">
      <formula>OR(K4="晚", K4=3, K4="大夜")</formula>
    </cfRule>
  </conditionalFormatting>
  <conditionalFormatting sqref="K46:AO54">
    <cfRule type="cellIs" dxfId="176" priority="727" operator="equal">
      <formula>5</formula>
    </cfRule>
    <cfRule type="cellIs" dxfId="175" priority="728" operator="equal">
      <formula>4</formula>
    </cfRule>
    <cfRule type="cellIs" dxfId="174" priority="729" operator="equal">
      <formula>3</formula>
    </cfRule>
    <cfRule type="cellIs" dxfId="173" priority="730" operator="equal">
      <formula>2</formula>
    </cfRule>
    <cfRule type="cellIs" dxfId="172" priority="731" operator="equal">
      <formula>1</formula>
    </cfRule>
  </conditionalFormatting>
  <conditionalFormatting sqref="K52:AO54">
    <cfRule type="cellIs" dxfId="171" priority="732" operator="equal">
      <formula>"T中"</formula>
    </cfRule>
  </conditionalFormatting>
  <conditionalFormatting sqref="AP25">
    <cfRule type="cellIs" dxfId="170" priority="735" operator="equal">
      <formula>"大夜"</formula>
    </cfRule>
    <cfRule type="cellIs" dxfId="169" priority="736" operator="equal">
      <formula>"晚"</formula>
    </cfRule>
    <cfRule type="cellIs" dxfId="168" priority="737" operator="equal">
      <formula>3</formula>
    </cfRule>
    <cfRule type="cellIs" dxfId="167" priority="738" operator="equal">
      <formula>"小夜"</formula>
    </cfRule>
    <cfRule type="cellIs" dxfId="166" priority="739" operator="equal">
      <formula>"T中"</formula>
    </cfRule>
    <cfRule type="cellIs" dxfId="165" priority="740" operator="equal">
      <formula>"中"</formula>
    </cfRule>
    <cfRule type="cellIs" dxfId="164" priority="741" operator="equal">
      <formula>"M2"</formula>
    </cfRule>
    <cfRule type="cellIs" dxfId="163" priority="742" operator="equal">
      <formula>2</formula>
    </cfRule>
    <cfRule type="cellIs" dxfId="162" priority="743" operator="equal">
      <formula>"日"</formula>
    </cfRule>
    <cfRule type="cellIs" dxfId="161" priority="744" operator="equal">
      <formula>"T早"</formula>
    </cfRule>
    <cfRule type="cellIs" dxfId="160" priority="745" operator="equal">
      <formula>"早"</formula>
    </cfRule>
    <cfRule type="cellIs" dxfId="159" priority="746" operator="equal">
      <formula>"M1"</formula>
    </cfRule>
    <cfRule type="cellIs" dxfId="158" priority="747" operator="equal">
      <formula>1</formula>
    </cfRule>
  </conditionalFormatting>
  <conditionalFormatting sqref="AS4:AS45">
    <cfRule type="cellIs" dxfId="157" priority="733" operator="equal">
      <formula>-2</formula>
    </cfRule>
    <cfRule type="cellIs" dxfId="156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1" t="str">
        <f>"TPKC剩餘人力："&amp;AQ56&amp;" / NK剩餘人力："&amp;AR56&amp;" /  N班人力："&amp;AQ51</f>
        <v>TPKC剩餘人力：-2 / NK剩餘人力：0 /  N班人力：100</v>
      </c>
      <c r="L1" s="482"/>
      <c r="M1" s="482"/>
      <c r="N1" s="482"/>
      <c r="O1" s="482"/>
      <c r="P1" s="482"/>
      <c r="Q1" s="482"/>
      <c r="R1" s="482"/>
      <c r="S1" s="482"/>
      <c r="T1" s="482"/>
      <c r="U1" s="482"/>
      <c r="V1" s="482"/>
      <c r="W1" s="482"/>
      <c r="X1" s="482"/>
      <c r="Y1" s="482"/>
      <c r="Z1" s="482"/>
      <c r="AA1" s="482"/>
      <c r="AB1" s="482"/>
      <c r="AC1" s="482"/>
      <c r="AD1" s="482"/>
      <c r="AE1" s="482"/>
      <c r="AF1" s="482"/>
      <c r="AG1" s="482"/>
      <c r="AH1" s="482"/>
      <c r="AI1" s="483"/>
      <c r="AJ1" s="482"/>
      <c r="AK1" s="482"/>
      <c r="AL1" s="484"/>
      <c r="AM1" s="485"/>
      <c r="AN1" s="485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6" t="s">
        <v>109</v>
      </c>
      <c r="J2" s="469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60" t="s">
        <v>48</v>
      </c>
      <c r="AV2" s="461"/>
      <c r="AW2" s="462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7"/>
      <c r="J3" s="493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4:AN6 K7:AL7 K8:AN35 K36:AO36 K37:AN37 K39:AN44">
    <cfRule type="expression" dxfId="155" priority="17">
      <formula>OR(K4="晚", K4=3, K4="大夜")</formula>
    </cfRule>
  </conditionalFormatting>
  <conditionalFormatting sqref="K4:AN6 K7:AL7 K8:AN35 K36:AO36 K37:AN37 K38 M38:Y38 AB38:AH38 AJ38:AN38 K39:AN44">
    <cfRule type="expression" dxfId="154" priority="32">
      <formula>OR(K4="T中", K4="中", K4=2, K4="小夜")</formula>
    </cfRule>
    <cfRule type="expression" dxfId="153" priority="33">
      <formula>OR(K4="T早", K4="早", K4="M1", K4=1, K4="日")</formula>
    </cfRule>
  </conditionalFormatting>
  <conditionalFormatting sqref="K37:AN44 K4:AN6 K7:AL7 K8:AN35 K36:AO36">
    <cfRule type="expression" dxfId="152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151" priority="52" operator="equal">
      <formula>5</formula>
    </cfRule>
    <cfRule type="cellIs" dxfId="150" priority="53" operator="equal">
      <formula>4</formula>
    </cfRule>
    <cfRule type="cellIs" dxfId="149" priority="54" operator="equal">
      <formula>3</formula>
    </cfRule>
    <cfRule type="cellIs" dxfId="148" priority="55" operator="equal">
      <formula>2</formula>
    </cfRule>
    <cfRule type="cellIs" dxfId="147" priority="56" operator="equal">
      <formula>1</formula>
    </cfRule>
  </conditionalFormatting>
  <conditionalFormatting sqref="K51:AN53">
    <cfRule type="cellIs" dxfId="146" priority="57" operator="equal">
      <formula>"T中"</formula>
    </cfRule>
  </conditionalFormatting>
  <conditionalFormatting sqref="L38">
    <cfRule type="expression" dxfId="145" priority="15">
      <formula>OR(L38="T中", L38="中", L38=2, L38="小夜")</formula>
    </cfRule>
    <cfRule type="expression" dxfId="144" priority="16">
      <formula>OR(L38="T早", L38="早", L38="M1", L38=1, L38="日")</formula>
    </cfRule>
  </conditionalFormatting>
  <conditionalFormatting sqref="T38">
    <cfRule type="expression" dxfId="143" priority="7">
      <formula>OR(T38="T中", T38="中", T38=2, T38="小夜")</formula>
    </cfRule>
    <cfRule type="expression" dxfId="142" priority="8">
      <formula>OR(T38="T早", T38="早", T38="M1", T38=1, T38="日")</formula>
    </cfRule>
    <cfRule type="expression" dxfId="141" priority="9">
      <formula>OR(T38="晚", T38=3, T38="大夜")</formula>
    </cfRule>
  </conditionalFormatting>
  <conditionalFormatting sqref="V38">
    <cfRule type="expression" dxfId="140" priority="11">
      <formula>OR(V38="T中", V38="中", V38=2, V38="小夜")</formula>
    </cfRule>
    <cfRule type="expression" dxfId="139" priority="12">
      <formula>OR(V38="T早", V38="早", V38="M1", V38=1, V38="日")</formula>
    </cfRule>
    <cfRule type="expression" dxfId="138" priority="13">
      <formula>OR(V38="晚", V38=3, V38="大夜")</formula>
    </cfRule>
  </conditionalFormatting>
  <conditionalFormatting sqref="W38:AA38">
    <cfRule type="expression" dxfId="137" priority="21">
      <formula>OR(W38="晚", W38=3, W38="大夜")</formula>
    </cfRule>
  </conditionalFormatting>
  <conditionalFormatting sqref="Y38">
    <cfRule type="expression" dxfId="136" priority="6">
      <formula>OR(Y38="晚", Y38=3, Y38="大夜")</formula>
    </cfRule>
  </conditionalFormatting>
  <conditionalFormatting sqref="Z38:AA38">
    <cfRule type="expression" dxfId="135" priority="19">
      <formula>OR(Z38="T中", Z38="中", Z38=2, Z38="小夜")</formula>
    </cfRule>
    <cfRule type="expression" dxfId="134" priority="20">
      <formula>OR(Z38="T早", Z38="早", Z38="M1", Z38=1, Z38="日")</formula>
    </cfRule>
  </conditionalFormatting>
  <conditionalFormatting sqref="AB38:AN38">
    <cfRule type="expression" dxfId="133" priority="25">
      <formula>OR(AB38="晚", AB38=3, AB38="大夜")</formula>
    </cfRule>
  </conditionalFormatting>
  <conditionalFormatting sqref="AI38:AJ38">
    <cfRule type="expression" dxfId="132" priority="23">
      <formula>OR(AI38="T中", AI38="中", AI38=2, AI38="小夜")</formula>
    </cfRule>
    <cfRule type="expression" dxfId="131" priority="24">
      <formula>OR(AI38="T早", AI38="早", AI38="M1", AI38=1, AI38="日")</formula>
    </cfRule>
  </conditionalFormatting>
  <conditionalFormatting sqref="AJ38">
    <cfRule type="expression" dxfId="130" priority="1">
      <formula>OR(AJ38="晚", AJ38=3, AJ38="大夜")</formula>
    </cfRule>
  </conditionalFormatting>
  <conditionalFormatting sqref="AO24">
    <cfRule type="cellIs" dxfId="129" priority="60" operator="equal">
      <formula>"大夜"</formula>
    </cfRule>
    <cfRule type="cellIs" dxfId="128" priority="61" operator="equal">
      <formula>"晚"</formula>
    </cfRule>
    <cfRule type="cellIs" dxfId="127" priority="62" operator="equal">
      <formula>3</formula>
    </cfRule>
    <cfRule type="cellIs" dxfId="126" priority="63" operator="equal">
      <formula>"小夜"</formula>
    </cfRule>
    <cfRule type="cellIs" dxfId="125" priority="64" operator="equal">
      <formula>"T中"</formula>
    </cfRule>
    <cfRule type="cellIs" dxfId="124" priority="65" operator="equal">
      <formula>"中"</formula>
    </cfRule>
    <cfRule type="cellIs" dxfId="123" priority="66" operator="equal">
      <formula>"M2"</formula>
    </cfRule>
    <cfRule type="cellIs" dxfId="122" priority="67" operator="equal">
      <formula>2</formula>
    </cfRule>
    <cfRule type="cellIs" dxfId="121" priority="68" operator="equal">
      <formula>"日"</formula>
    </cfRule>
    <cfRule type="cellIs" dxfId="120" priority="69" operator="equal">
      <formula>"T早"</formula>
    </cfRule>
    <cfRule type="cellIs" dxfId="119" priority="70" operator="equal">
      <formula>"早"</formula>
    </cfRule>
    <cfRule type="cellIs" dxfId="118" priority="71" operator="equal">
      <formula>"M1"</formula>
    </cfRule>
    <cfRule type="cellIs" dxfId="117" priority="72" operator="equal">
      <formula>1</formula>
    </cfRule>
  </conditionalFormatting>
  <conditionalFormatting sqref="AR4:AR44">
    <cfRule type="cellIs" dxfId="116" priority="58" operator="equal">
      <formula>-2</formula>
    </cfRule>
    <cfRule type="cellIs" dxfId="115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81" t="str">
        <f>"TPKC剩餘人力："&amp;AS56&amp;" / NK剩餘人力："&amp;AT56&amp;" /  N班人力："&amp;AS51</f>
        <v>TPKC剩餘人力：5 / NK剩餘人力：2 /  N班人力：115</v>
      </c>
      <c r="M1" s="482"/>
      <c r="N1" s="482"/>
      <c r="O1" s="482"/>
      <c r="P1" s="482"/>
      <c r="Q1" s="482"/>
      <c r="R1" s="482"/>
      <c r="S1" s="482"/>
      <c r="T1" s="482"/>
      <c r="U1" s="482"/>
      <c r="V1" s="482"/>
      <c r="W1" s="482"/>
      <c r="X1" s="482"/>
      <c r="Y1" s="482"/>
      <c r="Z1" s="482"/>
      <c r="AA1" s="482"/>
      <c r="AB1" s="482"/>
      <c r="AC1" s="482"/>
      <c r="AD1" s="482"/>
      <c r="AE1" s="482"/>
      <c r="AF1" s="482"/>
      <c r="AG1" s="482"/>
      <c r="AH1" s="482"/>
      <c r="AI1" s="482"/>
      <c r="AJ1" s="483"/>
      <c r="AK1" s="482"/>
      <c r="AL1" s="482"/>
      <c r="AM1" s="484"/>
      <c r="AN1" s="485"/>
      <c r="AO1" s="485"/>
      <c r="AP1" s="5"/>
      <c r="AS1" s="6"/>
      <c r="AT1" s="7"/>
    </row>
    <row r="2" spans="1:227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477" t="s">
        <v>163</v>
      </c>
      <c r="G2" s="8" t="s">
        <v>106</v>
      </c>
      <c r="H2" s="8" t="s">
        <v>107</v>
      </c>
      <c r="I2" s="8" t="s">
        <v>108</v>
      </c>
      <c r="J2" s="486" t="s">
        <v>109</v>
      </c>
      <c r="K2" s="469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60" t="s">
        <v>48</v>
      </c>
      <c r="AX2" s="461"/>
      <c r="AY2" s="462"/>
    </row>
    <row r="3" spans="1:227" ht="24.6" customHeight="1" thickBot="1">
      <c r="A3" s="472"/>
      <c r="B3" s="474"/>
      <c r="C3" s="474"/>
      <c r="D3" s="476"/>
      <c r="E3" s="478"/>
      <c r="F3" s="478"/>
      <c r="G3" s="15" t="s">
        <v>118</v>
      </c>
      <c r="H3" s="15" t="s">
        <v>119</v>
      </c>
      <c r="I3" s="16" t="s">
        <v>120</v>
      </c>
      <c r="J3" s="487"/>
      <c r="K3" s="488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F2:F3"/>
    <mergeCell ref="AW2:AY2"/>
    <mergeCell ref="L1:AI1"/>
    <mergeCell ref="AJ1:AL1"/>
    <mergeCell ref="AM1:AO1"/>
    <mergeCell ref="J2:J3"/>
    <mergeCell ref="K2:K3"/>
    <mergeCell ref="A2:A3"/>
    <mergeCell ref="B2:B3"/>
    <mergeCell ref="C2:C3"/>
    <mergeCell ref="D2:D3"/>
    <mergeCell ref="E2:E3"/>
  </mergeCells>
  <conditionalFormatting sqref="L4:T38 V4:AP38 L39:AP40 L41:T41 V41:AP41 L42:AP44">
    <cfRule type="expression" dxfId="114" priority="15">
      <formula>"OR(K4=""T中"", K4=""中"", K4=2, K4=""小夜"")"</formula>
    </cfRule>
    <cfRule type="expression" dxfId="113" priority="16">
      <formula>OR(L4="T早", L4="早", L4="M1", L4=1, L4="日")</formula>
    </cfRule>
    <cfRule type="expression" dxfId="112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11" priority="14">
      <formula>OR(L4="晚", L4=3, L4="大夜")</formula>
    </cfRule>
  </conditionalFormatting>
  <conditionalFormatting sqref="L45:AP53">
    <cfRule type="cellIs" dxfId="110" priority="1246" operator="equal">
      <formula>3</formula>
    </cfRule>
    <cfRule type="cellIs" dxfId="109" priority="1244" operator="equal">
      <formula>5</formula>
    </cfRule>
    <cfRule type="cellIs" dxfId="108" priority="1245" operator="equal">
      <formula>4</formula>
    </cfRule>
    <cfRule type="cellIs" dxfId="107" priority="1248" operator="equal">
      <formula>1</formula>
    </cfRule>
    <cfRule type="cellIs" dxfId="106" priority="1247" operator="equal">
      <formula>2</formula>
    </cfRule>
  </conditionalFormatting>
  <conditionalFormatting sqref="L51:AP53">
    <cfRule type="cellIs" dxfId="105" priority="1249" operator="equal">
      <formula>"T中"</formula>
    </cfRule>
  </conditionalFormatting>
  <conditionalFormatting sqref="U4:U10 U12:U38">
    <cfRule type="expression" dxfId="104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03" priority="10">
      <formula>OR(U4="晚", U4=3, U4="大夜")</formula>
    </cfRule>
    <cfRule type="expression" dxfId="102" priority="11">
      <formula>"OR(K4=""T中"", K4=""中"", K4=2, K4=""小夜"")"</formula>
    </cfRule>
    <cfRule type="expression" dxfId="101" priority="12">
      <formula>OR(U4="T早", U4="早", U4="M1", U4=1, U4="日")</formula>
    </cfRule>
  </conditionalFormatting>
  <conditionalFormatting sqref="U11">
    <cfRule type="expression" dxfId="100" priority="2">
      <formula>OR(U11="晚", U11=3, U11="大夜")</formula>
    </cfRule>
    <cfRule type="expression" dxfId="99" priority="3">
      <formula>"OR(K4=""T中"", K4=""中"", K4=2, K4=""小夜"")"</formula>
    </cfRule>
    <cfRule type="expression" dxfId="98" priority="4">
      <formula>OR(U11="T早", U11="早", U11="M1", U11=1, U11="日")</formula>
    </cfRule>
    <cfRule type="expression" dxfId="97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96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95" priority="8">
      <formula>OR(U41="T早", U41="早", U41="M1", U41=1, U41="日")</formula>
    </cfRule>
    <cfRule type="expression" dxfId="94" priority="7">
      <formula>"OR(K4=""T中"", K4=""中"", K4=2, K4=""小夜"")"</formula>
    </cfRule>
    <cfRule type="expression" dxfId="93" priority="6">
      <formula>OR(U41="晚", U41=3, U41="大夜")</formula>
    </cfRule>
  </conditionalFormatting>
  <conditionalFormatting sqref="AQ24">
    <cfRule type="cellIs" dxfId="92" priority="1252" operator="equal">
      <formula>"大夜"</formula>
    </cfRule>
    <cfRule type="cellIs" dxfId="91" priority="1253" operator="equal">
      <formula>"晚"</formula>
    </cfRule>
    <cfRule type="cellIs" dxfId="90" priority="1254" operator="equal">
      <formula>3</formula>
    </cfRule>
    <cfRule type="cellIs" dxfId="89" priority="1255" operator="equal">
      <formula>"小夜"</formula>
    </cfRule>
    <cfRule type="cellIs" dxfId="88" priority="1256" operator="equal">
      <formula>"T中"</formula>
    </cfRule>
    <cfRule type="cellIs" dxfId="87" priority="1257" operator="equal">
      <formula>"中"</formula>
    </cfRule>
    <cfRule type="cellIs" dxfId="86" priority="1258" operator="equal">
      <formula>"M2"</formula>
    </cfRule>
    <cfRule type="cellIs" dxfId="85" priority="1259" operator="equal">
      <formula>2</formula>
    </cfRule>
    <cfRule type="cellIs" dxfId="84" priority="1260" operator="equal">
      <formula>"日"</formula>
    </cfRule>
    <cfRule type="cellIs" dxfId="83" priority="1261" operator="equal">
      <formula>"T早"</formula>
    </cfRule>
    <cfRule type="cellIs" dxfId="82" priority="1262" operator="equal">
      <formula>"早"</formula>
    </cfRule>
    <cfRule type="cellIs" dxfId="81" priority="1263" operator="equal">
      <formula>"M1"</formula>
    </cfRule>
    <cfRule type="cellIs" dxfId="80" priority="1264" operator="equal">
      <formula>1</formula>
    </cfRule>
  </conditionalFormatting>
  <conditionalFormatting sqref="AT4:AT44">
    <cfRule type="cellIs" dxfId="79" priority="1250" operator="equal">
      <formula>-2</formula>
    </cfRule>
    <cfRule type="cellIs" dxfId="78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1" t="str">
        <f>"TPKC剩餘人力："&amp;AR57&amp;" / NK剩餘人力："&amp;AS57&amp;" /  N班人力："&amp;AR52</f>
        <v>TPKC剩餘人力：-1 / NK剩餘人力：0 /  N班人力：62</v>
      </c>
      <c r="L1" s="482"/>
      <c r="M1" s="482"/>
      <c r="N1" s="482"/>
      <c r="O1" s="482"/>
      <c r="P1" s="482"/>
      <c r="Q1" s="482"/>
      <c r="R1" s="482"/>
      <c r="S1" s="482"/>
      <c r="T1" s="482"/>
      <c r="U1" s="482"/>
      <c r="V1" s="482"/>
      <c r="W1" s="482"/>
      <c r="X1" s="482"/>
      <c r="Y1" s="482"/>
      <c r="Z1" s="482"/>
      <c r="AA1" s="482"/>
      <c r="AB1" s="482"/>
      <c r="AC1" s="482"/>
      <c r="AD1" s="482"/>
      <c r="AE1" s="482"/>
      <c r="AF1" s="482"/>
      <c r="AG1" s="482"/>
      <c r="AH1" s="482"/>
      <c r="AI1" s="483"/>
      <c r="AJ1" s="482"/>
      <c r="AK1" s="482"/>
      <c r="AL1" s="484"/>
      <c r="AM1" s="485"/>
      <c r="AN1" s="485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6" t="s">
        <v>109</v>
      </c>
      <c r="J2" s="469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60" t="s">
        <v>48</v>
      </c>
      <c r="AX2" s="461"/>
      <c r="AY2" s="462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7"/>
      <c r="J3" s="488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4:AO45">
    <cfRule type="expression" dxfId="77" priority="1">
      <formula>OR(K4="晚", K4=3, K4="大夜")</formula>
    </cfRule>
    <cfRule type="expression" dxfId="76" priority="2">
      <formula>OR(K4="T中", K4="中", K4=2, K4="小夜")</formula>
    </cfRule>
    <cfRule type="expression" dxfId="75" priority="3">
      <formula>OR(K4="T早", K4="早", K4="M1", K4=1, K4="日")</formula>
    </cfRule>
    <cfRule type="expression" dxfId="74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73" priority="12" operator="greaterThan">
      <formula>5</formula>
    </cfRule>
  </conditionalFormatting>
  <conditionalFormatting sqref="K46:AO54">
    <cfRule type="cellIs" dxfId="72" priority="1110" operator="equal">
      <formula>5</formula>
    </cfRule>
    <cfRule type="cellIs" dxfId="71" priority="1111" operator="equal">
      <formula>4</formula>
    </cfRule>
    <cfRule type="cellIs" dxfId="70" priority="1112" operator="equal">
      <formula>3</formula>
    </cfRule>
    <cfRule type="cellIs" dxfId="69" priority="1113" operator="equal">
      <formula>2</formula>
    </cfRule>
    <cfRule type="cellIs" dxfId="68" priority="1114" operator="equal">
      <formula>1</formula>
    </cfRule>
  </conditionalFormatting>
  <conditionalFormatting sqref="K52:AO54">
    <cfRule type="cellIs" dxfId="67" priority="1115" operator="equal">
      <formula>"T中"</formula>
    </cfRule>
  </conditionalFormatting>
  <conditionalFormatting sqref="AP24">
    <cfRule type="cellIs" dxfId="66" priority="1157" operator="equal">
      <formula>"T中"</formula>
    </cfRule>
    <cfRule type="cellIs" dxfId="65" priority="1158" operator="equal">
      <formula>"中"</formula>
    </cfRule>
    <cfRule type="cellIs" dxfId="64" priority="1159" operator="equal">
      <formula>"M2"</formula>
    </cfRule>
    <cfRule type="cellIs" dxfId="63" priority="1160" operator="equal">
      <formula>2</formula>
    </cfRule>
    <cfRule type="cellIs" dxfId="62" priority="1161" operator="equal">
      <formula>"日"</formula>
    </cfRule>
    <cfRule type="cellIs" dxfId="61" priority="1162" operator="equal">
      <formula>"T早"</formula>
    </cfRule>
    <cfRule type="cellIs" dxfId="60" priority="1163" operator="equal">
      <formula>"早"</formula>
    </cfRule>
    <cfRule type="cellIs" dxfId="59" priority="1164" operator="equal">
      <formula>"M1"</formula>
    </cfRule>
    <cfRule type="cellIs" dxfId="58" priority="1165" operator="equal">
      <formula>1</formula>
    </cfRule>
    <cfRule type="cellIs" dxfId="57" priority="1153" operator="equal">
      <formula>"大夜"</formula>
    </cfRule>
    <cfRule type="cellIs" dxfId="56" priority="1154" operator="equal">
      <formula>"晚"</formula>
    </cfRule>
    <cfRule type="cellIs" dxfId="55" priority="1155" operator="equal">
      <formula>3</formula>
    </cfRule>
    <cfRule type="cellIs" dxfId="54" priority="1156" operator="equal">
      <formula>"小夜"</formula>
    </cfRule>
  </conditionalFormatting>
  <conditionalFormatting sqref="AP31:AP32">
    <cfRule type="cellIs" dxfId="53" priority="1138" operator="equal">
      <formula>"大夜"</formula>
    </cfRule>
    <cfRule type="cellIs" dxfId="52" priority="1139" operator="equal">
      <formula>"晚"</formula>
    </cfRule>
    <cfRule type="cellIs" dxfId="51" priority="1140" operator="equal">
      <formula>3</formula>
    </cfRule>
    <cfRule type="cellIs" dxfId="50" priority="1141" operator="equal">
      <formula>"小夜"</formula>
    </cfRule>
    <cfRule type="cellIs" dxfId="49" priority="1142" operator="equal">
      <formula>"T中"</formula>
    </cfRule>
    <cfRule type="cellIs" dxfId="48" priority="1143" operator="equal">
      <formula>"中"</formula>
    </cfRule>
    <cfRule type="cellIs" dxfId="47" priority="1144" operator="equal">
      <formula>"M2"</formula>
    </cfRule>
    <cfRule type="cellIs" dxfId="46" priority="1145" operator="equal">
      <formula>2</formula>
    </cfRule>
    <cfRule type="cellIs" dxfId="45" priority="1147" operator="equal">
      <formula>"T早"</formula>
    </cfRule>
    <cfRule type="cellIs" dxfId="44" priority="1148" operator="equal">
      <formula>"早"</formula>
    </cfRule>
    <cfRule type="cellIs" dxfId="43" priority="1149" operator="equal">
      <formula>"M1"</formula>
    </cfRule>
    <cfRule type="cellIs" dxfId="42" priority="1150" operator="equal">
      <formula>1</formula>
    </cfRule>
    <cfRule type="cellIs" dxfId="41" priority="1146" operator="equal">
      <formula>"日"</formula>
    </cfRule>
  </conditionalFormatting>
  <conditionalFormatting sqref="AS4:AS45">
    <cfRule type="cellIs" dxfId="40" priority="1151" operator="equal">
      <formula>-2</formula>
    </cfRule>
    <cfRule type="cellIs" dxfId="39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S11" sqref="S1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63" t="str">
        <f>"TPKC剩餘人力："&amp;AQ58&amp;" / NK剩餘人力："&amp;AR58&amp;" /  N班人力："&amp;AQ53</f>
        <v>TPKC剩餘人力：-1 / NK剩餘人力：0 /  N班人力：70</v>
      </c>
      <c r="L1" s="464"/>
      <c r="M1" s="464"/>
      <c r="N1" s="464"/>
      <c r="O1" s="464"/>
      <c r="P1" s="464"/>
      <c r="Q1" s="464"/>
      <c r="R1" s="464"/>
      <c r="S1" s="464"/>
      <c r="T1" s="464"/>
      <c r="U1" s="464"/>
      <c r="V1" s="464"/>
      <c r="W1" s="464"/>
      <c r="X1" s="464"/>
      <c r="Y1" s="464"/>
      <c r="Z1" s="464"/>
      <c r="AA1" s="464"/>
      <c r="AB1" s="464"/>
      <c r="AC1" s="464"/>
      <c r="AD1" s="464"/>
      <c r="AE1" s="464"/>
      <c r="AF1" s="464"/>
      <c r="AG1" s="464"/>
      <c r="AH1" s="464"/>
      <c r="AI1" s="465"/>
      <c r="AJ1" s="465"/>
      <c r="AK1" s="465"/>
      <c r="AL1" s="466"/>
      <c r="AM1" s="466"/>
      <c r="AN1" s="466"/>
      <c r="AQ1" s="6"/>
      <c r="AR1" s="7"/>
    </row>
    <row r="2" spans="1:225" ht="23.25" customHeight="1" thickBot="1">
      <c r="A2" s="452">
        <v>1</v>
      </c>
      <c r="B2" s="454">
        <v>2</v>
      </c>
      <c r="C2" s="454">
        <v>3</v>
      </c>
      <c r="D2" s="456" t="s">
        <v>104</v>
      </c>
      <c r="E2" s="458" t="s">
        <v>105</v>
      </c>
      <c r="F2" s="8" t="s">
        <v>106</v>
      </c>
      <c r="G2" s="8" t="s">
        <v>107</v>
      </c>
      <c r="H2" s="8" t="s">
        <v>108</v>
      </c>
      <c r="I2" s="467" t="s">
        <v>109</v>
      </c>
      <c r="J2" s="469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60" t="s">
        <v>48</v>
      </c>
      <c r="AW2" s="461"/>
      <c r="AX2" s="462"/>
    </row>
    <row r="3" spans="1:225" ht="24.6" customHeight="1" thickBot="1">
      <c r="A3" s="453"/>
      <c r="B3" s="455"/>
      <c r="C3" s="455"/>
      <c r="D3" s="457"/>
      <c r="E3" s="459"/>
      <c r="F3" s="15" t="s">
        <v>118</v>
      </c>
      <c r="G3" s="15" t="s">
        <v>119</v>
      </c>
      <c r="H3" s="16" t="s">
        <v>120</v>
      </c>
      <c r="I3" s="468"/>
      <c r="J3" s="470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425" t="s">
        <v>3</v>
      </c>
      <c r="L6" s="242" t="s">
        <v>3</v>
      </c>
      <c r="M6" s="242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242" t="s">
        <v>3</v>
      </c>
      <c r="Z6" s="242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9" t="s">
        <v>52</v>
      </c>
      <c r="AJ6" s="271" t="s">
        <v>53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0</v>
      </c>
      <c r="E8" s="41">
        <f t="shared" si="4"/>
        <v>1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1</v>
      </c>
      <c r="AJ8" s="272" t="s">
        <v>53</v>
      </c>
      <c r="AK8" s="272" t="s">
        <v>52</v>
      </c>
      <c r="AL8" s="271" t="s">
        <v>0</v>
      </c>
      <c r="AM8" s="238" t="s">
        <v>0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242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242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425" t="s">
        <v>3</v>
      </c>
      <c r="L32" s="242" t="s">
        <v>3</v>
      </c>
      <c r="M32" s="242" t="s">
        <v>3</v>
      </c>
      <c r="N32" s="242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4" t="s">
        <v>3</v>
      </c>
      <c r="Y33" s="394" t="s">
        <v>3</v>
      </c>
      <c r="Z33" s="394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0</v>
      </c>
      <c r="AN35" s="241" t="s">
        <v>38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38</v>
      </c>
      <c r="AN36" s="241" t="s">
        <v>0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6</v>
      </c>
      <c r="B42" s="39">
        <f t="shared" si="1"/>
        <v>12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494" t="s">
        <v>56</v>
      </c>
      <c r="AM42" s="494" t="s">
        <v>56</v>
      </c>
      <c r="AN42" s="494" t="s">
        <v>0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5</v>
      </c>
      <c r="B43" s="39">
        <f t="shared" si="1"/>
        <v>5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0</v>
      </c>
      <c r="AM43" s="30" t="s">
        <v>54</v>
      </c>
      <c r="AN43" s="30" t="s">
        <v>54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494" t="s">
        <v>54</v>
      </c>
      <c r="AJ44" s="30" t="s">
        <v>54</v>
      </c>
      <c r="AK44" s="30" t="s">
        <v>54</v>
      </c>
      <c r="AL44" s="30" t="s">
        <v>54</v>
      </c>
      <c r="AM44" s="494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95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70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47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2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19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13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5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32 K33:W33 AA33:AN33 K34:AN46">
    <cfRule type="expression" dxfId="38" priority="1">
      <formula>OR(K4="晚", K4=3, K4="大夜")</formula>
    </cfRule>
    <cfRule type="expression" dxfId="37" priority="2">
      <formula>OR(K4="T中", K4="中", K4=2, K4="小夜")</formula>
    </cfRule>
    <cfRule type="expression" dxfId="36" priority="3">
      <formula>OR(K4="T早", K4="早", K4="M1", K4=1, K4="日")</formula>
    </cfRule>
    <cfRule type="expression" dxfId="35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34" priority="5" operator="greaterThan">
      <formula>5</formula>
    </cfRule>
  </conditionalFormatting>
  <conditionalFormatting sqref="K47:AN55">
    <cfRule type="cellIs" dxfId="33" priority="6" operator="equal">
      <formula>5</formula>
    </cfRule>
    <cfRule type="cellIs" dxfId="32" priority="7" operator="equal">
      <formula>4</formula>
    </cfRule>
    <cfRule type="cellIs" dxfId="31" priority="8" operator="equal">
      <formula>3</formula>
    </cfRule>
    <cfRule type="cellIs" dxfId="30" priority="9" operator="equal">
      <formula>2</formula>
    </cfRule>
    <cfRule type="cellIs" dxfId="29" priority="10" operator="equal">
      <formula>1</formula>
    </cfRule>
  </conditionalFormatting>
  <conditionalFormatting sqref="K53:AN55">
    <cfRule type="cellIs" dxfId="28" priority="11" operator="equal">
      <formula>"T中"</formula>
    </cfRule>
  </conditionalFormatting>
  <conditionalFormatting sqref="AO23">
    <cfRule type="cellIs" dxfId="27" priority="31" operator="equal">
      <formula>"T中"</formula>
    </cfRule>
    <cfRule type="cellIs" dxfId="26" priority="32" operator="equal">
      <formula>"中"</formula>
    </cfRule>
    <cfRule type="cellIs" dxfId="25" priority="33" operator="equal">
      <formula>"M2"</formula>
    </cfRule>
    <cfRule type="cellIs" dxfId="24" priority="34" operator="equal">
      <formula>2</formula>
    </cfRule>
    <cfRule type="cellIs" dxfId="23" priority="35" operator="equal">
      <formula>"日"</formula>
    </cfRule>
    <cfRule type="cellIs" dxfId="22" priority="36" operator="equal">
      <formula>"T早"</formula>
    </cfRule>
    <cfRule type="cellIs" dxfId="21" priority="37" operator="equal">
      <formula>"早"</formula>
    </cfRule>
    <cfRule type="cellIs" dxfId="20" priority="38" operator="equal">
      <formula>"M1"</formula>
    </cfRule>
    <cfRule type="cellIs" dxfId="19" priority="39" operator="equal">
      <formula>1</formula>
    </cfRule>
    <cfRule type="cellIs" dxfId="18" priority="27" operator="equal">
      <formula>"大夜"</formula>
    </cfRule>
    <cfRule type="cellIs" dxfId="17" priority="28" operator="equal">
      <formula>"晚"</formula>
    </cfRule>
    <cfRule type="cellIs" dxfId="16" priority="29" operator="equal">
      <formula>3</formula>
    </cfRule>
    <cfRule type="cellIs" dxfId="15" priority="30" operator="equal">
      <formula>"小夜"</formula>
    </cfRule>
  </conditionalFormatting>
  <conditionalFormatting sqref="AO30:AO33">
    <cfRule type="cellIs" dxfId="14" priority="12" operator="equal">
      <formula>"大夜"</formula>
    </cfRule>
    <cfRule type="cellIs" dxfId="13" priority="13" operator="equal">
      <formula>"晚"</formula>
    </cfRule>
    <cfRule type="cellIs" dxfId="12" priority="14" operator="equal">
      <formula>3</formula>
    </cfRule>
    <cfRule type="cellIs" dxfId="11" priority="15" operator="equal">
      <formula>"小夜"</formula>
    </cfRule>
    <cfRule type="cellIs" dxfId="10" priority="16" operator="equal">
      <formula>"T中"</formula>
    </cfRule>
    <cfRule type="cellIs" dxfId="9" priority="17" operator="equal">
      <formula>"中"</formula>
    </cfRule>
    <cfRule type="cellIs" dxfId="8" priority="18" operator="equal">
      <formula>"M2"</formula>
    </cfRule>
    <cfRule type="cellIs" dxfId="7" priority="19" operator="equal">
      <formula>2</formula>
    </cfRule>
    <cfRule type="cellIs" dxfId="6" priority="21" operator="equal">
      <formula>"T早"</formula>
    </cfRule>
    <cfRule type="cellIs" dxfId="5" priority="22" operator="equal">
      <formula>"早"</formula>
    </cfRule>
    <cfRule type="cellIs" dxfId="4" priority="23" operator="equal">
      <formula>"M1"</formula>
    </cfRule>
    <cfRule type="cellIs" dxfId="3" priority="24" operator="equal">
      <formula>1</formula>
    </cfRule>
    <cfRule type="cellIs" dxfId="2" priority="20" operator="equal">
      <formula>"日"</formula>
    </cfRule>
  </conditionalFormatting>
  <conditionalFormatting sqref="AR4:AR46">
    <cfRule type="cellIs" dxfId="1" priority="25" operator="equal">
      <formula>-2</formula>
    </cfRule>
    <cfRule type="cellIs" dxfId="0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2026-09-21T01:33:23Z</dcterms:modified>
</cp:coreProperties>
</file>