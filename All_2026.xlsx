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20D8C4B-923D-4E71-950A-98D38F4EAE08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6" i="19" l="1"/>
  <c r="M47" i="19" l="1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AN10" i="18" s="1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AQ18" i="19" l="1"/>
  <c r="AS18" i="19" s="1"/>
  <c r="T55" i="19"/>
  <c r="Q55" i="19"/>
  <c r="O55" i="19"/>
  <c r="O60" i="19" s="1"/>
  <c r="U55" i="19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T60" i="19"/>
  <c r="AD55" i="19"/>
  <c r="AD60" i="19" s="1"/>
  <c r="AN55" i="19"/>
  <c r="AN60" i="19" s="1"/>
  <c r="Y55" i="19"/>
  <c r="Y60" i="19" s="1"/>
  <c r="X55" i="19"/>
  <c r="X60" i="19" s="1"/>
  <c r="U60" i="19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AQ14" i="19"/>
  <c r="AS14" i="19" s="1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B4A201F7-5459-497F-8F98-FFE2D80A19E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Y9" authorId="2" shapeId="0" xr:uid="{D95A0D26-6C1F-43FE-8F2A-428BD95796C9}">
      <text>
        <r>
          <rPr>
            <b/>
            <sz val="16"/>
            <color indexed="81"/>
            <rFont val="細明體"/>
            <family val="3"/>
            <charset val="136"/>
          </rPr>
          <t>與大</t>
        </r>
        <r>
          <rPr>
            <b/>
            <sz val="16"/>
            <color indexed="81"/>
            <rFont val="Tahoma"/>
            <family val="2"/>
          </rPr>
          <t>D</t>
        </r>
        <r>
          <rPr>
            <b/>
            <sz val="16"/>
            <color indexed="81"/>
            <rFont val="細明體"/>
            <family val="3"/>
            <charset val="136"/>
          </rPr>
          <t xml:space="preserve">換
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1" shapeId="0" xr:uid="{B4899455-2B0D-4EED-96A7-E553B68D23E8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1" authorId="1" shapeId="0" xr:uid="{1E40C72F-3500-4F8A-A374-E47D006A40CD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1" shapeId="0" xr:uid="{4437E15A-8CA0-4D36-9A34-9CFA3DF696A5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O13" authorId="1" shapeId="0" xr:uid="{358BA58B-415D-4F86-9A7B-8CA58B15C890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S13" authorId="1" shapeId="0" xr:uid="{1135ECD8-390A-4A63-A005-B49DB49CE365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FB5C9A4-7685-4D74-804A-B65857E8A91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A16" authorId="1" shapeId="0" xr:uid="{79C2BC8A-692B-47E4-A2A9-5F36BCCB2D27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J16" authorId="1" shapeId="0" xr:uid="{7DC46A13-0FF4-4332-9D06-2CD5C4A0801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1" shapeId="0" xr:uid="{E1FA73C4-58CB-4EE8-9B4F-79BD8E279C2E}">
      <text>
        <r>
          <rPr>
            <b/>
            <sz val="11"/>
            <color indexed="81"/>
            <rFont val="Tahoma"/>
            <family val="2"/>
          </rPr>
          <t>過年補假
申報加班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4" authorId="2" shapeId="0" xr:uid="{77DA097D-CC69-4653-BA4F-842A4AA7BA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4" authorId="2" shapeId="0" xr:uid="{28D282CC-E830-47C2-A27D-2C7A664E75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T27" authorId="1" shapeId="0" xr:uid="{57BE142D-ACCE-46E2-8106-5A9FE65FFC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020C2799-705D-44E1-99BE-49C0AD5984EB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9" authorId="2" shapeId="0" xr:uid="{97003F58-8927-4256-9085-D2B766F6F4C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C3C21C03-AD06-4809-BCB5-25BB8E8ABCE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N33" authorId="1" shapeId="0" xr:uid="{080002F6-BC34-4F5C-A2CB-4B6896E3AB3C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789194C9-ED87-44CF-BB0D-16A2B483DF22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K37" authorId="1" shapeId="0" xr:uid="{782CC95F-D6A7-433A-BA96-CD48BC17E241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7" authorId="1" shapeId="0" xr:uid="{D2F2093E-DBD4-451F-9B44-D183B29201CB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38" authorId="1" shapeId="0" xr:uid="{351402B8-E873-4366-A3D0-57615F237AD0}">
      <text>
        <r>
          <rPr>
            <b/>
            <sz val="9"/>
            <color indexed="81"/>
            <rFont val="Tahoma"/>
            <family val="2"/>
          </rPr>
          <t>過年補假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C99D969B-9CAC-4394-866A-7B22E2E016B0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O40" authorId="2" shapeId="0" xr:uid="{D8CB8D5E-01C4-4E5F-949D-D40D35365DC3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<sst xmlns="http://schemas.openxmlformats.org/spreadsheetml/2006/main" count="3481" uniqueCount="153">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</sst>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95" fillId="19" borderId="43" xfId="1" applyFont="1" applyFill="1" applyBorder="1" applyAlignment="1">
      <alignment horizontal="center" vertical="center"/>
    </xf>
    <xf numFmtId="0" fontId="95" fillId="19" borderId="3" xfId="1" applyFont="1" applyFill="1" applyBorder="1" applyAlignment="1">
      <alignment horizontal="center" vertical="center"/>
    </xf>
    <xf numFmtId="0" fontId="95" fillId="19" borderId="21" xfId="1" applyFont="1" applyFill="1" applyBorder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87" t="str">
        <f>"TPKC剩餘人力："&amp;AR59&amp;" / NK剩餘人力："&amp;AS59&amp;" /  N班人力："&amp;AR53</f>
        <v>TPKC剩餘人力：0 / NK剩餘人力：0 /  N班人力：92</v>
      </c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9"/>
      <c r="AJ1" s="288"/>
      <c r="AK1" s="288"/>
      <c r="AL1" s="290"/>
      <c r="AM1" s="291"/>
      <c r="AN1" s="291"/>
      <c r="AO1" s="5"/>
      <c r="AR1" s="6"/>
      <c r="AS1" s="7"/>
    </row>
    <row r="2" spans="1:226" ht="23.25" customHeight="1" thickBot="1">
      <c r="A2" s="296">
        <v>1</v>
      </c>
      <c r="B2" s="298">
        <v>2</v>
      </c>
      <c r="C2" s="298">
        <v>3</v>
      </c>
      <c r="D2" s="300" t="s">
        <v>60</v>
      </c>
      <c r="E2" s="302" t="s">
        <v>61</v>
      </c>
      <c r="F2" s="8" t="s">
        <v>62</v>
      </c>
      <c r="G2" s="8" t="s">
        <v>63</v>
      </c>
      <c r="H2" s="8" t="s">
        <v>64</v>
      </c>
      <c r="I2" s="292" t="s">
        <v>65</v>
      </c>
      <c r="J2" s="304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85" t="s">
        <v>48</v>
      </c>
      <c r="AW2" s="286"/>
      <c r="AX2" s="286"/>
    </row>
    <row r="3" spans="1:226" ht="24.6" customHeight="1" thickBot="1">
      <c r="A3" s="297"/>
      <c r="B3" s="299"/>
      <c r="C3" s="299"/>
      <c r="D3" s="301"/>
      <c r="E3" s="303"/>
      <c r="F3" s="15" t="s">
        <v>74</v>
      </c>
      <c r="G3" s="15" t="s">
        <v>75</v>
      </c>
      <c r="H3" s="16" t="s">
        <v>76</v>
      </c>
      <c r="I3" s="293"/>
      <c r="J3" s="305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11" sqref="AI1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87" t="str">
        <f>"TPKC剩餘人力："&amp;AO59&amp;" / NK剩餘人力："&amp;AP59&amp;" /  N班人力："&amp;AO54</f>
        <v>TPKC剩餘人力：0 / NK剩餘人力：0 /  N班人力：32</v>
      </c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9"/>
      <c r="AJ1" s="288"/>
      <c r="AK1" s="288"/>
      <c r="AL1" s="183"/>
      <c r="AO1" s="6"/>
      <c r="AP1" s="7"/>
    </row>
    <row r="2" spans="1:223" ht="23.25" customHeight="1" thickBot="1">
      <c r="A2" s="296">
        <v>1</v>
      </c>
      <c r="B2" s="298">
        <v>2</v>
      </c>
      <c r="C2" s="298">
        <v>3</v>
      </c>
      <c r="D2" s="300" t="s">
        <v>104</v>
      </c>
      <c r="E2" s="302" t="s">
        <v>105</v>
      </c>
      <c r="F2" s="8" t="s">
        <v>106</v>
      </c>
      <c r="G2" s="8" t="s">
        <v>107</v>
      </c>
      <c r="H2" s="8" t="s">
        <v>108</v>
      </c>
      <c r="I2" s="292" t="s">
        <v>109</v>
      </c>
      <c r="J2" s="306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85" t="s">
        <v>48</v>
      </c>
      <c r="AT2" s="286"/>
      <c r="AU2" s="286"/>
    </row>
    <row r="3" spans="1:223" ht="24.6" customHeight="1" thickBot="1">
      <c r="A3" s="297"/>
      <c r="B3" s="299"/>
      <c r="C3" s="299"/>
      <c r="D3" s="301"/>
      <c r="E3" s="303"/>
      <c r="F3" s="15" t="s">
        <v>118</v>
      </c>
      <c r="G3" s="15" t="s">
        <v>119</v>
      </c>
      <c r="H3" s="16" t="s">
        <v>120</v>
      </c>
      <c r="I3" s="293"/>
      <c r="J3" s="307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5</v>
      </c>
      <c r="AP10" s="134">
        <f t="shared" si="10"/>
        <v>-1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4</v>
      </c>
      <c r="AP11" s="134">
        <f t="shared" si="10"/>
        <v>-2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4</v>
      </c>
      <c r="AP13" s="134">
        <f t="shared" si="10"/>
        <v>-2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5</v>
      </c>
      <c r="AP14" s="134">
        <f t="shared" si="10"/>
        <v>-1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4</v>
      </c>
      <c r="AP16" s="134">
        <f t="shared" si="10"/>
        <v>-2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5</v>
      </c>
      <c r="AP19" s="168">
        <f t="shared" si="10"/>
        <v>-1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5</v>
      </c>
      <c r="AP27" s="134">
        <f t="shared" si="10"/>
        <v>-1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35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5</v>
      </c>
      <c r="AP33" s="127">
        <f t="shared" si="10"/>
        <v>-1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4</v>
      </c>
      <c r="AP37" s="134">
        <f t="shared" si="10"/>
        <v>-2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5</v>
      </c>
      <c r="AP38" s="134">
        <f t="shared" si="10"/>
        <v>-1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3" sqref="T13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87" t="str">
        <f>"TPKC剩餘人力："&amp;AR58&amp;" / NK剩餘人力："&amp;AS58&amp;" /  N班人力："&amp;AR53</f>
        <v>TPKC剩餘人力：-1 / NK剩餘人力：0 /  N班人力：111</v>
      </c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9"/>
      <c r="AJ1" s="288"/>
      <c r="AK1" s="288"/>
      <c r="AL1" s="290"/>
      <c r="AM1" s="291"/>
      <c r="AN1" s="291"/>
      <c r="AO1" s="5"/>
      <c r="AR1" s="6"/>
      <c r="AS1" s="7"/>
    </row>
    <row r="2" spans="1:226" ht="23.25" customHeight="1" thickBot="1">
      <c r="A2" s="296">
        <v>1</v>
      </c>
      <c r="B2" s="298">
        <v>2</v>
      </c>
      <c r="C2" s="298">
        <v>3</v>
      </c>
      <c r="D2" s="300" t="s">
        <v>104</v>
      </c>
      <c r="E2" s="302" t="s">
        <v>105</v>
      </c>
      <c r="F2" s="8" t="s">
        <v>106</v>
      </c>
      <c r="G2" s="8" t="s">
        <v>107</v>
      </c>
      <c r="H2" s="8" t="s">
        <v>108</v>
      </c>
      <c r="I2" s="292" t="s">
        <v>109</v>
      </c>
      <c r="J2" s="29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85" t="s">
        <v>48</v>
      </c>
      <c r="AW2" s="286"/>
      <c r="AX2" s="286"/>
    </row>
    <row r="3" spans="1:226" ht="24.6" customHeight="1" thickBot="1">
      <c r="A3" s="297"/>
      <c r="B3" s="299"/>
      <c r="C3" s="299"/>
      <c r="D3" s="301"/>
      <c r="E3" s="303"/>
      <c r="F3" s="15" t="s">
        <v>118</v>
      </c>
      <c r="G3" s="15" t="s">
        <v>119</v>
      </c>
      <c r="H3" s="16" t="s">
        <v>120</v>
      </c>
      <c r="I3" s="293"/>
      <c r="J3" s="29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80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1">
        <v>3</v>
      </c>
      <c r="W4" s="281">
        <v>3</v>
      </c>
      <c r="X4" s="281">
        <v>3</v>
      </c>
      <c r="Y4" s="270" t="s">
        <v>0</v>
      </c>
      <c r="Z4" s="270" t="s">
        <v>52</v>
      </c>
      <c r="AA4" s="270" t="s">
        <v>40</v>
      </c>
      <c r="AB4" s="281">
        <v>3</v>
      </c>
      <c r="AC4" s="281">
        <v>3</v>
      </c>
      <c r="AD4" s="281">
        <v>3</v>
      </c>
      <c r="AE4" s="281">
        <v>3</v>
      </c>
      <c r="AF4" s="281">
        <v>3</v>
      </c>
      <c r="AG4" s="271" t="s">
        <v>52</v>
      </c>
      <c r="AH4" s="271" t="s">
        <v>1</v>
      </c>
      <c r="AI4" s="271" t="s">
        <v>0</v>
      </c>
      <c r="AJ4" s="281">
        <v>3</v>
      </c>
      <c r="AK4" s="281">
        <v>3</v>
      </c>
      <c r="AL4" s="281">
        <v>3</v>
      </c>
      <c r="AM4" s="281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11</v>
      </c>
      <c r="B6" s="39">
        <f t="shared" si="3"/>
        <v>0</v>
      </c>
      <c r="C6" s="40">
        <f t="shared" si="4"/>
        <v>0</v>
      </c>
      <c r="D6" s="39">
        <f t="shared" si="5"/>
        <v>7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>
        <v>1</v>
      </c>
      <c r="M6" s="30" t="s">
        <v>36</v>
      </c>
      <c r="N6" s="234" t="s">
        <v>52</v>
      </c>
      <c r="O6" s="234" t="s">
        <v>1</v>
      </c>
      <c r="P6" s="238" t="s">
        <v>3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38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36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238">
        <v>1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38" t="s">
        <v>3</v>
      </c>
      <c r="AD8" s="238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17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1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30" t="s">
        <v>36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30" t="s">
        <v>36</v>
      </c>
      <c r="Y9" s="239" t="s">
        <v>0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82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-1</v>
      </c>
      <c r="AQ10" s="46">
        <f t="shared" si="1"/>
        <v>0</v>
      </c>
      <c r="AR10" s="46">
        <v>1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15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3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79">
        <v>1</v>
      </c>
      <c r="AH11" s="238" t="s">
        <v>36</v>
      </c>
      <c r="AI11" s="238" t="s">
        <v>36</v>
      </c>
      <c r="AJ11" s="256" t="s">
        <v>5</v>
      </c>
      <c r="AK11" s="279">
        <v>1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-2</v>
      </c>
      <c r="AQ11" s="46">
        <f t="shared" si="1"/>
        <v>0</v>
      </c>
      <c r="AR11" s="46">
        <v>0</v>
      </c>
      <c r="AS11" s="134">
        <f t="shared" si="10"/>
        <v>-2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16</v>
      </c>
      <c r="B13" s="39">
        <f t="shared" si="3"/>
        <v>2</v>
      </c>
      <c r="C13" s="40">
        <f t="shared" si="4"/>
        <v>0</v>
      </c>
      <c r="D13" s="39">
        <f t="shared" si="5"/>
        <v>3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82">
        <v>1</v>
      </c>
      <c r="P13" s="234" t="s">
        <v>1</v>
      </c>
      <c r="Q13" s="239" t="s">
        <v>52</v>
      </c>
      <c r="R13" s="239" t="s">
        <v>0</v>
      </c>
      <c r="S13" s="282">
        <v>1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-2</v>
      </c>
      <c r="AQ13" s="46">
        <f t="shared" si="1"/>
        <v>0</v>
      </c>
      <c r="AR13" s="46">
        <v>2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2</v>
      </c>
      <c r="F14" s="41">
        <f t="shared" si="7"/>
        <v>5</v>
      </c>
      <c r="G14" s="41">
        <f t="shared" si="8"/>
        <v>4</v>
      </c>
      <c r="H14" s="41">
        <f t="shared" si="9"/>
        <v>1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79" t="s">
        <v>53</v>
      </c>
      <c r="AO14" s="241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238">
        <v>1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6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2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6" t="s">
        <v>5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79" t="s">
        <v>53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79" t="s">
        <v>53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-2</v>
      </c>
      <c r="AQ16" s="46">
        <f t="shared" si="1"/>
        <v>2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1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>
        <v>1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3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6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82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-1</v>
      </c>
      <c r="AQ19" s="167">
        <f t="shared" si="1"/>
        <v>0</v>
      </c>
      <c r="AR19" s="167">
        <v>1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6</v>
      </c>
      <c r="B23" s="39">
        <f t="shared" si="3"/>
        <v>5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30" t="s">
        <v>36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8</v>
      </c>
      <c r="C24" s="40">
        <f t="shared" si="4"/>
        <v>0</v>
      </c>
      <c r="D24" s="39">
        <f t="shared" si="5"/>
        <v>14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53" t="s">
        <v>3</v>
      </c>
      <c r="V24" s="53" t="s">
        <v>3</v>
      </c>
      <c r="W24" s="53" t="s">
        <v>3</v>
      </c>
      <c r="X24" s="239" t="s">
        <v>52</v>
      </c>
      <c r="Y24" s="239" t="s">
        <v>0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11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>
        <v>1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17</v>
      </c>
      <c r="B27" s="39">
        <f t="shared" si="3"/>
        <v>2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1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79" t="s">
        <v>53</v>
      </c>
      <c r="U27" s="238" t="s">
        <v>0</v>
      </c>
      <c r="V27" s="238">
        <v>2</v>
      </c>
      <c r="W27" s="238">
        <v>2</v>
      </c>
      <c r="X27" s="239" t="s">
        <v>52</v>
      </c>
      <c r="Y27" s="238">
        <v>1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-1</v>
      </c>
      <c r="AQ27" s="46">
        <f t="shared" si="1"/>
        <v>1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0</v>
      </c>
      <c r="D29" s="39">
        <f>COUNTIF(K29:AO29,"N")+COUNTIF(K29:AO29,"N8")</f>
        <v>14</v>
      </c>
      <c r="E29" s="41">
        <f>COUNTIF(K29:AO29,"S")</f>
        <v>0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40" t="s">
        <v>52</v>
      </c>
      <c r="M29" s="53" t="s">
        <v>3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53" t="s">
        <v>3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46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4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8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3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1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79" t="s">
        <v>53</v>
      </c>
      <c r="AO33" s="252">
        <v>1</v>
      </c>
      <c r="AP33" s="142">
        <v>-1</v>
      </c>
      <c r="AQ33" s="74">
        <f t="shared" si="1"/>
        <v>1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7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1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83" t="s">
        <v>53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-1</v>
      </c>
      <c r="AQ34" s="36">
        <f t="shared" si="1"/>
        <v>1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2</v>
      </c>
      <c r="F37" s="41">
        <f t="shared" si="7"/>
        <v>5</v>
      </c>
      <c r="G37" s="41">
        <f t="shared" si="8"/>
        <v>4</v>
      </c>
      <c r="H37" s="41">
        <f t="shared" si="9"/>
        <v>2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26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79" t="s">
        <v>53</v>
      </c>
      <c r="AL37" s="238" t="s">
        <v>36</v>
      </c>
      <c r="AM37" s="238" t="s">
        <v>36</v>
      </c>
      <c r="AN37" s="234" t="s">
        <v>0</v>
      </c>
      <c r="AO37" s="284" t="s">
        <v>53</v>
      </c>
      <c r="AP37" s="45">
        <v>-2</v>
      </c>
      <c r="AQ37" s="46">
        <f t="shared" si="1"/>
        <v>2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3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1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79" t="s">
        <v>53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-1</v>
      </c>
      <c r="AQ38" s="46">
        <f t="shared" si="1"/>
        <v>1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7</v>
      </c>
      <c r="B40" s="70">
        <f t="shared" si="3"/>
        <v>1</v>
      </c>
      <c r="C40" s="71">
        <f t="shared" si="4"/>
        <v>5</v>
      </c>
      <c r="D40" s="70">
        <f t="shared" si="5"/>
        <v>9</v>
      </c>
      <c r="E40" s="63">
        <f t="shared" si="6"/>
        <v>0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 t="s">
        <v>3</v>
      </c>
      <c r="O40" s="182" t="s">
        <v>3</v>
      </c>
      <c r="P40" s="182" t="s">
        <v>3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6</v>
      </c>
      <c r="E43" s="41">
        <f t="shared" si="27"/>
        <v>0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30" t="s">
        <v>3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6</v>
      </c>
      <c r="E44" s="41">
        <f t="shared" si="27"/>
        <v>0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30" t="s">
        <v>3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30" t="s">
        <v>3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5</v>
      </c>
      <c r="M47" s="128" cm="2">
        <f t="array" ref="M47">SUMPRODUCT(COUNTIF(M4:M46,{"1";"M1"}))</f>
        <v>5</v>
      </c>
      <c r="N47" s="128" cm="2">
        <f t="array" ref="N47">SUMPRODUCT(COUNTIF(N4:N46,{"1";"M1"}))</f>
        <v>4</v>
      </c>
      <c r="O47" s="128" cm="2">
        <f t="array" ref="O47">SUMPRODUCT(COUNTIF(O4:O46,{"1";"M1"}))</f>
        <v>5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5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5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5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4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111</v>
      </c>
      <c r="AS53" s="91" cm="1">
        <f t="array" ref="AS53">SUMPRODUCT(COUNTIF(K41:AO46,{"N";"N8"}))</f>
        <v>35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60</v>
      </c>
      <c r="AS54" s="75">
        <f>SUMPRODUCT(COUNTIF(K41:AO46,{"S"}))</f>
        <v>4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6</v>
      </c>
      <c r="M56" s="96">
        <f t="shared" ref="M56:U56" si="52">COUNTIF(M4:M46,"N")+COUNTIF(M4:M46,"N8")</f>
        <v>10</v>
      </c>
      <c r="N56" s="96">
        <f t="shared" si="52"/>
        <v>5</v>
      </c>
      <c r="O56" s="96">
        <f t="shared" si="52"/>
        <v>7</v>
      </c>
      <c r="P56" s="96">
        <f t="shared" si="52"/>
        <v>7</v>
      </c>
      <c r="Q56" s="96">
        <f t="shared" si="52"/>
        <v>0</v>
      </c>
      <c r="R56" s="96">
        <f t="shared" si="52"/>
        <v>0</v>
      </c>
      <c r="S56" s="96">
        <f t="shared" si="52"/>
        <v>4</v>
      </c>
      <c r="T56" s="96">
        <f t="shared" si="52"/>
        <v>8</v>
      </c>
      <c r="U56" s="96">
        <f t="shared" si="52"/>
        <v>10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10</v>
      </c>
      <c r="AB56" s="96">
        <f t="shared" si="51"/>
        <v>6</v>
      </c>
      <c r="AC56" s="96">
        <f t="shared" si="51"/>
        <v>7</v>
      </c>
      <c r="AD56" s="96">
        <f t="shared" si="51"/>
        <v>6</v>
      </c>
      <c r="AE56" s="96">
        <f t="shared" si="51"/>
        <v>0</v>
      </c>
      <c r="AF56" s="96">
        <f t="shared" si="51"/>
        <v>0</v>
      </c>
      <c r="AG56" s="96">
        <f t="shared" si="51"/>
        <v>2</v>
      </c>
      <c r="AH56" s="96">
        <f t="shared" si="51"/>
        <v>8</v>
      </c>
      <c r="AI56" s="96">
        <f t="shared" si="51"/>
        <v>7</v>
      </c>
      <c r="AJ56" s="96">
        <f t="shared" si="51"/>
        <v>5</v>
      </c>
      <c r="AK56" s="96">
        <f t="shared" si="51"/>
        <v>4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8</v>
      </c>
      <c r="AQ56" s="100" t="s">
        <v>42</v>
      </c>
      <c r="AR56" s="101">
        <f>SUM(AP4:AP40)</f>
        <v>-16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10</v>
      </c>
      <c r="M57" s="24">
        <f t="shared" ref="M57:U57" si="54">COUNTIF(M4:M46,"X")+COUNTIF(M4:M46,"Y")+COUNTIF(M4:M46,"Z")</f>
        <v>6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9</v>
      </c>
      <c r="U57" s="24">
        <f t="shared" si="54"/>
        <v>7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23</v>
      </c>
      <c r="Z57" s="24">
        <f t="shared" si="53"/>
        <v>8</v>
      </c>
      <c r="AA57" s="24">
        <f t="shared" si="53"/>
        <v>4</v>
      </c>
      <c r="AB57" s="24">
        <f t="shared" si="53"/>
        <v>10</v>
      </c>
      <c r="AC57" s="24">
        <f t="shared" si="53"/>
        <v>9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11</v>
      </c>
      <c r="AJ57" s="24">
        <f t="shared" si="53"/>
        <v>12</v>
      </c>
      <c r="AK57" s="24">
        <f t="shared" si="53"/>
        <v>10</v>
      </c>
      <c r="AL57" s="24">
        <f t="shared" si="53"/>
        <v>22</v>
      </c>
      <c r="AM57" s="24">
        <f t="shared" si="53"/>
        <v>23</v>
      </c>
      <c r="AN57" s="24">
        <f t="shared" si="53"/>
        <v>14</v>
      </c>
      <c r="AO57" s="102">
        <f t="shared" si="53"/>
        <v>9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1</v>
      </c>
      <c r="N58" s="39">
        <f t="shared" si="56"/>
        <v>4</v>
      </c>
      <c r="O58" s="39">
        <f t="shared" si="56"/>
        <v>4</v>
      </c>
      <c r="P58" s="39">
        <f t="shared" si="56"/>
        <v>3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1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1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3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1</v>
      </c>
      <c r="AK58" s="39">
        <f t="shared" si="55"/>
        <v>3</v>
      </c>
      <c r="AL58" s="39">
        <f t="shared" si="55"/>
        <v>2</v>
      </c>
      <c r="AM58" s="39">
        <f t="shared" si="55"/>
        <v>1</v>
      </c>
      <c r="AN58" s="39">
        <f t="shared" si="55"/>
        <v>0</v>
      </c>
      <c r="AO58" s="83">
        <f t="shared" si="55"/>
        <v>1</v>
      </c>
      <c r="AQ58" s="107" t="s">
        <v>46</v>
      </c>
      <c r="AR58" s="105">
        <f>AR49-AR50-AR52-AR53-AR54-AR55+AR56+AR57-AR51</f>
        <v>-1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1</v>
      </c>
      <c r="N61" s="113">
        <f t="shared" si="60"/>
        <v>0</v>
      </c>
      <c r="O61" s="113">
        <f t="shared" si="60"/>
        <v>1</v>
      </c>
      <c r="P61" s="113">
        <f t="shared" si="60"/>
        <v>0</v>
      </c>
      <c r="Q61" s="113">
        <f>43-Q56-Q57-Q58-19</f>
        <v>0</v>
      </c>
      <c r="R61" s="113">
        <f>43-R56-R57-R58-19</f>
        <v>0</v>
      </c>
      <c r="S61" s="113">
        <f>43-S56-S57-S58-25</f>
        <v>1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1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1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4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2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2</v>
      </c>
      <c r="T64" s="230" cm="1">
        <f t="array" ref="T64">SUMPRODUCT(COUNTIF(T4:T18,{"1";"M1"}))</f>
        <v>3</v>
      </c>
      <c r="U64" s="230" cm="1">
        <f t="array" ref="U64">SUMPRODUCT(COUNTIF(U4:U18,{"1";"M1"}))</f>
        <v>3</v>
      </c>
      <c r="V64" s="230" cm="1">
        <f t="array" ref="V64">SUMPRODUCT(COUNTIF(V4:V18,{"1";"M1"}))</f>
        <v>3</v>
      </c>
      <c r="W64" s="230" cm="1">
        <f t="array" ref="W64">SUMPRODUCT(COUNTIF(W4:W18,{"1";"M1"}))</f>
        <v>2</v>
      </c>
      <c r="X64" s="231" cm="1">
        <f t="array" ref="X64">SUMPRODUCT(COUNTIF(X4:X18,{"1";"M1"}))</f>
        <v>2</v>
      </c>
      <c r="Y64" s="231" cm="1">
        <f t="array" ref="Y64">SUMPRODUCT(COUNTIF(Y4:Y18,{"1";"M1"}))</f>
        <v>0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3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2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24" priority="1">
      <formula>OR(K4=3, K4="晚",  K4="大夜")</formula>
    </cfRule>
    <cfRule type="expression" dxfId="23" priority="2">
      <formula>OR(K4="M2", K4=2, K4="中", K4="T中", K4="小夜")</formula>
    </cfRule>
    <cfRule type="expression" dxfId="22" priority="3">
      <formula>OR(K4="M1", K4=1, K4="早", K4="T早", K4="日")</formula>
    </cfRule>
    <cfRule type="expression" dxfId="2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0" priority="202" operator="equal">
      <formula>5</formula>
    </cfRule>
    <cfRule type="cellIs" dxfId="19" priority="203" operator="equal">
      <formula>4</formula>
    </cfRule>
    <cfRule type="cellIs" dxfId="18" priority="204" operator="equal">
      <formula>3</formula>
    </cfRule>
    <cfRule type="cellIs" dxfId="17" priority="205" operator="equal">
      <formula>2</formula>
    </cfRule>
    <cfRule type="cellIs" dxfId="16" priority="206" operator="equal">
      <formula>1</formula>
    </cfRule>
  </conditionalFormatting>
  <conditionalFormatting sqref="K53:AO55">
    <cfRule type="cellIs" dxfId="15" priority="207" operator="equal">
      <formula>"T中"</formula>
    </cfRule>
  </conditionalFormatting>
  <conditionalFormatting sqref="AP25">
    <cfRule type="cellIs" dxfId="14" priority="210" operator="equal">
      <formula>"大夜"</formula>
    </cfRule>
    <cfRule type="cellIs" dxfId="13" priority="211" operator="equal">
      <formula>"晚"</formula>
    </cfRule>
    <cfRule type="cellIs" dxfId="12" priority="212" operator="equal">
      <formula>3</formula>
    </cfRule>
    <cfRule type="cellIs" dxfId="11" priority="213" operator="equal">
      <formula>"小夜"</formula>
    </cfRule>
    <cfRule type="cellIs" dxfId="10" priority="214" operator="equal">
      <formula>"T中"</formula>
    </cfRule>
    <cfRule type="cellIs" dxfId="9" priority="215" operator="equal">
      <formula>"中"</formula>
    </cfRule>
    <cfRule type="cellIs" dxfId="8" priority="216" operator="equal">
      <formula>"M2"</formula>
    </cfRule>
    <cfRule type="cellIs" dxfId="7" priority="217" operator="equal">
      <formula>2</formula>
    </cfRule>
    <cfRule type="cellIs" dxfId="6" priority="218" operator="equal">
      <formula>"日"</formula>
    </cfRule>
    <cfRule type="cellIs" dxfId="5" priority="219" operator="equal">
      <formula>"T早"</formula>
    </cfRule>
    <cfRule type="cellIs" dxfId="4" priority="220" operator="equal">
      <formula>"早"</formula>
    </cfRule>
    <cfRule type="cellIs" dxfId="3" priority="221" operator="equal">
      <formula>"M1"</formula>
    </cfRule>
    <cfRule type="cellIs" dxfId="2" priority="222" operator="equal">
      <formula>1</formula>
    </cfRule>
  </conditionalFormatting>
  <conditionalFormatting sqref="AS4:AS46">
    <cfRule type="cellIs" dxfId="1" priority="208" operator="equal">
      <formula>-2</formula>
    </cfRule>
    <cfRule type="cellIs" dxfId="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2026-02-24T00:26:35Z</dcterms:modified>
</cp:coreProperties>
</file>