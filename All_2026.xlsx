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04C77CC-89EB-4E8F-8AC7-343E257C8C05}" xr6:coauthVersionLast="47" xr6:coauthVersionMax="47" xr10:uidLastSave="{00000000-0000-0000-0000-000000000000}"/>
  <bookViews>
    <workbookView xWindow="-108" yWindow="-108" windowWidth="23256" windowHeight="12576" activeTab="3" xr2:uid="{F48F8574-E72E-47A9-9FAE-C071219C9035}"/>
  </bookViews>
  <sheets>
    <sheet name="01" sheetId="15" r:id="rId1"/>
    <sheet name="02" sheetId="18" r:id="rId2"/>
    <sheet name="03" sheetId="19" r:id="rId3"/>
    <sheet name="04" sheetId="20" r:id="rId4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407A7A5D_9C54_4104_81F8_F342BBAE3576_.wvu.FilterData" localSheetId="3" hidden="1">'04'!$AS$3:$AS$59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CA612F_48CE_469B_AF3F_F46F5B2095CF_.wvu.FilterData" localSheetId="3" hidden="1">'04'!$AS$3:$AS$59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6C53E10_DE92_4FE3_B8E1_4C076C47BC63_.wvu.FilterData" localSheetId="3" hidden="1">'04'!$AS$3:$AS$59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F213CDA_7CB9_430D_87C7_BE541A98BAFE_.wvu.FilterData" localSheetId="3" hidden="1">'04'!$AS$3:$AS$59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C16E94_424E_46E0_BC80_6A701EA07776_.wvu.FilterData" localSheetId="3" hidden="1">'04'!$AS$3:$AS$59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9683532_5F5E_4631_88A6_6570A7C806DB_.wvu.FilterData" localSheetId="3" hidden="1">'04'!$AS$3:$AS$59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上班代號" localSheetId="3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" i="20" l="1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I8" i="20" l="1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0" l="1"/>
  <c r="AN4" i="18"/>
  <c r="AP4" i="18" s="1"/>
  <c r="AN8" i="18"/>
  <c r="AP8" i="18" s="1"/>
  <c r="AN10" i="18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charset val="1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4" authorId="2" shapeId="0" xr:uid="{A9B9D66E-DB53-4303-BFBE-BD2238CD262A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8" authorId="2" shapeId="0" xr:uid="{0557E999-FD34-45A2-8D9D-C5BD9A5257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K29" authorId="2" shapeId="0" xr:uid="{BA09E660-D630-45BF-8CC6-D334F5B97FA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<sst xmlns="http://schemas.openxmlformats.org/spreadsheetml/2006/main" count="4644" uniqueCount="157">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</sst>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342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24" fillId="0" borderId="21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109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20" t="str">
        <f>"TPKC剩餘人力："&amp;AR59&amp;" / NK剩餘人力："&amp;AS59&amp;" /  N班人力："&amp;AR53</f>
        <v>TPKC剩餘人力：0 / NK剩餘人力：0 /  N班人力：92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323"/>
      <c r="AM1" s="324"/>
      <c r="AN1" s="324"/>
      <c r="AO1" s="5"/>
      <c r="AR1" s="6"/>
      <c r="AS1" s="7"/>
    </row>
    <row r="2" spans="1:226" ht="23.25" customHeight="1" thickBot="1">
      <c r="A2" s="329">
        <v>1</v>
      </c>
      <c r="B2" s="331">
        <v>2</v>
      </c>
      <c r="C2" s="331">
        <v>3</v>
      </c>
      <c r="D2" s="333" t="s">
        <v>60</v>
      </c>
      <c r="E2" s="335" t="s">
        <v>61</v>
      </c>
      <c r="F2" s="8" t="s">
        <v>62</v>
      </c>
      <c r="G2" s="8" t="s">
        <v>63</v>
      </c>
      <c r="H2" s="8" t="s">
        <v>64</v>
      </c>
      <c r="I2" s="325" t="s">
        <v>65</v>
      </c>
      <c r="J2" s="327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18" t="s">
        <v>48</v>
      </c>
      <c r="AW2" s="319"/>
      <c r="AX2" s="319"/>
    </row>
    <row r="3" spans="1:226" ht="24.6" customHeight="1" thickBot="1">
      <c r="A3" s="330"/>
      <c r="B3" s="332"/>
      <c r="C3" s="332"/>
      <c r="D3" s="334"/>
      <c r="E3" s="336"/>
      <c r="F3" s="15" t="s">
        <v>74</v>
      </c>
      <c r="G3" s="15" t="s">
        <v>75</v>
      </c>
      <c r="H3" s="16" t="s">
        <v>76</v>
      </c>
      <c r="I3" s="326"/>
      <c r="J3" s="337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108" priority="1" operator="equal">
      <formula>"大夜"</formula>
    </cfRule>
    <cfRule type="cellIs" dxfId="107" priority="2" operator="equal">
      <formula>"晚"</formula>
    </cfRule>
    <cfRule type="cellIs" dxfId="106" priority="3" operator="equal">
      <formula>3</formula>
    </cfRule>
    <cfRule type="cellIs" dxfId="105" priority="4" operator="equal">
      <formula>"小夜"</formula>
    </cfRule>
    <cfRule type="cellIs" dxfId="104" priority="5" operator="equal">
      <formula>"T中"</formula>
    </cfRule>
    <cfRule type="cellIs" dxfId="103" priority="6" operator="equal">
      <formula>"中"</formula>
    </cfRule>
    <cfRule type="cellIs" dxfId="102" priority="7" operator="equal">
      <formula>2</formula>
    </cfRule>
    <cfRule type="cellIs" dxfId="101" priority="8" operator="equal">
      <formula>"日"</formula>
    </cfRule>
    <cfRule type="cellIs" dxfId="100" priority="9" operator="equal">
      <formula>"T早"</formula>
    </cfRule>
    <cfRule type="cellIs" dxfId="99" priority="10" operator="equal">
      <formula>"早"</formula>
    </cfRule>
    <cfRule type="cellIs" dxfId="98" priority="11" operator="equal">
      <formula>"M1"</formula>
    </cfRule>
    <cfRule type="cellIs" dxfId="97" priority="12" operator="equal">
      <formula>1</formula>
    </cfRule>
    <cfRule type="expression" dxfId="96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95" priority="4256" operator="equal">
      <formula>5</formula>
    </cfRule>
    <cfRule type="cellIs" dxfId="94" priority="4257" operator="equal">
      <formula>4</formula>
    </cfRule>
    <cfRule type="cellIs" dxfId="93" priority="4258" operator="equal">
      <formula>3</formula>
    </cfRule>
    <cfRule type="cellIs" dxfId="92" priority="4259" operator="equal">
      <formula>2</formula>
    </cfRule>
    <cfRule type="cellIs" dxfId="91" priority="4260" operator="equal">
      <formula>1</formula>
    </cfRule>
  </conditionalFormatting>
  <conditionalFormatting sqref="K53:AO55">
    <cfRule type="cellIs" dxfId="90" priority="4261" operator="equal">
      <formula>"T中"</formula>
    </cfRule>
  </conditionalFormatting>
  <conditionalFormatting sqref="AP25">
    <cfRule type="cellIs" dxfId="89" priority="4564" operator="equal">
      <formula>"大夜"</formula>
    </cfRule>
    <cfRule type="cellIs" dxfId="88" priority="4565" operator="equal">
      <formula>"晚"</formula>
    </cfRule>
    <cfRule type="cellIs" dxfId="87" priority="4566" operator="equal">
      <formula>3</formula>
    </cfRule>
    <cfRule type="cellIs" dxfId="86" priority="4567" operator="equal">
      <formula>"小夜"</formula>
    </cfRule>
    <cfRule type="cellIs" dxfId="85" priority="4568" operator="equal">
      <formula>"T中"</formula>
    </cfRule>
    <cfRule type="cellIs" dxfId="84" priority="4569" operator="equal">
      <formula>"中"</formula>
    </cfRule>
    <cfRule type="cellIs" dxfId="83" priority="4570" operator="equal">
      <formula>"M2"</formula>
    </cfRule>
    <cfRule type="cellIs" dxfId="82" priority="4571" operator="equal">
      <formula>2</formula>
    </cfRule>
    <cfRule type="cellIs" dxfId="81" priority="4572" operator="equal">
      <formula>"日"</formula>
    </cfRule>
    <cfRule type="cellIs" dxfId="80" priority="4573" operator="equal">
      <formula>"T早"</formula>
    </cfRule>
    <cfRule type="cellIs" dxfId="79" priority="4574" operator="equal">
      <formula>"早"</formula>
    </cfRule>
    <cfRule type="cellIs" dxfId="78" priority="4575" operator="equal">
      <formula>"M1"</formula>
    </cfRule>
    <cfRule type="cellIs" dxfId="77" priority="4576" operator="equal">
      <formula>1</formula>
    </cfRule>
  </conditionalFormatting>
  <conditionalFormatting sqref="AS4:AS46">
    <cfRule type="cellIs" dxfId="76" priority="4562" operator="equal">
      <formula>-2</formula>
    </cfRule>
    <cfRule type="cellIs" dxfId="75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20" t="str">
        <f>"TPKC剩餘人力："&amp;AO59&amp;" / NK剩餘人力："&amp;AP59&amp;" /  N班人力："&amp;AO54</f>
        <v>TPKC剩餘人力：0 / NK剩餘人力：0 /  N班人力：32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183"/>
      <c r="AO1" s="6"/>
      <c r="AP1" s="7"/>
    </row>
    <row r="2" spans="1:223" ht="23.25" customHeight="1" thickBot="1">
      <c r="A2" s="329">
        <v>1</v>
      </c>
      <c r="B2" s="331">
        <v>2</v>
      </c>
      <c r="C2" s="331">
        <v>3</v>
      </c>
      <c r="D2" s="333" t="s">
        <v>104</v>
      </c>
      <c r="E2" s="335" t="s">
        <v>105</v>
      </c>
      <c r="F2" s="8" t="s">
        <v>106</v>
      </c>
      <c r="G2" s="8" t="s">
        <v>107</v>
      </c>
      <c r="H2" s="8" t="s">
        <v>108</v>
      </c>
      <c r="I2" s="325" t="s">
        <v>109</v>
      </c>
      <c r="J2" s="338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18" t="s">
        <v>48</v>
      </c>
      <c r="AT2" s="319"/>
      <c r="AU2" s="319"/>
    </row>
    <row r="3" spans="1:223" ht="24.6" customHeight="1" thickBot="1">
      <c r="A3" s="330"/>
      <c r="B3" s="332"/>
      <c r="C3" s="332"/>
      <c r="D3" s="334"/>
      <c r="E3" s="336"/>
      <c r="F3" s="15" t="s">
        <v>118</v>
      </c>
      <c r="G3" s="15" t="s">
        <v>119</v>
      </c>
      <c r="H3" s="16" t="s">
        <v>120</v>
      </c>
      <c r="I3" s="326"/>
      <c r="J3" s="339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7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73" priority="1">
      <formula>OR(K4=3, K4="晚",  K4="大夜")</formula>
    </cfRule>
    <cfRule type="expression" dxfId="72" priority="2">
      <formula>OR(K4="M2", K4=2, K4="中", K4="T中", K4="小夜")</formula>
    </cfRule>
    <cfRule type="expression" dxfId="71" priority="4">
      <formula>OR(K4="M1", K4=1, K4="早", K4="T早", K4="日")</formula>
    </cfRule>
  </conditionalFormatting>
  <conditionalFormatting sqref="K47:AL55">
    <cfRule type="cellIs" dxfId="70" priority="214" operator="equal">
      <formula>5</formula>
    </cfRule>
    <cfRule type="cellIs" dxfId="69" priority="215" operator="equal">
      <formula>4</formula>
    </cfRule>
    <cfRule type="cellIs" dxfId="68" priority="216" operator="equal">
      <formula>3</formula>
    </cfRule>
    <cfRule type="cellIs" dxfId="67" priority="217" operator="equal">
      <formula>2</formula>
    </cfRule>
    <cfRule type="cellIs" dxfId="66" priority="218" operator="equal">
      <formula>1</formula>
    </cfRule>
  </conditionalFormatting>
  <conditionalFormatting sqref="K53:AL55">
    <cfRule type="cellIs" dxfId="65" priority="219" operator="equal">
      <formula>"T中"</formula>
    </cfRule>
  </conditionalFormatting>
  <conditionalFormatting sqref="AM25">
    <cfRule type="cellIs" dxfId="64" priority="228" operator="equal">
      <formula>"大夜"</formula>
    </cfRule>
    <cfRule type="cellIs" dxfId="63" priority="229" operator="equal">
      <formula>"晚"</formula>
    </cfRule>
    <cfRule type="cellIs" dxfId="62" priority="230" operator="equal">
      <formula>3</formula>
    </cfRule>
    <cfRule type="cellIs" dxfId="61" priority="231" operator="equal">
      <formula>"小夜"</formula>
    </cfRule>
    <cfRule type="cellIs" dxfId="60" priority="232" operator="equal">
      <formula>"T中"</formula>
    </cfRule>
    <cfRule type="cellIs" dxfId="59" priority="233" operator="equal">
      <formula>"中"</formula>
    </cfRule>
    <cfRule type="cellIs" dxfId="58" priority="234" operator="equal">
      <formula>"M2"</formula>
    </cfRule>
    <cfRule type="cellIs" dxfId="57" priority="235" operator="equal">
      <formula>2</formula>
    </cfRule>
    <cfRule type="cellIs" dxfId="56" priority="236" operator="equal">
      <formula>"日"</formula>
    </cfRule>
    <cfRule type="cellIs" dxfId="55" priority="237" operator="equal">
      <formula>"T早"</formula>
    </cfRule>
    <cfRule type="cellIs" dxfId="54" priority="238" operator="equal">
      <formula>"早"</formula>
    </cfRule>
    <cfRule type="cellIs" dxfId="53" priority="239" operator="equal">
      <formula>"M1"</formula>
    </cfRule>
    <cfRule type="cellIs" dxfId="52" priority="240" operator="equal">
      <formula>1</formula>
    </cfRule>
  </conditionalFormatting>
  <conditionalFormatting sqref="AP4:AP46">
    <cfRule type="cellIs" dxfId="51" priority="226" operator="equal">
      <formula>-2</formula>
    </cfRule>
    <cfRule type="cellIs" dxfId="50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J19" sqref="A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20" t="str">
        <f>"TPKC剩餘人力："&amp;AR58&amp;" / NK剩餘人力："&amp;AS58&amp;" /  N班人力："&amp;AR53</f>
        <v>TPKC剩餘人力：2 / NK剩餘人力：0 /  N班人力：114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323"/>
      <c r="AM1" s="324"/>
      <c r="AN1" s="324"/>
      <c r="AO1" s="5"/>
      <c r="AR1" s="6"/>
      <c r="AS1" s="7"/>
    </row>
    <row r="2" spans="1:226" ht="23.25" customHeight="1" thickBot="1">
      <c r="A2" s="329">
        <v>1</v>
      </c>
      <c r="B2" s="331">
        <v>2</v>
      </c>
      <c r="C2" s="331">
        <v>3</v>
      </c>
      <c r="D2" s="333" t="s">
        <v>104</v>
      </c>
      <c r="E2" s="335" t="s">
        <v>105</v>
      </c>
      <c r="F2" s="8" t="s">
        <v>106</v>
      </c>
      <c r="G2" s="8" t="s">
        <v>107</v>
      </c>
      <c r="H2" s="8" t="s">
        <v>108</v>
      </c>
      <c r="I2" s="325" t="s">
        <v>109</v>
      </c>
      <c r="J2" s="340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18" t="s">
        <v>48</v>
      </c>
      <c r="AW2" s="319"/>
      <c r="AX2" s="319"/>
    </row>
    <row r="3" spans="1:226" ht="24.6" customHeight="1" thickBot="1">
      <c r="A3" s="330"/>
      <c r="B3" s="332"/>
      <c r="C3" s="332"/>
      <c r="D3" s="334"/>
      <c r="E3" s="336"/>
      <c r="F3" s="15" t="s">
        <v>118</v>
      </c>
      <c r="G3" s="15" t="s">
        <v>119</v>
      </c>
      <c r="H3" s="16" t="s">
        <v>120</v>
      </c>
      <c r="I3" s="326"/>
      <c r="J3" s="341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49" priority="1">
      <formula>OR(K4=3, K4="晚",  K4="大夜")</formula>
    </cfRule>
    <cfRule type="expression" dxfId="48" priority="2">
      <formula>OR(K4="M2", K4=2, K4="中", K4="T中", K4="小夜")</formula>
    </cfRule>
    <cfRule type="expression" dxfId="47" priority="3">
      <formula>OR(K4="M1", K4=1, K4="早", K4="T早", K4="日")</formula>
    </cfRule>
    <cfRule type="expression" dxfId="46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45" priority="202" operator="equal">
      <formula>5</formula>
    </cfRule>
    <cfRule type="cellIs" dxfId="44" priority="203" operator="equal">
      <formula>4</formula>
    </cfRule>
    <cfRule type="cellIs" dxfId="43" priority="204" operator="equal">
      <formula>3</formula>
    </cfRule>
    <cfRule type="cellIs" dxfId="42" priority="205" operator="equal">
      <formula>2</formula>
    </cfRule>
    <cfRule type="cellIs" dxfId="41" priority="206" operator="equal">
      <formula>1</formula>
    </cfRule>
  </conditionalFormatting>
  <conditionalFormatting sqref="K53:AO55">
    <cfRule type="cellIs" dxfId="40" priority="207" operator="equal">
      <formula>"T中"</formula>
    </cfRule>
  </conditionalFormatting>
  <conditionalFormatting sqref="AP25">
    <cfRule type="cellIs" dxfId="39" priority="210" operator="equal">
      <formula>"大夜"</formula>
    </cfRule>
    <cfRule type="cellIs" dxfId="38" priority="211" operator="equal">
      <formula>"晚"</formula>
    </cfRule>
    <cfRule type="cellIs" dxfId="37" priority="212" operator="equal">
      <formula>3</formula>
    </cfRule>
    <cfRule type="cellIs" dxfId="36" priority="213" operator="equal">
      <formula>"小夜"</formula>
    </cfRule>
    <cfRule type="cellIs" dxfId="35" priority="214" operator="equal">
      <formula>"T中"</formula>
    </cfRule>
    <cfRule type="cellIs" dxfId="34" priority="215" operator="equal">
      <formula>"中"</formula>
    </cfRule>
    <cfRule type="cellIs" dxfId="33" priority="216" operator="equal">
      <formula>"M2"</formula>
    </cfRule>
    <cfRule type="cellIs" dxfId="32" priority="217" operator="equal">
      <formula>2</formula>
    </cfRule>
    <cfRule type="cellIs" dxfId="31" priority="218" operator="equal">
      <formula>"日"</formula>
    </cfRule>
    <cfRule type="cellIs" dxfId="30" priority="219" operator="equal">
      <formula>"T早"</formula>
    </cfRule>
    <cfRule type="cellIs" dxfId="29" priority="220" operator="equal">
      <formula>"早"</formula>
    </cfRule>
    <cfRule type="cellIs" dxfId="28" priority="221" operator="equal">
      <formula>"M1"</formula>
    </cfRule>
    <cfRule type="cellIs" dxfId="27" priority="222" operator="equal">
      <formula>1</formula>
    </cfRule>
  </conditionalFormatting>
  <conditionalFormatting sqref="AS4:AS46">
    <cfRule type="cellIs" dxfId="26" priority="208" operator="equal">
      <formula>-2</formula>
    </cfRule>
    <cfRule type="cellIs" dxfId="25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2" sqref="T1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20" t="str">
        <f>"TPKC剩餘人力："&amp;AQ58&amp;" / NK剩餘人力："&amp;AR58&amp;" /  N班人力："&amp;AQ53</f>
        <v>TPKC剩餘人力：0 / NK剩餘人力：0 /  N班人力：80</v>
      </c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2"/>
      <c r="AJ1" s="321"/>
      <c r="AK1" s="321"/>
      <c r="AL1" s="323"/>
      <c r="AM1" s="324"/>
      <c r="AN1" s="324"/>
      <c r="AQ1" s="6"/>
      <c r="AR1" s="7"/>
    </row>
    <row r="2" spans="1:224" ht="23.25" customHeight="1" thickBot="1">
      <c r="A2" s="329">
        <v>1</v>
      </c>
      <c r="B2" s="331">
        <v>2</v>
      </c>
      <c r="C2" s="331">
        <v>3</v>
      </c>
      <c r="D2" s="333" t="s">
        <v>104</v>
      </c>
      <c r="E2" s="335" t="s">
        <v>105</v>
      </c>
      <c r="F2" s="8" t="s">
        <v>106</v>
      </c>
      <c r="G2" s="8" t="s">
        <v>107</v>
      </c>
      <c r="H2" s="8" t="s">
        <v>108</v>
      </c>
      <c r="I2" s="325" t="s">
        <v>109</v>
      </c>
      <c r="J2" s="327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18" t="s">
        <v>48</v>
      </c>
      <c r="AV2" s="319"/>
      <c r="AW2" s="319"/>
    </row>
    <row r="3" spans="1:224" ht="24.6" customHeight="1" thickBot="1">
      <c r="A3" s="330"/>
      <c r="B3" s="332"/>
      <c r="C3" s="332"/>
      <c r="D3" s="334"/>
      <c r="E3" s="336"/>
      <c r="F3" s="15" t="s">
        <v>118</v>
      </c>
      <c r="G3" s="15" t="s">
        <v>119</v>
      </c>
      <c r="H3" s="16" t="s">
        <v>120</v>
      </c>
      <c r="I3" s="326"/>
      <c r="J3" s="328"/>
      <c r="K3" s="287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2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15</v>
      </c>
      <c r="D4" s="24">
        <f t="shared" ref="D4:D29" si="3">COUNTIF(K4:AN4,"N")+COUNTIF(K4:AN4,"N8")</f>
        <v>0</v>
      </c>
      <c r="E4" s="26">
        <f t="shared" ref="E4:E29" si="4">COUNTIF(K4:AN4,"S")</f>
        <v>3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6" t="s">
        <v>1</v>
      </c>
      <c r="L4" s="317" t="s">
        <v>1</v>
      </c>
      <c r="M4" s="317" t="s">
        <v>154</v>
      </c>
      <c r="N4" s="165" t="s">
        <v>52</v>
      </c>
      <c r="O4" s="165" t="s">
        <v>53</v>
      </c>
      <c r="P4" s="317" t="s">
        <v>53</v>
      </c>
      <c r="Q4" s="317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64">
        <v>1</v>
      </c>
      <c r="AN4" s="164">
        <v>1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1</v>
      </c>
      <c r="C5" s="40">
        <f t="shared" si="2"/>
        <v>11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6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32" t="s">
        <v>0</v>
      </c>
      <c r="AI5" s="44" t="s">
        <v>52</v>
      </c>
      <c r="AJ5" s="121">
        <v>3</v>
      </c>
      <c r="AK5" s="120">
        <v>3</v>
      </c>
      <c r="AL5" s="121">
        <v>3</v>
      </c>
      <c r="AM5" s="121">
        <v>3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12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7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53</v>
      </c>
      <c r="U6" s="32" t="s">
        <v>1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48" t="s">
        <v>3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7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121" t="s">
        <v>36</v>
      </c>
      <c r="Z7" s="30" t="s">
        <v>52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20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7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0" t="s">
        <v>3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0" t="s">
        <v>3</v>
      </c>
      <c r="AN8" s="48" t="s">
        <v>3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0</v>
      </c>
      <c r="E9" s="41">
        <f t="shared" si="4"/>
        <v>2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7">
        <v>1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2" t="s">
        <v>1</v>
      </c>
      <c r="AL9" s="30" t="s">
        <v>52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7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16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7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0" t="s">
        <v>36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121">
        <v>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 t="s">
        <v>52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6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30" t="s">
        <v>0</v>
      </c>
      <c r="Z12" s="30" t="s">
        <v>36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8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124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286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7">
        <v>2</v>
      </c>
      <c r="L14" s="30">
        <v>2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9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9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4" t="s">
        <v>155</v>
      </c>
      <c r="AF16" s="53" t="s">
        <v>3</v>
      </c>
      <c r="AG16" s="53" t="s">
        <v>3</v>
      </c>
      <c r="AH16" s="285">
        <v>1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36</v>
      </c>
      <c r="AN16" s="48" t="s">
        <v>52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6">
        <v>2</v>
      </c>
      <c r="L17" s="121">
        <v>2</v>
      </c>
      <c r="M17" s="121">
        <v>2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10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7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8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2" t="s">
        <v>10</v>
      </c>
      <c r="K19" s="305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9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9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9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0">
        <v>2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6</v>
      </c>
      <c r="C21" s="40">
        <f t="shared" si="2"/>
        <v>7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7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 t="s">
        <v>0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38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1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7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1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7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6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7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53" t="s">
        <v>3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7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90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1" t="s">
        <v>53</v>
      </c>
      <c r="AN25" s="291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4</v>
      </c>
      <c r="B26" s="39">
        <f t="shared" si="1"/>
        <v>9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7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2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15</v>
      </c>
      <c r="B27" s="39">
        <f t="shared" si="1"/>
        <v>1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1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2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7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 t="s">
        <v>0</v>
      </c>
      <c r="AG28" s="30">
        <v>3</v>
      </c>
      <c r="AH28" s="30">
        <v>3</v>
      </c>
      <c r="AI28" s="30">
        <v>3</v>
      </c>
      <c r="AJ28" s="30">
        <v>3</v>
      </c>
      <c r="AK28" s="30">
        <v>3</v>
      </c>
      <c r="AL28" s="30" t="s">
        <v>52</v>
      </c>
      <c r="AM28" s="30" t="s">
        <v>0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6</v>
      </c>
      <c r="E29" s="41">
        <f t="shared" si="4"/>
        <v>10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3" t="s">
        <v>18</v>
      </c>
      <c r="K29" s="309" t="s">
        <v>3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1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7">
        <v>2</v>
      </c>
      <c r="L30" s="30">
        <v>2</v>
      </c>
      <c r="M30" s="30">
        <v>2</v>
      </c>
      <c r="N30" s="32" t="s">
        <v>52</v>
      </c>
      <c r="O30" s="32" t="s">
        <v>156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44" t="s">
        <v>53</v>
      </c>
      <c r="AJ30" s="44" t="s">
        <v>0</v>
      </c>
      <c r="AK30" s="30">
        <v>3</v>
      </c>
      <c r="AL30" s="30">
        <v>3</v>
      </c>
      <c r="AM30" s="30">
        <v>3</v>
      </c>
      <c r="AN30" s="48" t="s">
        <v>52</v>
      </c>
      <c r="AO30" s="292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7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2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6</v>
      </c>
      <c r="B32" s="39">
        <f t="shared" si="26"/>
        <v>5</v>
      </c>
      <c r="C32" s="40">
        <f t="shared" si="27"/>
        <v>9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7">
        <v>3</v>
      </c>
      <c r="L32" s="30">
        <v>3</v>
      </c>
      <c r="M32" s="30" t="s">
        <v>52</v>
      </c>
      <c r="N32" s="44" t="s">
        <v>53</v>
      </c>
      <c r="O32" s="46">
        <v>1</v>
      </c>
      <c r="P32" s="30">
        <v>1</v>
      </c>
      <c r="Q32" s="30">
        <v>2</v>
      </c>
      <c r="R32" s="30">
        <v>2</v>
      </c>
      <c r="S32" s="30" t="s">
        <v>0</v>
      </c>
      <c r="T32" s="30">
        <v>1</v>
      </c>
      <c r="U32" s="30">
        <v>1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52</v>
      </c>
      <c r="AB32" s="44" t="s">
        <v>53</v>
      </c>
      <c r="AC32" s="44" t="s">
        <v>0</v>
      </c>
      <c r="AD32" s="30">
        <v>3</v>
      </c>
      <c r="AE32" s="30">
        <v>3</v>
      </c>
      <c r="AF32" s="30">
        <v>3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2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2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3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8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5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4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7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4</v>
      </c>
      <c r="B36" s="39">
        <f t="shared" si="26"/>
        <v>15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7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38</v>
      </c>
      <c r="T36" s="30" t="s">
        <v>0</v>
      </c>
      <c r="U36" s="30" t="s">
        <v>52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1</v>
      </c>
      <c r="B37" s="39">
        <f t="shared" si="26"/>
        <v>17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7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36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9</v>
      </c>
      <c r="C38" s="40">
        <f t="shared" si="27"/>
        <v>4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7" t="s">
        <v>36</v>
      </c>
      <c r="L38" s="30" t="s">
        <v>38</v>
      </c>
      <c r="M38" s="30" t="s">
        <v>38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0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7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3" t="s">
        <v>52</v>
      </c>
      <c r="L40" s="304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4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4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7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8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4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7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7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7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7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5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8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80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59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6">
        <f t="shared" ref="K56:AN56" si="48">COUNTIF(K4:K46,"N")+COUNTIF(K4:K46,"N8")</f>
        <v>7</v>
      </c>
      <c r="L56" s="297">
        <f t="shared" si="48"/>
        <v>5</v>
      </c>
      <c r="M56" s="297">
        <f>COUNTIF(M4:M46,"N")+COUNTIF(M4:M46,"N8")</f>
        <v>0</v>
      </c>
      <c r="N56" s="297">
        <f t="shared" si="48"/>
        <v>0</v>
      </c>
      <c r="O56" s="297">
        <f t="shared" si="48"/>
        <v>0</v>
      </c>
      <c r="P56" s="297">
        <f t="shared" si="48"/>
        <v>0</v>
      </c>
      <c r="Q56" s="297">
        <f t="shared" si="48"/>
        <v>9</v>
      </c>
      <c r="R56" s="297">
        <f t="shared" si="48"/>
        <v>7</v>
      </c>
      <c r="S56" s="297">
        <f t="shared" si="48"/>
        <v>10</v>
      </c>
      <c r="T56" s="297">
        <f t="shared" si="48"/>
        <v>5</v>
      </c>
      <c r="U56" s="297">
        <f t="shared" si="48"/>
        <v>0</v>
      </c>
      <c r="V56" s="297">
        <f t="shared" si="48"/>
        <v>0</v>
      </c>
      <c r="W56" s="297">
        <f t="shared" si="48"/>
        <v>3</v>
      </c>
      <c r="X56" s="297">
        <f>COUNTIF(X4:X46,"N")+COUNTIF(X4:X46,"N8")</f>
        <v>4</v>
      </c>
      <c r="Y56" s="297">
        <f>COUNTIF(Y4:Y46,"N")+COUNTIF(Y4:Y46,"N8")</f>
        <v>5</v>
      </c>
      <c r="Z56" s="297">
        <f t="shared" si="48"/>
        <v>5</v>
      </c>
      <c r="AA56" s="297">
        <f t="shared" si="48"/>
        <v>2</v>
      </c>
      <c r="AB56" s="297">
        <f t="shared" si="48"/>
        <v>0</v>
      </c>
      <c r="AC56" s="297">
        <f t="shared" si="48"/>
        <v>0</v>
      </c>
      <c r="AD56" s="297">
        <f t="shared" si="48"/>
        <v>3</v>
      </c>
      <c r="AE56" s="297">
        <f t="shared" si="48"/>
        <v>9</v>
      </c>
      <c r="AF56" s="297">
        <f t="shared" si="48"/>
        <v>5</v>
      </c>
      <c r="AG56" s="297">
        <f t="shared" si="48"/>
        <v>4</v>
      </c>
      <c r="AH56" s="297">
        <f t="shared" si="48"/>
        <v>4</v>
      </c>
      <c r="AI56" s="297">
        <f t="shared" si="48"/>
        <v>0</v>
      </c>
      <c r="AJ56" s="297">
        <f t="shared" si="48"/>
        <v>0</v>
      </c>
      <c r="AK56" s="297">
        <f t="shared" si="48"/>
        <v>2</v>
      </c>
      <c r="AL56" s="297">
        <f t="shared" si="48"/>
        <v>5</v>
      </c>
      <c r="AM56" s="297">
        <f t="shared" si="48"/>
        <v>2</v>
      </c>
      <c r="AN56" s="99">
        <f t="shared" si="48"/>
        <v>3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8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12</v>
      </c>
      <c r="U57" s="24">
        <f t="shared" si="49"/>
        <v>23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13</v>
      </c>
      <c r="AL57" s="24">
        <f t="shared" si="49"/>
        <v>9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5">
        <f t="shared" ref="K58:AN58" si="50">COUNTIF(K4:K46,"S")</f>
        <v>2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1</v>
      </c>
      <c r="S58" s="39">
        <f t="shared" si="50"/>
        <v>2</v>
      </c>
      <c r="T58" s="39">
        <f t="shared" si="50"/>
        <v>1</v>
      </c>
      <c r="U58" s="39">
        <f t="shared" si="50"/>
        <v>1</v>
      </c>
      <c r="V58" s="39">
        <f t="shared" si="50"/>
        <v>1</v>
      </c>
      <c r="W58" s="39">
        <f t="shared" si="50"/>
        <v>3</v>
      </c>
      <c r="X58" s="39">
        <f>COUNTIF(X4:X46,"S")</f>
        <v>2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3</v>
      </c>
      <c r="AL58" s="39">
        <f t="shared" si="50"/>
        <v>4</v>
      </c>
      <c r="AM58" s="39">
        <f t="shared" si="50"/>
        <v>1</v>
      </c>
      <c r="AN58" s="83">
        <f t="shared" si="50"/>
        <v>2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5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9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300" cm="1">
        <f t="array" ref="K64">SUMPRODUCT(COUNTIF(K4:K18,{"1";"M1"}))</f>
        <v>3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1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46">
    <cfRule type="expression" dxfId="24" priority="49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3" priority="50">
      <formula>OR(K4="晚", K4=3, K4="大夜")</formula>
    </cfRule>
    <cfRule type="expression" dxfId="22" priority="51">
      <formula>OR(K4="T中", K4="中", K4=2, K4="小夜")</formula>
    </cfRule>
    <cfRule type="expression" dxfId="21" priority="52">
      <formula>OR(K4="T早", K4="早", K4="M1", K4=1, K4="日")</formula>
    </cfRule>
  </conditionalFormatting>
  <conditionalFormatting sqref="K47:AN55">
    <cfRule type="cellIs" dxfId="20" priority="57" operator="equal">
      <formula>5</formula>
    </cfRule>
    <cfRule type="cellIs" dxfId="19" priority="58" operator="equal">
      <formula>4</formula>
    </cfRule>
    <cfRule type="cellIs" dxfId="18" priority="59" operator="equal">
      <formula>3</formula>
    </cfRule>
    <cfRule type="cellIs" dxfId="17" priority="60" operator="equal">
      <formula>2</formula>
    </cfRule>
    <cfRule type="cellIs" dxfId="16" priority="61" operator="equal">
      <formula>1</formula>
    </cfRule>
  </conditionalFormatting>
  <conditionalFormatting sqref="K53:AN55">
    <cfRule type="cellIs" dxfId="15" priority="62" operator="equal">
      <formula>"T中"</formula>
    </cfRule>
  </conditionalFormatting>
  <conditionalFormatting sqref="AO25">
    <cfRule type="cellIs" dxfId="14" priority="69" operator="equal">
      <formula>"大夜"</formula>
    </cfRule>
    <cfRule type="cellIs" dxfId="13" priority="70" operator="equal">
      <formula>"晚"</formula>
    </cfRule>
    <cfRule type="cellIs" dxfId="12" priority="71" operator="equal">
      <formula>3</formula>
    </cfRule>
    <cfRule type="cellIs" dxfId="11" priority="72" operator="equal">
      <formula>"小夜"</formula>
    </cfRule>
    <cfRule type="cellIs" dxfId="10" priority="73" operator="equal">
      <formula>"T中"</formula>
    </cfRule>
    <cfRule type="cellIs" dxfId="9" priority="74" operator="equal">
      <formula>"中"</formula>
    </cfRule>
    <cfRule type="cellIs" dxfId="8" priority="75" operator="equal">
      <formula>"M2"</formula>
    </cfRule>
    <cfRule type="cellIs" dxfId="7" priority="76" operator="equal">
      <formula>2</formula>
    </cfRule>
    <cfRule type="cellIs" dxfId="6" priority="77" operator="equal">
      <formula>"日"</formula>
    </cfRule>
    <cfRule type="cellIs" dxfId="5" priority="78" operator="equal">
      <formula>"T早"</formula>
    </cfRule>
    <cfRule type="cellIs" dxfId="4" priority="79" operator="equal">
      <formula>"早"</formula>
    </cfRule>
    <cfRule type="cellIs" dxfId="3" priority="80" operator="equal">
      <formula>"M1"</formula>
    </cfRule>
    <cfRule type="cellIs" dxfId="2" priority="81" operator="equal">
      <formula>1</formula>
    </cfRule>
  </conditionalFormatting>
  <conditionalFormatting sqref="AR4:AR46">
    <cfRule type="cellIs" dxfId="1" priority="67" operator="equal">
      <formula>-2</formula>
    </cfRule>
    <cfRule type="cellIs" dxfId="0" priority="6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01</vt:lpstr>
      <vt:lpstr>02</vt:lpstr>
      <vt:lpstr>03</vt:lpstr>
      <vt:lpstr>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2026-03-30T06:05:00Z</dcterms:modified>
</cp:coreProperties>
</file>