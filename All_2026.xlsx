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00E76A03-E00A-4692-AE1D-21ED082FEC5C}" xr6:coauthVersionLast="47" xr6:coauthVersionMax="47" xr10:uidLastSave="{00000000-0000-0000-0000-000000000000}"/>
  <bookViews>
    <workbookView xWindow="-108" yWindow="-108" windowWidth="23256" windowHeight="12576" activeTab="1" xr2:uid="{F48F8574-E72E-47A9-9FAE-C071219C9035}"/>
  </bookViews>
  <sheets>
    <sheet name="01" sheetId="15" r:id="rId1"/>
    <sheet name="02" sheetId="18" r:id="rId2"/>
  </sheets>
  <definedNames>
    <definedName name="_xlnm._FilterDatabase" localSheetId="0" hidden="1">'01'!$AT$3:$AT$59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ECBD3B_21FC_48C5_8489_C1CCD7ECBB2D_.wvu.FilterData" localSheetId="0" hidden="1">'01'!$AT$3:$AT$59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B9666EB_F086_4648_8B1C_C479BD1040AE_.wvu.FilterData" localSheetId="0" hidden="1">'01'!$AT$3:$AT$59</definedName>
    <definedName name="Z_2C4AEE69_0064_4180_990E_C17202408966_.wvu.FilterData" localSheetId="0" hidden="1">'01'!$AT$3:$AT$59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38E10D4_5086_41D7_BF44_B0060D8B7BAE_.wvu.FilterData" localSheetId="0" hidden="1">'01'!$AT$3:$AT$59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9166B49_48C9_436C_B329_A0F596B5A5C8_.wvu.FilterData" localSheetId="0" hidden="1">'01'!$AT$3:$AT$59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818EF31_6912_4F6C_B308_33DF66A2E4A0_.wvu.FilterData" localSheetId="0" hidden="1">'01'!$AT$3:$AT$59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152358A_B67A_4AFB_ACF4_0118702BB886_.wvu.FilterData" localSheetId="0" hidden="1">'01'!$AT$3:$AT$59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660CB0_FF71_48C6_9029_77623A8E6E55_.wvu.FilterData" localSheetId="0" hidden="1">'01'!$AT$3:$AT$59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62253FE_EA32_4F19_9F4D_945E607A33F0_.wvu.FilterData" localSheetId="0" hidden="1">'01'!$AT$3:$AT$59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44CBB55_6916_4CD9_8CD4_86A71975A98C_.wvu.FilterData" localSheetId="0" hidden="1">'01'!$AT$3:$AT$59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F5525F_B65E_4273_AFF2_CD3DC5D51D09_.wvu.FilterData" localSheetId="0" hidden="1">'01'!$AT$3:$AT$59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39C42B0_1049_4D36_8DCD_D13BB3B31BD1_.wvu.FilterData" localSheetId="0" hidden="1">'01'!$AT$3:$AT$59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84DC6B_2A3C_4A35_996E_7EBB8C0C1CE6_.wvu.FilterData" localSheetId="0" hidden="1">'01'!$AT$3:$AT$59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B46ED7A_A0AD_4959_B9DD_42329FB35F0C_.wvu.FilterData" localSheetId="1" hidden="1">'02'!$AQ$3:$AQ$60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F06B9CF7_D66B_4FEE_AF26_4E92DBF0356E_.wvu.FilterData" localSheetId="0" hidden="1">'01'!$AT$3:$AT$59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C09A64_8673_4D91_B434_700B746F23F4_.wvu.FilterData" localSheetId="0" hidden="1">'01'!$AT$3:$AT$59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上班代號" localSheetId="1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1">{2,"2","中","小夜","T中","M2"}</definedName>
    <definedName name="中班組">{2,"2","中","小夜","T中","M2"}</definedName>
    <definedName name="早班組" localSheetId="1">{1,"1","早","日","N","N8","S","Z","T早","M1"}</definedName>
    <definedName name="早班組">{1,"1","早","日","N","N8","S","Z","T早","M1"}</definedName>
    <definedName name="晚班組" localSheetId="1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" i="18" l="1"/>
  <c r="AU7" i="18"/>
  <c r="AU9" i="18"/>
  <c r="AU10" i="18"/>
  <c r="AU11" i="18"/>
  <c r="AU12" i="18"/>
  <c r="AU13" i="18"/>
  <c r="AU15" i="18"/>
  <c r="AU16" i="18"/>
  <c r="AU17" i="18"/>
  <c r="AU18" i="18"/>
  <c r="AU4" i="18"/>
  <c r="A46" i="18"/>
  <c r="B46" i="18"/>
  <c r="C46" i="18"/>
  <c r="D46" i="18"/>
  <c r="E46" i="18"/>
  <c r="F46" i="18"/>
  <c r="G46" i="18"/>
  <c r="H46" i="18"/>
  <c r="I46" i="18" s="1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S17" i="18" a="1"/>
  <c r="AS17" i="18" s="1"/>
  <c r="AS18" i="18" a="1"/>
  <c r="AS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S7" i="18" a="1"/>
  <c r="AS7" i="18" s="1"/>
  <c r="AS9" i="18" a="1"/>
  <c r="AS9" i="18" s="1"/>
  <c r="AS10" i="18" a="1"/>
  <c r="AS10" i="18" s="1"/>
  <c r="AS11" i="18" a="1"/>
  <c r="AS11" i="18" s="1"/>
  <c r="AS12" i="18" a="1"/>
  <c r="AS12" i="18" s="1"/>
  <c r="AS13" i="18" a="1"/>
  <c r="AS13" i="18" s="1"/>
  <c r="AS15" i="18" a="1"/>
  <c r="AS15" i="18" s="1"/>
  <c r="AS4" i="18" a="1"/>
  <c r="AS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AN17" i="18" s="1"/>
  <c r="AP17" i="18" s="1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AP59" i="18" l="1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0" i="18"/>
  <c r="AP10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J6" authorId="1" shapeId="0" xr:uid="{E20B1EC3-6E58-4BD1-B7F2-FD71613C529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4" authorId="2" shapeId="0" xr:uid="{7D64ACC1-D5A7-4903-B272-51B7B44F9E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<sst xmlns="http://schemas.openxmlformats.org/spreadsheetml/2006/main" count="2300" uniqueCount="151">
  <si>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</si>
  <si>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</si>
  <si>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</si>
  <si>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</si>
  <si>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</si>
  <si>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</si>
  <si>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</si>
  <si>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</si>
  <si>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</si>
  <si>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</si>
  <si>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</si>
  <si>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</si>
  <si>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</si>
  <si>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</si>
  <si>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</si>
  <si>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</si>
  <si>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</si>
  <si>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</si>
  <si>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</si>
  <si>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</si>
  <si>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</si>
  <si>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</si>
  <si>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</si>
  <si>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</si>
  <si>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</si>
  <si>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</si>
  <si>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</si>
  <si>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</si>
  <si>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</si>
  <si>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</si>
  <si>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</si>
  <si>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</si>
  <si>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</si>
  <si>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</si>
  <si>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</si>
  <si>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</si>
  <si>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</si>
  <si>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</si>
  <si>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</si>
  <si>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</si>
  <si>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</si>
  <si>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</si>
  <si>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</si>
  <si>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</si>
  <si>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</si>
  <si>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</si>
  <si>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</si>
  <si>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</si>
  <si>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</si>
  <si>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</si>
  <si>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</si>
  <si>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</si>
  <si>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</si>
  <si>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</si>
  <si>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</si>
  <si>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</si>
  <si>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</si>
  <si>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</si>
  <si>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</si>
  <si>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</si>
  <si>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</si>
  <si>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</si>
  <si>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</si>
  <si>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</si>
  <si>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</si>
  <si>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</si>
  <si>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</si>
  <si>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</si>
  <si>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</si>
  <si>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</si>
  <si>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</si>
  <si>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</si>
  <si>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</si>
  <si>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</si>
  <si>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</si>
  <si>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</si>
  <si>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</si>
  <si>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</si>
  <si>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</si>
  <si>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</si>
  <si>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</si>
  <si>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</si>
  <si>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</si>
  <si>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</si>
  <si>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</si>
  <si>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</si>
  <si>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</si>
  <si>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</si>
  <si>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</si>
  <si>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</si>
  <si>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</si>
  <si>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</si>
  <si>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</si>
  <si>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</si>
  <si>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</si>
  <si>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</si>
  <si>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</si>
  <si>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</si>
  <si>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</si>
  <si>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</si>
  <si>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</si>
  <si>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</si>
  <si>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</si>
  <si>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</si>
  <si>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</si>
  <si>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</si>
  <si>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</si>
  <si>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</si>
  <si>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</si>
  <si>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</si>
  <si>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</si>
  <si>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</si>
  <si>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</si>
  <si>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</si>
  <si>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</si>
  <si>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</si>
  <si>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</si>
  <si>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</si>
  <si>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</si>
  <si>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</si>
  <si>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</si>
  <si>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</si>
  <si>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</si>
  <si>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</si>
  <si>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</si>
  <si>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</si>
  <si>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</si>
  <si>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</si>
  <si>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</si>
  <si>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</si>
  <si>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</si>
  <si>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</si>
  <si>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</si>
  <si>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</si>
  <si>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</si>
  <si>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</si>
  <si>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</si>
  <si>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</si>
  <si>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</si>
  <si>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</si>
  <si>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</si>
  <si>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2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</si>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</sst>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89" x14ac:knownFonts="1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sz val="9"/>
      <color indexed="81"/>
      <name val="Tahoma"/>
      <charset val="1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4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8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59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24" sqref="AF24"/>
    </sheetView>
  </sheetViews>
  <sheetFormatPr defaultColWidth="9" defaultRowHeight="24.6" customHeight="1" x14ac:dyDescent="0.3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 x14ac:dyDescent="0.35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35" t="str">
        <f>"TPKC剩餘人力："&amp;AR59&amp;" / NK剩餘人力："&amp;AS59&amp;" /  N班人力："&amp;AR53</f>
        <v>TPKC剩餘人力：0 / NK剩餘人力：0 /  N班人力：92</v>
      </c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  <c r="AH1" s="236"/>
      <c r="AI1" s="237"/>
      <c r="AJ1" s="236"/>
      <c r="AK1" s="236"/>
      <c r="AL1" s="238"/>
      <c r="AM1" s="239"/>
      <c r="AN1" s="239"/>
      <c r="AO1" s="5"/>
      <c r="AR1" s="6"/>
      <c r="AS1" s="7"/>
    </row>
    <row r="2" spans="1:226" ht="23.25" customHeight="1" thickBot="1" x14ac:dyDescent="0.35">
      <c r="A2" s="225">
        <v>1</v>
      </c>
      <c r="B2" s="227">
        <v>2</v>
      </c>
      <c r="C2" s="227">
        <v>3</v>
      </c>
      <c r="D2" s="229" t="s">
        <v>60</v>
      </c>
      <c r="E2" s="231" t="s">
        <v>61</v>
      </c>
      <c r="F2" s="8" t="s">
        <v>62</v>
      </c>
      <c r="G2" s="8" t="s">
        <v>63</v>
      </c>
      <c r="H2" s="8" t="s">
        <v>64</v>
      </c>
      <c r="I2" s="240" t="s">
        <v>65</v>
      </c>
      <c r="J2" s="242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33" t="s">
        <v>48</v>
      </c>
      <c r="AW2" s="234"/>
      <c r="AX2" s="234"/>
    </row>
    <row r="3" spans="1:226" ht="24.6" customHeight="1" thickBot="1" x14ac:dyDescent="0.35">
      <c r="A3" s="226"/>
      <c r="B3" s="228"/>
      <c r="C3" s="228"/>
      <c r="D3" s="230"/>
      <c r="E3" s="232"/>
      <c r="F3" s="15" t="s">
        <v>74</v>
      </c>
      <c r="G3" s="15" t="s">
        <v>75</v>
      </c>
      <c r="H3" s="16" t="s">
        <v>76</v>
      </c>
      <c r="I3" s="241"/>
      <c r="J3" s="243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 x14ac:dyDescent="0.3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 x14ac:dyDescent="0.3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 x14ac:dyDescent="0.3">
      <c r="A6" s="38">
        <f t="shared" si="3"/>
        <v>6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1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53" t="s">
        <v>3</v>
      </c>
      <c r="AK6" s="53" t="s">
        <v>3</v>
      </c>
      <c r="AL6" s="41">
        <v>1</v>
      </c>
      <c r="AM6" s="41">
        <v>1</v>
      </c>
      <c r="AN6" s="32" t="s">
        <v>86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 x14ac:dyDescent="0.3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 x14ac:dyDescent="0.3">
      <c r="A8" s="38">
        <f t="shared" si="3"/>
        <v>3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2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121">
        <v>1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 x14ac:dyDescent="0.3">
      <c r="A9" s="38">
        <f t="shared" si="3"/>
        <v>17</v>
      </c>
      <c r="B9" s="39">
        <f t="shared" si="4"/>
        <v>1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126">
        <v>2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 x14ac:dyDescent="0.3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 x14ac:dyDescent="0.3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 x14ac:dyDescent="0.3">
      <c r="A12" s="38">
        <f t="shared" si="3"/>
        <v>12</v>
      </c>
      <c r="B12" s="39">
        <f t="shared" si="4"/>
        <v>2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30">
        <v>1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 x14ac:dyDescent="0.3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3</v>
      </c>
      <c r="AM13" s="30" t="s">
        <v>52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 x14ac:dyDescent="0.3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 x14ac:dyDescent="0.3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 x14ac:dyDescent="0.3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x14ac:dyDescent="0.3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 x14ac:dyDescent="0.35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 x14ac:dyDescent="0.3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 x14ac:dyDescent="0.3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 x14ac:dyDescent="0.3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 x14ac:dyDescent="0.3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 x14ac:dyDescent="0.3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 x14ac:dyDescent="0.3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 x14ac:dyDescent="0.3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 x14ac:dyDescent="0.3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 x14ac:dyDescent="0.3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 x14ac:dyDescent="0.3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 x14ac:dyDescent="0.3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53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 x14ac:dyDescent="0.3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 x14ac:dyDescent="0.3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 x14ac:dyDescent="0.3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 x14ac:dyDescent="0.35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x14ac:dyDescent="0.3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 x14ac:dyDescent="0.3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 x14ac:dyDescent="0.3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 x14ac:dyDescent="0.3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 x14ac:dyDescent="0.3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 x14ac:dyDescent="0.3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 x14ac:dyDescent="0.35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 x14ac:dyDescent="0.3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 x14ac:dyDescent="0.3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 x14ac:dyDescent="0.3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 x14ac:dyDescent="0.3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 x14ac:dyDescent="0.3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 x14ac:dyDescent="0.35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x14ac:dyDescent="0.3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 x14ac:dyDescent="0.3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 x14ac:dyDescent="0.35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 x14ac:dyDescent="0.3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 x14ac:dyDescent="0.3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 x14ac:dyDescent="0.35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 x14ac:dyDescent="0.3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 x14ac:dyDescent="0.3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 x14ac:dyDescent="0.35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 x14ac:dyDescent="0.35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3</v>
      </c>
      <c r="AK56" s="96">
        <f t="shared" si="58"/>
        <v>7</v>
      </c>
      <c r="AL56" s="96">
        <f t="shared" si="58"/>
        <v>7</v>
      </c>
      <c r="AM56" s="97">
        <f t="shared" si="58"/>
        <v>4</v>
      </c>
      <c r="AN56" s="98">
        <f t="shared" si="58"/>
        <v>2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 x14ac:dyDescent="0.3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9</v>
      </c>
      <c r="AM57" s="24">
        <f t="shared" si="59"/>
        <v>9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 x14ac:dyDescent="0.3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5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3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 x14ac:dyDescent="0.35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 x14ac:dyDescent="0.35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 x14ac:dyDescent="0.3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 x14ac:dyDescent="0.3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 x14ac:dyDescent="0.35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 x14ac:dyDescent="0.35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 x14ac:dyDescent="0.3">
      <c r="A65" s="80"/>
      <c r="B65" s="80"/>
      <c r="C65" s="80"/>
      <c r="D65" s="80"/>
      <c r="I65" s="80"/>
      <c r="L65" s="116"/>
      <c r="M65" s="116"/>
      <c r="N65" s="116"/>
      <c r="Q65" s="116"/>
    </row>
  </sheetData>
  <sheetProtection algorithmName="SHA-512" hashValue="saF6Jpgx6EaKRf7oAX6vAwX7XeAWmPiOjpd0DuADRre3UnXAiID8JmjiM4ufTp7yNPHL0tRkTnRM0kW9q6S3sg==" saltValue="jZnhVkvRGgQ9sO/JchTG1A==" spinCount="100000" sheet="1" objects="1" scenarios="1"/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58" priority="1" operator="equal">
      <formula>"大夜"</formula>
    </cfRule>
    <cfRule type="cellIs" dxfId="57" priority="2" operator="equal">
      <formula>"晚"</formula>
    </cfRule>
    <cfRule type="cellIs" dxfId="56" priority="3" operator="equal">
      <formula>3</formula>
    </cfRule>
    <cfRule type="cellIs" dxfId="55" priority="4" operator="equal">
      <formula>"小夜"</formula>
    </cfRule>
    <cfRule type="cellIs" dxfId="54" priority="5" operator="equal">
      <formula>"T中"</formula>
    </cfRule>
    <cfRule type="cellIs" dxfId="53" priority="6" operator="equal">
      <formula>"中"</formula>
    </cfRule>
    <cfRule type="cellIs" dxfId="52" priority="7" operator="equal">
      <formula>2</formula>
    </cfRule>
    <cfRule type="cellIs" dxfId="51" priority="8" operator="equal">
      <formula>"日"</formula>
    </cfRule>
    <cfRule type="cellIs" dxfId="50" priority="9" operator="equal">
      <formula>"T早"</formula>
    </cfRule>
    <cfRule type="cellIs" dxfId="49" priority="10" operator="equal">
      <formula>"早"</formula>
    </cfRule>
    <cfRule type="cellIs" dxfId="48" priority="11" operator="equal">
      <formula>"M1"</formula>
    </cfRule>
    <cfRule type="cellIs" dxfId="47" priority="12" operator="equal">
      <formula>1</formula>
    </cfRule>
    <cfRule type="expression" dxfId="46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45" priority="4256" operator="equal">
      <formula>5</formula>
    </cfRule>
    <cfRule type="cellIs" dxfId="44" priority="4257" operator="equal">
      <formula>4</formula>
    </cfRule>
    <cfRule type="cellIs" dxfId="43" priority="4258" operator="equal">
      <formula>3</formula>
    </cfRule>
    <cfRule type="cellIs" dxfId="42" priority="4259" operator="equal">
      <formula>2</formula>
    </cfRule>
    <cfRule type="cellIs" dxfId="41" priority="4260" operator="equal">
      <formula>1</formula>
    </cfRule>
  </conditionalFormatting>
  <conditionalFormatting sqref="K53:AO55">
    <cfRule type="cellIs" dxfId="40" priority="4261" operator="equal">
      <formula>"T中"</formula>
    </cfRule>
  </conditionalFormatting>
  <conditionalFormatting sqref="AP25">
    <cfRule type="cellIs" dxfId="39" priority="4564" operator="equal">
      <formula>"大夜"</formula>
    </cfRule>
    <cfRule type="cellIs" dxfId="38" priority="4565" operator="equal">
      <formula>"晚"</formula>
    </cfRule>
    <cfRule type="cellIs" dxfId="37" priority="4566" operator="equal">
      <formula>3</formula>
    </cfRule>
    <cfRule type="cellIs" dxfId="36" priority="4567" operator="equal">
      <formula>"小夜"</formula>
    </cfRule>
    <cfRule type="cellIs" dxfId="35" priority="4568" operator="equal">
      <formula>"T中"</formula>
    </cfRule>
    <cfRule type="cellIs" dxfId="34" priority="4569" operator="equal">
      <formula>"中"</formula>
    </cfRule>
    <cfRule type="cellIs" dxfId="33" priority="4570" operator="equal">
      <formula>"M2"</formula>
    </cfRule>
    <cfRule type="cellIs" dxfId="32" priority="4571" operator="equal">
      <formula>2</formula>
    </cfRule>
    <cfRule type="cellIs" dxfId="31" priority="4572" operator="equal">
      <formula>"日"</formula>
    </cfRule>
    <cfRule type="cellIs" dxfId="30" priority="4573" operator="equal">
      <formula>"T早"</formula>
    </cfRule>
    <cfRule type="cellIs" dxfId="29" priority="4574" operator="equal">
      <formula>"早"</formula>
    </cfRule>
    <cfRule type="cellIs" dxfId="28" priority="4575" operator="equal">
      <formula>"M1"</formula>
    </cfRule>
    <cfRule type="cellIs" dxfId="27" priority="4576" operator="equal">
      <formula>1</formula>
    </cfRule>
  </conditionalFormatting>
  <conditionalFormatting sqref="AS4:AS46">
    <cfRule type="cellIs" dxfId="26" priority="4562" operator="equal">
      <formula>-2</formula>
    </cfRule>
    <cfRule type="cellIs" dxfId="25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M7" sqref="M7"/>
    </sheetView>
  </sheetViews>
  <sheetFormatPr defaultColWidth="9" defaultRowHeight="24.6" customHeight="1" x14ac:dyDescent="0.3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 x14ac:dyDescent="0.35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35" t="str">
        <f>"TPKC剩餘人力："&amp;AO59&amp;" / NK剩餘人力："&amp;AP59&amp;" /  N班人力："&amp;AO54</f>
        <v>TPKC剩餘人力：0 / NK剩餘人力：0 /  N班人力：34</v>
      </c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6"/>
      <c r="AH1" s="236"/>
      <c r="AI1" s="237"/>
      <c r="AJ1" s="236"/>
      <c r="AK1" s="236"/>
      <c r="AL1" s="183"/>
      <c r="AO1" s="6"/>
      <c r="AP1" s="7"/>
    </row>
    <row r="2" spans="1:223" ht="23.25" customHeight="1" thickBot="1" x14ac:dyDescent="0.35">
      <c r="A2" s="225">
        <v>1</v>
      </c>
      <c r="B2" s="227">
        <v>2</v>
      </c>
      <c r="C2" s="227">
        <v>3</v>
      </c>
      <c r="D2" s="229" t="s">
        <v>104</v>
      </c>
      <c r="E2" s="231" t="s">
        <v>105</v>
      </c>
      <c r="F2" s="8" t="s">
        <v>106</v>
      </c>
      <c r="G2" s="8" t="s">
        <v>107</v>
      </c>
      <c r="H2" s="8" t="s">
        <v>108</v>
      </c>
      <c r="I2" s="240" t="s">
        <v>109</v>
      </c>
      <c r="J2" s="244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33" t="s">
        <v>48</v>
      </c>
      <c r="AT2" s="234"/>
      <c r="AU2" s="234"/>
    </row>
    <row r="3" spans="1:223" ht="24.6" customHeight="1" thickBot="1" x14ac:dyDescent="0.35">
      <c r="A3" s="226"/>
      <c r="B3" s="228"/>
      <c r="C3" s="228"/>
      <c r="D3" s="230"/>
      <c r="E3" s="232"/>
      <c r="F3" s="15" t="s">
        <v>118</v>
      </c>
      <c r="G3" s="15" t="s">
        <v>119</v>
      </c>
      <c r="H3" s="16" t="s">
        <v>120</v>
      </c>
      <c r="I3" s="241"/>
      <c r="J3" s="24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 x14ac:dyDescent="0.3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 x14ac:dyDescent="0.3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 x14ac:dyDescent="0.3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 x14ac:dyDescent="0.3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 x14ac:dyDescent="0.3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14</v>
      </c>
      <c r="E8" s="41">
        <f t="shared" si="4"/>
        <v>0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 x14ac:dyDescent="0.3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 x14ac:dyDescent="0.3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 x14ac:dyDescent="0.3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44" t="s">
        <v>53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44" t="s">
        <v>0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32" t="s">
        <v>1</v>
      </c>
      <c r="AH11" s="30" t="s">
        <v>52</v>
      </c>
      <c r="AI11" s="121" t="s">
        <v>5</v>
      </c>
      <c r="AJ11" s="30" t="s">
        <v>36</v>
      </c>
      <c r="AK11" s="32" t="s">
        <v>1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 x14ac:dyDescent="0.3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 x14ac:dyDescent="0.3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 x14ac:dyDescent="0.3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 x14ac:dyDescent="0.3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 x14ac:dyDescent="0.3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 x14ac:dyDescent="0.3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 x14ac:dyDescent="0.35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 x14ac:dyDescent="0.3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 x14ac:dyDescent="0.3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 x14ac:dyDescent="0.3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 x14ac:dyDescent="0.3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 x14ac:dyDescent="0.3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 x14ac:dyDescent="0.3">
      <c r="A24" s="38">
        <f t="shared" si="0"/>
        <v>2</v>
      </c>
      <c r="B24" s="39">
        <f t="shared" si="1"/>
        <v>7</v>
      </c>
      <c r="C24" s="40">
        <f t="shared" si="2"/>
        <v>1</v>
      </c>
      <c r="D24" s="39">
        <f t="shared" si="3"/>
        <v>4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53" t="s">
        <v>3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 x14ac:dyDescent="0.3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6</v>
      </c>
      <c r="AP25" s="134">
        <f t="shared" si="10"/>
        <v>0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 x14ac:dyDescent="0.3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 x14ac:dyDescent="0.3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35" customHeight="1" x14ac:dyDescent="0.3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 x14ac:dyDescent="0.3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 x14ac:dyDescent="0.3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 x14ac:dyDescent="0.3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 x14ac:dyDescent="0.3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 x14ac:dyDescent="0.35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 x14ac:dyDescent="0.3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 x14ac:dyDescent="0.3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 x14ac:dyDescent="0.3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0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 x14ac:dyDescent="0.3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 x14ac:dyDescent="0.3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 x14ac:dyDescent="0.3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 x14ac:dyDescent="0.35">
      <c r="A40" s="69">
        <f t="shared" si="0"/>
        <v>6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0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60" t="s">
        <v>36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 x14ac:dyDescent="0.3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 x14ac:dyDescent="0.3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3</v>
      </c>
      <c r="G42" s="41">
        <f t="shared" si="6"/>
        <v>4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52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 x14ac:dyDescent="0.3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 x14ac:dyDescent="0.3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 x14ac:dyDescent="0.3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 x14ac:dyDescent="0.35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 x14ac:dyDescent="0.3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 x14ac:dyDescent="0.3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 x14ac:dyDescent="0.35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 x14ac:dyDescent="0.3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 x14ac:dyDescent="0.3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 x14ac:dyDescent="0.35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 x14ac:dyDescent="0.3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 x14ac:dyDescent="0.3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34</v>
      </c>
      <c r="AP54" s="91" cm="1">
        <f t="array" ref="AP54">SUMPRODUCT(COUNTIF(K41:AL46,{"N";"N8"}))</f>
        <v>15</v>
      </c>
    </row>
    <row r="55" spans="1:44" s="77" customFormat="1" ht="18" customHeight="1" thickBot="1" x14ac:dyDescent="0.35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48</v>
      </c>
      <c r="AP55" s="75">
        <f>SUMPRODUCT(COUNTIF(K41:AL46,{"S"}))</f>
        <v>3</v>
      </c>
    </row>
    <row r="56" spans="1:44" s="77" customFormat="1" ht="18" customHeight="1" thickBot="1" x14ac:dyDescent="0.35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7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3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 x14ac:dyDescent="0.3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24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23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10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15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 x14ac:dyDescent="0.3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0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1</v>
      </c>
      <c r="V58" s="39">
        <f t="shared" si="29"/>
        <v>3</v>
      </c>
      <c r="W58" s="39">
        <f t="shared" si="29"/>
        <v>5</v>
      </c>
      <c r="X58" s="39">
        <f t="shared" si="29"/>
        <v>1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9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 x14ac:dyDescent="0.35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 x14ac:dyDescent="0.35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 x14ac:dyDescent="0.3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 x14ac:dyDescent="0.3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 x14ac:dyDescent="0.35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 x14ac:dyDescent="0.35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 x14ac:dyDescent="0.3">
      <c r="A65" s="80"/>
      <c r="B65" s="80"/>
      <c r="C65" s="80"/>
      <c r="D65" s="80"/>
      <c r="I65" s="80"/>
      <c r="L65" s="116"/>
      <c r="M65" s="116"/>
      <c r="N65" s="116"/>
      <c r="Q65" s="116"/>
    </row>
  </sheetData>
  <sheetProtection algorithmName="SHA-512" hashValue="cygkW7iBMBq0Eg+SjJ3GjUU1f0qXvlw5B8EGkTINpLxgBQunRNgjjq2cgkuvsYfBC0qZP26XmC/Qk1gDHkXz9g==" saltValue="6K+aaKiN46MC0vGkqzl2Lw==" spinCount="100000" sheet="1" objects="1" scenarios="1"/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24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23" priority="1">
      <formula>OR(K4=3, K4="晚",  K4="大夜")</formula>
    </cfRule>
    <cfRule type="expression" dxfId="22" priority="2">
      <formula>OR(K4="M2", K4=2, K4="中", K4="T中", K4="小夜")</formula>
    </cfRule>
    <cfRule type="expression" dxfId="21" priority="4">
      <formula>OR(K4="M1", K4=1, K4="早", K4="T早", K4="日")</formula>
    </cfRule>
  </conditionalFormatting>
  <conditionalFormatting sqref="K47:AL55">
    <cfRule type="cellIs" dxfId="20" priority="214" operator="equal">
      <formula>5</formula>
    </cfRule>
    <cfRule type="cellIs" dxfId="19" priority="215" operator="equal">
      <formula>4</formula>
    </cfRule>
    <cfRule type="cellIs" dxfId="18" priority="216" operator="equal">
      <formula>3</formula>
    </cfRule>
    <cfRule type="cellIs" dxfId="17" priority="217" operator="equal">
      <formula>2</formula>
    </cfRule>
    <cfRule type="cellIs" dxfId="16" priority="218" operator="equal">
      <formula>1</formula>
    </cfRule>
  </conditionalFormatting>
  <conditionalFormatting sqref="K53:AL55">
    <cfRule type="cellIs" dxfId="15" priority="219" operator="equal">
      <formula>"T中"</formula>
    </cfRule>
  </conditionalFormatting>
  <conditionalFormatting sqref="AM25">
    <cfRule type="cellIs" dxfId="14" priority="228" operator="equal">
      <formula>"大夜"</formula>
    </cfRule>
    <cfRule type="cellIs" dxfId="13" priority="229" operator="equal">
      <formula>"晚"</formula>
    </cfRule>
    <cfRule type="cellIs" dxfId="12" priority="230" operator="equal">
      <formula>3</formula>
    </cfRule>
    <cfRule type="cellIs" dxfId="11" priority="231" operator="equal">
      <formula>"小夜"</formula>
    </cfRule>
    <cfRule type="cellIs" dxfId="10" priority="232" operator="equal">
      <formula>"T中"</formula>
    </cfRule>
    <cfRule type="cellIs" dxfId="9" priority="233" operator="equal">
      <formula>"中"</formula>
    </cfRule>
    <cfRule type="cellIs" dxfId="8" priority="234" operator="equal">
      <formula>"M2"</formula>
    </cfRule>
    <cfRule type="cellIs" dxfId="7" priority="235" operator="equal">
      <formula>2</formula>
    </cfRule>
    <cfRule type="cellIs" dxfId="6" priority="236" operator="equal">
      <formula>"日"</formula>
    </cfRule>
    <cfRule type="cellIs" dxfId="5" priority="237" operator="equal">
      <formula>"T早"</formula>
    </cfRule>
    <cfRule type="cellIs" dxfId="4" priority="238" operator="equal">
      <formula>"早"</formula>
    </cfRule>
    <cfRule type="cellIs" dxfId="3" priority="239" operator="equal">
      <formula>"M1"</formula>
    </cfRule>
    <cfRule type="cellIs" dxfId="2" priority="240" operator="equal">
      <formula>1</formula>
    </cfRule>
  </conditionalFormatting>
  <conditionalFormatting sqref="AP4:AP46">
    <cfRule type="cellIs" dxfId="1" priority="226" operator="equal">
      <formula>-2</formula>
    </cfRule>
    <cfRule type="cellIs" dxfId="0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01</vt:lpstr>
      <vt:lpstr>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2026-01-22T06:53:06Z</dcterms:modified>
</cp:coreProperties>
</file>