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A578D307-8347-4656-81A8-C80BE1F64EA9}" xr6:coauthVersionLast="47" xr6:coauthVersionMax="47" xr10:uidLastSave="{00000000-0000-0000-0000-000000000000}"/>
  <bookViews>
    <workbookView xWindow="-108" yWindow="-108" windowWidth="23256" windowHeight="12576" activeTab="6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'07'!$AT$3:$AT$57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'07'!$AT$3:$AT$56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'07'!$AT$3:$AT$56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'07'!$AT$3:$AT$56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'07'!$AT$3:$AT$56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'07'!$AT$3:$AT$56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'07'!$AT$3:$AT$56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'07'!$AT$3:$AT$56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'07'!$AT$3:$AT$57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'07'!$AT$3:$AT$56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'07'!$AT$3:$AT$56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'07'!$AT$3:$AT$56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'07'!$AT$3:$AT$56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'07'!$AT$3:$AT$56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'07'!$AT$3:$AT$56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'07'!$AT$3:$AT$56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'07'!$AT$3:$AT$56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'07'!$AT$3:$AT$57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'07'!$AT$3:$AT$56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'07'!$AT$3:$AT$56</definedName>
    <definedName name="Z_168BFD59_C957_46AF_8D1A_F002D5784658_.wvu.FilterData" localSheetId="6" hidden="1">'07'!$AT$3:$AT$57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'07'!$AT$3:$AT$56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'07'!$AT$3:$AT$56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'07'!$AT$3:$AT$56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'07'!$AT$3:$AT$57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'07'!$AT$3:$AT$57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'07'!$AT$3:$AT$56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'07'!$AT$3:$AT$56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'07'!$AT$3:$AT$56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'07'!$AT$3:$AT$57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'07'!$AT$3:$AT$56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'07'!$AT$3:$AT$56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'07'!$AT$3:$AT$57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'07'!$AT$3:$AT$57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'07'!$AT$3:$AT$56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'07'!$AT$3:$AT$57</definedName>
    <definedName name="Z_26A536E7_5BE3_4856_8723_7CE1518D2F8B_.wvu.FilterData" localSheetId="6" hidden="1">'07'!$AT$3:$AT$57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'07'!$AT$3:$AT$56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'07'!$AT$3:$AT$57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'07'!$AT$3:$AT$57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'07'!$AT$3:$AT$57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'07'!$AT$3:$AT$57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'07'!$AT$3:$AT$57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'07'!$AT$3:$AT$56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'07'!$AT$3:$AT$57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'07'!$AT$3:$AT$57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'07'!$AT$3:$AT$57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'07'!$AT$3:$AT$57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'07'!$AT$3:$AT$56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'07'!$AT$3:$AT$56</definedName>
    <definedName name="Z_307D3201_5666_425B_B5A1_5E1F02EDE8D4_.wvu.FilterData" localSheetId="6" hidden="1">'07'!$AT$3:$AT$57</definedName>
    <definedName name="Z_30C4E593_CBE6_4671_A3D2_828E477A8888_.wvu.FilterData" localSheetId="5" hidden="1">'06'!$AS$3:$AS$57</definedName>
    <definedName name="Z_30C4E593_CBE6_4671_A3D2_828E477A8888_.wvu.FilterData" localSheetId="6" hidden="1">'07'!$AT$3:$AT$57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'07'!$AT$3:$AT$57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'07'!$AT$3:$AT$56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'07'!$AT$3:$AT$57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'07'!$AT$3:$AT$56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'07'!$AT$3:$AT$56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'07'!$AT$3:$AT$57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'07'!$AT$3:$AT$56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'07'!$AT$3:$AT$57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'07'!$AT$3:$AT$56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'07'!$AT$3:$AT$56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'07'!$AT$3:$AT$56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'07'!$AT$3:$AT$56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'07'!$AT$3:$AT$56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'07'!$AT$3:$AT$57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'07'!$AT$3:$AT$57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'07'!$AT$3:$AT$57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'07'!$AT$3:$AT$57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'07'!$AT$3:$AT$57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'07'!$AT$3:$AT$56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'07'!$AT$3:$AT$56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'07'!$AT$3:$AT$57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'07'!$AT$3:$AT$56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'07'!$AT$3:$AT$56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'07'!$AT$3:$AT$56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'07'!$AT$3:$AT$57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'07'!$AT$3:$AT$56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'07'!$AT$3:$AT$56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'07'!$AT$3:$AT$56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'07'!$AT$3:$AT$57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'07'!$AT$3:$AT$56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'07'!$AT$3:$AT$57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'07'!$AT$3:$AT$57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'07'!$AT$3:$AT$56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'07'!$AT$3:$AT$56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'07'!$AT$3:$AT$56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'07'!$AT$3:$AT$56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'07'!$AT$3:$AT$56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'07'!$AT$3:$AT$56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'07'!$AT$3:$AT$57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'07'!$AT$3:$AT$57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'07'!$AT$3:$AT$56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'07'!$AT$3:$AT$56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'07'!$AT$3:$AT$56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'07'!$AT$3:$AT$56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'07'!$AT$3:$AT$56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'07'!$AT$3:$AT$56</definedName>
    <definedName name="Z_592A6D0F_1195_4B47_B319_B53EC3E9D0D7_.wvu.FilterData" localSheetId="6" hidden="1">'07'!$AT$3:$AT$57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'07'!$AT$3:$AT$56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'07'!$AT$3:$AT$57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'07'!$AT$3:$AT$56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'07'!$AT$3:$AT$57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'07'!$AT$3:$AT$56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'07'!$AT$3:$AT$57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'07'!$AT$3:$AT$57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'07'!$AT$3:$AT$56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'07'!$AT$3:$AT$57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'07'!$AT$3:$AT$56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'07'!$AT$3:$AT$57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'07'!$AT$3:$AT$56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'07'!$AT$3:$AT$57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'07'!$AT$3:$AT$56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'07'!$AT$3:$AT$56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'07'!$AT$3:$AT$56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'07'!$AT$3:$AT$57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'07'!$AT$3:$AT$56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'07'!$AT$3:$AT$57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'07'!$AT$3:$AT$56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'07'!$AT$3:$AT$57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'07'!$AT$3:$AT$57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'07'!$AT$3:$AT$57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'07'!$AT$3:$AT$56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'07'!$AT$3:$AT$57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'07'!$AT$3:$AT$57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'07'!$AT$3:$AT$56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'07'!$AT$3:$AT$56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'07'!$AT$3:$AT$57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'07'!$AT$3:$AT$56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'07'!$AT$3:$AT$57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'07'!$AT$3:$AT$57</definedName>
    <definedName name="Z_700C98B5_5AB6_4E91_B40C_E355C172DC48_.wvu.FilterData" localSheetId="6" hidden="1">'07'!$AT$3:$AT$57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'07'!$AT$3:$AT$57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'07'!$AT$3:$AT$56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'07'!$AT$3:$AT$57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'07'!$AT$3:$AT$56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'07'!$AT$3:$AT$57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'07'!$AT$3:$AT$56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'07'!$AT$3:$AT$57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'07'!$AT$3:$AT$56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'07'!$AT$3:$AT$57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'07'!$AT$3:$AT$56</definedName>
    <definedName name="Z_7AE12975_286E_4F3E_84E7_84169855E9B0_.wvu.FilterData" localSheetId="5" hidden="1">'06'!$AS$3:$AS$57</definedName>
    <definedName name="Z_7AE12975_286E_4F3E_84E7_84169855E9B0_.wvu.FilterData" localSheetId="6" hidden="1">'07'!$AT$3:$AT$57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'07'!$AT$3:$AT$56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'07'!$AT$3:$AT$57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'07'!$AT$3:$AT$57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'07'!$AT$3:$AT$57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'07'!$AT$3:$AT$56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'07'!$AT$3:$AT$57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'07'!$AT$3:$AT$56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'07'!$AT$3:$AT$56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'07'!$AT$3:$AT$56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'07'!$AT$3:$AT$57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'07'!$AT$3:$AT$57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'07'!$AT$3:$AT$57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'07'!$AT$3:$AT$57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'07'!$AT$3:$AT$56</definedName>
    <definedName name="Z_8D9DED9E_0E9B_4AC2_A6FE_0614C36A32EB_.wvu.FilterData" localSheetId="5" hidden="1">'06'!$AS$3:$AS$57</definedName>
    <definedName name="Z_8D9DED9E_0E9B_4AC2_A6FE_0614C36A32EB_.wvu.FilterData" localSheetId="6" hidden="1">'07'!$AT$3:$AT$57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'07'!$AT$3:$AT$56</definedName>
    <definedName name="Z_8EAB4DCF_6414_404B_8D00_F7E750251DCF_.wvu.FilterData" localSheetId="6" hidden="1">'07'!$AT$3:$AT$57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'07'!$AT$3:$AT$57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'07'!$AT$3:$AT$56</definedName>
    <definedName name="Z_90A95CFD_BEE1_4C29_B016_CD3908D82DDB_.wvu.FilterData" localSheetId="6" hidden="1">'07'!$AT$3:$AT$57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'07'!$AT$3:$AT$56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'07'!$AT$3:$AT$56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'07'!$AT$3:$AT$56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'07'!$AT$3:$AT$56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'07'!$AT$3:$AT$57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'07'!$AT$3:$AT$57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'07'!$AT$3:$AT$57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'07'!$AT$3:$AT$56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'07'!$AT$3:$AT$56</definedName>
    <definedName name="Z_9D1E30F6_1C00_46D6_A6AC_83B35784CDAE_.wvu.FilterData" localSheetId="6" hidden="1">'07'!$AT$3:$AT$57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'07'!$AT$3:$AT$56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'07'!$AT$3:$AT$56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'07'!$AT$3:$AT$56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'07'!$AT$3:$AT$56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'07'!$AT$3:$AT$57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'07'!$AT$3:$AT$56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'07'!$AT$3:$AT$56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'07'!$AT$3:$AT$57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'07'!$AT$3:$AT$56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'07'!$AT$3:$AT$56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'07'!$AT$3:$AT$56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'07'!$AT$3:$AT$57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'07'!$AT$3:$AT$56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'07'!$AT$3:$AT$56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'07'!$AT$3:$AT$57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'07'!$AT$3:$AT$56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'07'!$AT$3:$AT$57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'07'!$AT$3:$AT$57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'07'!$AT$3:$AT$57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'07'!$AT$3:$AT$56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'07'!$AT$3:$AT$56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'07'!$AT$3:$AT$56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'07'!$AT$3:$AT$56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'07'!$AT$3:$AT$57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'07'!$AT$3:$AT$57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'07'!$AT$3:$AT$57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'07'!$AT$3:$AT$57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'07'!$AT$3:$AT$56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'07'!$AT$3:$AT$56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'07'!$AT$3:$AT$56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'07'!$AT$3:$AT$56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'07'!$AT$3:$AT$56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'07'!$AT$3:$AT$56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'07'!$AT$3:$AT$57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'07'!$AT$3:$AT$57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'07'!$AT$3:$AT$57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'07'!$AT$3:$AT$56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'07'!$AT$3:$AT$56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'07'!$AT$3:$AT$56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'07'!$AT$3:$AT$56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'07'!$AT$3:$AT$57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'07'!$AT$3:$AT$56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'07'!$AT$3:$AT$56</definedName>
    <definedName name="Z_BE4AEE4D_98EF_4FC3_A993_B516C94EA0E3_.wvu.FilterData" localSheetId="1" hidden="1">'02'!$AQ$3:$AQ$60</definedName>
    <definedName name="Z_BEBBE21B_9C4C_422F_AB77_765E2F626A6F_.wvu.FilterData" localSheetId="6" hidden="1">'07'!$AT$3:$AT$57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'07'!$AT$3:$AT$56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'07'!$AT$3:$AT$56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'07'!$AT$3:$AT$57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'07'!$AT$3:$AT$57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'07'!$AT$3:$AT$56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'07'!$AT$3:$AT$56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'07'!$AT$3:$AT$57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'07'!$AT$3:$AT$56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'07'!$AT$3:$AT$56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'07'!$AT$3:$AT$57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'07'!$AT$3:$AT$57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'07'!$AT$3:$AT$57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'07'!$AT$3:$AT$56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'07'!$AT$3:$AT$56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'07'!$AT$3:$AT$56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'07'!$AT$3:$AT$56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'07'!$AT$3:$AT$57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'07'!$AT$3:$AT$56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'07'!$AT$3:$AT$56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'07'!$AT$3:$AT$56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'07'!$AT$3:$AT$56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'07'!$AT$3:$AT$57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'07'!$AT$3:$AT$57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'07'!$AT$3:$AT$57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'07'!$AT$3:$AT$56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'07'!$AT$3:$AT$56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'07'!$AT$3:$AT$56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'07'!$AT$3:$AT$57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'07'!$AT$3:$AT$57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'07'!$AT$3:$AT$56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'07'!$AT$3:$AT$56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'07'!$AT$3:$AT$57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'07'!$AT$3:$AT$56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'07'!$AT$3:$AT$56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'07'!$AT$3:$AT$56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'07'!$AT$3:$AT$57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'07'!$AT$3:$AT$56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'07'!$AT$3:$AT$56</definedName>
    <definedName name="Z_E11F5EC0_C2B6_42C0_8F2F_597E1A0FDCD8_.wvu.FilterData" localSheetId="6" hidden="1">'07'!$AT$3:$AT$57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'07'!$AT$3:$AT$56</definedName>
    <definedName name="Z_E2907E9E_F0A5_4ACF_B967_B1C94084D640_.wvu.FilterData" localSheetId="6" hidden="1">'07'!$AT$3:$AT$57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'07'!$AT$3:$AT$57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'07'!$AT$3:$AT$56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'07'!$AT$3:$AT$57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'07'!$AT$3:$AT$56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'07'!$AT$3:$AT$57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'07'!$AT$3:$AT$57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'07'!$AT$3:$AT$57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'07'!$AT$3:$AT$57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'07'!$AT$3:$AT$56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'07'!$AT$3:$AT$56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'07'!$AT$3:$AT$56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'07'!$AT$3:$AT$57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'07'!$AT$3:$AT$57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'07'!$AT$3:$AT$56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'07'!$AT$3:$AT$56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'07'!$AT$3:$AT$57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'07'!$AT$3:$AT$56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'07'!$AT$3:$AT$57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'07'!$AT$3:$AT$56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'07'!$AT$3:$AT$57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'07'!$AT$3:$AT$57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'07'!$AT$3:$AT$56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'07'!$AT$3:$AT$56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'07'!$AT$3:$AT$57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'07'!$AT$3:$AT$56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'07'!$AT$3:$AT$57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'07'!$AT$3:$AT$57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'07'!$AT$3:$AT$57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'07'!$AT$3:$AT$57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'07'!$AT$3:$AT$56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'07'!$AT$3:$AT$57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'07'!$AT$3:$AT$57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'07'!$AT$3:$AT$57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'07'!$AT$3:$AT$57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'07'!$AT$3:$AT$57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'07'!$AT$3:$AT$56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'07'!$AT$3:$AT$57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6" i="24" l="1"/>
  <c r="T55" i="24"/>
  <c r="AR48" i="24"/>
  <c r="A41" i="24"/>
  <c r="B41" i="24"/>
  <c r="C41" i="24"/>
  <c r="D41" i="24"/>
  <c r="E41" i="24"/>
  <c r="F41" i="24"/>
  <c r="G41" i="24"/>
  <c r="H41" i="24"/>
  <c r="A42" i="24"/>
  <c r="B42" i="24"/>
  <c r="C42" i="24"/>
  <c r="D42" i="24"/>
  <c r="E42" i="24"/>
  <c r="F42" i="24"/>
  <c r="G42" i="24"/>
  <c r="H42" i="24"/>
  <c r="A43" i="24"/>
  <c r="B43" i="24"/>
  <c r="C43" i="24"/>
  <c r="D43" i="24"/>
  <c r="E43" i="24"/>
  <c r="F43" i="24"/>
  <c r="G43" i="24"/>
  <c r="H43" i="24"/>
  <c r="A44" i="24"/>
  <c r="B44" i="24"/>
  <c r="C44" i="24"/>
  <c r="D44" i="24"/>
  <c r="E44" i="24"/>
  <c r="F44" i="24"/>
  <c r="G44" i="24"/>
  <c r="H44" i="24"/>
  <c r="K45" i="24" a="1"/>
  <c r="K45" i="24" s="1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K46" i="24" a="1"/>
  <c r="K46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K47" i="24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K48" i="24" a="1"/>
  <c r="K48" i="24" s="1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K49" i="24" a="1"/>
  <c r="K49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K50" i="24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K51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K52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28" i="24"/>
  <c r="B28" i="24"/>
  <c r="C28" i="24"/>
  <c r="D28" i="24"/>
  <c r="E28" i="24"/>
  <c r="F28" i="24"/>
  <c r="G28" i="24"/>
  <c r="H28" i="24"/>
  <c r="A16" i="24"/>
  <c r="B16" i="24"/>
  <c r="C16" i="24"/>
  <c r="D16" i="24"/>
  <c r="E16" i="24"/>
  <c r="F16" i="24"/>
  <c r="G16" i="24"/>
  <c r="H16" i="24"/>
  <c r="AV6" i="24" a="1"/>
  <c r="AV6" i="24" s="1"/>
  <c r="AX6" i="24" s="1"/>
  <c r="AV7" i="24" a="1"/>
  <c r="AV7" i="24" s="1"/>
  <c r="AX7" i="24" s="1"/>
  <c r="AV9" i="24" a="1"/>
  <c r="AV9" i="24" s="1"/>
  <c r="AX9" i="24" s="1"/>
  <c r="AV10" i="24" a="1"/>
  <c r="AV10" i="24" s="1"/>
  <c r="AX10" i="24" s="1"/>
  <c r="AV11" i="24" a="1"/>
  <c r="AV11" i="24" s="1"/>
  <c r="AX11" i="24" s="1"/>
  <c r="AV12" i="24" a="1"/>
  <c r="AV12" i="24" s="1"/>
  <c r="AX12" i="24" s="1"/>
  <c r="AV13" i="24" a="1"/>
  <c r="AV13" i="24" s="1"/>
  <c r="AX13" i="24" s="1"/>
  <c r="AV15" i="24" a="1"/>
  <c r="AV15" i="24" s="1"/>
  <c r="AX15" i="24" s="1"/>
  <c r="AV16" i="24" a="1"/>
  <c r="AV16" i="24" s="1"/>
  <c r="AX16" i="24" s="1"/>
  <c r="AV17" i="24" a="1"/>
  <c r="AV17" i="24" s="1"/>
  <c r="AX17" i="24" s="1"/>
  <c r="AV18" i="24" a="1"/>
  <c r="AV18" i="24" s="1"/>
  <c r="AX18" i="24" s="1"/>
  <c r="AV4" i="24" a="1"/>
  <c r="AV4" i="24" s="1"/>
  <c r="AX4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K62" i="24" a="1"/>
  <c r="K62" i="24" s="1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K57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S56" i="24"/>
  <c r="R56" i="24"/>
  <c r="Q56" i="24"/>
  <c r="P56" i="24"/>
  <c r="O56" i="24"/>
  <c r="N56" i="24"/>
  <c r="M56" i="24"/>
  <c r="L56" i="24"/>
  <c r="K56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S55" i="24"/>
  <c r="R55" i="24"/>
  <c r="Q55" i="24"/>
  <c r="P55" i="24"/>
  <c r="O55" i="24"/>
  <c r="N55" i="24"/>
  <c r="M55" i="24"/>
  <c r="L55" i="24"/>
  <c r="K55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AS52" i="24"/>
  <c r="AR52" i="24"/>
  <c r="AS51" i="24" a="1"/>
  <c r="AS51" i="24" s="1"/>
  <c r="AR51" i="24" a="1"/>
  <c r="AR51" i="24" s="1"/>
  <c r="AS50" i="24"/>
  <c r="AR50" i="24"/>
  <c r="AS49" i="24"/>
  <c r="AR49" i="24"/>
  <c r="AS48" i="24"/>
  <c r="AS47" i="24"/>
  <c r="AR47" i="24"/>
  <c r="H40" i="24"/>
  <c r="G40" i="24"/>
  <c r="F40" i="24"/>
  <c r="E40" i="24"/>
  <c r="D40" i="24"/>
  <c r="C40" i="24"/>
  <c r="B40" i="24"/>
  <c r="A40" i="24"/>
  <c r="H39" i="24"/>
  <c r="G39" i="24"/>
  <c r="F39" i="24"/>
  <c r="E39" i="24"/>
  <c r="D39" i="24"/>
  <c r="C39" i="24"/>
  <c r="B39" i="24"/>
  <c r="A39" i="24"/>
  <c r="H38" i="24"/>
  <c r="G38" i="24"/>
  <c r="F38" i="24"/>
  <c r="E38" i="24"/>
  <c r="D38" i="24"/>
  <c r="C38" i="24"/>
  <c r="B38" i="24"/>
  <c r="A38" i="24"/>
  <c r="H37" i="24"/>
  <c r="G37" i="24"/>
  <c r="F37" i="24"/>
  <c r="E37" i="24"/>
  <c r="D37" i="24"/>
  <c r="C37" i="24"/>
  <c r="B37" i="24"/>
  <c r="A37" i="24"/>
  <c r="H36" i="24"/>
  <c r="G36" i="24"/>
  <c r="F36" i="24"/>
  <c r="E36" i="24"/>
  <c r="D36" i="24"/>
  <c r="C36" i="24"/>
  <c r="B36" i="24"/>
  <c r="A36" i="24"/>
  <c r="H35" i="24"/>
  <c r="G35" i="24"/>
  <c r="F35" i="24"/>
  <c r="E35" i="24"/>
  <c r="D35" i="24"/>
  <c r="C35" i="24"/>
  <c r="B35" i="24"/>
  <c r="A35" i="24"/>
  <c r="H34" i="24"/>
  <c r="G34" i="24"/>
  <c r="F34" i="24"/>
  <c r="E34" i="24"/>
  <c r="D34" i="24"/>
  <c r="C34" i="24"/>
  <c r="B34" i="24"/>
  <c r="A34" i="24"/>
  <c r="H33" i="24"/>
  <c r="G33" i="24"/>
  <c r="F33" i="24"/>
  <c r="E33" i="24"/>
  <c r="D33" i="24"/>
  <c r="C33" i="24"/>
  <c r="B33" i="24"/>
  <c r="A33" i="24"/>
  <c r="H32" i="24"/>
  <c r="G32" i="24"/>
  <c r="F32" i="24"/>
  <c r="E32" i="24"/>
  <c r="D32" i="24"/>
  <c r="C32" i="24"/>
  <c r="B32" i="24"/>
  <c r="A32" i="24"/>
  <c r="H31" i="24"/>
  <c r="G31" i="24"/>
  <c r="F31" i="24"/>
  <c r="E31" i="24"/>
  <c r="D31" i="24"/>
  <c r="C31" i="24"/>
  <c r="B31" i="24"/>
  <c r="A31" i="24"/>
  <c r="H30" i="24"/>
  <c r="G30" i="24"/>
  <c r="F30" i="24"/>
  <c r="E30" i="24"/>
  <c r="D30" i="24"/>
  <c r="C30" i="24"/>
  <c r="B30" i="24"/>
  <c r="A30" i="24"/>
  <c r="H29" i="24"/>
  <c r="G29" i="24"/>
  <c r="F29" i="24"/>
  <c r="E29" i="24"/>
  <c r="D29" i="24"/>
  <c r="C29" i="24"/>
  <c r="B29" i="24"/>
  <c r="A29" i="24"/>
  <c r="H27" i="24"/>
  <c r="G27" i="24"/>
  <c r="F27" i="24"/>
  <c r="E27" i="24"/>
  <c r="D27" i="24"/>
  <c r="C27" i="24"/>
  <c r="B27" i="24"/>
  <c r="A27" i="24"/>
  <c r="H26" i="24"/>
  <c r="G26" i="24"/>
  <c r="F26" i="24"/>
  <c r="E26" i="24"/>
  <c r="D26" i="24"/>
  <c r="C26" i="24"/>
  <c r="B26" i="24"/>
  <c r="A26" i="24"/>
  <c r="H25" i="24"/>
  <c r="G25" i="24"/>
  <c r="F25" i="24"/>
  <c r="E25" i="24"/>
  <c r="D25" i="24"/>
  <c r="C25" i="24"/>
  <c r="B25" i="24"/>
  <c r="A25" i="24"/>
  <c r="H24" i="24"/>
  <c r="G24" i="24"/>
  <c r="F24" i="24"/>
  <c r="E24" i="24"/>
  <c r="D24" i="24"/>
  <c r="C24" i="24"/>
  <c r="B24" i="24"/>
  <c r="A24" i="24"/>
  <c r="H23" i="24"/>
  <c r="G23" i="24"/>
  <c r="F23" i="24"/>
  <c r="E23" i="24"/>
  <c r="D23" i="24"/>
  <c r="C23" i="24"/>
  <c r="B23" i="24"/>
  <c r="A23" i="24"/>
  <c r="H22" i="24"/>
  <c r="G22" i="24"/>
  <c r="F22" i="24"/>
  <c r="E22" i="24"/>
  <c r="D22" i="24"/>
  <c r="C22" i="24"/>
  <c r="B22" i="24"/>
  <c r="A22" i="24"/>
  <c r="H21" i="24"/>
  <c r="G21" i="24"/>
  <c r="F21" i="24"/>
  <c r="E21" i="24"/>
  <c r="D21" i="24"/>
  <c r="C21" i="24"/>
  <c r="B21" i="24"/>
  <c r="A21" i="24"/>
  <c r="H20" i="24"/>
  <c r="G20" i="24"/>
  <c r="F20" i="24"/>
  <c r="E20" i="24"/>
  <c r="D20" i="24"/>
  <c r="C20" i="24"/>
  <c r="B20" i="24"/>
  <c r="A20" i="24"/>
  <c r="H19" i="24"/>
  <c r="G19" i="24"/>
  <c r="F19" i="24"/>
  <c r="E19" i="24"/>
  <c r="D19" i="24"/>
  <c r="C19" i="24"/>
  <c r="B19" i="24"/>
  <c r="A19" i="24"/>
  <c r="H18" i="24"/>
  <c r="G18" i="24"/>
  <c r="F18" i="24"/>
  <c r="E18" i="24"/>
  <c r="D18" i="24"/>
  <c r="C18" i="24"/>
  <c r="B18" i="24"/>
  <c r="A18" i="24"/>
  <c r="H17" i="24"/>
  <c r="G17" i="24"/>
  <c r="F17" i="24"/>
  <c r="E17" i="24"/>
  <c r="D17" i="24"/>
  <c r="C17" i="24"/>
  <c r="B17" i="24"/>
  <c r="A17" i="24"/>
  <c r="H15" i="24"/>
  <c r="G15" i="24"/>
  <c r="F15" i="24"/>
  <c r="E15" i="24"/>
  <c r="D15" i="24"/>
  <c r="C15" i="24"/>
  <c r="B15" i="24"/>
  <c r="A15" i="24"/>
  <c r="H14" i="24"/>
  <c r="G14" i="24"/>
  <c r="F14" i="24"/>
  <c r="E14" i="24"/>
  <c r="D14" i="24"/>
  <c r="C14" i="24"/>
  <c r="B14" i="24"/>
  <c r="A14" i="24"/>
  <c r="H13" i="24"/>
  <c r="G13" i="24"/>
  <c r="F13" i="24"/>
  <c r="E13" i="24"/>
  <c r="D13" i="24"/>
  <c r="C13" i="24"/>
  <c r="B13" i="24"/>
  <c r="A13" i="24"/>
  <c r="H12" i="24"/>
  <c r="G12" i="24"/>
  <c r="F12" i="24"/>
  <c r="E12" i="24"/>
  <c r="D12" i="24"/>
  <c r="C12" i="24"/>
  <c r="B12" i="24"/>
  <c r="A12" i="24"/>
  <c r="H11" i="24"/>
  <c r="G11" i="24"/>
  <c r="F11" i="24"/>
  <c r="E11" i="24"/>
  <c r="D11" i="24"/>
  <c r="C11" i="24"/>
  <c r="B11" i="24"/>
  <c r="A11" i="24"/>
  <c r="H10" i="24"/>
  <c r="G10" i="24"/>
  <c r="F10" i="24"/>
  <c r="E10" i="24"/>
  <c r="D10" i="24"/>
  <c r="C10" i="24"/>
  <c r="B10" i="24"/>
  <c r="A10" i="24"/>
  <c r="H9" i="24"/>
  <c r="G9" i="24"/>
  <c r="F9" i="24"/>
  <c r="E9" i="24"/>
  <c r="D9" i="24"/>
  <c r="C9" i="24"/>
  <c r="B9" i="24"/>
  <c r="A9" i="24"/>
  <c r="H8" i="24"/>
  <c r="G8" i="24"/>
  <c r="F8" i="24"/>
  <c r="E8" i="24"/>
  <c r="D8" i="24"/>
  <c r="C8" i="24"/>
  <c r="B8" i="24"/>
  <c r="A8" i="24"/>
  <c r="H7" i="24"/>
  <c r="G7" i="24"/>
  <c r="F7" i="24"/>
  <c r="E7" i="24"/>
  <c r="D7" i="24"/>
  <c r="C7" i="24"/>
  <c r="B7" i="24"/>
  <c r="A7" i="24"/>
  <c r="H6" i="24"/>
  <c r="G6" i="24"/>
  <c r="F6" i="24"/>
  <c r="E6" i="24"/>
  <c r="D6" i="24"/>
  <c r="C6" i="24"/>
  <c r="B6" i="24"/>
  <c r="A6" i="24"/>
  <c r="H5" i="24"/>
  <c r="G5" i="24"/>
  <c r="F5" i="24"/>
  <c r="E5" i="24"/>
  <c r="D5" i="24"/>
  <c r="C5" i="24"/>
  <c r="B5" i="24"/>
  <c r="A5" i="24"/>
  <c r="H4" i="24"/>
  <c r="G4" i="24"/>
  <c r="F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W59" i="24" l="1"/>
  <c r="P59" i="24"/>
  <c r="Q59" i="24"/>
  <c r="L59" i="24"/>
  <c r="R59" i="24"/>
  <c r="AO59" i="24"/>
  <c r="AA59" i="24"/>
  <c r="Y59" i="24"/>
  <c r="AD59" i="24"/>
  <c r="AF59" i="24"/>
  <c r="AE59" i="24"/>
  <c r="AG59" i="24"/>
  <c r="T59" i="24"/>
  <c r="X59" i="24"/>
  <c r="AH59" i="24"/>
  <c r="S59" i="24"/>
  <c r="AK59" i="24"/>
  <c r="Z59" i="24"/>
  <c r="AL59" i="24"/>
  <c r="AM59" i="24"/>
  <c r="AN59" i="24"/>
  <c r="K59" i="24"/>
  <c r="M59" i="24"/>
  <c r="I42" i="24"/>
  <c r="I44" i="24"/>
  <c r="I43" i="24"/>
  <c r="I41" i="24"/>
  <c r="S53" i="24"/>
  <c r="S58" i="24" s="1"/>
  <c r="N53" i="24"/>
  <c r="N58" i="24" s="1"/>
  <c r="Y53" i="24"/>
  <c r="Y58" i="24" s="1"/>
  <c r="AI53" i="24"/>
  <c r="AI58" i="24" s="1"/>
  <c r="AA53" i="24"/>
  <c r="AA58" i="24" s="1"/>
  <c r="AJ53" i="24"/>
  <c r="AJ58" i="24" s="1"/>
  <c r="U53" i="24"/>
  <c r="U58" i="24" s="1"/>
  <c r="AN53" i="24"/>
  <c r="AN58" i="24" s="1"/>
  <c r="AC53" i="24"/>
  <c r="AC58" i="24" s="1"/>
  <c r="AB53" i="24"/>
  <c r="AB58" i="24" s="1"/>
  <c r="Z53" i="24"/>
  <c r="Z58" i="24" s="1"/>
  <c r="T53" i="24"/>
  <c r="T58" i="24" s="1"/>
  <c r="O53" i="24"/>
  <c r="O58" i="24" s="1"/>
  <c r="P53" i="24"/>
  <c r="P58" i="24" s="1"/>
  <c r="M53" i="24"/>
  <c r="M58" i="24" s="1"/>
  <c r="K53" i="24"/>
  <c r="K58" i="24" s="1"/>
  <c r="AM53" i="24"/>
  <c r="AM58" i="24" s="1"/>
  <c r="AL53" i="24"/>
  <c r="AL58" i="24" s="1"/>
  <c r="X53" i="24"/>
  <c r="X58" i="24" s="1"/>
  <c r="L53" i="24"/>
  <c r="L58" i="24" s="1"/>
  <c r="AK53" i="24"/>
  <c r="AK58" i="24" s="1"/>
  <c r="AO53" i="24"/>
  <c r="AO58" i="24" s="1"/>
  <c r="Q53" i="24"/>
  <c r="Q58" i="24" s="1"/>
  <c r="AF53" i="24"/>
  <c r="AF58" i="24" s="1"/>
  <c r="AD53" i="24"/>
  <c r="AD58" i="24" s="1"/>
  <c r="AE53" i="24"/>
  <c r="AE58" i="24" s="1"/>
  <c r="R53" i="24"/>
  <c r="R58" i="24" s="1"/>
  <c r="AH53" i="24"/>
  <c r="AH58" i="24" s="1"/>
  <c r="W53" i="24"/>
  <c r="W58" i="24" s="1"/>
  <c r="V53" i="24"/>
  <c r="V58" i="24" s="1"/>
  <c r="AG53" i="24"/>
  <c r="AG58" i="24" s="1"/>
  <c r="AQ20" i="24"/>
  <c r="AS20" i="24" s="1"/>
  <c r="I28" i="24"/>
  <c r="AQ29" i="24"/>
  <c r="AS29" i="24" s="1"/>
  <c r="AQ31" i="24"/>
  <c r="AS31" i="24" s="1"/>
  <c r="AQ33" i="24"/>
  <c r="AS33" i="24" s="1"/>
  <c r="I36" i="24"/>
  <c r="AQ12" i="24"/>
  <c r="AS12" i="24" s="1"/>
  <c r="AQ25" i="24"/>
  <c r="AS25" i="24" s="1"/>
  <c r="I16" i="24"/>
  <c r="AQ16" i="24"/>
  <c r="AS16" i="24" s="1"/>
  <c r="AQ17" i="24"/>
  <c r="AS17" i="24" s="1"/>
  <c r="AQ4" i="24"/>
  <c r="AS4" i="24" s="1"/>
  <c r="O59" i="24"/>
  <c r="AQ6" i="24"/>
  <c r="AS6" i="24" s="1"/>
  <c r="AQ27" i="24"/>
  <c r="AS27" i="24" s="1"/>
  <c r="I21" i="24"/>
  <c r="I27" i="24"/>
  <c r="I31" i="24"/>
  <c r="I33" i="24"/>
  <c r="V59" i="24"/>
  <c r="AQ9" i="24"/>
  <c r="AS9" i="24" s="1"/>
  <c r="AQ13" i="24"/>
  <c r="AS13" i="24" s="1"/>
  <c r="AQ11" i="24"/>
  <c r="AS11" i="24" s="1"/>
  <c r="AQ15" i="24"/>
  <c r="AS15" i="24" s="1"/>
  <c r="AQ41" i="24"/>
  <c r="AS41" i="24" s="1"/>
  <c r="AQ43" i="24"/>
  <c r="AS43" i="24" s="1"/>
  <c r="AB59" i="24"/>
  <c r="I20" i="24"/>
  <c r="AJ59" i="24"/>
  <c r="AQ26" i="24"/>
  <c r="AS26" i="24" s="1"/>
  <c r="AQ30" i="24"/>
  <c r="AS30" i="24" s="1"/>
  <c r="AQ36" i="24"/>
  <c r="AS36" i="24" s="1"/>
  <c r="AQ38" i="24"/>
  <c r="AS38" i="24" s="1"/>
  <c r="AQ40" i="24"/>
  <c r="AS40" i="24" s="1"/>
  <c r="AQ44" i="24"/>
  <c r="AS44" i="24" s="1"/>
  <c r="I5" i="24"/>
  <c r="I11" i="24"/>
  <c r="I15" i="24"/>
  <c r="I17" i="24"/>
  <c r="AQ22" i="24"/>
  <c r="AS22" i="24" s="1"/>
  <c r="AQ24" i="24"/>
  <c r="AS24" i="24" s="1"/>
  <c r="AQ28" i="24"/>
  <c r="AS28" i="24" s="1"/>
  <c r="AQ32" i="24"/>
  <c r="AS32" i="24" s="1"/>
  <c r="I9" i="24"/>
  <c r="AQ34" i="24"/>
  <c r="AS34" i="24" s="1"/>
  <c r="I38" i="24"/>
  <c r="AI59" i="24"/>
  <c r="I19" i="24"/>
  <c r="I25" i="24"/>
  <c r="AQ42" i="24"/>
  <c r="AS42" i="24" s="1"/>
  <c r="AS56" i="24"/>
  <c r="U59" i="24"/>
  <c r="AQ19" i="24"/>
  <c r="AS19" i="24" s="1"/>
  <c r="AQ5" i="24"/>
  <c r="AS5" i="24" s="1"/>
  <c r="I7" i="24"/>
  <c r="I35" i="24"/>
  <c r="I37" i="24"/>
  <c r="I8" i="24"/>
  <c r="I12" i="24"/>
  <c r="I14" i="24"/>
  <c r="I18" i="24"/>
  <c r="AQ35" i="24"/>
  <c r="AS35" i="24" s="1"/>
  <c r="I6" i="24"/>
  <c r="AQ21" i="24"/>
  <c r="AS21" i="24" s="1"/>
  <c r="AQ23" i="24"/>
  <c r="AS23" i="24" s="1"/>
  <c r="I24" i="24"/>
  <c r="I30" i="24"/>
  <c r="I34" i="24"/>
  <c r="I22" i="24"/>
  <c r="AC59" i="24"/>
  <c r="N59" i="24"/>
  <c r="I4" i="24"/>
  <c r="AQ8" i="24"/>
  <c r="AS8" i="24" s="1"/>
  <c r="I10" i="24"/>
  <c r="AQ14" i="24"/>
  <c r="AS14" i="24" s="1"/>
  <c r="AQ18" i="24"/>
  <c r="AS18" i="24" s="1"/>
  <c r="AQ37" i="24"/>
  <c r="AS37" i="24" s="1"/>
  <c r="I39" i="24"/>
  <c r="I32" i="24"/>
  <c r="I40" i="24"/>
  <c r="AR56" i="24"/>
  <c r="I23" i="24"/>
  <c r="I26" i="24"/>
  <c r="AQ10" i="24"/>
  <c r="AS10" i="24" s="1"/>
  <c r="I13" i="24"/>
  <c r="AQ7" i="24"/>
  <c r="AS7" i="24" s="1"/>
  <c r="AQ39" i="24"/>
  <c r="AS39" i="24" s="1"/>
  <c r="I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K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F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O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8214B481-3122-49AE-B523-06124641DA17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L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M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P6" authorId="2" shapeId="0" xr:uid="{6F5AC926-3089-4ABD-BEDE-1A77CAC25BF3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Q6" authorId="2" shapeId="0" xr:uid="{3CD709B2-9139-47A9-ABE2-B852D00C3E57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R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S6" authorId="2" shapeId="0" xr:uid="{2D6506A0-1D2E-45D3-B73B-DDBE7C907AFF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X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A6" authorId="2" shapeId="0" xr:uid="{38076562-BE8B-4249-AAC0-ED175C6AE71C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AH6" authorId="2" shapeId="0" xr:uid="{4D48E577-AF4B-4982-A56E-5F43EC141772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AO6" authorId="2" shapeId="0" xr:uid="{F0C2A01E-A7B8-451B-A0EF-EB4511364273}">
      <text>
        <r>
          <rPr>
            <sz val="9"/>
            <color indexed="81"/>
            <rFont val="Tahoma"/>
            <charset val="1"/>
          </rPr>
          <t xml:space="preserve">新人教育訓練講師 Q&amp;A
</t>
        </r>
      </text>
    </comment>
    <comment ref="J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K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P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O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U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K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Z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K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O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A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F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O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R12" authorId="2" shapeId="0" xr:uid="{ED77DE07-71C0-4AAE-942F-FCDFFB7A9C8C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U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O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Q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Y13" authorId="1" shapeId="0" xr:uid="{DE610FD1-DD88-4D6A-B006-643112C4D7A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B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E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J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N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S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7184EDF9-78B2-459E-A24F-20E9DDC6189D}">
      <text/>
    </comment>
    <comment ref="M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Q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Y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L16" authorId="2" shapeId="0" xr:uid="{0AF5F51C-4423-4169-A94F-3500D314E9B6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M16" authorId="2" shapeId="0" xr:uid="{C9BA6245-491D-4927-BF70-FEA60CB4A601}">
      <text>
        <r>
          <rPr>
            <sz val="9"/>
            <color indexed="81"/>
            <rFont val="Tahoma"/>
            <charset val="1"/>
          </rPr>
          <t xml:space="preserve">新人教育訓練講師
</t>
        </r>
      </text>
    </comment>
    <comment ref="O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P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R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S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Y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Z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A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X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M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J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P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U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Z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A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G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R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E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M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W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P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S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A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G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I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K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N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J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O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T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B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C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H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K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V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Z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A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C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H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I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J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N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L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P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U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V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W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J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N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Q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E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L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O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U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V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Y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B1E9084E-E84F-43B2-9B9E-86140474305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C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I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N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Q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Y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Z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D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D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E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K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N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U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V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D44" authorId="1" shapeId="0" xr:uid="{41473BC0-CCE2-4A4B-ABA3-B39A0BC9B0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O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<sst xmlns="http://schemas.openxmlformats.org/spreadsheetml/2006/main" count="8121" uniqueCount="164">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</sst>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08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sz val="9"/>
      <color indexed="81"/>
      <name val="Tahoma"/>
      <charset val="1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8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210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49998474074526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4.9989318521683403E-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64" t="str">
        <f>"TPKC剩餘人力："&amp;AR59&amp;" / NK剩餘人力："&amp;AS59&amp;" /  N班人力："&amp;AR53</f>
        <v>TPKC剩餘人力：0 / NK剩餘人力：0 /  N班人力：92</v>
      </c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5"/>
      <c r="W1" s="365"/>
      <c r="X1" s="365"/>
      <c r="Y1" s="365"/>
      <c r="Z1" s="365"/>
      <c r="AA1" s="365"/>
      <c r="AB1" s="365"/>
      <c r="AC1" s="365"/>
      <c r="AD1" s="365"/>
      <c r="AE1" s="365"/>
      <c r="AF1" s="365"/>
      <c r="AG1" s="365"/>
      <c r="AH1" s="365"/>
      <c r="AI1" s="366"/>
      <c r="AJ1" s="365"/>
      <c r="AK1" s="365"/>
      <c r="AL1" s="367"/>
      <c r="AM1" s="368"/>
      <c r="AN1" s="368"/>
      <c r="AO1" s="5"/>
      <c r="AR1" s="6"/>
      <c r="AS1" s="7"/>
    </row>
    <row r="2" spans="1:226" ht="23.25" customHeight="1" thickBot="1">
      <c r="A2" s="373">
        <v>1</v>
      </c>
      <c r="B2" s="375">
        <v>2</v>
      </c>
      <c r="C2" s="375">
        <v>3</v>
      </c>
      <c r="D2" s="377" t="s">
        <v>60</v>
      </c>
      <c r="E2" s="379" t="s">
        <v>61</v>
      </c>
      <c r="F2" s="8" t="s">
        <v>62</v>
      </c>
      <c r="G2" s="8" t="s">
        <v>63</v>
      </c>
      <c r="H2" s="8" t="s">
        <v>64</v>
      </c>
      <c r="I2" s="369" t="s">
        <v>65</v>
      </c>
      <c r="J2" s="371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81" t="s">
        <v>48</v>
      </c>
      <c r="AW2" s="382"/>
      <c r="AX2" s="382"/>
    </row>
    <row r="3" spans="1:226" ht="24.6" customHeight="1" thickBot="1">
      <c r="A3" s="374"/>
      <c r="B3" s="376"/>
      <c r="C3" s="376"/>
      <c r="D3" s="378"/>
      <c r="E3" s="380"/>
      <c r="F3" s="15" t="s">
        <v>74</v>
      </c>
      <c r="G3" s="15" t="s">
        <v>75</v>
      </c>
      <c r="H3" s="16" t="s">
        <v>76</v>
      </c>
      <c r="I3" s="370"/>
      <c r="J3" s="372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209" priority="1" operator="equal">
      <formula>"大夜"</formula>
    </cfRule>
    <cfRule type="cellIs" dxfId="208" priority="2" operator="equal">
      <formula>"晚"</formula>
    </cfRule>
    <cfRule type="cellIs" dxfId="207" priority="3" operator="equal">
      <formula>3</formula>
    </cfRule>
    <cfRule type="cellIs" dxfId="206" priority="4" operator="equal">
      <formula>"小夜"</formula>
    </cfRule>
    <cfRule type="cellIs" dxfId="205" priority="5" operator="equal">
      <formula>"T中"</formula>
    </cfRule>
    <cfRule type="cellIs" dxfId="204" priority="6" operator="equal">
      <formula>"中"</formula>
    </cfRule>
    <cfRule type="cellIs" dxfId="203" priority="7" operator="equal">
      <formula>2</formula>
    </cfRule>
    <cfRule type="cellIs" dxfId="202" priority="8" operator="equal">
      <formula>"日"</formula>
    </cfRule>
    <cfRule type="cellIs" dxfId="201" priority="9" operator="equal">
      <formula>"T早"</formula>
    </cfRule>
    <cfRule type="cellIs" dxfId="200" priority="10" operator="equal">
      <formula>"早"</formula>
    </cfRule>
    <cfRule type="cellIs" dxfId="199" priority="11" operator="equal">
      <formula>"M1"</formula>
    </cfRule>
    <cfRule type="cellIs" dxfId="198" priority="12" operator="equal">
      <formula>1</formula>
    </cfRule>
    <cfRule type="expression" dxfId="197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96" priority="4256" operator="equal">
      <formula>5</formula>
    </cfRule>
    <cfRule type="cellIs" dxfId="195" priority="4257" operator="equal">
      <formula>4</formula>
    </cfRule>
    <cfRule type="cellIs" dxfId="194" priority="4258" operator="equal">
      <formula>3</formula>
    </cfRule>
    <cfRule type="cellIs" dxfId="193" priority="4259" operator="equal">
      <formula>2</formula>
    </cfRule>
    <cfRule type="cellIs" dxfId="192" priority="4260" operator="equal">
      <formula>1</formula>
    </cfRule>
  </conditionalFormatting>
  <conditionalFormatting sqref="K53:AO55">
    <cfRule type="cellIs" dxfId="191" priority="4261" operator="equal">
      <formula>"T中"</formula>
    </cfRule>
  </conditionalFormatting>
  <conditionalFormatting sqref="AP25">
    <cfRule type="cellIs" dxfId="190" priority="4564" operator="equal">
      <formula>"大夜"</formula>
    </cfRule>
    <cfRule type="cellIs" dxfId="189" priority="4565" operator="equal">
      <formula>"晚"</formula>
    </cfRule>
    <cfRule type="cellIs" dxfId="188" priority="4566" operator="equal">
      <formula>3</formula>
    </cfRule>
    <cfRule type="cellIs" dxfId="187" priority="4567" operator="equal">
      <formula>"小夜"</formula>
    </cfRule>
    <cfRule type="cellIs" dxfId="186" priority="4568" operator="equal">
      <formula>"T中"</formula>
    </cfRule>
    <cfRule type="cellIs" dxfId="185" priority="4569" operator="equal">
      <formula>"中"</formula>
    </cfRule>
    <cfRule type="cellIs" dxfId="184" priority="4570" operator="equal">
      <formula>"M2"</formula>
    </cfRule>
    <cfRule type="cellIs" dxfId="183" priority="4571" operator="equal">
      <formula>2</formula>
    </cfRule>
    <cfRule type="cellIs" dxfId="182" priority="4572" operator="equal">
      <formula>"日"</formula>
    </cfRule>
    <cfRule type="cellIs" dxfId="181" priority="4573" operator="equal">
      <formula>"T早"</formula>
    </cfRule>
    <cfRule type="cellIs" dxfId="180" priority="4574" operator="equal">
      <formula>"早"</formula>
    </cfRule>
    <cfRule type="cellIs" dxfId="179" priority="4575" operator="equal">
      <formula>"M1"</formula>
    </cfRule>
    <cfRule type="cellIs" dxfId="178" priority="4576" operator="equal">
      <formula>1</formula>
    </cfRule>
  </conditionalFormatting>
  <conditionalFormatting sqref="AS4:AS46">
    <cfRule type="cellIs" dxfId="177" priority="4562" operator="equal">
      <formula>-2</formula>
    </cfRule>
    <cfRule type="cellIs" dxfId="176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64" t="str">
        <f>"TPKC剩餘人力："&amp;AO59&amp;" / NK剩餘人力："&amp;AP59&amp;" /  N班人力："&amp;AO54</f>
        <v>TPKC剩餘人力：0 / NK剩餘人力：0 /  N班人力：32</v>
      </c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5"/>
      <c r="W1" s="365"/>
      <c r="X1" s="365"/>
      <c r="Y1" s="365"/>
      <c r="Z1" s="365"/>
      <c r="AA1" s="365"/>
      <c r="AB1" s="365"/>
      <c r="AC1" s="365"/>
      <c r="AD1" s="365"/>
      <c r="AE1" s="365"/>
      <c r="AF1" s="365"/>
      <c r="AG1" s="365"/>
      <c r="AH1" s="365"/>
      <c r="AI1" s="366"/>
      <c r="AJ1" s="365"/>
      <c r="AK1" s="365"/>
      <c r="AL1" s="183"/>
      <c r="AO1" s="6"/>
      <c r="AP1" s="7"/>
    </row>
    <row r="2" spans="1:223" ht="23.25" customHeight="1" thickBot="1">
      <c r="A2" s="373">
        <v>1</v>
      </c>
      <c r="B2" s="375">
        <v>2</v>
      </c>
      <c r="C2" s="375">
        <v>3</v>
      </c>
      <c r="D2" s="377" t="s">
        <v>104</v>
      </c>
      <c r="E2" s="379" t="s">
        <v>105</v>
      </c>
      <c r="F2" s="8" t="s">
        <v>106</v>
      </c>
      <c r="G2" s="8" t="s">
        <v>107</v>
      </c>
      <c r="H2" s="8" t="s">
        <v>108</v>
      </c>
      <c r="I2" s="369" t="s">
        <v>109</v>
      </c>
      <c r="J2" s="383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81" t="s">
        <v>48</v>
      </c>
      <c r="AT2" s="382"/>
      <c r="AU2" s="382"/>
    </row>
    <row r="3" spans="1:223" ht="24.6" customHeight="1" thickBot="1">
      <c r="A3" s="374"/>
      <c r="B3" s="376"/>
      <c r="C3" s="376"/>
      <c r="D3" s="378"/>
      <c r="E3" s="380"/>
      <c r="F3" s="15" t="s">
        <v>118</v>
      </c>
      <c r="G3" s="15" t="s">
        <v>119</v>
      </c>
      <c r="H3" s="16" t="s">
        <v>120</v>
      </c>
      <c r="I3" s="370"/>
      <c r="J3" s="384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175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174" priority="1">
      <formula>OR(K4=3, K4="晚",  K4="大夜")</formula>
    </cfRule>
    <cfRule type="expression" dxfId="173" priority="2">
      <formula>OR(K4="M2", K4=2, K4="中", K4="T中", K4="小夜")</formula>
    </cfRule>
    <cfRule type="expression" dxfId="172" priority="4">
      <formula>OR(K4="M1", K4=1, K4="早", K4="T早", K4="日")</formula>
    </cfRule>
  </conditionalFormatting>
  <conditionalFormatting sqref="K47:AL55">
    <cfRule type="cellIs" dxfId="171" priority="214" operator="equal">
      <formula>5</formula>
    </cfRule>
    <cfRule type="cellIs" dxfId="170" priority="215" operator="equal">
      <formula>4</formula>
    </cfRule>
    <cfRule type="cellIs" dxfId="169" priority="216" operator="equal">
      <formula>3</formula>
    </cfRule>
    <cfRule type="cellIs" dxfId="168" priority="217" operator="equal">
      <formula>2</formula>
    </cfRule>
    <cfRule type="cellIs" dxfId="167" priority="218" operator="equal">
      <formula>1</formula>
    </cfRule>
  </conditionalFormatting>
  <conditionalFormatting sqref="K53:AL55">
    <cfRule type="cellIs" dxfId="166" priority="219" operator="equal">
      <formula>"T中"</formula>
    </cfRule>
  </conditionalFormatting>
  <conditionalFormatting sqref="AM25">
    <cfRule type="cellIs" dxfId="165" priority="228" operator="equal">
      <formula>"大夜"</formula>
    </cfRule>
    <cfRule type="cellIs" dxfId="164" priority="229" operator="equal">
      <formula>"晚"</formula>
    </cfRule>
    <cfRule type="cellIs" dxfId="163" priority="230" operator="equal">
      <formula>3</formula>
    </cfRule>
    <cfRule type="cellIs" dxfId="162" priority="231" operator="equal">
      <formula>"小夜"</formula>
    </cfRule>
    <cfRule type="cellIs" dxfId="161" priority="232" operator="equal">
      <formula>"T中"</formula>
    </cfRule>
    <cfRule type="cellIs" dxfId="160" priority="233" operator="equal">
      <formula>"中"</formula>
    </cfRule>
    <cfRule type="cellIs" dxfId="159" priority="234" operator="equal">
      <formula>"M2"</formula>
    </cfRule>
    <cfRule type="cellIs" dxfId="158" priority="235" operator="equal">
      <formula>2</formula>
    </cfRule>
    <cfRule type="cellIs" dxfId="157" priority="236" operator="equal">
      <formula>"日"</formula>
    </cfRule>
    <cfRule type="cellIs" dxfId="156" priority="237" operator="equal">
      <formula>"T早"</formula>
    </cfRule>
    <cfRule type="cellIs" dxfId="155" priority="238" operator="equal">
      <formula>"早"</formula>
    </cfRule>
    <cfRule type="cellIs" dxfId="154" priority="239" operator="equal">
      <formula>"M1"</formula>
    </cfRule>
    <cfRule type="cellIs" dxfId="153" priority="240" operator="equal">
      <formula>1</formula>
    </cfRule>
  </conditionalFormatting>
  <conditionalFormatting sqref="AP4:AP46">
    <cfRule type="cellIs" dxfId="152" priority="226" operator="equal">
      <formula>-2</formula>
    </cfRule>
    <cfRule type="cellIs" dxfId="151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64" t="str">
        <f>"TPKC剩餘人力："&amp;AR58&amp;" / NK剩餘人力："&amp;AS58&amp;" /  N班人力："&amp;AR53</f>
        <v>TPKC剩餘人力：2 / NK剩餘人力：0 /  N班人力：114</v>
      </c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5"/>
      <c r="W1" s="365"/>
      <c r="X1" s="365"/>
      <c r="Y1" s="365"/>
      <c r="Z1" s="365"/>
      <c r="AA1" s="365"/>
      <c r="AB1" s="365"/>
      <c r="AC1" s="365"/>
      <c r="AD1" s="365"/>
      <c r="AE1" s="365"/>
      <c r="AF1" s="365"/>
      <c r="AG1" s="365"/>
      <c r="AH1" s="365"/>
      <c r="AI1" s="366"/>
      <c r="AJ1" s="365"/>
      <c r="AK1" s="365"/>
      <c r="AL1" s="367"/>
      <c r="AM1" s="368"/>
      <c r="AN1" s="368"/>
      <c r="AO1" s="5"/>
      <c r="AR1" s="6"/>
      <c r="AS1" s="7"/>
    </row>
    <row r="2" spans="1:226" ht="23.25" customHeight="1" thickBot="1">
      <c r="A2" s="373">
        <v>1</v>
      </c>
      <c r="B2" s="375">
        <v>2</v>
      </c>
      <c r="C2" s="375">
        <v>3</v>
      </c>
      <c r="D2" s="377" t="s">
        <v>104</v>
      </c>
      <c r="E2" s="379" t="s">
        <v>105</v>
      </c>
      <c r="F2" s="8" t="s">
        <v>106</v>
      </c>
      <c r="G2" s="8" t="s">
        <v>107</v>
      </c>
      <c r="H2" s="8" t="s">
        <v>108</v>
      </c>
      <c r="I2" s="369" t="s">
        <v>109</v>
      </c>
      <c r="J2" s="385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81" t="s">
        <v>48</v>
      </c>
      <c r="AW2" s="382"/>
      <c r="AX2" s="382"/>
    </row>
    <row r="3" spans="1:226" ht="24.6" customHeight="1" thickBot="1">
      <c r="A3" s="374"/>
      <c r="B3" s="376"/>
      <c r="C3" s="376"/>
      <c r="D3" s="378"/>
      <c r="E3" s="380"/>
      <c r="F3" s="15" t="s">
        <v>118</v>
      </c>
      <c r="G3" s="15" t="s">
        <v>119</v>
      </c>
      <c r="H3" s="16" t="s">
        <v>120</v>
      </c>
      <c r="I3" s="370"/>
      <c r="J3" s="38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150" priority="1">
      <formula>OR(K4=3, K4="晚",  K4="大夜")</formula>
    </cfRule>
    <cfRule type="expression" dxfId="149" priority="2">
      <formula>OR(K4="M2", K4=2, K4="中", K4="T中", K4="小夜")</formula>
    </cfRule>
    <cfRule type="expression" dxfId="148" priority="3">
      <formula>OR(K4="M1", K4=1, K4="早", K4="T早", K4="日")</formula>
    </cfRule>
    <cfRule type="expression" dxfId="147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46" priority="202" operator="equal">
      <formula>5</formula>
    </cfRule>
    <cfRule type="cellIs" dxfId="145" priority="203" operator="equal">
      <formula>4</formula>
    </cfRule>
    <cfRule type="cellIs" dxfId="144" priority="204" operator="equal">
      <formula>3</formula>
    </cfRule>
    <cfRule type="cellIs" dxfId="143" priority="205" operator="equal">
      <formula>2</formula>
    </cfRule>
    <cfRule type="cellIs" dxfId="142" priority="206" operator="equal">
      <formula>1</formula>
    </cfRule>
  </conditionalFormatting>
  <conditionalFormatting sqref="K53:AO55">
    <cfRule type="cellIs" dxfId="141" priority="207" operator="equal">
      <formula>"T中"</formula>
    </cfRule>
  </conditionalFormatting>
  <conditionalFormatting sqref="AP25">
    <cfRule type="cellIs" dxfId="140" priority="210" operator="equal">
      <formula>"大夜"</formula>
    </cfRule>
    <cfRule type="cellIs" dxfId="139" priority="211" operator="equal">
      <formula>"晚"</formula>
    </cfRule>
    <cfRule type="cellIs" dxfId="138" priority="212" operator="equal">
      <formula>3</formula>
    </cfRule>
    <cfRule type="cellIs" dxfId="137" priority="213" operator="equal">
      <formula>"小夜"</formula>
    </cfRule>
    <cfRule type="cellIs" dxfId="136" priority="214" operator="equal">
      <formula>"T中"</formula>
    </cfRule>
    <cfRule type="cellIs" dxfId="135" priority="215" operator="equal">
      <formula>"中"</formula>
    </cfRule>
    <cfRule type="cellIs" dxfId="134" priority="216" operator="equal">
      <formula>"M2"</formula>
    </cfRule>
    <cfRule type="cellIs" dxfId="133" priority="217" operator="equal">
      <formula>2</formula>
    </cfRule>
    <cfRule type="cellIs" dxfId="132" priority="218" operator="equal">
      <formula>"日"</formula>
    </cfRule>
    <cfRule type="cellIs" dxfId="131" priority="219" operator="equal">
      <formula>"T早"</formula>
    </cfRule>
    <cfRule type="cellIs" dxfId="130" priority="220" operator="equal">
      <formula>"早"</formula>
    </cfRule>
    <cfRule type="cellIs" dxfId="129" priority="221" operator="equal">
      <formula>"M1"</formula>
    </cfRule>
    <cfRule type="cellIs" dxfId="128" priority="222" operator="equal">
      <formula>1</formula>
    </cfRule>
  </conditionalFormatting>
  <conditionalFormatting sqref="AS4:AS46">
    <cfRule type="cellIs" dxfId="127" priority="208" operator="equal">
      <formula>-2</formula>
    </cfRule>
    <cfRule type="cellIs" dxfId="126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I6" sqref="AI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64" t="str">
        <f>"TPKC剩餘人力："&amp;AQ58&amp;" / NK剩餘人力："&amp;AR58&amp;" /  N班人力："&amp;AQ53</f>
        <v>TPKC剩餘人力：0 / NK剩餘人力：0 /  N班人力：76</v>
      </c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5"/>
      <c r="W1" s="365"/>
      <c r="X1" s="365"/>
      <c r="Y1" s="365"/>
      <c r="Z1" s="365"/>
      <c r="AA1" s="365"/>
      <c r="AB1" s="365"/>
      <c r="AC1" s="365"/>
      <c r="AD1" s="365"/>
      <c r="AE1" s="365"/>
      <c r="AF1" s="365"/>
      <c r="AG1" s="365"/>
      <c r="AH1" s="365"/>
      <c r="AI1" s="366"/>
      <c r="AJ1" s="365"/>
      <c r="AK1" s="365"/>
      <c r="AL1" s="367"/>
      <c r="AM1" s="368"/>
      <c r="AN1" s="368"/>
      <c r="AQ1" s="6"/>
      <c r="AR1" s="7"/>
    </row>
    <row r="2" spans="1:224" ht="23.25" customHeight="1" thickBot="1">
      <c r="A2" s="373">
        <v>1</v>
      </c>
      <c r="B2" s="375">
        <v>2</v>
      </c>
      <c r="C2" s="375">
        <v>3</v>
      </c>
      <c r="D2" s="377" t="s">
        <v>104</v>
      </c>
      <c r="E2" s="379" t="s">
        <v>105</v>
      </c>
      <c r="F2" s="8" t="s">
        <v>106</v>
      </c>
      <c r="G2" s="8" t="s">
        <v>107</v>
      </c>
      <c r="H2" s="8" t="s">
        <v>108</v>
      </c>
      <c r="I2" s="369" t="s">
        <v>109</v>
      </c>
      <c r="J2" s="371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81" t="s">
        <v>48</v>
      </c>
      <c r="AV2" s="382"/>
      <c r="AW2" s="382"/>
    </row>
    <row r="3" spans="1:224" ht="24.6" customHeight="1" thickBot="1">
      <c r="A3" s="374"/>
      <c r="B3" s="376"/>
      <c r="C3" s="376"/>
      <c r="D3" s="378"/>
      <c r="E3" s="380"/>
      <c r="F3" s="15" t="s">
        <v>118</v>
      </c>
      <c r="G3" s="15" t="s">
        <v>119</v>
      </c>
      <c r="H3" s="16" t="s">
        <v>120</v>
      </c>
      <c r="I3" s="370"/>
      <c r="J3" s="387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125" priority="65">
      <formula>OR(K4="T中", K4="中", K4=2, K4="小夜")</formula>
    </cfRule>
    <cfRule type="expression" dxfId="124" priority="66">
      <formula>OR(K4="T早", K4="早", K4="M1", K4=1, K4="日")</formula>
    </cfRule>
  </conditionalFormatting>
  <conditionalFormatting sqref="K4:AN46">
    <cfRule type="expression" dxfId="123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122" priority="4">
      <formula>OR(K4="晚", K4=3, K4="大夜")</formula>
    </cfRule>
  </conditionalFormatting>
  <conditionalFormatting sqref="K47:AN55">
    <cfRule type="cellIs" dxfId="121" priority="71" operator="equal">
      <formula>5</formula>
    </cfRule>
    <cfRule type="cellIs" dxfId="120" priority="72" operator="equal">
      <formula>4</formula>
    </cfRule>
    <cfRule type="cellIs" dxfId="119" priority="73" operator="equal">
      <formula>3</formula>
    </cfRule>
    <cfRule type="cellIs" dxfId="118" priority="74" operator="equal">
      <formula>2</formula>
    </cfRule>
    <cfRule type="cellIs" dxfId="117" priority="75" operator="equal">
      <formula>1</formula>
    </cfRule>
  </conditionalFormatting>
  <conditionalFormatting sqref="K53:AN55">
    <cfRule type="cellIs" dxfId="116" priority="76" operator="equal">
      <formula>"T中"</formula>
    </cfRule>
  </conditionalFormatting>
  <conditionalFormatting sqref="AM8:AN8">
    <cfRule type="expression" dxfId="115" priority="2">
      <formula>OR(AM8="T中", AM8="中", AM8=2, AM8="小夜")</formula>
    </cfRule>
    <cfRule type="expression" dxfId="114" priority="3">
      <formula>OR(AM8="T早", AM8="早", AM8="M1", AM8=1, AM8="日")</formula>
    </cfRule>
  </conditionalFormatting>
  <conditionalFormatting sqref="AO25">
    <cfRule type="cellIs" dxfId="113" priority="83" operator="equal">
      <formula>"大夜"</formula>
    </cfRule>
    <cfRule type="cellIs" dxfId="112" priority="84" operator="equal">
      <formula>"晚"</formula>
    </cfRule>
    <cfRule type="cellIs" dxfId="111" priority="85" operator="equal">
      <formula>3</formula>
    </cfRule>
    <cfRule type="cellIs" dxfId="110" priority="86" operator="equal">
      <formula>"小夜"</formula>
    </cfRule>
    <cfRule type="cellIs" dxfId="109" priority="87" operator="equal">
      <formula>"T中"</formula>
    </cfRule>
    <cfRule type="cellIs" dxfId="108" priority="88" operator="equal">
      <formula>"中"</formula>
    </cfRule>
    <cfRule type="cellIs" dxfId="107" priority="89" operator="equal">
      <formula>"M2"</formula>
    </cfRule>
    <cfRule type="cellIs" dxfId="106" priority="90" operator="equal">
      <formula>2</formula>
    </cfRule>
    <cfRule type="cellIs" dxfId="105" priority="91" operator="equal">
      <formula>"日"</formula>
    </cfRule>
    <cfRule type="cellIs" dxfId="104" priority="92" operator="equal">
      <formula>"T早"</formula>
    </cfRule>
    <cfRule type="cellIs" dxfId="103" priority="93" operator="equal">
      <formula>"早"</formula>
    </cfRule>
    <cfRule type="cellIs" dxfId="102" priority="94" operator="equal">
      <formula>"M1"</formula>
    </cfRule>
    <cfRule type="cellIs" dxfId="101" priority="95" operator="equal">
      <formula>1</formula>
    </cfRule>
  </conditionalFormatting>
  <conditionalFormatting sqref="AR4:AR46">
    <cfRule type="cellIs" dxfId="100" priority="81" operator="equal">
      <formula>-2</formula>
    </cfRule>
    <cfRule type="cellIs" dxfId="99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364" t="str">
        <f>"TPKC剩餘人力："&amp;AR57&amp;" / NK剩餘人力："&amp;AS57&amp;" /  N班人力："&amp;AR52</f>
        <v>TPKC剩餘人力：0 / NK剩餘人力：0 /  N班人力：79</v>
      </c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5"/>
      <c r="W1" s="365"/>
      <c r="X1" s="365"/>
      <c r="Y1" s="365"/>
      <c r="Z1" s="365"/>
      <c r="AA1" s="365"/>
      <c r="AB1" s="365"/>
      <c r="AC1" s="365"/>
      <c r="AD1" s="365"/>
      <c r="AE1" s="365"/>
      <c r="AF1" s="365"/>
      <c r="AG1" s="365"/>
      <c r="AH1" s="365"/>
      <c r="AI1" s="366"/>
      <c r="AJ1" s="365"/>
      <c r="AK1" s="365"/>
      <c r="AL1" s="367"/>
      <c r="AM1" s="368"/>
      <c r="AN1" s="368"/>
      <c r="AO1" s="5"/>
      <c r="AR1" s="6"/>
      <c r="AS1" s="7"/>
    </row>
    <row r="2" spans="1:226" ht="23.25" customHeight="1" thickBot="1">
      <c r="A2" s="373">
        <v>1</v>
      </c>
      <c r="B2" s="375">
        <v>2</v>
      </c>
      <c r="C2" s="375">
        <v>3</v>
      </c>
      <c r="D2" s="377" t="s">
        <v>104</v>
      </c>
      <c r="E2" s="379" t="s">
        <v>105</v>
      </c>
      <c r="F2" s="8" t="s">
        <v>106</v>
      </c>
      <c r="G2" s="8" t="s">
        <v>107</v>
      </c>
      <c r="H2" s="8" t="s">
        <v>108</v>
      </c>
      <c r="I2" s="369" t="s">
        <v>109</v>
      </c>
      <c r="J2" s="371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361" t="s">
        <v>48</v>
      </c>
      <c r="AX2" s="362"/>
      <c r="AY2" s="363"/>
    </row>
    <row r="3" spans="1:226" ht="24.6" customHeight="1" thickBot="1">
      <c r="A3" s="374"/>
      <c r="B3" s="376"/>
      <c r="C3" s="376"/>
      <c r="D3" s="378"/>
      <c r="E3" s="380"/>
      <c r="F3" s="15" t="s">
        <v>118</v>
      </c>
      <c r="G3" s="15" t="s">
        <v>119</v>
      </c>
      <c r="H3" s="16" t="s">
        <v>120</v>
      </c>
      <c r="I3" s="370"/>
      <c r="J3" s="387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98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97" priority="6">
      <formula>OR(K4="T中", K4="中", K4=2, K4="小夜")</formula>
    </cfRule>
    <cfRule type="expression" dxfId="96" priority="7">
      <formula>OR(K4="T早", K4="早", K4="M1", K4=1, K4="日")</formula>
    </cfRule>
    <cfRule type="expression" dxfId="95" priority="8">
      <formula>OR(K4="晚", K4=3, K4="大夜")</formula>
    </cfRule>
  </conditionalFormatting>
  <conditionalFormatting sqref="K46:AO54">
    <cfRule type="cellIs" dxfId="94" priority="727" operator="equal">
      <formula>5</formula>
    </cfRule>
    <cfRule type="cellIs" dxfId="93" priority="728" operator="equal">
      <formula>4</formula>
    </cfRule>
    <cfRule type="cellIs" dxfId="92" priority="729" operator="equal">
      <formula>3</formula>
    </cfRule>
    <cfRule type="cellIs" dxfId="91" priority="730" operator="equal">
      <formula>2</formula>
    </cfRule>
    <cfRule type="cellIs" dxfId="90" priority="731" operator="equal">
      <formula>1</formula>
    </cfRule>
  </conditionalFormatting>
  <conditionalFormatting sqref="K52:AO54">
    <cfRule type="cellIs" dxfId="89" priority="732" operator="equal">
      <formula>"T中"</formula>
    </cfRule>
  </conditionalFormatting>
  <conditionalFormatting sqref="AP25">
    <cfRule type="cellIs" dxfId="88" priority="735" operator="equal">
      <formula>"大夜"</formula>
    </cfRule>
    <cfRule type="cellIs" dxfId="87" priority="736" operator="equal">
      <formula>"晚"</formula>
    </cfRule>
    <cfRule type="cellIs" dxfId="86" priority="737" operator="equal">
      <formula>3</formula>
    </cfRule>
    <cfRule type="cellIs" dxfId="85" priority="738" operator="equal">
      <formula>"小夜"</formula>
    </cfRule>
    <cfRule type="cellIs" dxfId="84" priority="739" operator="equal">
      <formula>"T中"</formula>
    </cfRule>
    <cfRule type="cellIs" dxfId="83" priority="740" operator="equal">
      <formula>"中"</formula>
    </cfRule>
    <cfRule type="cellIs" dxfId="82" priority="741" operator="equal">
      <formula>"M2"</formula>
    </cfRule>
    <cfRule type="cellIs" dxfId="81" priority="742" operator="equal">
      <formula>2</formula>
    </cfRule>
    <cfRule type="cellIs" dxfId="80" priority="743" operator="equal">
      <formula>"日"</formula>
    </cfRule>
    <cfRule type="cellIs" dxfId="79" priority="744" operator="equal">
      <formula>"T早"</formula>
    </cfRule>
    <cfRule type="cellIs" dxfId="78" priority="745" operator="equal">
      <formula>"早"</formula>
    </cfRule>
    <cfRule type="cellIs" dxfId="77" priority="746" operator="equal">
      <formula>"M1"</formula>
    </cfRule>
    <cfRule type="cellIs" dxfId="76" priority="747" operator="equal">
      <formula>1</formula>
    </cfRule>
  </conditionalFormatting>
  <conditionalFormatting sqref="AS4:AS45">
    <cfRule type="cellIs" dxfId="75" priority="733" operator="equal">
      <formula>-2</formula>
    </cfRule>
    <cfRule type="cellIs" dxfId="74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64" t="str">
        <f>"TPKC剩餘人力："&amp;AQ56&amp;" / NK剩餘人力："&amp;AR56&amp;" /  N班人力："&amp;AQ51</f>
        <v>TPKC剩餘人力：-2 / NK剩餘人力：0 /  N班人力：100</v>
      </c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5"/>
      <c r="W1" s="365"/>
      <c r="X1" s="365"/>
      <c r="Y1" s="365"/>
      <c r="Z1" s="365"/>
      <c r="AA1" s="365"/>
      <c r="AB1" s="365"/>
      <c r="AC1" s="365"/>
      <c r="AD1" s="365"/>
      <c r="AE1" s="365"/>
      <c r="AF1" s="365"/>
      <c r="AG1" s="365"/>
      <c r="AH1" s="365"/>
      <c r="AI1" s="366"/>
      <c r="AJ1" s="365"/>
      <c r="AK1" s="365"/>
      <c r="AL1" s="367"/>
      <c r="AM1" s="368"/>
      <c r="AN1" s="368"/>
      <c r="AQ1" s="6"/>
      <c r="AR1" s="7"/>
    </row>
    <row r="2" spans="1:224" ht="23.25" customHeight="1" thickBot="1">
      <c r="A2" s="373">
        <v>1</v>
      </c>
      <c r="B2" s="375">
        <v>2</v>
      </c>
      <c r="C2" s="375">
        <v>3</v>
      </c>
      <c r="D2" s="377" t="s">
        <v>104</v>
      </c>
      <c r="E2" s="379" t="s">
        <v>105</v>
      </c>
      <c r="F2" s="8" t="s">
        <v>106</v>
      </c>
      <c r="G2" s="8" t="s">
        <v>107</v>
      </c>
      <c r="H2" s="8" t="s">
        <v>108</v>
      </c>
      <c r="I2" s="369" t="s">
        <v>109</v>
      </c>
      <c r="J2" s="371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361" t="s">
        <v>48</v>
      </c>
      <c r="AV2" s="362"/>
      <c r="AW2" s="363"/>
    </row>
    <row r="3" spans="1:224" ht="24.6" customHeight="1" thickBot="1">
      <c r="A3" s="374"/>
      <c r="B3" s="376"/>
      <c r="C3" s="376"/>
      <c r="D3" s="378"/>
      <c r="E3" s="380"/>
      <c r="F3" s="15" t="s">
        <v>118</v>
      </c>
      <c r="G3" s="15" t="s">
        <v>119</v>
      </c>
      <c r="H3" s="16" t="s">
        <v>120</v>
      </c>
      <c r="I3" s="370"/>
      <c r="J3" s="387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73" priority="17">
      <formula>OR(K4="晚", K4=3, K4="大夜")</formula>
    </cfRule>
  </conditionalFormatting>
  <conditionalFormatting sqref="K4:AN6 K7:AL7 K8:AN35 K36:AO36 K37:AN37 K38 M38:Y38 AB38:AH38 AJ38:AN38 K39:AN44">
    <cfRule type="expression" dxfId="72" priority="32">
      <formula>OR(K4="T中", K4="中", K4=2, K4="小夜")</formula>
    </cfRule>
    <cfRule type="expression" dxfId="71" priority="33">
      <formula>OR(K4="T早", K4="早", K4="M1", K4=1, K4="日")</formula>
    </cfRule>
  </conditionalFormatting>
  <conditionalFormatting sqref="K37:AN44 K4:AN6 K7:AL7 K8:AN35 K36:AO36">
    <cfRule type="expression" dxfId="70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69" priority="52" operator="equal">
      <formula>5</formula>
    </cfRule>
    <cfRule type="cellIs" dxfId="68" priority="53" operator="equal">
      <formula>4</formula>
    </cfRule>
    <cfRule type="cellIs" dxfId="67" priority="54" operator="equal">
      <formula>3</formula>
    </cfRule>
    <cfRule type="cellIs" dxfId="66" priority="55" operator="equal">
      <formula>2</formula>
    </cfRule>
    <cfRule type="cellIs" dxfId="65" priority="56" operator="equal">
      <formula>1</formula>
    </cfRule>
  </conditionalFormatting>
  <conditionalFormatting sqref="K51:AN53">
    <cfRule type="cellIs" dxfId="64" priority="57" operator="equal">
      <formula>"T中"</formula>
    </cfRule>
  </conditionalFormatting>
  <conditionalFormatting sqref="L38">
    <cfRule type="expression" dxfId="63" priority="15">
      <formula>OR(L38="T中", L38="中", L38=2, L38="小夜")</formula>
    </cfRule>
    <cfRule type="expression" dxfId="62" priority="16">
      <formula>OR(L38="T早", L38="早", L38="M1", L38=1, L38="日")</formula>
    </cfRule>
  </conditionalFormatting>
  <conditionalFormatting sqref="T38">
    <cfRule type="expression" dxfId="61" priority="7">
      <formula>OR(T38="T中", T38="中", T38=2, T38="小夜")</formula>
    </cfRule>
    <cfRule type="expression" dxfId="60" priority="8">
      <formula>OR(T38="T早", T38="早", T38="M1", T38=1, T38="日")</formula>
    </cfRule>
    <cfRule type="expression" dxfId="59" priority="9">
      <formula>OR(T38="晚", T38=3, T38="大夜")</formula>
    </cfRule>
  </conditionalFormatting>
  <conditionalFormatting sqref="V38">
    <cfRule type="expression" dxfId="58" priority="11">
      <formula>OR(V38="T中", V38="中", V38=2, V38="小夜")</formula>
    </cfRule>
    <cfRule type="expression" dxfId="57" priority="12">
      <formula>OR(V38="T早", V38="早", V38="M1", V38=1, V38="日")</formula>
    </cfRule>
    <cfRule type="expression" dxfId="56" priority="13">
      <formula>OR(V38="晚", V38=3, V38="大夜")</formula>
    </cfRule>
  </conditionalFormatting>
  <conditionalFormatting sqref="W38:AA38">
    <cfRule type="expression" dxfId="55" priority="21">
      <formula>OR(W38="晚", W38=3, W38="大夜")</formula>
    </cfRule>
  </conditionalFormatting>
  <conditionalFormatting sqref="Y38">
    <cfRule type="expression" dxfId="54" priority="6">
      <formula>OR(Y38="晚", Y38=3, Y38="大夜")</formula>
    </cfRule>
  </conditionalFormatting>
  <conditionalFormatting sqref="Z38:AA38">
    <cfRule type="expression" dxfId="53" priority="19">
      <formula>OR(Z38="T中", Z38="中", Z38=2, Z38="小夜")</formula>
    </cfRule>
    <cfRule type="expression" dxfId="52" priority="20">
      <formula>OR(Z38="T早", Z38="早", Z38="M1", Z38=1, Z38="日")</formula>
    </cfRule>
  </conditionalFormatting>
  <conditionalFormatting sqref="AB38:AN38">
    <cfRule type="expression" dxfId="51" priority="25">
      <formula>OR(AB38="晚", AB38=3, AB38="大夜")</formula>
    </cfRule>
  </conditionalFormatting>
  <conditionalFormatting sqref="AI38:AJ38">
    <cfRule type="expression" dxfId="50" priority="23">
      <formula>OR(AI38="T中", AI38="中", AI38=2, AI38="小夜")</formula>
    </cfRule>
    <cfRule type="expression" dxfId="49" priority="24">
      <formula>OR(AI38="T早", AI38="早", AI38="M1", AI38=1, AI38="日")</formula>
    </cfRule>
  </conditionalFormatting>
  <conditionalFormatting sqref="AJ38">
    <cfRule type="expression" dxfId="48" priority="1">
      <formula>OR(AJ38="晚", AJ38=3, AJ38="大夜")</formula>
    </cfRule>
  </conditionalFormatting>
  <conditionalFormatting sqref="AO24">
    <cfRule type="cellIs" dxfId="47" priority="60" operator="equal">
      <formula>"大夜"</formula>
    </cfRule>
    <cfRule type="cellIs" dxfId="46" priority="61" operator="equal">
      <formula>"晚"</formula>
    </cfRule>
    <cfRule type="cellIs" dxfId="45" priority="62" operator="equal">
      <formula>3</formula>
    </cfRule>
    <cfRule type="cellIs" dxfId="44" priority="63" operator="equal">
      <formula>"小夜"</formula>
    </cfRule>
    <cfRule type="cellIs" dxfId="43" priority="64" operator="equal">
      <formula>"T中"</formula>
    </cfRule>
    <cfRule type="cellIs" dxfId="42" priority="65" operator="equal">
      <formula>"中"</formula>
    </cfRule>
    <cfRule type="cellIs" dxfId="41" priority="66" operator="equal">
      <formula>"M2"</formula>
    </cfRule>
    <cfRule type="cellIs" dxfId="40" priority="67" operator="equal">
      <formula>2</formula>
    </cfRule>
    <cfRule type="cellIs" dxfId="39" priority="68" operator="equal">
      <formula>"日"</formula>
    </cfRule>
    <cfRule type="cellIs" dxfId="38" priority="69" operator="equal">
      <formula>"T早"</formula>
    </cfRule>
    <cfRule type="cellIs" dxfId="37" priority="70" operator="equal">
      <formula>"早"</formula>
    </cfRule>
    <cfRule type="cellIs" dxfId="36" priority="71" operator="equal">
      <formula>"M1"</formula>
    </cfRule>
    <cfRule type="cellIs" dxfId="35" priority="72" operator="equal">
      <formula>1</formula>
    </cfRule>
  </conditionalFormatting>
  <conditionalFormatting sqref="AR4:AR44">
    <cfRule type="cellIs" dxfId="34" priority="58" operator="equal">
      <formula>-2</formula>
    </cfRule>
    <cfRule type="cellIs" dxfId="33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R115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7" sqref="J7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8</v>
      </c>
      <c r="J1" s="4"/>
      <c r="K1" s="364" t="str">
        <f>"TPKC剩餘人力："&amp;AR56&amp;" / NK剩餘人力："&amp;AS56&amp;" /  N班人力："&amp;AR51</f>
        <v>TPKC剩餘人力：7 / NK剩餘人力：3 /  N班人力：122</v>
      </c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5"/>
      <c r="W1" s="365"/>
      <c r="X1" s="365"/>
      <c r="Y1" s="365"/>
      <c r="Z1" s="365"/>
      <c r="AA1" s="365"/>
      <c r="AB1" s="365"/>
      <c r="AC1" s="365"/>
      <c r="AD1" s="365"/>
      <c r="AE1" s="365"/>
      <c r="AF1" s="365"/>
      <c r="AG1" s="365"/>
      <c r="AH1" s="365"/>
      <c r="AI1" s="366"/>
      <c r="AJ1" s="365"/>
      <c r="AK1" s="365"/>
      <c r="AL1" s="367"/>
      <c r="AM1" s="368"/>
      <c r="AN1" s="368"/>
      <c r="AO1" s="5"/>
      <c r="AR1" s="6"/>
      <c r="AS1" s="7"/>
    </row>
    <row r="2" spans="1:226" ht="23.25" customHeight="1" thickBot="1">
      <c r="A2" s="373">
        <v>1</v>
      </c>
      <c r="B2" s="375">
        <v>2</v>
      </c>
      <c r="C2" s="375">
        <v>3</v>
      </c>
      <c r="D2" s="377" t="s">
        <v>104</v>
      </c>
      <c r="E2" s="379" t="s">
        <v>105</v>
      </c>
      <c r="F2" s="8" t="s">
        <v>106</v>
      </c>
      <c r="G2" s="8" t="s">
        <v>107</v>
      </c>
      <c r="H2" s="8" t="s">
        <v>108</v>
      </c>
      <c r="I2" s="369" t="s">
        <v>109</v>
      </c>
      <c r="J2" s="371" t="s">
        <v>161</v>
      </c>
      <c r="K2" s="12" t="s">
        <v>114</v>
      </c>
      <c r="L2" s="12" t="s">
        <v>115</v>
      </c>
      <c r="M2" s="13" t="s">
        <v>116</v>
      </c>
      <c r="N2" s="14" t="s">
        <v>117</v>
      </c>
      <c r="O2" s="14" t="s">
        <v>111</v>
      </c>
      <c r="P2" s="9" t="s">
        <v>112</v>
      </c>
      <c r="Q2" s="9" t="s">
        <v>113</v>
      </c>
      <c r="R2" s="9" t="s">
        <v>114</v>
      </c>
      <c r="S2" s="9" t="s">
        <v>115</v>
      </c>
      <c r="T2" s="10" t="s">
        <v>116</v>
      </c>
      <c r="U2" s="11" t="s">
        <v>117</v>
      </c>
      <c r="V2" s="11" t="s">
        <v>111</v>
      </c>
      <c r="W2" s="12" t="s">
        <v>112</v>
      </c>
      <c r="X2" s="12" t="s">
        <v>113</v>
      </c>
      <c r="Y2" s="12" t="s">
        <v>114</v>
      </c>
      <c r="Z2" s="12" t="s">
        <v>115</v>
      </c>
      <c r="AA2" s="13" t="s">
        <v>116</v>
      </c>
      <c r="AB2" s="14" t="s">
        <v>117</v>
      </c>
      <c r="AC2" s="14" t="s">
        <v>111</v>
      </c>
      <c r="AD2" s="9" t="s">
        <v>112</v>
      </c>
      <c r="AE2" s="9" t="s">
        <v>113</v>
      </c>
      <c r="AF2" s="9" t="s">
        <v>114</v>
      </c>
      <c r="AG2" s="9" t="s">
        <v>115</v>
      </c>
      <c r="AH2" s="10" t="s">
        <v>116</v>
      </c>
      <c r="AI2" s="11" t="s">
        <v>117</v>
      </c>
      <c r="AJ2" s="11" t="s">
        <v>111</v>
      </c>
      <c r="AK2" s="12" t="s">
        <v>112</v>
      </c>
      <c r="AL2" s="12" t="s">
        <v>113</v>
      </c>
      <c r="AM2" s="12" t="s">
        <v>114</v>
      </c>
      <c r="AN2" s="12" t="s">
        <v>115</v>
      </c>
      <c r="AO2" s="349" t="s">
        <v>116</v>
      </c>
      <c r="AR2" s="6"/>
      <c r="AV2" s="361" t="s">
        <v>48</v>
      </c>
      <c r="AW2" s="362"/>
      <c r="AX2" s="363"/>
    </row>
    <row r="3" spans="1:226" ht="24.6" customHeight="1" thickBot="1">
      <c r="A3" s="374"/>
      <c r="B3" s="376"/>
      <c r="C3" s="376"/>
      <c r="D3" s="378"/>
      <c r="E3" s="380"/>
      <c r="F3" s="15" t="s">
        <v>118</v>
      </c>
      <c r="G3" s="15" t="s">
        <v>119</v>
      </c>
      <c r="H3" s="16" t="s">
        <v>120</v>
      </c>
      <c r="I3" s="370"/>
      <c r="J3" s="372"/>
      <c r="K3" s="354">
        <v>1</v>
      </c>
      <c r="L3" s="17">
        <v>2</v>
      </c>
      <c r="M3" s="17">
        <v>3</v>
      </c>
      <c r="N3" s="18">
        <v>4</v>
      </c>
      <c r="O3" s="18">
        <v>5</v>
      </c>
      <c r="P3" s="17">
        <v>6</v>
      </c>
      <c r="Q3" s="17">
        <v>7</v>
      </c>
      <c r="R3" s="17">
        <v>8</v>
      </c>
      <c r="S3" s="17">
        <v>9</v>
      </c>
      <c r="T3" s="17">
        <v>10</v>
      </c>
      <c r="U3" s="18">
        <v>11</v>
      </c>
      <c r="V3" s="18">
        <v>12</v>
      </c>
      <c r="W3" s="17">
        <v>13</v>
      </c>
      <c r="X3" s="17">
        <v>14</v>
      </c>
      <c r="Y3" s="17">
        <v>15</v>
      </c>
      <c r="Z3" s="17">
        <v>16</v>
      </c>
      <c r="AA3" s="17">
        <v>17</v>
      </c>
      <c r="AB3" s="18">
        <v>18</v>
      </c>
      <c r="AC3" s="18">
        <v>19</v>
      </c>
      <c r="AD3" s="17">
        <v>20</v>
      </c>
      <c r="AE3" s="17">
        <v>21</v>
      </c>
      <c r="AF3" s="17">
        <v>22</v>
      </c>
      <c r="AG3" s="17">
        <v>23</v>
      </c>
      <c r="AH3" s="17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355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22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8</v>
      </c>
      <c r="G4" s="26">
        <f>COUNTIF(K4:AO4,"Y")</f>
        <v>0</v>
      </c>
      <c r="H4" s="26">
        <f>COUNTIF(K4:AO4,"Z")</f>
        <v>0</v>
      </c>
      <c r="I4" s="27">
        <f t="shared" ref="I4:I38" si="0">SUM(A4:H4)</f>
        <v>31</v>
      </c>
      <c r="J4" s="267" t="s">
        <v>152</v>
      </c>
      <c r="K4" s="198">
        <v>3</v>
      </c>
      <c r="L4" s="118">
        <v>3</v>
      </c>
      <c r="M4" s="118">
        <v>3</v>
      </c>
      <c r="N4" s="29" t="s">
        <v>0</v>
      </c>
      <c r="O4" s="29" t="s">
        <v>0</v>
      </c>
      <c r="P4" s="118">
        <v>3</v>
      </c>
      <c r="Q4" s="118">
        <v>3</v>
      </c>
      <c r="R4" s="118">
        <v>3</v>
      </c>
      <c r="S4" s="118">
        <v>3</v>
      </c>
      <c r="T4" s="118">
        <v>3</v>
      </c>
      <c r="U4" s="31" t="s">
        <v>0</v>
      </c>
      <c r="V4" s="33" t="s">
        <v>1</v>
      </c>
      <c r="W4" s="31" t="s">
        <v>0</v>
      </c>
      <c r="X4" s="29" t="s">
        <v>40</v>
      </c>
      <c r="Y4" s="29" t="s">
        <v>40</v>
      </c>
      <c r="Z4" s="29" t="s">
        <v>40</v>
      </c>
      <c r="AA4" s="29" t="s">
        <v>40</v>
      </c>
      <c r="AB4" s="29" t="s">
        <v>0</v>
      </c>
      <c r="AC4" s="29">
        <v>3</v>
      </c>
      <c r="AD4" s="118">
        <v>3</v>
      </c>
      <c r="AE4" s="118">
        <v>3</v>
      </c>
      <c r="AF4" s="118">
        <v>3</v>
      </c>
      <c r="AG4" s="118">
        <v>3</v>
      </c>
      <c r="AH4" s="118">
        <v>3</v>
      </c>
      <c r="AI4" s="31" t="s">
        <v>0</v>
      </c>
      <c r="AJ4" s="31" t="s">
        <v>0</v>
      </c>
      <c r="AK4" s="33" t="s">
        <v>0</v>
      </c>
      <c r="AL4" s="118">
        <v>3</v>
      </c>
      <c r="AM4" s="118">
        <v>3</v>
      </c>
      <c r="AN4" s="118" t="s">
        <v>40</v>
      </c>
      <c r="AO4" s="119">
        <v>3</v>
      </c>
      <c r="AP4" s="35">
        <v>0</v>
      </c>
      <c r="AQ4" s="36">
        <f t="shared" ref="AQ4:AQ44" si="1">$F4+$G4+H4-$I$1</f>
        <v>0</v>
      </c>
      <c r="AR4" s="36">
        <v>0</v>
      </c>
      <c r="AS4" s="133">
        <f>SUM(AP4:AR4)</f>
        <v>0</v>
      </c>
      <c r="AT4" s="328" t="s">
        <v>126</v>
      </c>
      <c r="AV4" s="6" cm="2">
        <f t="array" ref="AV4">SUMPRODUCT(COUNTIF(N4:O4,{"X";"Y";"Z";"S"}))+SUMPRODUCT(COUNTIF(U4:V4,{"X";"Y";"Z";"S"}))+SUMPRODUCT(COUNTIF(AB4:AC4,{"X";"Y";"Z";"S"}))+SUMPRODUCT(COUNTIF(AI4:AJ4,{"X";"Y";"Z";"S"}))-5</f>
        <v>2</v>
      </c>
      <c r="AW4" s="6">
        <v>3</v>
      </c>
      <c r="AX4" s="6">
        <f>AV4+AW4</f>
        <v>5</v>
      </c>
    </row>
    <row r="5" spans="1:226" ht="25.5" customHeight="1">
      <c r="A5" s="38">
        <f t="shared" ref="A5:A38" si="2">COUNTIF(K5:AO5,1)+COUNTIF(K5:AO5,"早")+COUNTIF(K5:AO5,"M1")+COUNTIF(K5:AO5,"T早")+COUNTIF(K5:AO5,"日")</f>
        <v>4</v>
      </c>
      <c r="B5" s="39">
        <f t="shared" ref="B5:B38" si="3">COUNTIF(K5:AO5,2)+COUNTIF(K5:AO5,"中")+COUNTIF(K5:AO5,"M2")+COUNTIF(K5:AO5,"T中")+COUNTIF(K5:AO5,"小夜")</f>
        <v>5</v>
      </c>
      <c r="C5" s="40">
        <f t="shared" ref="C5:C38" si="4">COUNTIF(K5:AO5,3)+COUNTIF(K5:AO5,"晚")+COUNTIF(K5:AO5,"大夜")</f>
        <v>8</v>
      </c>
      <c r="D5" s="39">
        <f t="shared" ref="D5:D38" si="5">COUNTIF(K5:AO5,"N")+COUNTIF(K5:AO5,"N8")</f>
        <v>3</v>
      </c>
      <c r="E5" s="41">
        <f t="shared" ref="E5:E38" si="6">COUNTIF(K5:AO5,"S")</f>
        <v>3</v>
      </c>
      <c r="F5" s="41">
        <f t="shared" ref="F5:F38" si="7">COUNTIF(K5:AO5,"X")</f>
        <v>8</v>
      </c>
      <c r="G5" s="41">
        <f t="shared" ref="G5:G38" si="8">COUNTIF(K5:AO5,"Y")</f>
        <v>0</v>
      </c>
      <c r="H5" s="41">
        <f t="shared" ref="H5:H38" si="9">COUNTIF(K5:AO5,"Z")</f>
        <v>0</v>
      </c>
      <c r="I5" s="42">
        <f t="shared" si="0"/>
        <v>31</v>
      </c>
      <c r="J5" s="43" t="s">
        <v>2</v>
      </c>
      <c r="K5" s="122" t="s">
        <v>1</v>
      </c>
      <c r="L5" s="32" t="s">
        <v>1</v>
      </c>
      <c r="M5" s="32" t="s">
        <v>0</v>
      </c>
      <c r="N5" s="121">
        <v>2</v>
      </c>
      <c r="O5" s="30">
        <v>2</v>
      </c>
      <c r="P5" s="30">
        <v>2</v>
      </c>
      <c r="Q5" s="30">
        <v>2</v>
      </c>
      <c r="R5" s="30" t="s">
        <v>0</v>
      </c>
      <c r="S5" s="30" t="s">
        <v>36</v>
      </c>
      <c r="T5" s="121">
        <v>2</v>
      </c>
      <c r="U5" s="44" t="s">
        <v>0</v>
      </c>
      <c r="V5" s="44" t="s">
        <v>0</v>
      </c>
      <c r="W5" s="121">
        <v>3</v>
      </c>
      <c r="X5" s="121">
        <v>3</v>
      </c>
      <c r="Y5" s="121">
        <v>3</v>
      </c>
      <c r="Z5" s="121">
        <v>3</v>
      </c>
      <c r="AA5" s="121">
        <v>3</v>
      </c>
      <c r="AB5" s="44" t="s">
        <v>0</v>
      </c>
      <c r="AC5" s="44" t="s">
        <v>0</v>
      </c>
      <c r="AD5" s="32" t="s">
        <v>1</v>
      </c>
      <c r="AE5" s="30" t="s">
        <v>36</v>
      </c>
      <c r="AF5" s="30" t="s">
        <v>3</v>
      </c>
      <c r="AG5" s="30" t="s">
        <v>36</v>
      </c>
      <c r="AH5" s="30" t="s">
        <v>0</v>
      </c>
      <c r="AI5" s="121">
        <v>3</v>
      </c>
      <c r="AJ5" s="121">
        <v>3</v>
      </c>
      <c r="AK5" s="120">
        <v>3</v>
      </c>
      <c r="AL5" s="30" t="s">
        <v>0</v>
      </c>
      <c r="AM5" s="30" t="s">
        <v>3</v>
      </c>
      <c r="AN5" s="30" t="s">
        <v>3</v>
      </c>
      <c r="AO5" s="48" t="s">
        <v>36</v>
      </c>
      <c r="AP5" s="45">
        <v>0</v>
      </c>
      <c r="AQ5" s="46">
        <f t="shared" si="1"/>
        <v>0</v>
      </c>
      <c r="AR5" s="46">
        <v>0</v>
      </c>
      <c r="AS5" s="134">
        <f t="shared" ref="AS5:AS44" si="10">SUM(AP5:AR5)</f>
        <v>0</v>
      </c>
      <c r="AT5" s="329" t="s">
        <v>128</v>
      </c>
    </row>
    <row r="6" spans="1:226" ht="25.5" customHeight="1">
      <c r="A6" s="38">
        <f t="shared" si="2"/>
        <v>2</v>
      </c>
      <c r="B6" s="39">
        <f t="shared" si="3"/>
        <v>1</v>
      </c>
      <c r="C6" s="40">
        <f t="shared" si="4"/>
        <v>0</v>
      </c>
      <c r="D6" s="39">
        <f t="shared" si="5"/>
        <v>16</v>
      </c>
      <c r="E6" s="41">
        <f t="shared" si="6"/>
        <v>4</v>
      </c>
      <c r="F6" s="41">
        <f t="shared" si="7"/>
        <v>7</v>
      </c>
      <c r="G6" s="41">
        <f t="shared" si="8"/>
        <v>0</v>
      </c>
      <c r="H6" s="41">
        <f t="shared" si="9"/>
        <v>0</v>
      </c>
      <c r="I6" s="42">
        <f t="shared" si="0"/>
        <v>30</v>
      </c>
      <c r="J6" s="47" t="s">
        <v>129</v>
      </c>
      <c r="K6" s="336" t="s">
        <v>3</v>
      </c>
      <c r="L6" s="32" t="s">
        <v>1</v>
      </c>
      <c r="M6" s="32" t="s">
        <v>1</v>
      </c>
      <c r="N6" s="44" t="s">
        <v>0</v>
      </c>
      <c r="O6" s="44" t="s">
        <v>0</v>
      </c>
      <c r="P6" s="53" t="s">
        <v>3</v>
      </c>
      <c r="Q6" s="53" t="s">
        <v>3</v>
      </c>
      <c r="R6" s="53" t="s">
        <v>3</v>
      </c>
      <c r="S6" s="53" t="s">
        <v>3</v>
      </c>
      <c r="T6" s="30" t="s">
        <v>163</v>
      </c>
      <c r="U6" s="121">
        <v>1</v>
      </c>
      <c r="V6" s="121">
        <v>1</v>
      </c>
      <c r="W6" s="30" t="s">
        <v>0</v>
      </c>
      <c r="X6" s="53" t="s">
        <v>3</v>
      </c>
      <c r="Y6" s="30" t="s">
        <v>3</v>
      </c>
      <c r="Z6" s="30" t="s">
        <v>3</v>
      </c>
      <c r="AA6" s="53" t="s">
        <v>3</v>
      </c>
      <c r="AB6" s="44" t="s">
        <v>0</v>
      </c>
      <c r="AC6" s="44" t="s">
        <v>0</v>
      </c>
      <c r="AD6" s="32" t="s">
        <v>1</v>
      </c>
      <c r="AE6" s="32" t="s">
        <v>1</v>
      </c>
      <c r="AF6" s="30" t="s">
        <v>3</v>
      </c>
      <c r="AG6" s="30" t="s">
        <v>3</v>
      </c>
      <c r="AH6" s="53" t="s">
        <v>3</v>
      </c>
      <c r="AI6" s="30" t="s">
        <v>0</v>
      </c>
      <c r="AJ6" s="121">
        <v>2</v>
      </c>
      <c r="AK6" s="30" t="s">
        <v>0</v>
      </c>
      <c r="AL6" s="30" t="s">
        <v>3</v>
      </c>
      <c r="AM6" s="30" t="s">
        <v>3</v>
      </c>
      <c r="AN6" s="30" t="s">
        <v>3</v>
      </c>
      <c r="AO6" s="265" t="s">
        <v>3</v>
      </c>
      <c r="AP6" s="45">
        <v>0</v>
      </c>
      <c r="AQ6" s="46">
        <f t="shared" si="1"/>
        <v>-1</v>
      </c>
      <c r="AR6" s="46">
        <v>0</v>
      </c>
      <c r="AS6" s="134">
        <f t="shared" si="10"/>
        <v>-1</v>
      </c>
      <c r="AT6" s="329" t="s">
        <v>128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1</v>
      </c>
      <c r="AX6" s="6">
        <f t="shared" ref="AX6:AX7" si="11">AV6+AW6</f>
        <v>1</v>
      </c>
    </row>
    <row r="7" spans="1:226" ht="25.5" customHeight="1">
      <c r="A7" s="38">
        <f t="shared" si="2"/>
        <v>14</v>
      </c>
      <c r="B7" s="39">
        <f t="shared" si="3"/>
        <v>1</v>
      </c>
      <c r="C7" s="40">
        <f t="shared" si="4"/>
        <v>0</v>
      </c>
      <c r="D7" s="39">
        <f t="shared" si="5"/>
        <v>6</v>
      </c>
      <c r="E7" s="41">
        <f t="shared" si="6"/>
        <v>2</v>
      </c>
      <c r="F7" s="41">
        <f t="shared" si="7"/>
        <v>8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356" t="s">
        <v>41</v>
      </c>
      <c r="L7" s="348" t="s">
        <v>41</v>
      </c>
      <c r="M7" s="348" t="s">
        <v>41</v>
      </c>
      <c r="N7" s="44" t="s">
        <v>0</v>
      </c>
      <c r="O7" s="44" t="s">
        <v>0</v>
      </c>
      <c r="P7" s="30" t="s">
        <v>0</v>
      </c>
      <c r="Q7" s="121" t="s">
        <v>36</v>
      </c>
      <c r="R7" s="121" t="s">
        <v>36</v>
      </c>
      <c r="S7" s="30" t="s">
        <v>36</v>
      </c>
      <c r="T7" s="30" t="s">
        <v>36</v>
      </c>
      <c r="U7" s="30">
        <v>1</v>
      </c>
      <c r="V7" s="30">
        <v>1</v>
      </c>
      <c r="W7" s="30" t="s">
        <v>0</v>
      </c>
      <c r="X7" s="121">
        <v>1</v>
      </c>
      <c r="Y7" s="30" t="s">
        <v>36</v>
      </c>
      <c r="Z7" s="30" t="s">
        <v>36</v>
      </c>
      <c r="AA7" s="30" t="s">
        <v>36</v>
      </c>
      <c r="AB7" s="44" t="s">
        <v>0</v>
      </c>
      <c r="AC7" s="44" t="s">
        <v>0</v>
      </c>
      <c r="AD7" s="53" t="s">
        <v>3</v>
      </c>
      <c r="AE7" s="121" t="s">
        <v>36</v>
      </c>
      <c r="AF7" s="121" t="s">
        <v>36</v>
      </c>
      <c r="AG7" s="30" t="s">
        <v>0</v>
      </c>
      <c r="AH7" s="121">
        <v>1</v>
      </c>
      <c r="AI7" s="121">
        <v>2</v>
      </c>
      <c r="AJ7" s="41" t="s">
        <v>0</v>
      </c>
      <c r="AK7" s="30" t="s">
        <v>3</v>
      </c>
      <c r="AL7" s="30" t="s">
        <v>3</v>
      </c>
      <c r="AM7" s="121" t="s">
        <v>36</v>
      </c>
      <c r="AN7" s="32" t="s">
        <v>1</v>
      </c>
      <c r="AO7" s="290" t="s">
        <v>1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V7" s="6" cm="2">
        <f t="array" ref="AV7">SUMPRODUCT(COUNTIF(N7:O7,{"X";"Y";"Z";"S"}))+SUMPRODUCT(COUNTIF(U7:V7,{"X";"Y";"Z";"S"}))+SUMPRODUCT(COUNTIF(AB7:AC7,{"X";"Y";"Z";"S"}))+SUMPRODUCT(COUNTIF(AI7:AJ7,{"X";"Y";"Z";"S"}))-5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20</v>
      </c>
      <c r="E8" s="41">
        <f t="shared" si="6"/>
        <v>1</v>
      </c>
      <c r="F8" s="41">
        <f t="shared" si="7"/>
        <v>8</v>
      </c>
      <c r="G8" s="41">
        <f t="shared" si="8"/>
        <v>0</v>
      </c>
      <c r="H8" s="41">
        <f t="shared" si="9"/>
        <v>0</v>
      </c>
      <c r="I8" s="42">
        <f t="shared" si="0"/>
        <v>30</v>
      </c>
      <c r="J8" s="47" t="s">
        <v>132</v>
      </c>
      <c r="K8" s="30" t="s">
        <v>3</v>
      </c>
      <c r="L8" s="30" t="s">
        <v>3</v>
      </c>
      <c r="M8" s="30" t="s">
        <v>3</v>
      </c>
      <c r="N8" s="44" t="s">
        <v>0</v>
      </c>
      <c r="O8" s="44" t="s">
        <v>0</v>
      </c>
      <c r="P8" s="32" t="s">
        <v>1</v>
      </c>
      <c r="Q8" s="30" t="s">
        <v>3</v>
      </c>
      <c r="R8" s="121">
        <v>1</v>
      </c>
      <c r="S8" s="30" t="s">
        <v>3</v>
      </c>
      <c r="T8" s="30" t="s">
        <v>163</v>
      </c>
      <c r="U8" s="44" t="s">
        <v>0</v>
      </c>
      <c r="V8" s="44" t="s">
        <v>0</v>
      </c>
      <c r="W8" s="30" t="s">
        <v>3</v>
      </c>
      <c r="X8" s="30" t="s">
        <v>3</v>
      </c>
      <c r="Y8" s="30" t="s">
        <v>3</v>
      </c>
      <c r="Z8" s="30" t="s">
        <v>3</v>
      </c>
      <c r="AA8" s="30" t="s">
        <v>3</v>
      </c>
      <c r="AB8" s="44" t="s">
        <v>0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0</v>
      </c>
      <c r="AJ8" s="44" t="s">
        <v>0</v>
      </c>
      <c r="AK8" s="30" t="s">
        <v>3</v>
      </c>
      <c r="AL8" s="30" t="s">
        <v>3</v>
      </c>
      <c r="AM8" s="30" t="s">
        <v>3</v>
      </c>
      <c r="AN8" s="30" t="s">
        <v>3</v>
      </c>
      <c r="AO8" s="48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329" t="s">
        <v>133</v>
      </c>
    </row>
    <row r="9" spans="1:226" s="50" customFormat="1" ht="24.75" customHeight="1">
      <c r="A9" s="38">
        <f t="shared" si="2"/>
        <v>12</v>
      </c>
      <c r="B9" s="39">
        <f t="shared" si="3"/>
        <v>2</v>
      </c>
      <c r="C9" s="40">
        <f t="shared" si="4"/>
        <v>0</v>
      </c>
      <c r="D9" s="39">
        <f t="shared" si="5"/>
        <v>3</v>
      </c>
      <c r="E9" s="41">
        <f t="shared" si="6"/>
        <v>6</v>
      </c>
      <c r="F9" s="41">
        <f t="shared" si="7"/>
        <v>7</v>
      </c>
      <c r="G9" s="41">
        <f t="shared" si="8"/>
        <v>0</v>
      </c>
      <c r="H9" s="41">
        <f t="shared" si="9"/>
        <v>0</v>
      </c>
      <c r="I9" s="42">
        <f t="shared" si="0"/>
        <v>30</v>
      </c>
      <c r="J9" s="47" t="s">
        <v>4</v>
      </c>
      <c r="K9" s="49" t="s">
        <v>36</v>
      </c>
      <c r="L9" s="30" t="s">
        <v>36</v>
      </c>
      <c r="M9" s="30" t="s">
        <v>36</v>
      </c>
      <c r="N9" s="44" t="s">
        <v>0</v>
      </c>
      <c r="O9" s="32" t="s">
        <v>1</v>
      </c>
      <c r="P9" s="32" t="s">
        <v>1</v>
      </c>
      <c r="Q9" s="32" t="s">
        <v>1</v>
      </c>
      <c r="R9" s="32" t="s">
        <v>1</v>
      </c>
      <c r="S9" s="32" t="s">
        <v>1</v>
      </c>
      <c r="T9" s="44" t="s">
        <v>163</v>
      </c>
      <c r="U9" s="30" t="s">
        <v>38</v>
      </c>
      <c r="V9" s="30" t="s">
        <v>38</v>
      </c>
      <c r="W9" s="30" t="s">
        <v>0</v>
      </c>
      <c r="X9" s="53" t="s">
        <v>3</v>
      </c>
      <c r="Y9" s="30" t="s">
        <v>36</v>
      </c>
      <c r="Z9" s="30" t="s">
        <v>3</v>
      </c>
      <c r="AA9" s="32" t="s">
        <v>1</v>
      </c>
      <c r="AB9" s="121" t="s">
        <v>36</v>
      </c>
      <c r="AC9" s="30" t="s">
        <v>0</v>
      </c>
      <c r="AD9" s="30" t="s">
        <v>36</v>
      </c>
      <c r="AE9" s="30" t="s">
        <v>3</v>
      </c>
      <c r="AF9" s="121">
        <v>1</v>
      </c>
      <c r="AG9" s="124" t="s">
        <v>5</v>
      </c>
      <c r="AH9" s="32" t="s">
        <v>0</v>
      </c>
      <c r="AI9" s="44" t="s">
        <v>0</v>
      </c>
      <c r="AJ9" s="44" t="s">
        <v>0</v>
      </c>
      <c r="AK9" s="30" t="s">
        <v>36</v>
      </c>
      <c r="AL9" s="30" t="s">
        <v>36</v>
      </c>
      <c r="AM9" s="121">
        <v>1</v>
      </c>
      <c r="AN9" s="30" t="s">
        <v>0</v>
      </c>
      <c r="AO9" s="126">
        <v>1</v>
      </c>
      <c r="AP9" s="45">
        <v>0</v>
      </c>
      <c r="AQ9" s="46">
        <f t="shared" si="1"/>
        <v>-1</v>
      </c>
      <c r="AR9" s="46">
        <v>0</v>
      </c>
      <c r="AS9" s="134">
        <f t="shared" si="10"/>
        <v>-1</v>
      </c>
      <c r="AT9" s="329" t="s">
        <v>126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0</v>
      </c>
      <c r="AW9" s="6">
        <v>5</v>
      </c>
      <c r="AX9" s="6">
        <f t="shared" ref="AX9:AX13" si="12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1</v>
      </c>
      <c r="C10" s="40">
        <f t="shared" si="4"/>
        <v>0</v>
      </c>
      <c r="D10" s="39">
        <f t="shared" si="5"/>
        <v>4</v>
      </c>
      <c r="E10" s="41">
        <f t="shared" si="6"/>
        <v>3</v>
      </c>
      <c r="F10" s="41">
        <f t="shared" si="7"/>
        <v>7</v>
      </c>
      <c r="G10" s="41">
        <f t="shared" si="8"/>
        <v>0</v>
      </c>
      <c r="H10" s="41">
        <f t="shared" si="9"/>
        <v>0</v>
      </c>
      <c r="I10" s="42">
        <f t="shared" si="0"/>
        <v>30</v>
      </c>
      <c r="J10" s="51" t="s">
        <v>134</v>
      </c>
      <c r="K10" s="356" t="s">
        <v>41</v>
      </c>
      <c r="L10" s="30" t="s">
        <v>0</v>
      </c>
      <c r="M10" s="121">
        <v>1</v>
      </c>
      <c r="N10" s="44" t="s">
        <v>0</v>
      </c>
      <c r="O10" s="44" t="s">
        <v>0</v>
      </c>
      <c r="P10" s="30" t="s">
        <v>36</v>
      </c>
      <c r="Q10" s="30" t="s">
        <v>36</v>
      </c>
      <c r="R10" s="30" t="s">
        <v>36</v>
      </c>
      <c r="S10" s="30" t="s">
        <v>3</v>
      </c>
      <c r="T10" s="32" t="s">
        <v>163</v>
      </c>
      <c r="U10" s="30" t="s">
        <v>36</v>
      </c>
      <c r="V10" s="30" t="s">
        <v>36</v>
      </c>
      <c r="W10" s="121" t="s">
        <v>36</v>
      </c>
      <c r="X10" s="121" t="s">
        <v>36</v>
      </c>
      <c r="Y10" s="121" t="s">
        <v>36</v>
      </c>
      <c r="Z10" s="348" t="s">
        <v>41</v>
      </c>
      <c r="AA10" s="30" t="s">
        <v>0</v>
      </c>
      <c r="AB10" s="32" t="s">
        <v>1</v>
      </c>
      <c r="AC10" s="44" t="s">
        <v>0</v>
      </c>
      <c r="AD10" s="121" t="s">
        <v>36</v>
      </c>
      <c r="AE10" s="32" t="s">
        <v>1</v>
      </c>
      <c r="AF10" s="32" t="s">
        <v>1</v>
      </c>
      <c r="AG10" s="44" t="s">
        <v>0</v>
      </c>
      <c r="AH10" s="30" t="s">
        <v>3</v>
      </c>
      <c r="AI10" s="30" t="s">
        <v>36</v>
      </c>
      <c r="AJ10" s="30" t="s">
        <v>36</v>
      </c>
      <c r="AK10" s="121">
        <v>2</v>
      </c>
      <c r="AL10" s="136" t="s">
        <v>0</v>
      </c>
      <c r="AM10" s="136">
        <v>1</v>
      </c>
      <c r="AN10" s="30" t="s">
        <v>36</v>
      </c>
      <c r="AO10" s="48" t="s">
        <v>36</v>
      </c>
      <c r="AP10" s="45">
        <v>0</v>
      </c>
      <c r="AQ10" s="46">
        <f t="shared" si="1"/>
        <v>-1</v>
      </c>
      <c r="AR10" s="46">
        <v>0</v>
      </c>
      <c r="AS10" s="134">
        <f t="shared" si="10"/>
        <v>-1</v>
      </c>
      <c r="AT10" s="329" t="s">
        <v>128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-1</v>
      </c>
      <c r="AW10" s="6">
        <v>2</v>
      </c>
      <c r="AX10" s="6">
        <f t="shared" si="12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2</v>
      </c>
      <c r="E11" s="41">
        <f>COUNTIF(K11:AO11,"S")</f>
        <v>1</v>
      </c>
      <c r="F11" s="41">
        <f>COUNTIF(K11:AO11,"X")</f>
        <v>7</v>
      </c>
      <c r="G11" s="41">
        <f>COUNTIF(K11:AO11,"Y")</f>
        <v>0</v>
      </c>
      <c r="H11" s="41">
        <f>COUNTIF(K11:AO11,"Z")</f>
        <v>0</v>
      </c>
      <c r="I11" s="42">
        <f t="shared" si="0"/>
        <v>29</v>
      </c>
      <c r="J11" s="47" t="s">
        <v>6</v>
      </c>
      <c r="K11" s="121">
        <v>1</v>
      </c>
      <c r="L11" s="124" t="s">
        <v>5</v>
      </c>
      <c r="M11" s="32" t="s">
        <v>0</v>
      </c>
      <c r="N11" s="121">
        <v>1</v>
      </c>
      <c r="O11" s="121">
        <v>1</v>
      </c>
      <c r="P11" s="30" t="s">
        <v>36</v>
      </c>
      <c r="Q11" s="30">
        <v>1</v>
      </c>
      <c r="R11" s="30">
        <v>1</v>
      </c>
      <c r="S11" s="124" t="s">
        <v>5</v>
      </c>
      <c r="T11" s="44" t="s">
        <v>163</v>
      </c>
      <c r="U11" s="32" t="s">
        <v>163</v>
      </c>
      <c r="V11" s="44" t="s">
        <v>0</v>
      </c>
      <c r="W11" s="30" t="s">
        <v>36</v>
      </c>
      <c r="X11" s="30" t="s">
        <v>36</v>
      </c>
      <c r="Y11" s="30" t="s">
        <v>36</v>
      </c>
      <c r="Z11" s="124" t="s">
        <v>5</v>
      </c>
      <c r="AA11" s="30" t="s">
        <v>3</v>
      </c>
      <c r="AB11" s="121">
        <v>2</v>
      </c>
      <c r="AC11" s="30" t="s">
        <v>0</v>
      </c>
      <c r="AD11" s="121">
        <v>2</v>
      </c>
      <c r="AE11" s="121">
        <v>2</v>
      </c>
      <c r="AF11" s="30" t="s">
        <v>0</v>
      </c>
      <c r="AG11" s="30" t="s">
        <v>36</v>
      </c>
      <c r="AH11" s="30" t="s">
        <v>36</v>
      </c>
      <c r="AI11" s="44" t="s">
        <v>0</v>
      </c>
      <c r="AJ11" s="32" t="s">
        <v>1</v>
      </c>
      <c r="AK11" s="44" t="s">
        <v>0</v>
      </c>
      <c r="AL11" s="30" t="s">
        <v>36</v>
      </c>
      <c r="AM11" s="30" t="s">
        <v>3</v>
      </c>
      <c r="AN11" s="124" t="s">
        <v>5</v>
      </c>
      <c r="AO11" s="48" t="s">
        <v>0</v>
      </c>
      <c r="AP11" s="45">
        <v>0</v>
      </c>
      <c r="AQ11" s="46">
        <f t="shared" si="1"/>
        <v>-1</v>
      </c>
      <c r="AR11" s="46">
        <v>0</v>
      </c>
      <c r="AS11" s="134">
        <f t="shared" si="10"/>
        <v>-1</v>
      </c>
      <c r="AT11" s="329" t="s">
        <v>126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-1</v>
      </c>
      <c r="AW11" s="6">
        <v>4</v>
      </c>
      <c r="AX11" s="6">
        <f t="shared" si="12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15</v>
      </c>
      <c r="B12" s="39">
        <f t="shared" si="3"/>
        <v>2</v>
      </c>
      <c r="C12" s="40">
        <f t="shared" si="4"/>
        <v>0</v>
      </c>
      <c r="D12" s="39">
        <f t="shared" si="5"/>
        <v>3</v>
      </c>
      <c r="E12" s="41">
        <f t="shared" si="6"/>
        <v>3</v>
      </c>
      <c r="F12" s="41">
        <f t="shared" si="7"/>
        <v>8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1</v>
      </c>
      <c r="L12" s="32" t="s">
        <v>1</v>
      </c>
      <c r="M12" s="32" t="s">
        <v>1</v>
      </c>
      <c r="N12" s="44" t="s">
        <v>0</v>
      </c>
      <c r="O12" s="44" t="s">
        <v>0</v>
      </c>
      <c r="P12" s="121">
        <v>1</v>
      </c>
      <c r="Q12" s="121">
        <v>1</v>
      </c>
      <c r="R12" s="53" t="s">
        <v>3</v>
      </c>
      <c r="S12" s="30" t="s">
        <v>0</v>
      </c>
      <c r="T12" s="30" t="s">
        <v>36</v>
      </c>
      <c r="U12" s="121">
        <v>2</v>
      </c>
      <c r="V12" s="121">
        <v>2</v>
      </c>
      <c r="W12" s="30" t="s">
        <v>0</v>
      </c>
      <c r="X12" s="30" t="s">
        <v>36</v>
      </c>
      <c r="Y12" s="121">
        <v>1</v>
      </c>
      <c r="Z12" s="30" t="s">
        <v>36</v>
      </c>
      <c r="AA12" s="121">
        <v>1</v>
      </c>
      <c r="AB12" s="44" t="s">
        <v>0</v>
      </c>
      <c r="AC12" s="44" t="s">
        <v>0</v>
      </c>
      <c r="AD12" s="30" t="s">
        <v>36</v>
      </c>
      <c r="AE12" s="30" t="s">
        <v>36</v>
      </c>
      <c r="AF12" s="30" t="s">
        <v>36</v>
      </c>
      <c r="AG12" s="30" t="s">
        <v>3</v>
      </c>
      <c r="AH12" s="30" t="s">
        <v>0</v>
      </c>
      <c r="AI12" s="30" t="s">
        <v>36</v>
      </c>
      <c r="AJ12" s="30" t="s">
        <v>36</v>
      </c>
      <c r="AK12" s="30" t="s">
        <v>0</v>
      </c>
      <c r="AL12" s="30" t="s">
        <v>3</v>
      </c>
      <c r="AM12" s="30" t="s">
        <v>36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-1</v>
      </c>
      <c r="AW12" s="6">
        <v>2</v>
      </c>
      <c r="AX12" s="6">
        <f t="shared" si="12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12</v>
      </c>
      <c r="B13" s="39">
        <f>COUNTIF(K13:AO13,2)+COUNTIF(K13:AO13,"中")+COUNTIF(K13:AO13,"M2")+COUNTIF(K13:AO13,"T中")+COUNTIF(K13:AO13,"小夜")</f>
        <v>0</v>
      </c>
      <c r="C13" s="40">
        <f>COUNTIF(K13:AO13,3)+COUNTIF(K13:AO13,"晚")+COUNTIF(K13:AO13,"大夜")</f>
        <v>0</v>
      </c>
      <c r="D13" s="39">
        <f>COUNTIF(K13:AO13,"N")+COUNTIF(K13:AO13,"N8")</f>
        <v>8</v>
      </c>
      <c r="E13" s="41">
        <f>COUNTIF(K13:AO13,"S")</f>
        <v>3</v>
      </c>
      <c r="F13" s="41">
        <f>COUNTIF(K13:AO13,"X")</f>
        <v>8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44" t="s">
        <v>0</v>
      </c>
      <c r="P13" s="124" t="s">
        <v>162</v>
      </c>
      <c r="Q13" s="53" t="s">
        <v>3</v>
      </c>
      <c r="R13" s="30">
        <v>1</v>
      </c>
      <c r="S13" s="30" t="s">
        <v>0</v>
      </c>
      <c r="T13" s="360" t="s">
        <v>36</v>
      </c>
      <c r="U13" s="30" t="s">
        <v>36</v>
      </c>
      <c r="V13" s="30" t="s">
        <v>36</v>
      </c>
      <c r="W13" s="30" t="s">
        <v>36</v>
      </c>
      <c r="X13" s="30" t="s">
        <v>0</v>
      </c>
      <c r="Y13" s="53" t="s">
        <v>3</v>
      </c>
      <c r="Z13" s="348" t="s">
        <v>41</v>
      </c>
      <c r="AA13" s="124" t="s">
        <v>162</v>
      </c>
      <c r="AB13" s="30" t="s">
        <v>0</v>
      </c>
      <c r="AC13" s="121" t="s">
        <v>36</v>
      </c>
      <c r="AD13" s="30" t="s">
        <v>3</v>
      </c>
      <c r="AE13" s="53" t="s">
        <v>3</v>
      </c>
      <c r="AF13" s="30" t="s">
        <v>3</v>
      </c>
      <c r="AG13" s="30" t="s">
        <v>3</v>
      </c>
      <c r="AH13" s="124" t="s">
        <v>162</v>
      </c>
      <c r="AI13" s="44" t="s">
        <v>0</v>
      </c>
      <c r="AJ13" s="44" t="s">
        <v>0</v>
      </c>
      <c r="AK13" s="121">
        <v>1</v>
      </c>
      <c r="AL13" s="348" t="s">
        <v>41</v>
      </c>
      <c r="AM13" s="30" t="s">
        <v>36</v>
      </c>
      <c r="AN13" s="30" t="s">
        <v>0</v>
      </c>
      <c r="AO13" s="125" t="s">
        <v>162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2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2" customHeight="1">
      <c r="A14" s="38">
        <f t="shared" si="2"/>
        <v>0</v>
      </c>
      <c r="B14" s="39">
        <f t="shared" si="3"/>
        <v>9</v>
      </c>
      <c r="C14" s="40">
        <f t="shared" si="4"/>
        <v>8</v>
      </c>
      <c r="D14" s="39">
        <f t="shared" si="5"/>
        <v>3</v>
      </c>
      <c r="E14" s="41">
        <f t="shared" si="6"/>
        <v>3</v>
      </c>
      <c r="F14" s="41">
        <f t="shared" si="7"/>
        <v>7</v>
      </c>
      <c r="G14" s="41">
        <f t="shared" si="8"/>
        <v>0</v>
      </c>
      <c r="H14" s="41">
        <f t="shared" si="9"/>
        <v>0</v>
      </c>
      <c r="I14" s="42">
        <f t="shared" si="0"/>
        <v>30</v>
      </c>
      <c r="J14" s="151" t="s">
        <v>7</v>
      </c>
      <c r="K14" s="122" t="s">
        <v>0</v>
      </c>
      <c r="L14" s="32" t="s">
        <v>1</v>
      </c>
      <c r="M14" s="32" t="s">
        <v>0</v>
      </c>
      <c r="N14" s="121">
        <v>3</v>
      </c>
      <c r="O14" s="121">
        <v>3</v>
      </c>
      <c r="P14" s="32" t="s">
        <v>1</v>
      </c>
      <c r="Q14" s="53" t="s">
        <v>3</v>
      </c>
      <c r="R14" s="53" t="s">
        <v>3</v>
      </c>
      <c r="S14" s="30">
        <v>2</v>
      </c>
      <c r="T14" s="30" t="s">
        <v>163</v>
      </c>
      <c r="U14" s="121">
        <v>3</v>
      </c>
      <c r="V14" s="121">
        <v>3</v>
      </c>
      <c r="W14" s="121">
        <v>2</v>
      </c>
      <c r="X14" s="121">
        <v>2</v>
      </c>
      <c r="Y14" s="32" t="s">
        <v>0</v>
      </c>
      <c r="Z14" s="121" t="s">
        <v>38</v>
      </c>
      <c r="AA14" s="30" t="s">
        <v>0</v>
      </c>
      <c r="AB14" s="121">
        <v>3</v>
      </c>
      <c r="AC14" s="121">
        <v>3</v>
      </c>
      <c r="AD14" s="32" t="s">
        <v>1</v>
      </c>
      <c r="AE14" s="53" t="s">
        <v>3</v>
      </c>
      <c r="AF14" s="121">
        <v>2</v>
      </c>
      <c r="AG14" s="121">
        <v>2</v>
      </c>
      <c r="AH14" s="30" t="s">
        <v>0</v>
      </c>
      <c r="AI14" s="30" t="s">
        <v>40</v>
      </c>
      <c r="AJ14" s="30" t="s">
        <v>40</v>
      </c>
      <c r="AK14" s="30" t="s">
        <v>0</v>
      </c>
      <c r="AL14" s="121">
        <v>2</v>
      </c>
      <c r="AM14" s="121">
        <v>2</v>
      </c>
      <c r="AN14" s="121">
        <v>2</v>
      </c>
      <c r="AO14" s="48" t="s">
        <v>0</v>
      </c>
      <c r="AP14" s="45">
        <v>0</v>
      </c>
      <c r="AQ14" s="46">
        <f t="shared" si="1"/>
        <v>-1</v>
      </c>
      <c r="AR14" s="46">
        <v>0</v>
      </c>
      <c r="AS14" s="134">
        <f t="shared" si="10"/>
        <v>-1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13</v>
      </c>
      <c r="B15" s="39">
        <f t="shared" si="3"/>
        <v>2</v>
      </c>
      <c r="C15" s="40">
        <f t="shared" si="4"/>
        <v>0</v>
      </c>
      <c r="D15" s="39">
        <f t="shared" si="5"/>
        <v>6</v>
      </c>
      <c r="E15" s="41">
        <f t="shared" si="6"/>
        <v>1</v>
      </c>
      <c r="F15" s="41">
        <f t="shared" si="7"/>
        <v>8</v>
      </c>
      <c r="G15" s="41">
        <f t="shared" si="8"/>
        <v>0</v>
      </c>
      <c r="H15" s="41">
        <f t="shared" si="9"/>
        <v>0</v>
      </c>
      <c r="I15" s="42">
        <f t="shared" si="0"/>
        <v>30</v>
      </c>
      <c r="J15" s="47" t="s">
        <v>8</v>
      </c>
      <c r="K15" s="122" t="s">
        <v>1</v>
      </c>
      <c r="L15" s="32" t="s">
        <v>0</v>
      </c>
      <c r="M15" s="53" t="s">
        <v>3</v>
      </c>
      <c r="N15" s="30">
        <v>1</v>
      </c>
      <c r="O15" s="121">
        <v>2</v>
      </c>
      <c r="P15" s="44" t="s">
        <v>0</v>
      </c>
      <c r="Q15" s="53" t="s">
        <v>3</v>
      </c>
      <c r="R15" s="53" t="s">
        <v>3</v>
      </c>
      <c r="S15" s="124" t="s">
        <v>58</v>
      </c>
      <c r="T15" s="121">
        <v>1</v>
      </c>
      <c r="U15" s="32" t="s">
        <v>163</v>
      </c>
      <c r="V15" s="44" t="s">
        <v>0</v>
      </c>
      <c r="W15" s="30">
        <v>1</v>
      </c>
      <c r="X15" s="30">
        <v>1</v>
      </c>
      <c r="Y15" s="53" t="s">
        <v>3</v>
      </c>
      <c r="Z15" s="124" t="s">
        <v>58</v>
      </c>
      <c r="AA15" s="30" t="s">
        <v>36</v>
      </c>
      <c r="AB15" s="30" t="s">
        <v>0</v>
      </c>
      <c r="AC15" s="30" t="s">
        <v>36</v>
      </c>
      <c r="AD15" s="30" t="s">
        <v>36</v>
      </c>
      <c r="AE15" s="53" t="s">
        <v>3</v>
      </c>
      <c r="AF15" s="30" t="s">
        <v>0</v>
      </c>
      <c r="AG15" s="124" t="s">
        <v>58</v>
      </c>
      <c r="AH15" s="121">
        <v>2</v>
      </c>
      <c r="AI15" s="44" t="s">
        <v>0</v>
      </c>
      <c r="AJ15" s="44" t="s">
        <v>0</v>
      </c>
      <c r="AK15" s="30" t="s">
        <v>3</v>
      </c>
      <c r="AL15" s="121">
        <v>1</v>
      </c>
      <c r="AM15" s="30">
        <v>1</v>
      </c>
      <c r="AN15" s="124" t="s">
        <v>58</v>
      </c>
      <c r="AO15" s="48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-1</v>
      </c>
      <c r="AW15" s="6">
        <v>5</v>
      </c>
      <c r="AX15" s="6">
        <f t="shared" ref="AX15:AX18" si="13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ref="A16" si="14">COUNTIF(K16:AO16,1)+COUNTIF(K16:AO16,"早")+COUNTIF(K16:AO16,"M1")+COUNTIF(K16:AO16,"T早")+COUNTIF(K16:AO16,"日")</f>
        <v>7</v>
      </c>
      <c r="B16" s="39">
        <f t="shared" ref="B16" si="15">COUNTIF(K16:AO16,2)+COUNTIF(K16:AO16,"中")+COUNTIF(K16:AO16,"M2")+COUNTIF(K16:AO16,"T中")+COUNTIF(K16:AO16,"小夜")</f>
        <v>1</v>
      </c>
      <c r="C16" s="40">
        <f t="shared" ref="C16" si="16">COUNTIF(K16:AO16,3)+COUNTIF(K16:AO16,"晚")+COUNTIF(K16:AO16,"大夜")</f>
        <v>0</v>
      </c>
      <c r="D16" s="39">
        <f t="shared" ref="D16" si="17">COUNTIF(K16:AO16,"N")+COUNTIF(K16:AO16,"N8")</f>
        <v>10</v>
      </c>
      <c r="E16" s="41">
        <f t="shared" ref="E16" si="18">COUNTIF(K16:AO16,"S")</f>
        <v>5</v>
      </c>
      <c r="F16" s="41">
        <f t="shared" ref="F16" si="19">COUNTIF(K16:AO16,"X")</f>
        <v>8</v>
      </c>
      <c r="G16" s="41">
        <f t="shared" ref="G16" si="20">COUNTIF(K16:AO16,"Y")</f>
        <v>0</v>
      </c>
      <c r="H16" s="41">
        <f t="shared" ref="H16" si="21">COUNTIF(K16:AO16,"Z")</f>
        <v>0</v>
      </c>
      <c r="I16" s="42">
        <f t="shared" ref="I16" si="22">SUM(A16:H16)</f>
        <v>31</v>
      </c>
      <c r="J16" s="152" t="s">
        <v>93</v>
      </c>
      <c r="K16" s="356" t="s">
        <v>41</v>
      </c>
      <c r="L16" s="53" t="s">
        <v>3</v>
      </c>
      <c r="M16" s="53" t="s">
        <v>3</v>
      </c>
      <c r="N16" s="44" t="s">
        <v>0</v>
      </c>
      <c r="O16" s="32" t="s">
        <v>1</v>
      </c>
      <c r="P16" s="32" t="s">
        <v>1</v>
      </c>
      <c r="Q16" s="44" t="s">
        <v>0</v>
      </c>
      <c r="R16" s="53" t="s">
        <v>3</v>
      </c>
      <c r="S16" s="53" t="s">
        <v>3</v>
      </c>
      <c r="T16" s="30" t="s">
        <v>36</v>
      </c>
      <c r="U16" s="30" t="s">
        <v>36</v>
      </c>
      <c r="V16" s="30" t="s">
        <v>36</v>
      </c>
      <c r="W16" s="32" t="s">
        <v>0</v>
      </c>
      <c r="X16" s="32" t="s">
        <v>1</v>
      </c>
      <c r="Y16" s="32" t="s">
        <v>1</v>
      </c>
      <c r="Z16" s="348" t="s">
        <v>41</v>
      </c>
      <c r="AA16" s="348" t="s">
        <v>41</v>
      </c>
      <c r="AB16" s="44" t="s">
        <v>0</v>
      </c>
      <c r="AC16" s="32" t="s">
        <v>1</v>
      </c>
      <c r="AD16" s="44" t="s">
        <v>0</v>
      </c>
      <c r="AE16" s="124" t="s">
        <v>5</v>
      </c>
      <c r="AF16" s="30" t="s">
        <v>3</v>
      </c>
      <c r="AG16" s="53" t="s">
        <v>3</v>
      </c>
      <c r="AH16" s="30" t="s">
        <v>36</v>
      </c>
      <c r="AI16" s="121">
        <v>1</v>
      </c>
      <c r="AJ16" s="120">
        <v>1</v>
      </c>
      <c r="AK16" s="30" t="s">
        <v>0</v>
      </c>
      <c r="AL16" s="30" t="s">
        <v>0</v>
      </c>
      <c r="AM16" s="30" t="s">
        <v>0</v>
      </c>
      <c r="AN16" s="30" t="s">
        <v>3</v>
      </c>
      <c r="AO16" s="126">
        <v>2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-1</v>
      </c>
      <c r="AW16" s="6">
        <v>4</v>
      </c>
      <c r="AX16" s="6">
        <f t="shared" si="13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0</v>
      </c>
      <c r="D17" s="55">
        <f>COUNTIF(K17:AO17,"N")+COUNTIF(K17:AO17,"N8")</f>
        <v>4</v>
      </c>
      <c r="E17" s="17">
        <f>COUNTIF(K17:AO17,"S")</f>
        <v>1</v>
      </c>
      <c r="F17" s="17">
        <f>COUNTIF(K17:AO17,"X")</f>
        <v>7</v>
      </c>
      <c r="G17" s="17">
        <f>COUNTIF(K17:AO17,"Y")</f>
        <v>0</v>
      </c>
      <c r="H17" s="17">
        <f>COUNTIF(K17:AO17,"Z")</f>
        <v>0</v>
      </c>
      <c r="I17" s="57">
        <f>SUM(A17:H17)</f>
        <v>29</v>
      </c>
      <c r="J17" s="47" t="s">
        <v>9</v>
      </c>
      <c r="K17" s="200">
        <v>2</v>
      </c>
      <c r="L17" s="121">
        <v>2</v>
      </c>
      <c r="M17" s="121">
        <v>2</v>
      </c>
      <c r="N17" s="30" t="s">
        <v>0</v>
      </c>
      <c r="O17" s="30">
        <v>1</v>
      </c>
      <c r="P17" s="121" t="s">
        <v>38</v>
      </c>
      <c r="Q17" s="121" t="s">
        <v>38</v>
      </c>
      <c r="R17" s="121">
        <v>2</v>
      </c>
      <c r="S17" s="121">
        <v>2</v>
      </c>
      <c r="T17" s="44" t="s">
        <v>163</v>
      </c>
      <c r="U17" s="32" t="s">
        <v>163</v>
      </c>
      <c r="V17" s="44" t="s">
        <v>0</v>
      </c>
      <c r="W17" s="30" t="s">
        <v>36</v>
      </c>
      <c r="X17" s="53" t="s">
        <v>3</v>
      </c>
      <c r="Y17" s="121">
        <v>2</v>
      </c>
      <c r="Z17" s="30" t="s">
        <v>0</v>
      </c>
      <c r="AA17" s="30" t="s">
        <v>36</v>
      </c>
      <c r="AB17" s="30" t="s">
        <v>36</v>
      </c>
      <c r="AC17" s="121">
        <v>2</v>
      </c>
      <c r="AD17" s="30" t="s">
        <v>0</v>
      </c>
      <c r="AE17" s="30" t="s">
        <v>36</v>
      </c>
      <c r="AF17" s="30" t="s">
        <v>36</v>
      </c>
      <c r="AG17" s="30" t="s">
        <v>3</v>
      </c>
      <c r="AH17" s="32" t="s">
        <v>1</v>
      </c>
      <c r="AI17" s="44" t="s">
        <v>0</v>
      </c>
      <c r="AJ17" s="44" t="s">
        <v>0</v>
      </c>
      <c r="AK17" s="30" t="s">
        <v>36</v>
      </c>
      <c r="AL17" s="30" t="s">
        <v>3</v>
      </c>
      <c r="AM17" s="30" t="s">
        <v>0</v>
      </c>
      <c r="AN17" s="30" t="s">
        <v>36</v>
      </c>
      <c r="AO17" s="48" t="s">
        <v>3</v>
      </c>
      <c r="AP17" s="45">
        <v>0</v>
      </c>
      <c r="AQ17" s="46">
        <f t="shared" si="1"/>
        <v>-1</v>
      </c>
      <c r="AR17" s="46">
        <v>0</v>
      </c>
      <c r="AS17" s="134">
        <f>SUM(AP17:AR17)</f>
        <v>-1</v>
      </c>
      <c r="AT17" s="329" t="s">
        <v>126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-1</v>
      </c>
      <c r="AW17" s="6">
        <v>5</v>
      </c>
      <c r="AX17" s="6">
        <f t="shared" si="13"/>
        <v>4</v>
      </c>
    </row>
    <row r="18" spans="1:226" ht="25.5" customHeight="1" thickBot="1">
      <c r="A18" s="38">
        <f t="shared" ref="A18" si="23">COUNTIF(K18:AO18,1)+COUNTIF(K18:AO18,"早")+COUNTIF(K18:AO18,"M1")+COUNTIF(K18:AO18,"T早")+COUNTIF(K18:AO18,"日")</f>
        <v>18</v>
      </c>
      <c r="B18" s="39">
        <f t="shared" ref="B18" si="24">COUNTIF(K18:AO18,2)+COUNTIF(K18:AO18,"中")+COUNTIF(K18:AO18,"M2")+COUNTIF(K18:AO18,"T中")+COUNTIF(K18:AO18,"小夜")</f>
        <v>1</v>
      </c>
      <c r="C18" s="40">
        <f t="shared" ref="C18" si="25">COUNTIF(K18:AO18,3)+COUNTIF(K18:AO18,"晚")+COUNTIF(K18:AO18,"大夜")</f>
        <v>0</v>
      </c>
      <c r="D18" s="39">
        <f t="shared" ref="D18" si="26">COUNTIF(K18:AO18,"N")+COUNTIF(K18:AO18,"N8")</f>
        <v>3</v>
      </c>
      <c r="E18" s="41">
        <f t="shared" ref="E18" si="27">COUNTIF(K18:AO18,"S")</f>
        <v>1</v>
      </c>
      <c r="F18" s="41">
        <f t="shared" ref="F18" si="28">COUNTIF(K18:AO18,"X")</f>
        <v>7</v>
      </c>
      <c r="G18" s="41">
        <f t="shared" ref="G18" si="29">COUNTIF(K18:AO18,"Y")</f>
        <v>0</v>
      </c>
      <c r="H18" s="41">
        <f t="shared" ref="H18" si="30">COUNTIF(K18:AO18,"Z")</f>
        <v>0</v>
      </c>
      <c r="I18" s="42">
        <f t="shared" ref="I18" si="31">SUM(A18:H18)</f>
        <v>30</v>
      </c>
      <c r="J18" s="268" t="s">
        <v>137</v>
      </c>
      <c r="K18" s="357" t="s">
        <v>36</v>
      </c>
      <c r="L18" s="199" t="s">
        <v>36</v>
      </c>
      <c r="M18" s="199" t="s">
        <v>36</v>
      </c>
      <c r="N18" s="59" t="s">
        <v>0</v>
      </c>
      <c r="O18" s="59" t="s">
        <v>0</v>
      </c>
      <c r="P18" s="60" t="s">
        <v>36</v>
      </c>
      <c r="Q18" s="60" t="s">
        <v>36</v>
      </c>
      <c r="R18" s="60" t="s">
        <v>36</v>
      </c>
      <c r="S18" s="60" t="s">
        <v>36</v>
      </c>
      <c r="T18" s="60" t="s">
        <v>163</v>
      </c>
      <c r="U18" s="60">
        <v>1</v>
      </c>
      <c r="V18" s="60">
        <v>1</v>
      </c>
      <c r="W18" s="199">
        <v>1</v>
      </c>
      <c r="X18" s="60" t="s">
        <v>36</v>
      </c>
      <c r="Y18" s="60" t="s">
        <v>0</v>
      </c>
      <c r="Z18" s="60" t="s">
        <v>36</v>
      </c>
      <c r="AA18" s="199">
        <v>2</v>
      </c>
      <c r="AB18" s="59" t="s">
        <v>0</v>
      </c>
      <c r="AC18" s="59" t="s">
        <v>0</v>
      </c>
      <c r="AD18" s="199">
        <v>1</v>
      </c>
      <c r="AE18" s="60" t="s">
        <v>3</v>
      </c>
      <c r="AF18" s="60" t="s">
        <v>36</v>
      </c>
      <c r="AG18" s="60" t="s">
        <v>0</v>
      </c>
      <c r="AH18" s="60" t="s">
        <v>3</v>
      </c>
      <c r="AI18" s="30" t="s">
        <v>36</v>
      </c>
      <c r="AJ18" s="30" t="s">
        <v>36</v>
      </c>
      <c r="AK18" s="121" t="s">
        <v>36</v>
      </c>
      <c r="AL18" s="199" t="s">
        <v>36</v>
      </c>
      <c r="AM18" s="52" t="s">
        <v>1</v>
      </c>
      <c r="AN18" s="60" t="s">
        <v>0</v>
      </c>
      <c r="AO18" s="61" t="s">
        <v>3</v>
      </c>
      <c r="AP18" s="73">
        <v>0</v>
      </c>
      <c r="AQ18" s="74">
        <f t="shared" si="1"/>
        <v>-1</v>
      </c>
      <c r="AR18" s="74">
        <v>0</v>
      </c>
      <c r="AS18" s="127">
        <f t="shared" ref="AS18" si="32">SUM(AP18:AR18)</f>
        <v>-1</v>
      </c>
      <c r="AT18" s="330" t="s">
        <v>128</v>
      </c>
      <c r="AV18" s="6" cm="2">
        <f t="array" ref="AV18">SUMPRODUCT(COUNTIF(N18:O18,{"X";"Y";"Z";"S"}))+SUMPRODUCT(COUNTIF(U18:V18,{"X";"Y";"Z";"S"}))+SUMPRODUCT(COUNTIF(AB18:AC18,{"X";"Y";"Z";"S"}))+SUMPRODUCT(COUNTIF(AI18:AJ18,{"X";"Y";"Z";"S"}))-5</f>
        <v>-1</v>
      </c>
      <c r="AW18" s="6">
        <v>2</v>
      </c>
      <c r="AX18" s="6">
        <f t="shared" si="13"/>
        <v>1</v>
      </c>
    </row>
    <row r="19" spans="1:226" s="50" customFormat="1" ht="25.5" customHeight="1">
      <c r="A19" s="23">
        <f t="shared" si="2"/>
        <v>0</v>
      </c>
      <c r="B19" s="24">
        <f t="shared" si="3"/>
        <v>11</v>
      </c>
      <c r="C19" s="25">
        <f t="shared" si="4"/>
        <v>8</v>
      </c>
      <c r="D19" s="24">
        <f t="shared" si="5"/>
        <v>0</v>
      </c>
      <c r="E19" s="26">
        <f t="shared" si="6"/>
        <v>4</v>
      </c>
      <c r="F19" s="26">
        <f t="shared" si="7"/>
        <v>8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2</v>
      </c>
      <c r="L19" s="29" t="s">
        <v>0</v>
      </c>
      <c r="M19" s="29">
        <v>3</v>
      </c>
      <c r="N19" s="29">
        <v>3</v>
      </c>
      <c r="O19" s="29">
        <v>3</v>
      </c>
      <c r="P19" s="29" t="s">
        <v>0</v>
      </c>
      <c r="Q19" s="29" t="s">
        <v>0</v>
      </c>
      <c r="R19" s="29">
        <v>3</v>
      </c>
      <c r="S19" s="29">
        <v>3</v>
      </c>
      <c r="T19" s="29">
        <v>3</v>
      </c>
      <c r="U19" s="29">
        <v>2</v>
      </c>
      <c r="V19" s="29">
        <v>2</v>
      </c>
      <c r="W19" s="33" t="s">
        <v>0</v>
      </c>
      <c r="X19" s="33" t="s">
        <v>1</v>
      </c>
      <c r="Y19" s="33" t="s">
        <v>1</v>
      </c>
      <c r="Z19" s="33" t="s">
        <v>1</v>
      </c>
      <c r="AA19" s="33" t="s">
        <v>0</v>
      </c>
      <c r="AB19" s="29">
        <v>2</v>
      </c>
      <c r="AC19" s="29">
        <v>2</v>
      </c>
      <c r="AD19" s="29">
        <v>2</v>
      </c>
      <c r="AE19" s="29">
        <v>2</v>
      </c>
      <c r="AF19" s="29">
        <v>2</v>
      </c>
      <c r="AG19" s="29" t="s">
        <v>0</v>
      </c>
      <c r="AH19" s="29">
        <v>2</v>
      </c>
      <c r="AI19" s="29">
        <v>2</v>
      </c>
      <c r="AJ19" s="29">
        <v>2</v>
      </c>
      <c r="AK19" s="33" t="s">
        <v>0</v>
      </c>
      <c r="AL19" s="33" t="s">
        <v>1</v>
      </c>
      <c r="AM19" s="33" t="s">
        <v>0</v>
      </c>
      <c r="AN19" s="29">
        <v>3</v>
      </c>
      <c r="AO19" s="34">
        <v>3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32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7</v>
      </c>
      <c r="B20" s="39">
        <f t="shared" si="3"/>
        <v>8</v>
      </c>
      <c r="C20" s="40">
        <f t="shared" si="4"/>
        <v>2</v>
      </c>
      <c r="D20" s="39">
        <f t="shared" si="5"/>
        <v>3</v>
      </c>
      <c r="E20" s="41">
        <f t="shared" si="6"/>
        <v>3</v>
      </c>
      <c r="F20" s="41">
        <f t="shared" si="7"/>
        <v>8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49" t="s">
        <v>36</v>
      </c>
      <c r="L20" s="30" t="s">
        <v>36</v>
      </c>
      <c r="M20" s="30" t="s">
        <v>36</v>
      </c>
      <c r="N20" s="30" t="s">
        <v>36</v>
      </c>
      <c r="O20" s="30" t="s">
        <v>36</v>
      </c>
      <c r="P20" s="44" t="s">
        <v>0</v>
      </c>
      <c r="Q20" s="32" t="s">
        <v>1</v>
      </c>
      <c r="R20" s="30" t="s">
        <v>38</v>
      </c>
      <c r="S20" s="30" t="s">
        <v>38</v>
      </c>
      <c r="T20" s="30" t="s">
        <v>38</v>
      </c>
      <c r="U20" s="44" t="s">
        <v>0</v>
      </c>
      <c r="V20" s="32" t="s">
        <v>1</v>
      </c>
      <c r="W20" s="30" t="s">
        <v>0</v>
      </c>
      <c r="X20" s="30" t="s">
        <v>0</v>
      </c>
      <c r="Y20" s="30" t="s">
        <v>36</v>
      </c>
      <c r="Z20" s="348" t="s">
        <v>41</v>
      </c>
      <c r="AA20" s="348" t="s">
        <v>41</v>
      </c>
      <c r="AB20" s="44" t="s">
        <v>0</v>
      </c>
      <c r="AC20" s="44" t="s">
        <v>0</v>
      </c>
      <c r="AD20" s="30" t="s">
        <v>40</v>
      </c>
      <c r="AE20" s="30" t="s">
        <v>40</v>
      </c>
      <c r="AF20" s="30" t="s">
        <v>0</v>
      </c>
      <c r="AG20" s="53" t="s">
        <v>3</v>
      </c>
      <c r="AH20" s="30" t="s">
        <v>36</v>
      </c>
      <c r="AI20" s="30">
        <v>2</v>
      </c>
      <c r="AJ20" s="41">
        <v>2</v>
      </c>
      <c r="AK20" s="32" t="s">
        <v>0</v>
      </c>
      <c r="AL20" s="32" t="s">
        <v>1</v>
      </c>
      <c r="AM20" s="30" t="s">
        <v>38</v>
      </c>
      <c r="AN20" s="30" t="s">
        <v>38</v>
      </c>
      <c r="AO20" s="48" t="s">
        <v>38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8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5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8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 t="s">
        <v>38</v>
      </c>
      <c r="L21" s="30" t="s">
        <v>38</v>
      </c>
      <c r="M21" s="30" t="s">
        <v>38</v>
      </c>
      <c r="N21" s="30">
        <v>2</v>
      </c>
      <c r="O21" s="30" t="s">
        <v>0</v>
      </c>
      <c r="P21" s="30" t="s">
        <v>38</v>
      </c>
      <c r="Q21" s="30" t="s">
        <v>38</v>
      </c>
      <c r="R21" s="30" t="s">
        <v>0</v>
      </c>
      <c r="S21" s="53" t="s">
        <v>3</v>
      </c>
      <c r="T21" s="30" t="s">
        <v>38</v>
      </c>
      <c r="U21" s="44" t="s">
        <v>0</v>
      </c>
      <c r="V21" s="44" t="s">
        <v>0</v>
      </c>
      <c r="W21" s="30" t="s">
        <v>40</v>
      </c>
      <c r="X21" s="30" t="s">
        <v>40</v>
      </c>
      <c r="Y21" s="30" t="s">
        <v>0</v>
      </c>
      <c r="Z21" s="30" t="s">
        <v>36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0</v>
      </c>
      <c r="AG21" s="30" t="s">
        <v>36</v>
      </c>
      <c r="AH21" s="30" t="s">
        <v>36</v>
      </c>
      <c r="AI21" s="32" t="s">
        <v>1</v>
      </c>
      <c r="AJ21" s="44" t="s">
        <v>0</v>
      </c>
      <c r="AK21" s="30" t="s">
        <v>40</v>
      </c>
      <c r="AL21" s="30" t="s">
        <v>40</v>
      </c>
      <c r="AM21" s="30" t="s">
        <v>40</v>
      </c>
      <c r="AN21" s="32" t="s">
        <v>1</v>
      </c>
      <c r="AO21" s="44" t="s">
        <v>0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329" t="s">
        <v>126</v>
      </c>
    </row>
    <row r="22" spans="1:226" ht="25.5" customHeight="1">
      <c r="A22" s="38">
        <f t="shared" si="2"/>
        <v>0</v>
      </c>
      <c r="B22" s="39">
        <f t="shared" si="3"/>
        <v>0</v>
      </c>
      <c r="C22" s="40">
        <f t="shared" si="4"/>
        <v>22</v>
      </c>
      <c r="D22" s="39">
        <f t="shared" si="5"/>
        <v>0</v>
      </c>
      <c r="E22" s="41">
        <f t="shared" si="6"/>
        <v>1</v>
      </c>
      <c r="F22" s="41">
        <f t="shared" si="7"/>
        <v>8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49" t="s">
        <v>40</v>
      </c>
      <c r="L22" s="30" t="s">
        <v>40</v>
      </c>
      <c r="M22" s="30" t="s">
        <v>40</v>
      </c>
      <c r="N22" s="44" t="s">
        <v>0</v>
      </c>
      <c r="O22" s="44" t="s">
        <v>0</v>
      </c>
      <c r="P22" s="30" t="s">
        <v>40</v>
      </c>
      <c r="Q22" s="30" t="s">
        <v>40</v>
      </c>
      <c r="R22" s="32" t="s">
        <v>1</v>
      </c>
      <c r="S22" s="30" t="s">
        <v>0</v>
      </c>
      <c r="T22" s="30" t="s">
        <v>40</v>
      </c>
      <c r="U22" s="30" t="s">
        <v>40</v>
      </c>
      <c r="V22" s="30" t="s">
        <v>40</v>
      </c>
      <c r="W22" s="30" t="s">
        <v>40</v>
      </c>
      <c r="X22" s="30" t="s">
        <v>0</v>
      </c>
      <c r="Y22" s="30">
        <v>3</v>
      </c>
      <c r="Z22" s="30">
        <v>3</v>
      </c>
      <c r="AA22" s="30">
        <v>3</v>
      </c>
      <c r="AB22" s="44" t="s">
        <v>0</v>
      </c>
      <c r="AC22" s="44" t="s">
        <v>0</v>
      </c>
      <c r="AD22" s="30">
        <v>3</v>
      </c>
      <c r="AE22" s="30">
        <v>3</v>
      </c>
      <c r="AF22" s="30">
        <v>3</v>
      </c>
      <c r="AG22" s="30">
        <v>3</v>
      </c>
      <c r="AH22" s="30" t="s">
        <v>0</v>
      </c>
      <c r="AI22" s="30">
        <v>3</v>
      </c>
      <c r="AJ22" s="41">
        <v>3</v>
      </c>
      <c r="AK22" s="41">
        <v>3</v>
      </c>
      <c r="AL22" s="30">
        <v>3</v>
      </c>
      <c r="AM22" s="30">
        <v>3</v>
      </c>
      <c r="AN22" s="30" t="s">
        <v>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329" t="s">
        <v>128</v>
      </c>
    </row>
    <row r="23" spans="1:226" s="50" customFormat="1" ht="25.5" customHeight="1">
      <c r="A23" s="38">
        <f t="shared" si="2"/>
        <v>3</v>
      </c>
      <c r="B23" s="39">
        <f t="shared" si="3"/>
        <v>16</v>
      </c>
      <c r="C23" s="40">
        <f t="shared" si="4"/>
        <v>4</v>
      </c>
      <c r="D23" s="39">
        <f t="shared" si="5"/>
        <v>0</v>
      </c>
      <c r="E23" s="41">
        <f t="shared" si="6"/>
        <v>0</v>
      </c>
      <c r="F23" s="41">
        <f t="shared" si="7"/>
        <v>8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49" t="s">
        <v>38</v>
      </c>
      <c r="L23" s="30" t="s">
        <v>38</v>
      </c>
      <c r="M23" s="30" t="s">
        <v>0</v>
      </c>
      <c r="N23" s="30" t="s">
        <v>36</v>
      </c>
      <c r="O23" s="30" t="s">
        <v>36</v>
      </c>
      <c r="P23" s="30" t="s">
        <v>0</v>
      </c>
      <c r="Q23" s="30" t="s">
        <v>40</v>
      </c>
      <c r="R23" s="30" t="s">
        <v>40</v>
      </c>
      <c r="S23" s="30" t="s">
        <v>40</v>
      </c>
      <c r="T23" s="30" t="s">
        <v>40</v>
      </c>
      <c r="U23" s="44" t="s">
        <v>0</v>
      </c>
      <c r="V23" s="44" t="s">
        <v>0</v>
      </c>
      <c r="W23" s="30" t="s">
        <v>36</v>
      </c>
      <c r="X23" s="30" t="s">
        <v>38</v>
      </c>
      <c r="Y23" s="30">
        <v>2</v>
      </c>
      <c r="Z23" s="30">
        <v>2</v>
      </c>
      <c r="AA23" s="30">
        <v>2</v>
      </c>
      <c r="AB23" s="30">
        <v>2</v>
      </c>
      <c r="AC23" s="30" t="s">
        <v>0</v>
      </c>
      <c r="AD23" s="30" t="s">
        <v>38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44" t="s">
        <v>0</v>
      </c>
      <c r="AJ23" s="44" t="s">
        <v>0</v>
      </c>
      <c r="AK23" s="30" t="s">
        <v>38</v>
      </c>
      <c r="AL23" s="30" t="s">
        <v>38</v>
      </c>
      <c r="AM23" s="30" t="s">
        <v>38</v>
      </c>
      <c r="AN23" s="30" t="s">
        <v>0</v>
      </c>
      <c r="AO23" s="48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10</v>
      </c>
      <c r="B24" s="39">
        <f t="shared" si="3"/>
        <v>0</v>
      </c>
      <c r="C24" s="40">
        <f t="shared" si="4"/>
        <v>0</v>
      </c>
      <c r="D24" s="39">
        <f t="shared" si="5"/>
        <v>13</v>
      </c>
      <c r="E24" s="41">
        <f t="shared" si="6"/>
        <v>0</v>
      </c>
      <c r="F24" s="41">
        <f t="shared" si="7"/>
        <v>8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15</v>
      </c>
      <c r="K24" s="30">
        <v>1</v>
      </c>
      <c r="L24" s="30">
        <v>1</v>
      </c>
      <c r="M24" s="30">
        <v>1</v>
      </c>
      <c r="N24" s="44" t="s">
        <v>0</v>
      </c>
      <c r="O24" s="44" t="s">
        <v>0</v>
      </c>
      <c r="P24" s="30">
        <v>1</v>
      </c>
      <c r="Q24" s="53" t="s">
        <v>3</v>
      </c>
      <c r="R24" s="53" t="s">
        <v>3</v>
      </c>
      <c r="S24" s="30" t="s">
        <v>3</v>
      </c>
      <c r="T24" s="30">
        <v>1</v>
      </c>
      <c r="U24" s="44" t="s">
        <v>0</v>
      </c>
      <c r="V24" s="44" t="s">
        <v>0</v>
      </c>
      <c r="W24" s="30" t="s">
        <v>3</v>
      </c>
      <c r="X24" s="53" t="s">
        <v>3</v>
      </c>
      <c r="Y24" s="53" t="s">
        <v>3</v>
      </c>
      <c r="Z24" s="30" t="s">
        <v>3</v>
      </c>
      <c r="AA24" s="30">
        <v>1</v>
      </c>
      <c r="AB24" s="44" t="s">
        <v>0</v>
      </c>
      <c r="AC24" s="44" t="s">
        <v>0</v>
      </c>
      <c r="AD24" s="30" t="s">
        <v>3</v>
      </c>
      <c r="AE24" s="53" t="s">
        <v>3</v>
      </c>
      <c r="AF24" s="53" t="s">
        <v>3</v>
      </c>
      <c r="AG24" s="53" t="s">
        <v>3</v>
      </c>
      <c r="AH24" s="30">
        <v>1</v>
      </c>
      <c r="AI24" s="44" t="s">
        <v>0</v>
      </c>
      <c r="AJ24" s="44" t="s">
        <v>0</v>
      </c>
      <c r="AK24" s="30">
        <v>1</v>
      </c>
      <c r="AL24" s="53" t="s">
        <v>3</v>
      </c>
      <c r="AM24" s="53" t="s">
        <v>3</v>
      </c>
      <c r="AN24" s="30">
        <v>1</v>
      </c>
      <c r="AO24" s="48">
        <v>1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8</v>
      </c>
      <c r="B25" s="39">
        <f>COUNTIF(K25:AO25,2)+COUNTIF(K25:AO25,"中")+COUNTIF(K25:AO25,"M2")+COUNTIF(K25:AO25,"T中")+COUNTIF(K25:AO25,"小夜")</f>
        <v>8</v>
      </c>
      <c r="C25" s="40">
        <f>COUNTIF(K25:AO25,3)+COUNTIF(K25:AO25,"晚")+COUNTIF(K25:AO25,"大夜")</f>
        <v>7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8</v>
      </c>
      <c r="G25" s="41">
        <f>COUNTIF(K25:AO25,"Y")</f>
        <v>0</v>
      </c>
      <c r="H25" s="41">
        <f>COUNTIF(K25:AO25,"Z")</f>
        <v>0</v>
      </c>
      <c r="I25" s="42">
        <f t="shared" si="0"/>
        <v>31</v>
      </c>
      <c r="J25" s="147" t="s">
        <v>16</v>
      </c>
      <c r="K25" s="49" t="s">
        <v>40</v>
      </c>
      <c r="L25" s="30" t="s">
        <v>0</v>
      </c>
      <c r="M25" s="30" t="s">
        <v>38</v>
      </c>
      <c r="N25" s="30" t="s">
        <v>38</v>
      </c>
      <c r="O25" s="30" t="s">
        <v>38</v>
      </c>
      <c r="P25" s="30" t="s">
        <v>0</v>
      </c>
      <c r="Q25" s="30" t="s">
        <v>36</v>
      </c>
      <c r="R25" s="30" t="s">
        <v>36</v>
      </c>
      <c r="S25" s="30" t="s">
        <v>36</v>
      </c>
      <c r="T25" s="30" t="s">
        <v>36</v>
      </c>
      <c r="U25" s="44" t="s">
        <v>0</v>
      </c>
      <c r="V25" s="44" t="s">
        <v>0</v>
      </c>
      <c r="W25" s="46" t="s">
        <v>38</v>
      </c>
      <c r="X25" s="30" t="s">
        <v>38</v>
      </c>
      <c r="Y25" s="30" t="s">
        <v>38</v>
      </c>
      <c r="Z25" s="30" t="s">
        <v>38</v>
      </c>
      <c r="AA25" s="30" t="s">
        <v>38</v>
      </c>
      <c r="AB25" s="30" t="s">
        <v>0</v>
      </c>
      <c r="AC25" s="30" t="s">
        <v>40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>
        <v>3</v>
      </c>
      <c r="AI25" s="44" t="s">
        <v>0</v>
      </c>
      <c r="AJ25" s="44" t="s">
        <v>0</v>
      </c>
      <c r="AK25" s="30" t="s">
        <v>36</v>
      </c>
      <c r="AL25" s="30" t="s">
        <v>36</v>
      </c>
      <c r="AM25" s="30" t="s">
        <v>36</v>
      </c>
      <c r="AN25" s="30" t="s">
        <v>36</v>
      </c>
      <c r="AO25" s="48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2"/>
        <v>22</v>
      </c>
      <c r="B26" s="39">
        <f t="shared" si="3"/>
        <v>0</v>
      </c>
      <c r="C26" s="40">
        <f t="shared" si="4"/>
        <v>0</v>
      </c>
      <c r="D26" s="39">
        <f t="shared" si="5"/>
        <v>0</v>
      </c>
      <c r="E26" s="41">
        <f t="shared" si="6"/>
        <v>1</v>
      </c>
      <c r="F26" s="41">
        <f t="shared" si="7"/>
        <v>8</v>
      </c>
      <c r="G26" s="41">
        <f t="shared" si="8"/>
        <v>0</v>
      </c>
      <c r="H26" s="41">
        <f t="shared" si="9"/>
        <v>0</v>
      </c>
      <c r="I26" s="42">
        <f t="shared" si="0"/>
        <v>31</v>
      </c>
      <c r="J26" s="146" t="s">
        <v>17</v>
      </c>
      <c r="K26" s="122" t="s">
        <v>0</v>
      </c>
      <c r="L26" s="46">
        <v>1</v>
      </c>
      <c r="M26" s="30">
        <v>1</v>
      </c>
      <c r="N26" s="46">
        <v>1</v>
      </c>
      <c r="O26" s="30">
        <v>1</v>
      </c>
      <c r="P26" s="46">
        <v>1</v>
      </c>
      <c r="Q26" s="30">
        <v>1</v>
      </c>
      <c r="R26" s="32" t="s">
        <v>0</v>
      </c>
      <c r="S26" s="46">
        <v>1</v>
      </c>
      <c r="T26" s="30">
        <v>1</v>
      </c>
      <c r="U26" s="44" t="s">
        <v>0</v>
      </c>
      <c r="V26" s="44" t="s">
        <v>0</v>
      </c>
      <c r="W26" s="46">
        <v>1</v>
      </c>
      <c r="X26" s="30">
        <v>1</v>
      </c>
      <c r="Y26" s="46">
        <v>1</v>
      </c>
      <c r="Z26" s="30">
        <v>1</v>
      </c>
      <c r="AA26" s="44" t="s">
        <v>0</v>
      </c>
      <c r="AB26" s="32" t="s">
        <v>1</v>
      </c>
      <c r="AC26" s="44" t="s">
        <v>0</v>
      </c>
      <c r="AD26" s="46">
        <v>1</v>
      </c>
      <c r="AE26" s="30">
        <v>1</v>
      </c>
      <c r="AF26" s="32" t="s">
        <v>0</v>
      </c>
      <c r="AG26" s="46">
        <v>1</v>
      </c>
      <c r="AH26" s="30">
        <v>1</v>
      </c>
      <c r="AI26" s="46">
        <v>1</v>
      </c>
      <c r="AJ26" s="46">
        <v>1</v>
      </c>
      <c r="AK26" s="46">
        <v>1</v>
      </c>
      <c r="AL26" s="30">
        <v>1</v>
      </c>
      <c r="AM26" s="32" t="s">
        <v>0</v>
      </c>
      <c r="AN26" s="46">
        <v>1</v>
      </c>
      <c r="AO26" s="48">
        <v>1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7" customHeight="1">
      <c r="A27" s="38">
        <f t="shared" si="2"/>
        <v>2</v>
      </c>
      <c r="B27" s="39">
        <f t="shared" si="3"/>
        <v>13</v>
      </c>
      <c r="C27" s="40">
        <f t="shared" si="4"/>
        <v>8</v>
      </c>
      <c r="D27" s="39">
        <f t="shared" si="5"/>
        <v>0</v>
      </c>
      <c r="E27" s="41">
        <f t="shared" si="6"/>
        <v>0</v>
      </c>
      <c r="F27" s="41">
        <f t="shared" si="7"/>
        <v>8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7" t="s">
        <v>139</v>
      </c>
      <c r="K27" s="49">
        <v>3</v>
      </c>
      <c r="L27" s="30">
        <v>3</v>
      </c>
      <c r="M27" s="30">
        <v>3</v>
      </c>
      <c r="N27" s="30" t="s">
        <v>0</v>
      </c>
      <c r="O27" s="30" t="s">
        <v>0</v>
      </c>
      <c r="P27" s="30">
        <v>3</v>
      </c>
      <c r="Q27" s="30">
        <v>3</v>
      </c>
      <c r="R27" s="30">
        <v>3</v>
      </c>
      <c r="S27" s="30">
        <v>3</v>
      </c>
      <c r="T27" s="30">
        <v>3</v>
      </c>
      <c r="U27" s="44" t="s">
        <v>0</v>
      </c>
      <c r="V27" s="44" t="s">
        <v>0</v>
      </c>
      <c r="W27" s="30">
        <v>2</v>
      </c>
      <c r="X27" s="30">
        <v>2</v>
      </c>
      <c r="Y27" s="30">
        <v>2</v>
      </c>
      <c r="Z27" s="30">
        <v>2</v>
      </c>
      <c r="AA27" s="30" t="s">
        <v>0</v>
      </c>
      <c r="AB27" s="30">
        <v>1</v>
      </c>
      <c r="AC27" s="30">
        <v>1</v>
      </c>
      <c r="AD27" s="30">
        <v>2</v>
      </c>
      <c r="AE27" s="30">
        <v>2</v>
      </c>
      <c r="AF27" s="30">
        <v>2</v>
      </c>
      <c r="AG27" s="30">
        <v>2</v>
      </c>
      <c r="AH27" s="30" t="s">
        <v>0</v>
      </c>
      <c r="AI27" s="44" t="s">
        <v>0</v>
      </c>
      <c r="AJ27" s="44" t="s">
        <v>0</v>
      </c>
      <c r="AK27" s="30">
        <v>2</v>
      </c>
      <c r="AL27" s="30">
        <v>2</v>
      </c>
      <c r="AM27" s="30">
        <v>2</v>
      </c>
      <c r="AN27" s="30">
        <v>2</v>
      </c>
      <c r="AO27" s="48">
        <v>2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ref="A28" si="33">COUNTIF(K28:AO28,1)+COUNTIF(K28:AO28,"早")+COUNTIF(K28:AO28,"M1")+COUNTIF(K28:AO28,"T早")+COUNTIF(K28:AO28,"日")</f>
        <v>9</v>
      </c>
      <c r="B28" s="39">
        <f t="shared" ref="B28" si="34">COUNTIF(K28:AO28,2)+COUNTIF(K28:AO28,"中")+COUNTIF(K28:AO28,"M2")+COUNTIF(K28:AO28,"T中")+COUNTIF(K28:AO28,"小夜")</f>
        <v>0</v>
      </c>
      <c r="C28" s="40">
        <f t="shared" ref="C28" si="35">COUNTIF(K28:AO28,3)+COUNTIF(K28:AO28,"晚")+COUNTIF(K28:AO28,"大夜")</f>
        <v>14</v>
      </c>
      <c r="D28" s="39">
        <f t="shared" ref="D28" si="36">COUNTIF(K28:AO28,"N")+COUNTIF(K28:AO28,"N8")</f>
        <v>0</v>
      </c>
      <c r="E28" s="41">
        <f t="shared" ref="E28" si="37">COUNTIF(K28:AO28,"S")</f>
        <v>0</v>
      </c>
      <c r="F28" s="41">
        <f t="shared" ref="F28" si="38">COUNTIF(K28:AO28,"X")</f>
        <v>8</v>
      </c>
      <c r="G28" s="41">
        <f t="shared" ref="G28" si="39">COUNTIF(K28:AO28,"Y")</f>
        <v>0</v>
      </c>
      <c r="H28" s="41">
        <f t="shared" ref="H28" si="40">COUNTIF(K28:AO28,"Z")</f>
        <v>0</v>
      </c>
      <c r="I28" s="42">
        <f t="shared" ref="I28" si="41">SUM(A28:H28)</f>
        <v>31</v>
      </c>
      <c r="J28" s="147" t="s">
        <v>140</v>
      </c>
      <c r="K28" s="49">
        <v>1</v>
      </c>
      <c r="L28" s="30">
        <v>1</v>
      </c>
      <c r="M28" s="30">
        <v>1</v>
      </c>
      <c r="N28" s="44" t="s">
        <v>0</v>
      </c>
      <c r="O28" s="44" t="s">
        <v>0</v>
      </c>
      <c r="P28" s="30">
        <v>3</v>
      </c>
      <c r="Q28" s="30">
        <v>3</v>
      </c>
      <c r="R28" s="30" t="s">
        <v>0</v>
      </c>
      <c r="S28" s="30">
        <v>1</v>
      </c>
      <c r="T28" s="30">
        <v>1</v>
      </c>
      <c r="U28" s="44" t="s">
        <v>0</v>
      </c>
      <c r="V28" s="44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 t="s">
        <v>0</v>
      </c>
      <c r="AD28" s="30">
        <v>3</v>
      </c>
      <c r="AE28" s="30">
        <v>3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 t="s">
        <v>0</v>
      </c>
      <c r="AN28" s="30">
        <v>3</v>
      </c>
      <c r="AO28" s="48">
        <v>3</v>
      </c>
      <c r="AP28" s="62">
        <v>0</v>
      </c>
      <c r="AQ28" s="46">
        <f t="shared" si="1"/>
        <v>0</v>
      </c>
      <c r="AR28" s="46">
        <v>0</v>
      </c>
      <c r="AS28" s="134">
        <f t="shared" si="10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2"/>
        <v>5</v>
      </c>
      <c r="B29" s="39">
        <f t="shared" si="3"/>
        <v>15</v>
      </c>
      <c r="C29" s="40">
        <f t="shared" si="4"/>
        <v>0</v>
      </c>
      <c r="D29" s="39">
        <f t="shared" si="5"/>
        <v>3</v>
      </c>
      <c r="E29" s="41">
        <f t="shared" si="6"/>
        <v>0</v>
      </c>
      <c r="F29" s="41">
        <f t="shared" si="7"/>
        <v>7</v>
      </c>
      <c r="G29" s="41">
        <f t="shared" si="8"/>
        <v>0</v>
      </c>
      <c r="H29" s="41">
        <f t="shared" si="9"/>
        <v>0</v>
      </c>
      <c r="I29" s="42">
        <f t="shared" si="0"/>
        <v>30</v>
      </c>
      <c r="J29" s="147" t="s">
        <v>19</v>
      </c>
      <c r="K29" s="49">
        <v>1</v>
      </c>
      <c r="L29" s="30">
        <v>2</v>
      </c>
      <c r="M29" s="30">
        <v>2</v>
      </c>
      <c r="N29" s="44" t="s">
        <v>0</v>
      </c>
      <c r="O29" s="44" t="s">
        <v>0</v>
      </c>
      <c r="P29" s="30">
        <v>2</v>
      </c>
      <c r="Q29" s="30">
        <v>2</v>
      </c>
      <c r="R29" s="30">
        <v>2</v>
      </c>
      <c r="S29" s="30" t="s">
        <v>0</v>
      </c>
      <c r="T29" s="30" t="s">
        <v>163</v>
      </c>
      <c r="U29" s="30">
        <v>2</v>
      </c>
      <c r="V29" s="30">
        <v>2</v>
      </c>
      <c r="W29" s="30">
        <v>2</v>
      </c>
      <c r="X29" s="30">
        <v>2</v>
      </c>
      <c r="Y29" s="30" t="s">
        <v>0</v>
      </c>
      <c r="Z29" s="348" t="s">
        <v>41</v>
      </c>
      <c r="AA29" s="348" t="s">
        <v>41</v>
      </c>
      <c r="AB29" s="46">
        <v>1</v>
      </c>
      <c r="AC29" s="46">
        <v>2</v>
      </c>
      <c r="AD29" s="30" t="s">
        <v>0</v>
      </c>
      <c r="AE29" s="30">
        <v>1</v>
      </c>
      <c r="AF29" s="30">
        <v>1</v>
      </c>
      <c r="AG29" s="30">
        <v>1</v>
      </c>
      <c r="AH29" s="53" t="s">
        <v>3</v>
      </c>
      <c r="AI29" s="44" t="s">
        <v>0</v>
      </c>
      <c r="AJ29" s="44" t="s">
        <v>0</v>
      </c>
      <c r="AK29" s="41">
        <v>2</v>
      </c>
      <c r="AL29" s="46">
        <v>2</v>
      </c>
      <c r="AM29" s="46">
        <v>2</v>
      </c>
      <c r="AN29" s="30">
        <v>2</v>
      </c>
      <c r="AO29" s="48">
        <v>2</v>
      </c>
      <c r="AP29" s="62">
        <v>0</v>
      </c>
      <c r="AQ29" s="46">
        <f t="shared" si="1"/>
        <v>-1</v>
      </c>
      <c r="AR29" s="46">
        <v>0</v>
      </c>
      <c r="AS29" s="134">
        <f t="shared" si="10"/>
        <v>-1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11</v>
      </c>
      <c r="B30" s="39">
        <f>COUNTIF(K30:AO30,2)+COUNTIF(K30:AO30,"中")+COUNTIF(K30:AO30,"M2")+COUNTIF(K30:AO30,"T中")+COUNTIF(K30:AO30,"小夜")</f>
        <v>10</v>
      </c>
      <c r="C30" s="40">
        <f>COUNTIF(K30:AO30,3)+COUNTIF(K30:AO30,"晚")+COUNTIF(K30:AO30,"大夜")</f>
        <v>2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8</v>
      </c>
      <c r="G30" s="41">
        <f>COUNTIF(K30:AO30,"Y")</f>
        <v>0</v>
      </c>
      <c r="H30" s="41">
        <f>COUNTIF(K30:AO30,"Z")</f>
        <v>0</v>
      </c>
      <c r="I30" s="42">
        <f>SUM(A30:H30)</f>
        <v>31</v>
      </c>
      <c r="J30" s="147" t="s">
        <v>20</v>
      </c>
      <c r="K30" s="49">
        <v>3</v>
      </c>
      <c r="L30" s="30">
        <v>3</v>
      </c>
      <c r="M30" s="30" t="s">
        <v>0</v>
      </c>
      <c r="N30" s="30" t="s">
        <v>0</v>
      </c>
      <c r="O30" s="30">
        <v>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44" t="s">
        <v>0</v>
      </c>
      <c r="V30" s="44" t="s">
        <v>0</v>
      </c>
      <c r="W30" s="30">
        <v>1</v>
      </c>
      <c r="X30" s="30">
        <v>1</v>
      </c>
      <c r="Y30" s="30">
        <v>1</v>
      </c>
      <c r="Z30" s="30">
        <v>2</v>
      </c>
      <c r="AA30" s="30">
        <v>2</v>
      </c>
      <c r="AB30" s="30" t="s">
        <v>0</v>
      </c>
      <c r="AC30" s="30">
        <v>1</v>
      </c>
      <c r="AD30" s="30">
        <v>1</v>
      </c>
      <c r="AE30" s="30">
        <v>1</v>
      </c>
      <c r="AF30" s="30">
        <v>1</v>
      </c>
      <c r="AG30" s="30">
        <v>2</v>
      </c>
      <c r="AH30" s="30">
        <v>2</v>
      </c>
      <c r="AI30" s="44" t="s">
        <v>0</v>
      </c>
      <c r="AJ30" s="44" t="s">
        <v>0</v>
      </c>
      <c r="AK30" s="30" t="s">
        <v>0</v>
      </c>
      <c r="AL30" s="30">
        <v>1</v>
      </c>
      <c r="AM30" s="30">
        <v>1</v>
      </c>
      <c r="AN30" s="30">
        <v>1</v>
      </c>
      <c r="AO30" s="48">
        <v>1</v>
      </c>
      <c r="AP30" s="62">
        <v>0</v>
      </c>
      <c r="AQ30" s="46">
        <f t="shared" si="1"/>
        <v>0</v>
      </c>
      <c r="AR30" s="46">
        <v>0</v>
      </c>
      <c r="AS30" s="134">
        <f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 thickBot="1">
      <c r="A31" s="54">
        <f t="shared" si="2"/>
        <v>12</v>
      </c>
      <c r="B31" s="55">
        <f t="shared" si="3"/>
        <v>5</v>
      </c>
      <c r="C31" s="56">
        <f t="shared" si="4"/>
        <v>6</v>
      </c>
      <c r="D31" s="55">
        <f t="shared" si="5"/>
        <v>0</v>
      </c>
      <c r="E31" s="17">
        <f t="shared" si="6"/>
        <v>0</v>
      </c>
      <c r="F31" s="17">
        <f t="shared" si="7"/>
        <v>8</v>
      </c>
      <c r="G31" s="17">
        <f t="shared" si="8"/>
        <v>0</v>
      </c>
      <c r="H31" s="17">
        <f t="shared" si="9"/>
        <v>0</v>
      </c>
      <c r="I31" s="57">
        <f t="shared" si="0"/>
        <v>31</v>
      </c>
      <c r="J31" s="158" t="s">
        <v>21</v>
      </c>
      <c r="K31" s="58">
        <v>2</v>
      </c>
      <c r="L31" s="60">
        <v>2</v>
      </c>
      <c r="M31" s="60">
        <v>2</v>
      </c>
      <c r="N31" s="60">
        <v>2</v>
      </c>
      <c r="O31" s="60" t="s">
        <v>0</v>
      </c>
      <c r="P31" s="60">
        <v>1</v>
      </c>
      <c r="Q31" s="60">
        <v>1</v>
      </c>
      <c r="R31" s="60">
        <v>1</v>
      </c>
      <c r="S31" s="60">
        <v>1</v>
      </c>
      <c r="T31" s="60">
        <v>2</v>
      </c>
      <c r="U31" s="59" t="s">
        <v>0</v>
      </c>
      <c r="V31" s="59" t="s">
        <v>0</v>
      </c>
      <c r="W31" s="60">
        <v>3</v>
      </c>
      <c r="X31" s="60">
        <v>3</v>
      </c>
      <c r="Y31" s="60" t="s">
        <v>0</v>
      </c>
      <c r="Z31" s="60">
        <v>1</v>
      </c>
      <c r="AA31" s="60">
        <v>1</v>
      </c>
      <c r="AB31" s="60">
        <v>1</v>
      </c>
      <c r="AC31" s="60">
        <v>1</v>
      </c>
      <c r="AD31" s="60">
        <v>1</v>
      </c>
      <c r="AE31" s="60" t="s">
        <v>0</v>
      </c>
      <c r="AF31" s="60">
        <v>1</v>
      </c>
      <c r="AG31" s="60">
        <v>1</v>
      </c>
      <c r="AH31" s="60">
        <v>1</v>
      </c>
      <c r="AI31" s="59" t="s">
        <v>0</v>
      </c>
      <c r="AJ31" s="59" t="s">
        <v>0</v>
      </c>
      <c r="AK31" s="60">
        <v>3</v>
      </c>
      <c r="AL31" s="60">
        <v>3</v>
      </c>
      <c r="AM31" s="60">
        <v>3</v>
      </c>
      <c r="AN31" s="60">
        <v>3</v>
      </c>
      <c r="AO31" s="359" t="s">
        <v>156</v>
      </c>
      <c r="AP31" s="142">
        <v>0</v>
      </c>
      <c r="AQ31" s="74">
        <f t="shared" si="1"/>
        <v>0</v>
      </c>
      <c r="AR31" s="74">
        <v>0</v>
      </c>
      <c r="AS31" s="127">
        <f t="shared" si="10"/>
        <v>0</v>
      </c>
      <c r="AT31" s="330" t="s">
        <v>126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23">
        <f t="shared" si="2"/>
        <v>3</v>
      </c>
      <c r="B32" s="24">
        <f t="shared" si="3"/>
        <v>0</v>
      </c>
      <c r="C32" s="25">
        <f t="shared" si="4"/>
        <v>20</v>
      </c>
      <c r="D32" s="24">
        <f t="shared" si="5"/>
        <v>0</v>
      </c>
      <c r="E32" s="26">
        <f t="shared" si="6"/>
        <v>0</v>
      </c>
      <c r="F32" s="26">
        <f t="shared" si="7"/>
        <v>8</v>
      </c>
      <c r="G32" s="26">
        <f t="shared" si="8"/>
        <v>0</v>
      </c>
      <c r="H32" s="26">
        <f t="shared" si="9"/>
        <v>0</v>
      </c>
      <c r="I32" s="27">
        <f t="shared" si="0"/>
        <v>31</v>
      </c>
      <c r="J32" s="154" t="s">
        <v>22</v>
      </c>
      <c r="K32" s="163" t="s">
        <v>0</v>
      </c>
      <c r="L32" s="164" t="s">
        <v>40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0</v>
      </c>
      <c r="R32" s="164" t="s">
        <v>40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0</v>
      </c>
      <c r="Y32" s="164">
        <v>1</v>
      </c>
      <c r="Z32" s="164">
        <v>1</v>
      </c>
      <c r="AA32" s="164">
        <v>1</v>
      </c>
      <c r="AB32" s="165" t="s">
        <v>0</v>
      </c>
      <c r="AC32" s="165" t="s">
        <v>0</v>
      </c>
      <c r="AD32" s="164" t="s">
        <v>40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5" t="s">
        <v>0</v>
      </c>
      <c r="AJ32" s="165" t="s">
        <v>0</v>
      </c>
      <c r="AK32" s="164" t="s">
        <v>40</v>
      </c>
      <c r="AL32" s="164" t="s">
        <v>40</v>
      </c>
      <c r="AM32" s="164" t="s">
        <v>40</v>
      </c>
      <c r="AN32" s="164" t="s">
        <v>40</v>
      </c>
      <c r="AO32" s="358" t="s">
        <v>156</v>
      </c>
      <c r="AP32" s="65">
        <v>0</v>
      </c>
      <c r="AQ32" s="36">
        <f t="shared" si="1"/>
        <v>0</v>
      </c>
      <c r="AR32" s="36">
        <v>0</v>
      </c>
      <c r="AS32" s="133">
        <f t="shared" si="10"/>
        <v>0</v>
      </c>
      <c r="AT32" s="328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7.6" customHeight="1">
      <c r="A33" s="38">
        <f>COUNTIF(K33:AO33,1)+COUNTIF(K33:AO33,"早")+COUNTIF(K33:AO33,"M1")+COUNTIF(K33:AO33,"T早")+COUNTIF(K33:AO33,"日")</f>
        <v>0</v>
      </c>
      <c r="B33" s="39">
        <f>COUNTIF(K33:AO33,2)+COUNTIF(K33:AO33,"中")+COUNTIF(K33:AO33,"M2")+COUNTIF(K33:AO33,"T中")+COUNTIF(K33:AO33,"小夜")</f>
        <v>13</v>
      </c>
      <c r="C33" s="40">
        <f>COUNTIF(K33:AO33,3)+COUNTIF(K33:AO33,"晚")+COUNTIF(K33:AO33,"大夜")</f>
        <v>0</v>
      </c>
      <c r="D33" s="39">
        <f>COUNTIF(K33:AO33,"N")+COUNTIF(K33:AO33,"N8")</f>
        <v>0</v>
      </c>
      <c r="E33" s="41">
        <f>COUNTIF(K33:AO33,"S")</f>
        <v>9</v>
      </c>
      <c r="F33" s="41">
        <f>COUNTIF(K33:AO33,"X")</f>
        <v>8</v>
      </c>
      <c r="G33" s="41">
        <f>COUNTIF(K33:AO33,"Y")</f>
        <v>0</v>
      </c>
      <c r="H33" s="41">
        <f>COUNTIF(K33:AO33,"Z")</f>
        <v>0</v>
      </c>
      <c r="I33" s="42">
        <f t="shared" si="0"/>
        <v>30</v>
      </c>
      <c r="J33" s="146" t="s">
        <v>23</v>
      </c>
      <c r="K33" s="122" t="s">
        <v>1</v>
      </c>
      <c r="L33" s="32" t="s">
        <v>1</v>
      </c>
      <c r="M33" s="32" t="s">
        <v>1</v>
      </c>
      <c r="N33" s="44" t="s">
        <v>0</v>
      </c>
      <c r="O33" s="44" t="s">
        <v>0</v>
      </c>
      <c r="P33" s="32" t="s">
        <v>1</v>
      </c>
      <c r="Q33" s="32" t="s">
        <v>1</v>
      </c>
      <c r="R33" s="32" t="s">
        <v>1</v>
      </c>
      <c r="S33" s="32" t="s">
        <v>1</v>
      </c>
      <c r="T33" s="32" t="s">
        <v>163</v>
      </c>
      <c r="U33" s="44" t="s">
        <v>0</v>
      </c>
      <c r="V33" s="32" t="s">
        <v>1</v>
      </c>
      <c r="W33" s="32" t="s">
        <v>1</v>
      </c>
      <c r="X33" s="44" t="s">
        <v>0</v>
      </c>
      <c r="Y33" s="30" t="s">
        <v>38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0</v>
      </c>
      <c r="AF33" s="30" t="s">
        <v>38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0</v>
      </c>
      <c r="AL33" s="30" t="s">
        <v>0</v>
      </c>
      <c r="AM33" s="30" t="s">
        <v>0</v>
      </c>
      <c r="AN33" s="30" t="s">
        <v>38</v>
      </c>
      <c r="AO33" s="48" t="s">
        <v>38</v>
      </c>
      <c r="AP33" s="45">
        <v>0</v>
      </c>
      <c r="AQ33" s="46">
        <f t="shared" si="1"/>
        <v>0</v>
      </c>
      <c r="AR33" s="46">
        <v>0</v>
      </c>
      <c r="AS33" s="134">
        <f t="shared" si="10"/>
        <v>0</v>
      </c>
      <c r="AT33" s="329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6" s="50" customFormat="1" ht="27.6" customHeight="1">
      <c r="A34" s="38">
        <f t="shared" si="2"/>
        <v>0</v>
      </c>
      <c r="B34" s="39">
        <f t="shared" si="3"/>
        <v>22</v>
      </c>
      <c r="C34" s="40">
        <f t="shared" si="4"/>
        <v>0</v>
      </c>
      <c r="D34" s="39">
        <f t="shared" si="5"/>
        <v>0</v>
      </c>
      <c r="E34" s="41">
        <f t="shared" si="6"/>
        <v>1</v>
      </c>
      <c r="F34" s="41">
        <f t="shared" si="7"/>
        <v>8</v>
      </c>
      <c r="G34" s="41">
        <f t="shared" si="8"/>
        <v>0</v>
      </c>
      <c r="H34" s="41">
        <f t="shared" si="9"/>
        <v>0</v>
      </c>
      <c r="I34" s="42">
        <f t="shared" si="0"/>
        <v>31</v>
      </c>
      <c r="J34" s="146" t="s">
        <v>24</v>
      </c>
      <c r="K34" s="49" t="s">
        <v>38</v>
      </c>
      <c r="L34" s="30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44" t="s">
        <v>0</v>
      </c>
      <c r="V34" s="32" t="s">
        <v>1</v>
      </c>
      <c r="W34" s="30" t="s">
        <v>38</v>
      </c>
      <c r="X34" s="30" t="s">
        <v>38</v>
      </c>
      <c r="Y34" s="30" t="s">
        <v>38</v>
      </c>
      <c r="Z34" s="30" t="s">
        <v>0</v>
      </c>
      <c r="AA34" s="30" t="s">
        <v>0</v>
      </c>
      <c r="AB34" s="30" t="s">
        <v>38</v>
      </c>
      <c r="AC34" s="30" t="s">
        <v>38</v>
      </c>
      <c r="AD34" s="44" t="s">
        <v>0</v>
      </c>
      <c r="AE34" s="30" t="s">
        <v>38</v>
      </c>
      <c r="AF34" s="30" t="s">
        <v>38</v>
      </c>
      <c r="AG34" s="30" t="s">
        <v>38</v>
      </c>
      <c r="AH34" s="30" t="s">
        <v>38</v>
      </c>
      <c r="AI34" s="44" t="s">
        <v>0</v>
      </c>
      <c r="AJ34" s="44" t="s">
        <v>0</v>
      </c>
      <c r="AK34" s="30" t="s">
        <v>38</v>
      </c>
      <c r="AL34" s="30" t="s">
        <v>38</v>
      </c>
      <c r="AM34" s="30" t="s">
        <v>38</v>
      </c>
      <c r="AN34" s="30" t="s">
        <v>38</v>
      </c>
      <c r="AO34" s="48" t="s">
        <v>0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329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6" customHeight="1">
      <c r="A35" s="38">
        <f t="shared" si="2"/>
        <v>3</v>
      </c>
      <c r="B35" s="39">
        <f t="shared" si="3"/>
        <v>17</v>
      </c>
      <c r="C35" s="40">
        <f t="shared" si="4"/>
        <v>2</v>
      </c>
      <c r="D35" s="39">
        <f t="shared" si="5"/>
        <v>0</v>
      </c>
      <c r="E35" s="41">
        <f t="shared" si="6"/>
        <v>1</v>
      </c>
      <c r="F35" s="41">
        <f t="shared" si="7"/>
        <v>7</v>
      </c>
      <c r="G35" s="41">
        <f t="shared" si="8"/>
        <v>0</v>
      </c>
      <c r="H35" s="41">
        <f t="shared" si="9"/>
        <v>0</v>
      </c>
      <c r="I35" s="42">
        <f t="shared" si="0"/>
        <v>30</v>
      </c>
      <c r="J35" s="148" t="s">
        <v>25</v>
      </c>
      <c r="K35" s="49" t="s">
        <v>36</v>
      </c>
      <c r="L35" s="30" t="s">
        <v>36</v>
      </c>
      <c r="M35" s="30" t="s">
        <v>36</v>
      </c>
      <c r="N35" s="30" t="s">
        <v>26</v>
      </c>
      <c r="O35" s="30" t="s">
        <v>38</v>
      </c>
      <c r="P35" s="30" t="s">
        <v>0</v>
      </c>
      <c r="Q35" s="30" t="s">
        <v>38</v>
      </c>
      <c r="R35" s="30" t="s">
        <v>38</v>
      </c>
      <c r="S35" s="30" t="s">
        <v>38</v>
      </c>
      <c r="T35" s="30" t="s">
        <v>163</v>
      </c>
      <c r="U35" s="30" t="s">
        <v>38</v>
      </c>
      <c r="V35" s="30" t="s">
        <v>38</v>
      </c>
      <c r="W35" s="30" t="s">
        <v>38</v>
      </c>
      <c r="X35" s="32" t="s">
        <v>0</v>
      </c>
      <c r="Y35" s="30" t="s">
        <v>0</v>
      </c>
      <c r="Z35" s="32" t="s">
        <v>1</v>
      </c>
      <c r="AA35" s="30" t="s">
        <v>38</v>
      </c>
      <c r="AB35" s="30" t="s">
        <v>26</v>
      </c>
      <c r="AC35" s="30" t="s">
        <v>38</v>
      </c>
      <c r="AD35" s="30" t="s">
        <v>38</v>
      </c>
      <c r="AE35" s="30" t="s">
        <v>38</v>
      </c>
      <c r="AF35" s="30" t="s">
        <v>0</v>
      </c>
      <c r="AG35" s="30" t="s">
        <v>0</v>
      </c>
      <c r="AH35" s="30">
        <v>3</v>
      </c>
      <c r="AI35" s="30" t="s">
        <v>26</v>
      </c>
      <c r="AJ35" s="30" t="s">
        <v>38</v>
      </c>
      <c r="AK35" s="30" t="s">
        <v>38</v>
      </c>
      <c r="AL35" s="30" t="s">
        <v>38</v>
      </c>
      <c r="AM35" s="30" t="s">
        <v>0</v>
      </c>
      <c r="AN35" s="44" t="s">
        <v>0</v>
      </c>
      <c r="AO35" s="48" t="s">
        <v>40</v>
      </c>
      <c r="AP35" s="45">
        <v>0</v>
      </c>
      <c r="AQ35" s="46">
        <f t="shared" si="1"/>
        <v>-1</v>
      </c>
      <c r="AR35" s="46">
        <v>0</v>
      </c>
      <c r="AS35" s="134">
        <f t="shared" si="10"/>
        <v>-1</v>
      </c>
      <c r="AT35" s="32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4" customHeight="1">
      <c r="A36" s="38">
        <f t="shared" si="2"/>
        <v>6</v>
      </c>
      <c r="B36" s="39">
        <f t="shared" si="3"/>
        <v>2</v>
      </c>
      <c r="C36" s="40">
        <f t="shared" si="4"/>
        <v>9</v>
      </c>
      <c r="D36" s="39">
        <f t="shared" si="5"/>
        <v>3</v>
      </c>
      <c r="E36" s="41">
        <f t="shared" si="6"/>
        <v>2</v>
      </c>
      <c r="F36" s="41">
        <f t="shared" si="7"/>
        <v>8</v>
      </c>
      <c r="G36" s="41">
        <f t="shared" si="8"/>
        <v>0</v>
      </c>
      <c r="H36" s="41">
        <f t="shared" si="9"/>
        <v>0</v>
      </c>
      <c r="I36" s="42">
        <f t="shared" si="0"/>
        <v>30</v>
      </c>
      <c r="J36" s="146" t="s">
        <v>27</v>
      </c>
      <c r="K36" s="49" t="s">
        <v>0</v>
      </c>
      <c r="L36" s="30" t="s">
        <v>36</v>
      </c>
      <c r="M36" s="30" t="s">
        <v>36</v>
      </c>
      <c r="N36" s="30" t="s">
        <v>36</v>
      </c>
      <c r="O36" s="30" t="s">
        <v>36</v>
      </c>
      <c r="P36" s="30" t="s">
        <v>0</v>
      </c>
      <c r="Q36" s="53" t="s">
        <v>3</v>
      </c>
      <c r="R36" s="53" t="s">
        <v>3</v>
      </c>
      <c r="S36" s="32" t="s">
        <v>0</v>
      </c>
      <c r="T36" s="32" t="s">
        <v>163</v>
      </c>
      <c r="U36" s="44" t="s">
        <v>0</v>
      </c>
      <c r="V36" s="32" t="s">
        <v>1</v>
      </c>
      <c r="W36" s="32" t="s">
        <v>1</v>
      </c>
      <c r="X36" s="32" t="s">
        <v>0</v>
      </c>
      <c r="Y36" s="30" t="s">
        <v>40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0</v>
      </c>
      <c r="AE36" s="53" t="s">
        <v>3</v>
      </c>
      <c r="AF36" s="30" t="s">
        <v>36</v>
      </c>
      <c r="AG36" s="30" t="s">
        <v>36</v>
      </c>
      <c r="AH36" s="30" t="s">
        <v>0</v>
      </c>
      <c r="AI36" s="30" t="s">
        <v>38</v>
      </c>
      <c r="AJ36" s="30" t="s">
        <v>38</v>
      </c>
      <c r="AK36" s="30" t="s">
        <v>0</v>
      </c>
      <c r="AL36" s="30" t="s">
        <v>40</v>
      </c>
      <c r="AM36" s="30" t="s">
        <v>40</v>
      </c>
      <c r="AN36" s="30" t="s">
        <v>40</v>
      </c>
      <c r="AO36" s="48" t="s">
        <v>40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ht="25.2" customHeight="1">
      <c r="A37" s="38">
        <f t="shared" si="2"/>
        <v>3</v>
      </c>
      <c r="B37" s="39">
        <f t="shared" si="3"/>
        <v>0</v>
      </c>
      <c r="C37" s="40">
        <f t="shared" si="4"/>
        <v>16</v>
      </c>
      <c r="D37" s="39">
        <f t="shared" si="5"/>
        <v>1</v>
      </c>
      <c r="E37" s="41">
        <f t="shared" si="6"/>
        <v>3</v>
      </c>
      <c r="F37" s="41">
        <f t="shared" si="7"/>
        <v>7</v>
      </c>
      <c r="G37" s="41">
        <f t="shared" si="8"/>
        <v>0</v>
      </c>
      <c r="H37" s="41">
        <f t="shared" si="9"/>
        <v>0</v>
      </c>
      <c r="I37" s="42">
        <f t="shared" si="0"/>
        <v>30</v>
      </c>
      <c r="J37" s="146" t="s">
        <v>57</v>
      </c>
      <c r="K37" s="49" t="s">
        <v>36</v>
      </c>
      <c r="L37" s="348" t="s">
        <v>41</v>
      </c>
      <c r="M37" s="44" t="s">
        <v>0</v>
      </c>
      <c r="N37" s="30" t="s">
        <v>40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163</v>
      </c>
      <c r="U37" s="30">
        <v>3</v>
      </c>
      <c r="V37" s="30">
        <v>3</v>
      </c>
      <c r="W37" s="32" t="s">
        <v>0</v>
      </c>
      <c r="X37" s="30" t="s">
        <v>40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44" t="s">
        <v>0</v>
      </c>
      <c r="AD37" s="32" t="s">
        <v>1</v>
      </c>
      <c r="AE37" s="30" t="s">
        <v>0</v>
      </c>
      <c r="AF37" s="30" t="s">
        <v>40</v>
      </c>
      <c r="AG37" s="30" t="s">
        <v>40</v>
      </c>
      <c r="AH37" s="30" t="s">
        <v>40</v>
      </c>
      <c r="AI37" s="44" t="s">
        <v>0</v>
      </c>
      <c r="AJ37" s="32" t="s">
        <v>1</v>
      </c>
      <c r="AK37" s="30" t="s">
        <v>36</v>
      </c>
      <c r="AL37" s="30" t="s">
        <v>36</v>
      </c>
      <c r="AM37" s="30" t="s">
        <v>0</v>
      </c>
      <c r="AN37" s="32" t="s">
        <v>1</v>
      </c>
      <c r="AO37" s="123" t="s">
        <v>0</v>
      </c>
      <c r="AP37" s="45">
        <v>0</v>
      </c>
      <c r="AQ37" s="46">
        <f t="shared" si="1"/>
        <v>-1</v>
      </c>
      <c r="AR37" s="46">
        <v>0</v>
      </c>
      <c r="AS37" s="134">
        <f t="shared" si="10"/>
        <v>-1</v>
      </c>
      <c r="AT37" s="329" t="s">
        <v>126</v>
      </c>
    </row>
    <row r="38" spans="1:226" ht="25.2" customHeight="1" thickBot="1">
      <c r="A38" s="54">
        <f t="shared" si="2"/>
        <v>6</v>
      </c>
      <c r="B38" s="55">
        <f t="shared" si="3"/>
        <v>2</v>
      </c>
      <c r="C38" s="56">
        <f t="shared" si="4"/>
        <v>7</v>
      </c>
      <c r="D38" s="55">
        <f t="shared" si="5"/>
        <v>7</v>
      </c>
      <c r="E38" s="17">
        <f t="shared" si="6"/>
        <v>0</v>
      </c>
      <c r="F38" s="17">
        <f t="shared" si="7"/>
        <v>8</v>
      </c>
      <c r="G38" s="17">
        <f t="shared" si="8"/>
        <v>0</v>
      </c>
      <c r="H38" s="17">
        <f t="shared" si="9"/>
        <v>0</v>
      </c>
      <c r="I38" s="57">
        <f t="shared" si="0"/>
        <v>30</v>
      </c>
      <c r="J38" s="159" t="s">
        <v>28</v>
      </c>
      <c r="K38" s="58" t="s">
        <v>40</v>
      </c>
      <c r="L38" s="60" t="s">
        <v>40</v>
      </c>
      <c r="M38" s="60" t="s">
        <v>40</v>
      </c>
      <c r="N38" s="59" t="s">
        <v>0</v>
      </c>
      <c r="O38" s="59" t="s">
        <v>0</v>
      </c>
      <c r="P38" s="60" t="s">
        <v>36</v>
      </c>
      <c r="Q38" s="60" t="s">
        <v>36</v>
      </c>
      <c r="R38" s="60" t="s">
        <v>36</v>
      </c>
      <c r="S38" s="60" t="s">
        <v>0</v>
      </c>
      <c r="T38" s="32" t="s">
        <v>163</v>
      </c>
      <c r="U38" s="60" t="s">
        <v>38</v>
      </c>
      <c r="V38" s="60" t="s">
        <v>38</v>
      </c>
      <c r="W38" s="60" t="s">
        <v>0</v>
      </c>
      <c r="X38" s="60" t="s">
        <v>36</v>
      </c>
      <c r="Y38" s="182" t="s">
        <v>3</v>
      </c>
      <c r="Z38" s="182" t="s">
        <v>3</v>
      </c>
      <c r="AA38" s="182" t="s">
        <v>3</v>
      </c>
      <c r="AB38" s="59" t="s">
        <v>0</v>
      </c>
      <c r="AC38" s="59" t="s">
        <v>0</v>
      </c>
      <c r="AD38" s="182" t="s">
        <v>3</v>
      </c>
      <c r="AE38" s="182" t="s">
        <v>3</v>
      </c>
      <c r="AF38" s="182" t="s">
        <v>3</v>
      </c>
      <c r="AG38" s="60" t="s">
        <v>0</v>
      </c>
      <c r="AH38" s="60" t="s">
        <v>40</v>
      </c>
      <c r="AI38" s="60" t="s">
        <v>40</v>
      </c>
      <c r="AJ38" s="60" t="s">
        <v>40</v>
      </c>
      <c r="AK38" s="60" t="s">
        <v>40</v>
      </c>
      <c r="AL38" s="60" t="s">
        <v>0</v>
      </c>
      <c r="AM38" s="60" t="s">
        <v>36</v>
      </c>
      <c r="AN38" s="182" t="s">
        <v>3</v>
      </c>
      <c r="AO38" s="61" t="s">
        <v>36</v>
      </c>
      <c r="AP38" s="73">
        <v>0</v>
      </c>
      <c r="AQ38" s="74">
        <f t="shared" si="1"/>
        <v>0</v>
      </c>
      <c r="AR38" s="74">
        <v>0</v>
      </c>
      <c r="AS38" s="127">
        <f t="shared" si="10"/>
        <v>0</v>
      </c>
      <c r="AT38" s="330" t="s">
        <v>126</v>
      </c>
    </row>
    <row r="39" spans="1:226" s="50" customFormat="1" ht="24.75" customHeight="1">
      <c r="A39" s="23">
        <f>COUNTIF(K39:AO39,1)+COUNTIF(K39:AO39,"早")+COUNTIF(K39:AO39,"M1")+COUNTIF(K39:AO39,"T早")+COUNTIF(K39:AO39,"日")</f>
        <v>4</v>
      </c>
      <c r="B39" s="24">
        <f>COUNTIF(K39:AO39,2)+COUNTIF(K39:AO39,"中")+COUNTIF(K39:AO39,"M2")+COUNTIF(K39:AO39,"T中")+COUNTIF(K39:AO39,"小夜")</f>
        <v>0</v>
      </c>
      <c r="C39" s="25">
        <f>COUNTIF(K39:AO39,3)+COUNTIF(K39:AO39,"晚")+COUNTIF(K39:AO39,"大夜")</f>
        <v>8</v>
      </c>
      <c r="D39" s="24">
        <f>COUNTIF(K39:AO39,"N")+COUNTIF(K39:AO39,"N8")</f>
        <v>3</v>
      </c>
      <c r="E39" s="26">
        <f>COUNTIF(K39:AO39,"S")</f>
        <v>8</v>
      </c>
      <c r="F39" s="26">
        <f>COUNTIF(K39:AO39,"X")</f>
        <v>7</v>
      </c>
      <c r="G39" s="26">
        <f>COUNTIF(K39:AO39,"Y")</f>
        <v>0</v>
      </c>
      <c r="H39" s="26">
        <f>COUNTIF(K39:AO39,"Z")</f>
        <v>0</v>
      </c>
      <c r="I39" s="176">
        <f>SUM(A39:H39)</f>
        <v>30</v>
      </c>
      <c r="J39" s="66" t="s">
        <v>142</v>
      </c>
      <c r="K39" s="28" t="s">
        <v>0</v>
      </c>
      <c r="L39" s="29" t="s">
        <v>3</v>
      </c>
      <c r="M39" s="29" t="s">
        <v>3</v>
      </c>
      <c r="N39" s="31" t="s">
        <v>0</v>
      </c>
      <c r="O39" s="31" t="s">
        <v>0</v>
      </c>
      <c r="P39" s="29" t="s">
        <v>55</v>
      </c>
      <c r="Q39" s="29" t="s">
        <v>55</v>
      </c>
      <c r="R39" s="29" t="s">
        <v>55</v>
      </c>
      <c r="S39" s="29" t="s">
        <v>55</v>
      </c>
      <c r="T39" s="29" t="s">
        <v>163</v>
      </c>
      <c r="U39" s="29" t="s">
        <v>54</v>
      </c>
      <c r="V39" s="29" t="s">
        <v>54</v>
      </c>
      <c r="W39" s="29" t="s">
        <v>3</v>
      </c>
      <c r="X39" s="31" t="s">
        <v>0</v>
      </c>
      <c r="Y39" s="33" t="s">
        <v>1</v>
      </c>
      <c r="Z39" s="33" t="s">
        <v>1</v>
      </c>
      <c r="AA39" s="33" t="s">
        <v>1</v>
      </c>
      <c r="AB39" s="33" t="s">
        <v>1</v>
      </c>
      <c r="AC39" s="31" t="s">
        <v>0</v>
      </c>
      <c r="AD39" s="33" t="s">
        <v>1</v>
      </c>
      <c r="AE39" s="33" t="s">
        <v>1</v>
      </c>
      <c r="AF39" s="33" t="s">
        <v>1</v>
      </c>
      <c r="AG39" s="33" t="s">
        <v>1</v>
      </c>
      <c r="AH39" s="33" t="s">
        <v>0</v>
      </c>
      <c r="AI39" s="29" t="s">
        <v>54</v>
      </c>
      <c r="AJ39" s="29" t="s">
        <v>54</v>
      </c>
      <c r="AK39" s="29" t="s">
        <v>0</v>
      </c>
      <c r="AL39" s="29" t="s">
        <v>55</v>
      </c>
      <c r="AM39" s="29" t="s">
        <v>55</v>
      </c>
      <c r="AN39" s="29" t="s">
        <v>55</v>
      </c>
      <c r="AO39" s="34" t="s">
        <v>55</v>
      </c>
      <c r="AP39" s="35">
        <v>0</v>
      </c>
      <c r="AQ39" s="36">
        <f t="shared" si="1"/>
        <v>-1</v>
      </c>
      <c r="AR39" s="36">
        <v>0</v>
      </c>
      <c r="AS39" s="133">
        <f t="shared" si="10"/>
        <v>-1</v>
      </c>
      <c r="AT39" s="332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s="50" customFormat="1" ht="24.75" customHeight="1">
      <c r="A40" s="38">
        <f>COUNTIF(K40:AO40,1)+COUNTIF(K40:AO40,"早")+COUNTIF(K40:AO40,"M1")+COUNTIF(K40:AO40,"T早")+COUNTIF(K40:AO40,"日")</f>
        <v>3</v>
      </c>
      <c r="B40" s="39">
        <f>COUNTIF(K40:AO40,2)+COUNTIF(K40:AO40,"中")+COUNTIF(K40:AO40,"M2")+COUNTIF(K40:AO40,"T中")+COUNTIF(K40:AO40,"小夜")</f>
        <v>14</v>
      </c>
      <c r="C40" s="40">
        <f>COUNTIF(K40:AO40,3)+COUNTIF(K40:AO40,"晚")+COUNTIF(K40:AO40,"大夜")</f>
        <v>0</v>
      </c>
      <c r="D40" s="39">
        <f>COUNTIF(K40:AO40,"N")+COUNTIF(K40:AO40,"N8")</f>
        <v>5</v>
      </c>
      <c r="E40" s="41">
        <f>COUNTIF(K40:AO40,"S")</f>
        <v>1</v>
      </c>
      <c r="F40" s="41">
        <f>COUNTIF(K40:AO40,"X")</f>
        <v>8</v>
      </c>
      <c r="G40" s="41">
        <f>COUNTIF(K40:AO40,"Y")</f>
        <v>0</v>
      </c>
      <c r="H40" s="41">
        <f>COUNTIF(K40:AO40,"Z")</f>
        <v>0</v>
      </c>
      <c r="I40" s="177">
        <f t="shared" ref="I40" si="42">SUM(A40:H40)</f>
        <v>31</v>
      </c>
      <c r="J40" s="67" t="s">
        <v>29</v>
      </c>
      <c r="K40" s="32" t="s">
        <v>1</v>
      </c>
      <c r="L40" s="30" t="s">
        <v>3</v>
      </c>
      <c r="M40" s="30" t="s">
        <v>54</v>
      </c>
      <c r="N40" s="30" t="s">
        <v>54</v>
      </c>
      <c r="O40" s="30" t="s">
        <v>54</v>
      </c>
      <c r="P40" s="30" t="s">
        <v>0</v>
      </c>
      <c r="Q40" s="30" t="s">
        <v>56</v>
      </c>
      <c r="R40" s="30" t="s">
        <v>56</v>
      </c>
      <c r="S40" s="30" t="s">
        <v>56</v>
      </c>
      <c r="T40" s="30" t="s">
        <v>56</v>
      </c>
      <c r="U40" s="44" t="s">
        <v>0</v>
      </c>
      <c r="V40" s="44" t="s">
        <v>0</v>
      </c>
      <c r="W40" s="30" t="s">
        <v>56</v>
      </c>
      <c r="X40" s="30" t="s">
        <v>56</v>
      </c>
      <c r="Y40" s="30" t="s">
        <v>0</v>
      </c>
      <c r="Z40" s="30" t="s">
        <v>3</v>
      </c>
      <c r="AA40" s="30" t="s">
        <v>3</v>
      </c>
      <c r="AB40" s="30" t="s">
        <v>56</v>
      </c>
      <c r="AC40" s="30" t="s">
        <v>56</v>
      </c>
      <c r="AD40" s="30" t="s">
        <v>56</v>
      </c>
      <c r="AE40" s="30" t="s">
        <v>0</v>
      </c>
      <c r="AF40" s="30" t="s">
        <v>0</v>
      </c>
      <c r="AG40" s="30" t="s">
        <v>3</v>
      </c>
      <c r="AH40" s="30" t="s">
        <v>3</v>
      </c>
      <c r="AI40" s="44" t="s">
        <v>0</v>
      </c>
      <c r="AJ40" s="44" t="s">
        <v>0</v>
      </c>
      <c r="AK40" s="30" t="s">
        <v>56</v>
      </c>
      <c r="AL40" s="30" t="s">
        <v>56</v>
      </c>
      <c r="AM40" s="30" t="s">
        <v>56</v>
      </c>
      <c r="AN40" s="30" t="s">
        <v>56</v>
      </c>
      <c r="AO40" s="48" t="s">
        <v>56</v>
      </c>
      <c r="AP40" s="45">
        <v>0</v>
      </c>
      <c r="AQ40" s="46">
        <f t="shared" si="1"/>
        <v>0</v>
      </c>
      <c r="AR40" s="46">
        <v>0</v>
      </c>
      <c r="AS40" s="134">
        <f t="shared" si="10"/>
        <v>0</v>
      </c>
      <c r="AT40" s="329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ht="25.5" customHeight="1">
      <c r="A41" s="38">
        <f t="shared" ref="A41:A44" si="43">COUNTIF(K41:AO41,1)+COUNTIF(K41:AO41,"早")+COUNTIF(K41:AO41,"M1")+COUNTIF(K41:AO41,"T早")+COUNTIF(K41:AO41,"日")</f>
        <v>0</v>
      </c>
      <c r="B41" s="39">
        <f t="shared" ref="B41:B44" si="44">COUNTIF(K41:AO41,2)+COUNTIF(K41:AO41,"中")+COUNTIF(K41:AO41,"M2")+COUNTIF(K41:AO41,"T中")+COUNTIF(K41:AO41,"小夜")</f>
        <v>7</v>
      </c>
      <c r="C41" s="40">
        <f t="shared" ref="C41:C44" si="45">COUNTIF(K41:AO41,3)+COUNTIF(K41:AO41,"晚")+COUNTIF(K41:AO41,"大夜")</f>
        <v>7</v>
      </c>
      <c r="D41" s="39">
        <f t="shared" ref="D41:D44" si="46">COUNTIF(K41:AO41,"N")+COUNTIF(K41:AO41,"N8")</f>
        <v>5</v>
      </c>
      <c r="E41" s="41">
        <f t="shared" ref="E41:E44" si="47">COUNTIF(K41:AO41,"S")</f>
        <v>3</v>
      </c>
      <c r="F41" s="41">
        <f t="shared" ref="F41:F44" si="48">COUNTIF(K41:AO41,"X")</f>
        <v>8</v>
      </c>
      <c r="G41" s="41">
        <f t="shared" ref="G41:G44" si="49">COUNTIF(K41:AO41,"Y")</f>
        <v>0</v>
      </c>
      <c r="H41" s="41">
        <f t="shared" ref="H41:H44" si="50">COUNTIF(K41:AO41,"Z")</f>
        <v>0</v>
      </c>
      <c r="I41" s="177">
        <f t="shared" ref="I41:I44" si="51">SUM(A41:H41)</f>
        <v>30</v>
      </c>
      <c r="J41" s="68" t="s">
        <v>30</v>
      </c>
      <c r="K41" s="163" t="s">
        <v>55</v>
      </c>
      <c r="L41" s="164" t="s">
        <v>55</v>
      </c>
      <c r="M41" s="164" t="s">
        <v>55</v>
      </c>
      <c r="N41" s="32" t="s">
        <v>1</v>
      </c>
      <c r="O41" s="32" t="s">
        <v>1</v>
      </c>
      <c r="P41" s="32" t="s">
        <v>1</v>
      </c>
      <c r="Q41" s="44" t="s">
        <v>0</v>
      </c>
      <c r="R41" s="30" t="s">
        <v>3</v>
      </c>
      <c r="S41" s="30" t="s">
        <v>3</v>
      </c>
      <c r="T41" s="30" t="s">
        <v>163</v>
      </c>
      <c r="U41" s="30" t="s">
        <v>56</v>
      </c>
      <c r="V41" s="30" t="s">
        <v>56</v>
      </c>
      <c r="W41" s="44" t="s">
        <v>0</v>
      </c>
      <c r="X41" s="30" t="s">
        <v>0</v>
      </c>
      <c r="Y41" s="30" t="s">
        <v>56</v>
      </c>
      <c r="Z41" s="30" t="s">
        <v>56</v>
      </c>
      <c r="AA41" s="30" t="s">
        <v>56</v>
      </c>
      <c r="AB41" s="44" t="s">
        <v>0</v>
      </c>
      <c r="AC41" s="44" t="s">
        <v>0</v>
      </c>
      <c r="AD41" s="30" t="s">
        <v>55</v>
      </c>
      <c r="AE41" s="30" t="s">
        <v>55</v>
      </c>
      <c r="AF41" s="30" t="s">
        <v>55</v>
      </c>
      <c r="AG41" s="30" t="s">
        <v>55</v>
      </c>
      <c r="AH41" s="30" t="s">
        <v>0</v>
      </c>
      <c r="AI41" s="30" t="s">
        <v>56</v>
      </c>
      <c r="AJ41" s="30" t="s">
        <v>56</v>
      </c>
      <c r="AK41" s="30" t="s">
        <v>0</v>
      </c>
      <c r="AL41" s="30" t="s">
        <v>0</v>
      </c>
      <c r="AM41" s="30" t="s">
        <v>3</v>
      </c>
      <c r="AN41" s="30" t="s">
        <v>3</v>
      </c>
      <c r="AO41" s="48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329" t="s">
        <v>128</v>
      </c>
    </row>
    <row r="42" spans="1:226" s="50" customFormat="1" ht="25.5" customHeight="1">
      <c r="A42" s="38">
        <f t="shared" si="43"/>
        <v>9</v>
      </c>
      <c r="B42" s="39">
        <f t="shared" si="44"/>
        <v>4</v>
      </c>
      <c r="C42" s="40">
        <f t="shared" si="45"/>
        <v>5</v>
      </c>
      <c r="D42" s="39">
        <f t="shared" si="46"/>
        <v>3</v>
      </c>
      <c r="E42" s="41">
        <f t="shared" si="47"/>
        <v>2</v>
      </c>
      <c r="F42" s="41">
        <f t="shared" si="48"/>
        <v>8</v>
      </c>
      <c r="G42" s="41">
        <f t="shared" si="49"/>
        <v>0</v>
      </c>
      <c r="H42" s="41">
        <f t="shared" si="50"/>
        <v>0</v>
      </c>
      <c r="I42" s="177">
        <f t="shared" si="51"/>
        <v>31</v>
      </c>
      <c r="J42" s="68" t="s">
        <v>31</v>
      </c>
      <c r="K42" s="49" t="s">
        <v>54</v>
      </c>
      <c r="L42" s="30" t="s">
        <v>54</v>
      </c>
      <c r="M42" s="30" t="s">
        <v>0</v>
      </c>
      <c r="N42" s="164" t="s">
        <v>55</v>
      </c>
      <c r="O42" s="164" t="s">
        <v>55</v>
      </c>
      <c r="P42" s="30" t="s">
        <v>0</v>
      </c>
      <c r="Q42" s="30" t="s">
        <v>3</v>
      </c>
      <c r="R42" s="30" t="s">
        <v>3</v>
      </c>
      <c r="S42" s="30" t="s">
        <v>54</v>
      </c>
      <c r="T42" s="30" t="s">
        <v>54</v>
      </c>
      <c r="U42" s="44" t="s">
        <v>0</v>
      </c>
      <c r="V42" s="44" t="s">
        <v>0</v>
      </c>
      <c r="W42" s="30" t="s">
        <v>54</v>
      </c>
      <c r="X42" s="30" t="s">
        <v>54</v>
      </c>
      <c r="Y42" s="30" t="s">
        <v>54</v>
      </c>
      <c r="Z42" s="30" t="s">
        <v>0</v>
      </c>
      <c r="AA42" s="164" t="s">
        <v>55</v>
      </c>
      <c r="AB42" s="164" t="s">
        <v>55</v>
      </c>
      <c r="AC42" s="164" t="s">
        <v>55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44" t="s">
        <v>0</v>
      </c>
      <c r="AJ42" s="44" t="s">
        <v>0</v>
      </c>
      <c r="AK42" s="30" t="s">
        <v>54</v>
      </c>
      <c r="AL42" s="30" t="s">
        <v>54</v>
      </c>
      <c r="AM42" s="30" t="s">
        <v>3</v>
      </c>
      <c r="AN42" s="32" t="s">
        <v>1</v>
      </c>
      <c r="AO42" s="32" t="s">
        <v>1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s="50" customFormat="1" ht="25.5" customHeight="1">
      <c r="A43" s="38">
        <f t="shared" si="43"/>
        <v>8</v>
      </c>
      <c r="B43" s="39">
        <f t="shared" si="44"/>
        <v>3</v>
      </c>
      <c r="C43" s="40">
        <f t="shared" si="45"/>
        <v>7</v>
      </c>
      <c r="D43" s="39">
        <f t="shared" si="46"/>
        <v>5</v>
      </c>
      <c r="E43" s="41">
        <f t="shared" si="47"/>
        <v>0</v>
      </c>
      <c r="F43" s="41">
        <f t="shared" si="48"/>
        <v>8</v>
      </c>
      <c r="G43" s="41">
        <f t="shared" si="49"/>
        <v>0</v>
      </c>
      <c r="H43" s="41">
        <f t="shared" si="50"/>
        <v>0</v>
      </c>
      <c r="I43" s="177">
        <f t="shared" si="51"/>
        <v>31</v>
      </c>
      <c r="J43" s="68" t="s">
        <v>32</v>
      </c>
      <c r="K43" s="49" t="s">
        <v>56</v>
      </c>
      <c r="L43" s="30" t="s">
        <v>56</v>
      </c>
      <c r="M43" s="30" t="s">
        <v>56</v>
      </c>
      <c r="N43" s="44" t="s">
        <v>0</v>
      </c>
      <c r="O43" s="44" t="s">
        <v>0</v>
      </c>
      <c r="P43" s="30" t="s">
        <v>54</v>
      </c>
      <c r="Q43" s="30" t="s">
        <v>54</v>
      </c>
      <c r="R43" s="30" t="s">
        <v>54</v>
      </c>
      <c r="S43" s="30" t="s">
        <v>0</v>
      </c>
      <c r="T43" s="164" t="s">
        <v>55</v>
      </c>
      <c r="U43" s="30" t="s">
        <v>55</v>
      </c>
      <c r="V43" s="30" t="s">
        <v>55</v>
      </c>
      <c r="W43" s="164" t="s">
        <v>0</v>
      </c>
      <c r="X43" s="30" t="s">
        <v>3</v>
      </c>
      <c r="Y43" s="30" t="s">
        <v>3</v>
      </c>
      <c r="Z43" s="30" t="s">
        <v>54</v>
      </c>
      <c r="AA43" s="30" t="s">
        <v>54</v>
      </c>
      <c r="AB43" s="44" t="s">
        <v>0</v>
      </c>
      <c r="AC43" s="44" t="s">
        <v>0</v>
      </c>
      <c r="AD43" s="30" t="s">
        <v>54</v>
      </c>
      <c r="AE43" s="30" t="s">
        <v>3</v>
      </c>
      <c r="AF43" s="30" t="s">
        <v>3</v>
      </c>
      <c r="AG43" s="30" t="s">
        <v>0</v>
      </c>
      <c r="AH43" s="164" t="s">
        <v>55</v>
      </c>
      <c r="AI43" s="30" t="s">
        <v>55</v>
      </c>
      <c r="AJ43" s="30" t="s">
        <v>55</v>
      </c>
      <c r="AK43" s="164" t="s">
        <v>55</v>
      </c>
      <c r="AL43" s="30" t="s">
        <v>0</v>
      </c>
      <c r="AM43" s="30" t="s">
        <v>3</v>
      </c>
      <c r="AN43" s="30" t="s">
        <v>54</v>
      </c>
      <c r="AO43" s="48" t="s">
        <v>54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2" customHeight="1" thickBot="1">
      <c r="A44" s="69">
        <f t="shared" si="43"/>
        <v>7</v>
      </c>
      <c r="B44" s="70">
        <f t="shared" si="44"/>
        <v>3</v>
      </c>
      <c r="C44" s="71">
        <f t="shared" si="45"/>
        <v>4</v>
      </c>
      <c r="D44" s="70">
        <f t="shared" si="46"/>
        <v>6</v>
      </c>
      <c r="E44" s="63">
        <f t="shared" si="47"/>
        <v>1</v>
      </c>
      <c r="F44" s="63">
        <f t="shared" si="48"/>
        <v>8</v>
      </c>
      <c r="G44" s="63">
        <f t="shared" si="49"/>
        <v>0</v>
      </c>
      <c r="H44" s="63">
        <f t="shared" si="50"/>
        <v>0</v>
      </c>
      <c r="I44" s="178">
        <f t="shared" si="51"/>
        <v>29</v>
      </c>
      <c r="J44" s="72" t="s">
        <v>33</v>
      </c>
      <c r="K44" s="353" t="s">
        <v>0</v>
      </c>
      <c r="L44" s="60" t="s">
        <v>3</v>
      </c>
      <c r="M44" s="60" t="s">
        <v>3</v>
      </c>
      <c r="N44" s="60" t="s">
        <v>56</v>
      </c>
      <c r="O44" s="60" t="s">
        <v>56</v>
      </c>
      <c r="P44" s="60" t="s">
        <v>56</v>
      </c>
      <c r="Q44" s="60" t="s">
        <v>0</v>
      </c>
      <c r="R44" s="60" t="s">
        <v>3</v>
      </c>
      <c r="S44" s="60" t="s">
        <v>3</v>
      </c>
      <c r="T44" s="52" t="s">
        <v>163</v>
      </c>
      <c r="U44" s="52" t="s">
        <v>163</v>
      </c>
      <c r="V44" s="59" t="s">
        <v>0</v>
      </c>
      <c r="W44" s="337" t="s">
        <v>55</v>
      </c>
      <c r="X44" s="337" t="s">
        <v>55</v>
      </c>
      <c r="Y44" s="337" t="s">
        <v>55</v>
      </c>
      <c r="Z44" s="337" t="s">
        <v>55</v>
      </c>
      <c r="AA44" s="60" t="s">
        <v>0</v>
      </c>
      <c r="AB44" s="60" t="s">
        <v>54</v>
      </c>
      <c r="AC44" s="60" t="s">
        <v>54</v>
      </c>
      <c r="AD44" s="59" t="s">
        <v>0</v>
      </c>
      <c r="AE44" s="60" t="s">
        <v>54</v>
      </c>
      <c r="AF44" s="60" t="s">
        <v>54</v>
      </c>
      <c r="AG44" s="60" t="s">
        <v>54</v>
      </c>
      <c r="AH44" s="60" t="s">
        <v>54</v>
      </c>
      <c r="AI44" s="59" t="s">
        <v>0</v>
      </c>
      <c r="AJ44" s="52" t="s">
        <v>1</v>
      </c>
      <c r="AK44" s="60" t="s">
        <v>3</v>
      </c>
      <c r="AL44" s="60" t="s">
        <v>3</v>
      </c>
      <c r="AM44" s="60" t="s">
        <v>54</v>
      </c>
      <c r="AN44" s="60" t="s">
        <v>0</v>
      </c>
      <c r="AO44" s="188" t="s">
        <v>0</v>
      </c>
      <c r="AP44" s="73">
        <v>0</v>
      </c>
      <c r="AQ44" s="74">
        <f t="shared" si="1"/>
        <v>0</v>
      </c>
      <c r="AR44" s="74">
        <v>0</v>
      </c>
      <c r="AS44" s="127">
        <f t="shared" si="10"/>
        <v>0</v>
      </c>
      <c r="AT44" s="330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4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4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4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4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4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Q45" s="50"/>
      <c r="AR45" s="6"/>
      <c r="AS45" s="75"/>
      <c r="AT45" s="79"/>
      <c r="AV45" s="6"/>
      <c r="AW45" s="6"/>
      <c r="AX45" s="6"/>
    </row>
    <row r="46" spans="1:226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Q46" s="50"/>
      <c r="AR46" s="6" t="s">
        <v>34</v>
      </c>
      <c r="AS46" s="75" t="s">
        <v>35</v>
      </c>
      <c r="AT46" s="84"/>
      <c r="AV46" s="6"/>
      <c r="AW46" s="6"/>
      <c r="AX46" s="6"/>
    </row>
    <row r="47" spans="1:226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O47" si="52">COUNTIF(K4:K44,3)</f>
        <v>3</v>
      </c>
      <c r="L47" s="130">
        <f t="shared" si="52"/>
        <v>3</v>
      </c>
      <c r="M47" s="130">
        <f t="shared" si="52"/>
        <v>3</v>
      </c>
      <c r="N47" s="130">
        <f t="shared" si="52"/>
        <v>2</v>
      </c>
      <c r="O47" s="130">
        <f t="shared" si="52"/>
        <v>2</v>
      </c>
      <c r="P47" s="130">
        <f t="shared" si="52"/>
        <v>3</v>
      </c>
      <c r="Q47" s="130">
        <f t="shared" si="52"/>
        <v>3</v>
      </c>
      <c r="R47" s="130">
        <f t="shared" si="52"/>
        <v>3</v>
      </c>
      <c r="S47" s="130">
        <f t="shared" si="52"/>
        <v>3</v>
      </c>
      <c r="T47" s="130">
        <f t="shared" si="52"/>
        <v>3</v>
      </c>
      <c r="U47" s="130">
        <f t="shared" si="52"/>
        <v>2</v>
      </c>
      <c r="V47" s="130">
        <f t="shared" si="52"/>
        <v>2</v>
      </c>
      <c r="W47" s="130">
        <f t="shared" si="52"/>
        <v>3</v>
      </c>
      <c r="X47" s="130">
        <f t="shared" si="52"/>
        <v>3</v>
      </c>
      <c r="Y47" s="130">
        <f t="shared" si="52"/>
        <v>3</v>
      </c>
      <c r="Z47" s="130">
        <f t="shared" si="52"/>
        <v>3</v>
      </c>
      <c r="AA47" s="130">
        <f t="shared" si="52"/>
        <v>3</v>
      </c>
      <c r="AB47" s="130">
        <f t="shared" si="52"/>
        <v>2</v>
      </c>
      <c r="AC47" s="130">
        <f t="shared" si="52"/>
        <v>2</v>
      </c>
      <c r="AD47" s="130">
        <f t="shared" si="52"/>
        <v>3</v>
      </c>
      <c r="AE47" s="130">
        <f t="shared" si="52"/>
        <v>3</v>
      </c>
      <c r="AF47" s="130">
        <f t="shared" si="52"/>
        <v>3</v>
      </c>
      <c r="AG47" s="130">
        <f t="shared" si="52"/>
        <v>3</v>
      </c>
      <c r="AH47" s="130">
        <f t="shared" si="52"/>
        <v>3</v>
      </c>
      <c r="AI47" s="130">
        <f t="shared" si="52"/>
        <v>2</v>
      </c>
      <c r="AJ47" s="130">
        <f t="shared" si="52"/>
        <v>2</v>
      </c>
      <c r="AK47" s="130">
        <f t="shared" si="52"/>
        <v>3</v>
      </c>
      <c r="AL47" s="130">
        <f t="shared" si="52"/>
        <v>3</v>
      </c>
      <c r="AM47" s="130">
        <f t="shared" si="52"/>
        <v>3</v>
      </c>
      <c r="AN47" s="130">
        <f t="shared" si="52"/>
        <v>3</v>
      </c>
      <c r="AO47" s="130">
        <f t="shared" si="52"/>
        <v>3</v>
      </c>
      <c r="AQ47" s="75" t="s">
        <v>109</v>
      </c>
      <c r="AR47" s="75">
        <f>35*31</f>
        <v>1085</v>
      </c>
      <c r="AS47" s="75">
        <f>6*31</f>
        <v>186</v>
      </c>
      <c r="AT47" s="84"/>
    </row>
    <row r="48" spans="1:226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5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3</v>
      </c>
      <c r="O48" s="128" cm="2">
        <f t="array" ref="O48">SUMPRODUCT(COUNTIF(O4:O44,{"早";"T早"}))</f>
        <v>3</v>
      </c>
      <c r="P48" s="128" cm="2">
        <f t="array" ref="P48">SUMPRODUCT(COUNTIF(P4:P44,{"早";"T早"}))</f>
        <v>5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3</v>
      </c>
      <c r="V48" s="128" cm="2">
        <f t="array" ref="V48">SUMPRODUCT(COUNTIF(V4:V44,{"早";"T早"}))</f>
        <v>3</v>
      </c>
      <c r="W48" s="128" cm="2">
        <f t="array" ref="W48">SUMPRODUCT(COUNTIF(W4:W44,{"早";"T早"}))</f>
        <v>5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3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5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3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5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Q48" s="87" t="s">
        <v>37</v>
      </c>
      <c r="AR48" s="75">
        <f>21*(31-I1)</f>
        <v>483</v>
      </c>
      <c r="AS48" s="75">
        <f>3*(31-I1)</f>
        <v>69</v>
      </c>
      <c r="AU48" s="84"/>
    </row>
    <row r="49" spans="1:50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Q49" s="87" t="s">
        <v>39</v>
      </c>
      <c r="AR49" s="75">
        <f>16*I1</f>
        <v>128</v>
      </c>
      <c r="AS49" s="75">
        <f>3*I1</f>
        <v>24</v>
      </c>
      <c r="AU49" s="89"/>
    </row>
    <row r="50" spans="1:50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O50" si="53">COUNTIF(K4:K44,"晚")</f>
        <v>3</v>
      </c>
      <c r="L50" s="130">
        <f t="shared" si="53"/>
        <v>3</v>
      </c>
      <c r="M50" s="130">
        <f t="shared" si="53"/>
        <v>3</v>
      </c>
      <c r="N50" s="130">
        <f t="shared" si="53"/>
        <v>2</v>
      </c>
      <c r="O50" s="130">
        <f t="shared" si="53"/>
        <v>2</v>
      </c>
      <c r="P50" s="130">
        <f t="shared" si="53"/>
        <v>3</v>
      </c>
      <c r="Q50" s="130">
        <f t="shared" si="53"/>
        <v>3</v>
      </c>
      <c r="R50" s="130">
        <f t="shared" si="53"/>
        <v>3</v>
      </c>
      <c r="S50" s="130">
        <f t="shared" si="53"/>
        <v>3</v>
      </c>
      <c r="T50" s="130">
        <f t="shared" si="53"/>
        <v>3</v>
      </c>
      <c r="U50" s="130">
        <f t="shared" si="53"/>
        <v>2</v>
      </c>
      <c r="V50" s="130">
        <f t="shared" si="53"/>
        <v>2</v>
      </c>
      <c r="W50" s="130">
        <f t="shared" si="53"/>
        <v>3</v>
      </c>
      <c r="X50" s="130">
        <f t="shared" si="53"/>
        <v>3</v>
      </c>
      <c r="Y50" s="130">
        <f t="shared" si="53"/>
        <v>3</v>
      </c>
      <c r="Z50" s="130">
        <f t="shared" si="53"/>
        <v>3</v>
      </c>
      <c r="AA50" s="130">
        <f t="shared" si="53"/>
        <v>3</v>
      </c>
      <c r="AB50" s="130">
        <f t="shared" si="53"/>
        <v>2</v>
      </c>
      <c r="AC50" s="130">
        <f t="shared" si="53"/>
        <v>2</v>
      </c>
      <c r="AD50" s="130">
        <f t="shared" si="53"/>
        <v>3</v>
      </c>
      <c r="AE50" s="130">
        <f t="shared" si="53"/>
        <v>3</v>
      </c>
      <c r="AF50" s="130">
        <f t="shared" si="53"/>
        <v>3</v>
      </c>
      <c r="AG50" s="130">
        <f t="shared" si="53"/>
        <v>3</v>
      </c>
      <c r="AH50" s="130">
        <f t="shared" si="53"/>
        <v>3</v>
      </c>
      <c r="AI50" s="130">
        <f t="shared" si="53"/>
        <v>2</v>
      </c>
      <c r="AJ50" s="130">
        <f t="shared" si="53"/>
        <v>2</v>
      </c>
      <c r="AK50" s="130">
        <f t="shared" si="53"/>
        <v>3</v>
      </c>
      <c r="AL50" s="130">
        <f t="shared" si="53"/>
        <v>3</v>
      </c>
      <c r="AM50" s="130">
        <f t="shared" si="53"/>
        <v>3</v>
      </c>
      <c r="AN50" s="130">
        <f t="shared" si="53"/>
        <v>3</v>
      </c>
      <c r="AO50" s="130">
        <f t="shared" si="53"/>
        <v>3</v>
      </c>
      <c r="AQ50" s="75" t="s">
        <v>0</v>
      </c>
      <c r="AR50" s="91">
        <f>35*I1</f>
        <v>280</v>
      </c>
      <c r="AS50" s="75">
        <f>6*I1</f>
        <v>48</v>
      </c>
    </row>
    <row r="51" spans="1:50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O51" si="54">COUNTIF(K4:K44,"日")</f>
        <v>1</v>
      </c>
      <c r="L51" s="128">
        <f t="shared" si="54"/>
        <v>1</v>
      </c>
      <c r="M51" s="128">
        <f t="shared" si="54"/>
        <v>1</v>
      </c>
      <c r="N51" s="128">
        <f t="shared" si="54"/>
        <v>1</v>
      </c>
      <c r="O51" s="128">
        <f t="shared" si="54"/>
        <v>1</v>
      </c>
      <c r="P51" s="128">
        <f t="shared" si="54"/>
        <v>1</v>
      </c>
      <c r="Q51" s="128">
        <f t="shared" si="54"/>
        <v>1</v>
      </c>
      <c r="R51" s="128">
        <f t="shared" si="54"/>
        <v>1</v>
      </c>
      <c r="S51" s="128">
        <f t="shared" si="54"/>
        <v>1</v>
      </c>
      <c r="T51" s="128">
        <f t="shared" si="54"/>
        <v>1</v>
      </c>
      <c r="U51" s="128">
        <f t="shared" si="54"/>
        <v>1</v>
      </c>
      <c r="V51" s="128">
        <f t="shared" si="54"/>
        <v>1</v>
      </c>
      <c r="W51" s="128">
        <f t="shared" si="54"/>
        <v>1</v>
      </c>
      <c r="X51" s="128">
        <f t="shared" si="54"/>
        <v>1</v>
      </c>
      <c r="Y51" s="128">
        <f t="shared" si="54"/>
        <v>1</v>
      </c>
      <c r="Z51" s="128">
        <f t="shared" si="54"/>
        <v>1</v>
      </c>
      <c r="AA51" s="128">
        <f t="shared" si="54"/>
        <v>1</v>
      </c>
      <c r="AB51" s="128">
        <f t="shared" si="54"/>
        <v>1</v>
      </c>
      <c r="AC51" s="128">
        <f t="shared" si="54"/>
        <v>1</v>
      </c>
      <c r="AD51" s="128">
        <f t="shared" si="54"/>
        <v>1</v>
      </c>
      <c r="AE51" s="128">
        <f t="shared" si="54"/>
        <v>1</v>
      </c>
      <c r="AF51" s="128">
        <f t="shared" si="54"/>
        <v>1</v>
      </c>
      <c r="AG51" s="128">
        <f t="shared" si="54"/>
        <v>1</v>
      </c>
      <c r="AH51" s="128">
        <f t="shared" si="54"/>
        <v>1</v>
      </c>
      <c r="AI51" s="128">
        <f t="shared" si="54"/>
        <v>1</v>
      </c>
      <c r="AJ51" s="128">
        <f t="shared" si="54"/>
        <v>1</v>
      </c>
      <c r="AK51" s="128">
        <f t="shared" si="54"/>
        <v>1</v>
      </c>
      <c r="AL51" s="128">
        <f t="shared" si="54"/>
        <v>1</v>
      </c>
      <c r="AM51" s="128">
        <f t="shared" si="54"/>
        <v>1</v>
      </c>
      <c r="AN51" s="128">
        <f t="shared" si="54"/>
        <v>1</v>
      </c>
      <c r="AO51" s="128">
        <f t="shared" si="54"/>
        <v>1</v>
      </c>
      <c r="AQ51" s="50" t="s">
        <v>104</v>
      </c>
      <c r="AR51" s="91" cm="1">
        <f t="array" ref="AR51">SUMPRODUCT(COUNTIF(K4:AO38,{"N";"N8"}))</f>
        <v>122</v>
      </c>
      <c r="AS51" s="91" cm="1">
        <f t="array" ref="AS51">SUMPRODUCT(COUNTIF(K39:AO44,{"N";"N8"}))</f>
        <v>27</v>
      </c>
    </row>
    <row r="52" spans="1:50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O52" si="55">COUNTIF(K4:K44,"小夜")</f>
        <v>1</v>
      </c>
      <c r="L52" s="129">
        <f t="shared" si="55"/>
        <v>1</v>
      </c>
      <c r="M52" s="129">
        <f t="shared" si="55"/>
        <v>1</v>
      </c>
      <c r="N52" s="129">
        <f t="shared" si="55"/>
        <v>1</v>
      </c>
      <c r="O52" s="129">
        <f t="shared" si="55"/>
        <v>1</v>
      </c>
      <c r="P52" s="129">
        <f t="shared" si="55"/>
        <v>1</v>
      </c>
      <c r="Q52" s="129">
        <f t="shared" si="55"/>
        <v>1</v>
      </c>
      <c r="R52" s="129">
        <f t="shared" si="55"/>
        <v>1</v>
      </c>
      <c r="S52" s="129">
        <f t="shared" si="55"/>
        <v>1</v>
      </c>
      <c r="T52" s="129">
        <f t="shared" si="55"/>
        <v>1</v>
      </c>
      <c r="U52" s="129">
        <f t="shared" si="55"/>
        <v>1</v>
      </c>
      <c r="V52" s="129">
        <f t="shared" si="55"/>
        <v>1</v>
      </c>
      <c r="W52" s="129">
        <f t="shared" si="55"/>
        <v>1</v>
      </c>
      <c r="X52" s="129">
        <f t="shared" si="55"/>
        <v>1</v>
      </c>
      <c r="Y52" s="129">
        <f t="shared" si="55"/>
        <v>1</v>
      </c>
      <c r="Z52" s="129">
        <f t="shared" si="55"/>
        <v>1</v>
      </c>
      <c r="AA52" s="129">
        <f t="shared" si="55"/>
        <v>1</v>
      </c>
      <c r="AB52" s="129">
        <f t="shared" si="55"/>
        <v>1</v>
      </c>
      <c r="AC52" s="129">
        <f t="shared" si="55"/>
        <v>1</v>
      </c>
      <c r="AD52" s="129">
        <f t="shared" si="55"/>
        <v>1</v>
      </c>
      <c r="AE52" s="129">
        <f t="shared" si="55"/>
        <v>1</v>
      </c>
      <c r="AF52" s="129">
        <f t="shared" si="55"/>
        <v>1</v>
      </c>
      <c r="AG52" s="129">
        <f t="shared" si="55"/>
        <v>1</v>
      </c>
      <c r="AH52" s="129">
        <f t="shared" si="55"/>
        <v>1</v>
      </c>
      <c r="AI52" s="129">
        <f t="shared" si="55"/>
        <v>1</v>
      </c>
      <c r="AJ52" s="129">
        <f t="shared" si="55"/>
        <v>1</v>
      </c>
      <c r="AK52" s="129">
        <f t="shared" si="55"/>
        <v>1</v>
      </c>
      <c r="AL52" s="129">
        <f t="shared" si="55"/>
        <v>1</v>
      </c>
      <c r="AM52" s="129">
        <f t="shared" si="55"/>
        <v>1</v>
      </c>
      <c r="AN52" s="129">
        <f t="shared" si="55"/>
        <v>1</v>
      </c>
      <c r="AO52" s="129">
        <f t="shared" si="55"/>
        <v>1</v>
      </c>
      <c r="AQ52" s="50" t="s">
        <v>105</v>
      </c>
      <c r="AR52" s="92">
        <f>SUMPRODUCT(COUNTIF(K4:AO38,{"S"}))</f>
        <v>65</v>
      </c>
      <c r="AS52" s="75">
        <f>SUMPRODUCT(COUNTIF(K39:AO44,{"S"}))</f>
        <v>15</v>
      </c>
    </row>
    <row r="53" spans="1:50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O53" si="56">COUNTIF(K7:K47,"大夜")</f>
        <v>1</v>
      </c>
      <c r="L53" s="130">
        <f t="shared" si="56"/>
        <v>1</v>
      </c>
      <c r="M53" s="130">
        <f t="shared" si="56"/>
        <v>1</v>
      </c>
      <c r="N53" s="130">
        <f t="shared" si="56"/>
        <v>1</v>
      </c>
      <c r="O53" s="130">
        <f t="shared" si="56"/>
        <v>1</v>
      </c>
      <c r="P53" s="130">
        <f t="shared" si="56"/>
        <v>1</v>
      </c>
      <c r="Q53" s="130">
        <f t="shared" si="56"/>
        <v>1</v>
      </c>
      <c r="R53" s="130">
        <f t="shared" si="56"/>
        <v>1</v>
      </c>
      <c r="S53" s="130">
        <f t="shared" si="56"/>
        <v>1</v>
      </c>
      <c r="T53" s="130">
        <f t="shared" si="56"/>
        <v>1</v>
      </c>
      <c r="U53" s="130">
        <f t="shared" si="56"/>
        <v>1</v>
      </c>
      <c r="V53" s="130">
        <f t="shared" si="56"/>
        <v>1</v>
      </c>
      <c r="W53" s="130">
        <f t="shared" si="56"/>
        <v>1</v>
      </c>
      <c r="X53" s="130">
        <f t="shared" si="56"/>
        <v>1</v>
      </c>
      <c r="Y53" s="130">
        <f t="shared" si="56"/>
        <v>1</v>
      </c>
      <c r="Z53" s="130">
        <f t="shared" si="56"/>
        <v>1</v>
      </c>
      <c r="AA53" s="130">
        <f t="shared" si="56"/>
        <v>1</v>
      </c>
      <c r="AB53" s="130">
        <f t="shared" si="56"/>
        <v>1</v>
      </c>
      <c r="AC53" s="130">
        <f t="shared" si="56"/>
        <v>1</v>
      </c>
      <c r="AD53" s="130">
        <f t="shared" si="56"/>
        <v>1</v>
      </c>
      <c r="AE53" s="130">
        <f t="shared" si="56"/>
        <v>1</v>
      </c>
      <c r="AF53" s="130">
        <f t="shared" si="56"/>
        <v>1</v>
      </c>
      <c r="AG53" s="130">
        <f t="shared" si="56"/>
        <v>1</v>
      </c>
      <c r="AH53" s="130">
        <f t="shared" si="56"/>
        <v>1</v>
      </c>
      <c r="AI53" s="130">
        <f t="shared" si="56"/>
        <v>1</v>
      </c>
      <c r="AJ53" s="130">
        <f t="shared" si="56"/>
        <v>1</v>
      </c>
      <c r="AK53" s="130">
        <f t="shared" si="56"/>
        <v>1</v>
      </c>
      <c r="AL53" s="130">
        <f t="shared" si="56"/>
        <v>1</v>
      </c>
      <c r="AM53" s="130">
        <f t="shared" si="56"/>
        <v>1</v>
      </c>
      <c r="AN53" s="130">
        <f t="shared" si="56"/>
        <v>1</v>
      </c>
      <c r="AO53" s="130">
        <f t="shared" si="56"/>
        <v>1</v>
      </c>
      <c r="AQ53" s="93" t="s">
        <v>145</v>
      </c>
      <c r="AR53" s="75">
        <v>0</v>
      </c>
      <c r="AS53" s="75">
        <v>0</v>
      </c>
    </row>
    <row r="54" spans="1:50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96">
        <f t="shared" ref="K54:AO54" si="57">COUNTIF(K4:K44,"N")+COUNTIF(K4:K44,"N8")</f>
        <v>5</v>
      </c>
      <c r="L54" s="96">
        <f t="shared" si="57"/>
        <v>7</v>
      </c>
      <c r="M54" s="96">
        <f t="shared" si="57"/>
        <v>6</v>
      </c>
      <c r="N54" s="96">
        <f t="shared" si="57"/>
        <v>0</v>
      </c>
      <c r="O54" s="96">
        <f t="shared" si="57"/>
        <v>0</v>
      </c>
      <c r="P54" s="96">
        <f t="shared" si="57"/>
        <v>1</v>
      </c>
      <c r="Q54" s="96">
        <f t="shared" si="57"/>
        <v>8</v>
      </c>
      <c r="R54" s="96">
        <f t="shared" si="57"/>
        <v>10</v>
      </c>
      <c r="S54" s="96">
        <f t="shared" si="57"/>
        <v>8</v>
      </c>
      <c r="T54" s="96">
        <f t="shared" si="57"/>
        <v>0</v>
      </c>
      <c r="U54" s="96">
        <f t="shared" si="57"/>
        <v>0</v>
      </c>
      <c r="V54" s="96">
        <f t="shared" si="57"/>
        <v>0</v>
      </c>
      <c r="W54" s="96">
        <f t="shared" si="57"/>
        <v>3</v>
      </c>
      <c r="X54" s="96">
        <f t="shared" si="57"/>
        <v>6</v>
      </c>
      <c r="Y54" s="96">
        <f t="shared" si="57"/>
        <v>7</v>
      </c>
      <c r="Z54" s="96">
        <f t="shared" si="57"/>
        <v>11</v>
      </c>
      <c r="AA54" s="96">
        <f t="shared" si="57"/>
        <v>8</v>
      </c>
      <c r="AB54" s="96">
        <f t="shared" si="57"/>
        <v>0</v>
      </c>
      <c r="AC54" s="96">
        <f t="shared" si="57"/>
        <v>0</v>
      </c>
      <c r="AD54" s="96">
        <f t="shared" si="57"/>
        <v>5</v>
      </c>
      <c r="AE54" s="96">
        <f t="shared" si="57"/>
        <v>10</v>
      </c>
      <c r="AF54" s="96">
        <f t="shared" si="57"/>
        <v>8</v>
      </c>
      <c r="AG54" s="96">
        <f t="shared" si="57"/>
        <v>9</v>
      </c>
      <c r="AH54" s="96">
        <f t="shared" si="57"/>
        <v>6</v>
      </c>
      <c r="AI54" s="96">
        <f t="shared" si="57"/>
        <v>0</v>
      </c>
      <c r="AJ54" s="96">
        <f t="shared" si="57"/>
        <v>0</v>
      </c>
      <c r="AK54" s="96">
        <f t="shared" si="57"/>
        <v>4</v>
      </c>
      <c r="AL54" s="96">
        <f t="shared" si="57"/>
        <v>8</v>
      </c>
      <c r="AM54" s="97">
        <f t="shared" si="57"/>
        <v>8</v>
      </c>
      <c r="AN54" s="98">
        <f t="shared" si="57"/>
        <v>6</v>
      </c>
      <c r="AO54" s="99">
        <f t="shared" si="57"/>
        <v>5</v>
      </c>
      <c r="AQ54" s="100" t="s">
        <v>42</v>
      </c>
      <c r="AR54" s="101">
        <v>0</v>
      </c>
      <c r="AS54" s="75">
        <v>0</v>
      </c>
    </row>
    <row r="55" spans="1:50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149">
        <f t="shared" ref="K55:AO55" si="58">COUNTIF(K4:K44,"X")+COUNTIF(K4:K44,"Y")+COUNTIF(K4:K44,"Z")</f>
        <v>6</v>
      </c>
      <c r="L55" s="24">
        <f t="shared" si="58"/>
        <v>4</v>
      </c>
      <c r="M55" s="24">
        <f t="shared" si="58"/>
        <v>7</v>
      </c>
      <c r="N55" s="24">
        <f t="shared" si="58"/>
        <v>21</v>
      </c>
      <c r="O55" s="24">
        <f t="shared" si="58"/>
        <v>19</v>
      </c>
      <c r="P55" s="24">
        <f t="shared" si="58"/>
        <v>10</v>
      </c>
      <c r="Q55" s="24">
        <f t="shared" si="58"/>
        <v>6</v>
      </c>
      <c r="R55" s="24">
        <f t="shared" si="58"/>
        <v>4</v>
      </c>
      <c r="S55" s="24">
        <f t="shared" si="58"/>
        <v>7</v>
      </c>
      <c r="T55" s="24">
        <f>COUNTIF(T4:T44,"X")+COUNTIF(T4:T44,"Y")+COUNTIF(T4:T44,"Z")</f>
        <v>0</v>
      </c>
      <c r="U55" s="24">
        <f t="shared" si="58"/>
        <v>18</v>
      </c>
      <c r="V55" s="24">
        <f t="shared" si="58"/>
        <v>17</v>
      </c>
      <c r="W55" s="24">
        <f t="shared" si="58"/>
        <v>12</v>
      </c>
      <c r="X55" s="24">
        <f t="shared" si="58"/>
        <v>9</v>
      </c>
      <c r="Y55" s="24">
        <f t="shared" si="58"/>
        <v>7</v>
      </c>
      <c r="Z55" s="24">
        <f t="shared" si="58"/>
        <v>3</v>
      </c>
      <c r="AA55" s="24">
        <f t="shared" si="58"/>
        <v>7</v>
      </c>
      <c r="AB55" s="24">
        <f t="shared" si="58"/>
        <v>19</v>
      </c>
      <c r="AC55" s="24">
        <f t="shared" si="58"/>
        <v>21</v>
      </c>
      <c r="AD55" s="24">
        <f t="shared" si="58"/>
        <v>7</v>
      </c>
      <c r="AE55" s="24">
        <f t="shared" si="58"/>
        <v>4</v>
      </c>
      <c r="AF55" s="24">
        <f t="shared" si="58"/>
        <v>7</v>
      </c>
      <c r="AG55" s="24">
        <f t="shared" si="58"/>
        <v>7</v>
      </c>
      <c r="AH55" s="24">
        <f t="shared" si="58"/>
        <v>10</v>
      </c>
      <c r="AI55" s="24">
        <f t="shared" si="58"/>
        <v>21</v>
      </c>
      <c r="AJ55" s="24">
        <f t="shared" si="58"/>
        <v>19</v>
      </c>
      <c r="AK55" s="24">
        <f t="shared" si="58"/>
        <v>13</v>
      </c>
      <c r="AL55" s="24">
        <f t="shared" si="58"/>
        <v>7</v>
      </c>
      <c r="AM55" s="24">
        <f t="shared" si="58"/>
        <v>8</v>
      </c>
      <c r="AN55" s="24">
        <f t="shared" si="58"/>
        <v>7</v>
      </c>
      <c r="AO55" s="102">
        <f t="shared" si="58"/>
        <v>10</v>
      </c>
      <c r="AQ55" s="100" t="s">
        <v>146</v>
      </c>
      <c r="AR55" s="101">
        <v>0</v>
      </c>
      <c r="AS55" s="75">
        <v>0</v>
      </c>
    </row>
    <row r="56" spans="1:50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143">
        <f t="shared" ref="K56:AO56" si="59">COUNTIF(K4:K44,"S")</f>
        <v>6</v>
      </c>
      <c r="L56" s="39">
        <f t="shared" si="59"/>
        <v>6</v>
      </c>
      <c r="M56" s="39">
        <f t="shared" si="59"/>
        <v>4</v>
      </c>
      <c r="N56" s="39">
        <f t="shared" si="59"/>
        <v>1</v>
      </c>
      <c r="O56" s="39">
        <f t="shared" si="59"/>
        <v>3</v>
      </c>
      <c r="P56" s="39">
        <f t="shared" si="59"/>
        <v>6</v>
      </c>
      <c r="Q56" s="39">
        <f t="shared" si="59"/>
        <v>3</v>
      </c>
      <c r="R56" s="39">
        <f t="shared" si="59"/>
        <v>3</v>
      </c>
      <c r="S56" s="39">
        <f t="shared" si="59"/>
        <v>2</v>
      </c>
      <c r="T56" s="39">
        <f>COUNTIF(T4:T44,"S")</f>
        <v>0</v>
      </c>
      <c r="U56" s="39">
        <f t="shared" si="59"/>
        <v>0</v>
      </c>
      <c r="V56" s="39">
        <f t="shared" si="59"/>
        <v>5</v>
      </c>
      <c r="W56" s="39">
        <f t="shared" si="59"/>
        <v>2</v>
      </c>
      <c r="X56" s="39">
        <f t="shared" si="59"/>
        <v>2</v>
      </c>
      <c r="Y56" s="39">
        <f t="shared" si="59"/>
        <v>3</v>
      </c>
      <c r="Z56" s="39">
        <f t="shared" si="59"/>
        <v>3</v>
      </c>
      <c r="AA56" s="39">
        <f t="shared" si="59"/>
        <v>2</v>
      </c>
      <c r="AB56" s="39">
        <f t="shared" si="59"/>
        <v>3</v>
      </c>
      <c r="AC56" s="39">
        <f t="shared" si="59"/>
        <v>1</v>
      </c>
      <c r="AD56" s="39">
        <f t="shared" si="59"/>
        <v>5</v>
      </c>
      <c r="AE56" s="39">
        <f t="shared" si="59"/>
        <v>3</v>
      </c>
      <c r="AF56" s="39">
        <f t="shared" si="59"/>
        <v>2</v>
      </c>
      <c r="AG56" s="39">
        <f t="shared" si="59"/>
        <v>1</v>
      </c>
      <c r="AH56" s="39">
        <f t="shared" si="59"/>
        <v>1</v>
      </c>
      <c r="AI56" s="39">
        <f t="shared" si="59"/>
        <v>1</v>
      </c>
      <c r="AJ56" s="39">
        <f t="shared" si="59"/>
        <v>3</v>
      </c>
      <c r="AK56" s="39">
        <f t="shared" si="59"/>
        <v>0</v>
      </c>
      <c r="AL56" s="39">
        <f t="shared" si="59"/>
        <v>2</v>
      </c>
      <c r="AM56" s="39">
        <f t="shared" si="59"/>
        <v>1</v>
      </c>
      <c r="AN56" s="39">
        <f t="shared" si="59"/>
        <v>4</v>
      </c>
      <c r="AO56" s="83">
        <f t="shared" si="59"/>
        <v>2</v>
      </c>
      <c r="AQ56" s="107" t="s">
        <v>46</v>
      </c>
      <c r="AR56" s="105">
        <f>AR47-AR48-AR50-AR51-AR52-AR53+AR54+AR55-AR49</f>
        <v>7</v>
      </c>
      <c r="AS56" s="105">
        <f>AS47-AS48-AS50-AS51-AS52-AS53+AS54+AS55-AS49</f>
        <v>3</v>
      </c>
      <c r="AT56" s="6"/>
    </row>
    <row r="57" spans="1:50" ht="18" customHeight="1" thickBot="1">
      <c r="A57" s="80"/>
      <c r="B57" s="80"/>
      <c r="C57" s="80"/>
      <c r="D57" s="80"/>
      <c r="I57" s="80"/>
      <c r="J57" s="103" t="s">
        <v>45</v>
      </c>
      <c r="K57" s="143">
        <f t="shared" ref="K57:AO57" si="60">COUNTIF(K4:K44,"T")</f>
        <v>0</v>
      </c>
      <c r="L57" s="39">
        <f t="shared" si="60"/>
        <v>0</v>
      </c>
      <c r="M57" s="39">
        <f t="shared" si="60"/>
        <v>0</v>
      </c>
      <c r="N57" s="39">
        <f t="shared" si="60"/>
        <v>0</v>
      </c>
      <c r="O57" s="39">
        <f t="shared" si="60"/>
        <v>0</v>
      </c>
      <c r="P57" s="39">
        <f t="shared" si="60"/>
        <v>0</v>
      </c>
      <c r="Q57" s="39">
        <f t="shared" si="60"/>
        <v>0</v>
      </c>
      <c r="R57" s="39">
        <f t="shared" si="60"/>
        <v>0</v>
      </c>
      <c r="S57" s="39">
        <f t="shared" si="60"/>
        <v>0</v>
      </c>
      <c r="T57" s="39">
        <f t="shared" si="60"/>
        <v>17</v>
      </c>
      <c r="U57" s="39">
        <f t="shared" si="60"/>
        <v>4</v>
      </c>
      <c r="V57" s="39">
        <f t="shared" si="60"/>
        <v>0</v>
      </c>
      <c r="W57" s="39">
        <f t="shared" si="60"/>
        <v>0</v>
      </c>
      <c r="X57" s="39">
        <f t="shared" si="60"/>
        <v>0</v>
      </c>
      <c r="Y57" s="39">
        <f t="shared" si="60"/>
        <v>0</v>
      </c>
      <c r="Z57" s="39">
        <f t="shared" si="60"/>
        <v>0</v>
      </c>
      <c r="AA57" s="39">
        <f t="shared" si="60"/>
        <v>0</v>
      </c>
      <c r="AB57" s="39">
        <f t="shared" si="60"/>
        <v>0</v>
      </c>
      <c r="AC57" s="39">
        <f t="shared" si="60"/>
        <v>0</v>
      </c>
      <c r="AD57" s="39">
        <f t="shared" si="60"/>
        <v>0</v>
      </c>
      <c r="AE57" s="39">
        <f t="shared" si="60"/>
        <v>0</v>
      </c>
      <c r="AF57" s="39">
        <f t="shared" si="60"/>
        <v>0</v>
      </c>
      <c r="AG57" s="39">
        <f t="shared" si="60"/>
        <v>0</v>
      </c>
      <c r="AH57" s="39">
        <f t="shared" si="60"/>
        <v>0</v>
      </c>
      <c r="AI57" s="39">
        <f t="shared" si="60"/>
        <v>0</v>
      </c>
      <c r="AJ57" s="39">
        <f t="shared" si="60"/>
        <v>0</v>
      </c>
      <c r="AK57" s="39">
        <f t="shared" si="60"/>
        <v>0</v>
      </c>
      <c r="AL57" s="39">
        <f t="shared" si="60"/>
        <v>0</v>
      </c>
      <c r="AM57" s="39">
        <f t="shared" si="60"/>
        <v>0</v>
      </c>
      <c r="AN57" s="39">
        <f t="shared" si="60"/>
        <v>0</v>
      </c>
      <c r="AO57" s="83">
        <f t="shared" si="60"/>
        <v>0</v>
      </c>
      <c r="AP57" s="77"/>
      <c r="AR57" s="50"/>
      <c r="AS57" s="111"/>
      <c r="AU57" s="77"/>
      <c r="AV57" s="77"/>
      <c r="AW57" s="77"/>
      <c r="AX57" s="77"/>
    </row>
    <row r="58" spans="1:50" ht="18" customHeight="1" thickBot="1">
      <c r="A58" s="80"/>
      <c r="B58" s="80"/>
      <c r="C58" s="80"/>
      <c r="D58" s="80"/>
      <c r="I58" s="80"/>
      <c r="J58" s="108" t="s">
        <v>109</v>
      </c>
      <c r="K58" s="150">
        <f>SUM(K45:K57)</f>
        <v>41</v>
      </c>
      <c r="L58" s="109">
        <f t="shared" ref="L58:AO58" si="61">SUM(L45:L57)</f>
        <v>41</v>
      </c>
      <c r="M58" s="109">
        <f t="shared" si="61"/>
        <v>41</v>
      </c>
      <c r="N58" s="109">
        <f t="shared" si="61"/>
        <v>41</v>
      </c>
      <c r="O58" s="109">
        <f t="shared" si="61"/>
        <v>41</v>
      </c>
      <c r="P58" s="109">
        <f t="shared" si="61"/>
        <v>41</v>
      </c>
      <c r="Q58" s="109">
        <f t="shared" si="61"/>
        <v>41</v>
      </c>
      <c r="R58" s="109">
        <f t="shared" si="61"/>
        <v>41</v>
      </c>
      <c r="S58" s="109">
        <f t="shared" si="61"/>
        <v>41</v>
      </c>
      <c r="T58" s="109">
        <f t="shared" si="61"/>
        <v>41</v>
      </c>
      <c r="U58" s="109">
        <f t="shared" si="61"/>
        <v>41</v>
      </c>
      <c r="V58" s="109">
        <f t="shared" si="61"/>
        <v>41</v>
      </c>
      <c r="W58" s="109">
        <f t="shared" si="61"/>
        <v>41</v>
      </c>
      <c r="X58" s="109">
        <f t="shared" si="61"/>
        <v>41</v>
      </c>
      <c r="Y58" s="109">
        <f t="shared" si="61"/>
        <v>41</v>
      </c>
      <c r="Z58" s="109">
        <f t="shared" si="61"/>
        <v>41</v>
      </c>
      <c r="AA58" s="109">
        <f t="shared" si="61"/>
        <v>41</v>
      </c>
      <c r="AB58" s="109">
        <f t="shared" si="61"/>
        <v>41</v>
      </c>
      <c r="AC58" s="109">
        <f t="shared" si="61"/>
        <v>41</v>
      </c>
      <c r="AD58" s="109">
        <f t="shared" si="61"/>
        <v>41</v>
      </c>
      <c r="AE58" s="109">
        <f t="shared" si="61"/>
        <v>41</v>
      </c>
      <c r="AF58" s="109">
        <f t="shared" si="61"/>
        <v>41</v>
      </c>
      <c r="AG58" s="109">
        <f t="shared" si="61"/>
        <v>41</v>
      </c>
      <c r="AH58" s="109">
        <f t="shared" si="61"/>
        <v>41</v>
      </c>
      <c r="AI58" s="109">
        <f t="shared" si="61"/>
        <v>41</v>
      </c>
      <c r="AJ58" s="109">
        <f t="shared" si="61"/>
        <v>41</v>
      </c>
      <c r="AK58" s="109">
        <f t="shared" si="61"/>
        <v>41</v>
      </c>
      <c r="AL58" s="109">
        <f t="shared" si="61"/>
        <v>41</v>
      </c>
      <c r="AM58" s="109">
        <f t="shared" si="61"/>
        <v>41</v>
      </c>
      <c r="AN58" s="109">
        <f t="shared" si="61"/>
        <v>41</v>
      </c>
      <c r="AO58" s="110">
        <f t="shared" si="61"/>
        <v>41</v>
      </c>
      <c r="AQ58" s="7"/>
      <c r="AR58" s="6"/>
      <c r="AS58" s="111"/>
      <c r="AU58" s="37"/>
      <c r="AV58" s="77"/>
      <c r="AW58" s="77"/>
      <c r="AX58" s="77"/>
    </row>
    <row r="59" spans="1:50" ht="24.6" customHeight="1">
      <c r="A59" s="80"/>
      <c r="B59" s="80"/>
      <c r="C59" s="80"/>
      <c r="D59" s="80"/>
      <c r="G59" s="80"/>
      <c r="H59" s="112"/>
      <c r="I59" s="113"/>
      <c r="K59" s="113">
        <f>41-K54-K55-K56-24</f>
        <v>0</v>
      </c>
      <c r="L59" s="113">
        <f>41-L54-L55-L56-24</f>
        <v>0</v>
      </c>
      <c r="M59" s="113">
        <f>41-M54-M55-M56-24</f>
        <v>0</v>
      </c>
      <c r="N59" s="113">
        <f>41-N54-N55-N56-19</f>
        <v>0</v>
      </c>
      <c r="O59" s="113">
        <f>41-O54-O55-O56-19</f>
        <v>0</v>
      </c>
      <c r="P59" s="113">
        <f>41-P54-P55-P56-24</f>
        <v>0</v>
      </c>
      <c r="Q59" s="113">
        <f t="shared" ref="Q59:T59" si="62">41-Q54-Q55-Q56-24</f>
        <v>0</v>
      </c>
      <c r="R59" s="113">
        <f t="shared" si="62"/>
        <v>0</v>
      </c>
      <c r="S59" s="113">
        <f t="shared" si="62"/>
        <v>0</v>
      </c>
      <c r="T59" s="113">
        <f t="shared" si="62"/>
        <v>17</v>
      </c>
      <c r="U59" s="113">
        <f>41-U54-U55-U56-19</f>
        <v>4</v>
      </c>
      <c r="V59" s="113">
        <f>41-V54-V55-V56-19</f>
        <v>0</v>
      </c>
      <c r="W59" s="113">
        <f>41-W54-W55-W56-24</f>
        <v>0</v>
      </c>
      <c r="X59" s="113">
        <f t="shared" ref="X59:AA59" si="63">41-X54-X55-X56-24</f>
        <v>0</v>
      </c>
      <c r="Y59" s="113">
        <f t="shared" si="63"/>
        <v>0</v>
      </c>
      <c r="Z59" s="113">
        <f t="shared" si="63"/>
        <v>0</v>
      </c>
      <c r="AA59" s="113">
        <f t="shared" si="63"/>
        <v>0</v>
      </c>
      <c r="AB59" s="113">
        <f>41-AB54-AB55-AB56-19</f>
        <v>0</v>
      </c>
      <c r="AC59" s="113">
        <f>41-AC54-AC55-AC56-19</f>
        <v>0</v>
      </c>
      <c r="AD59" s="113">
        <f>41-AD54-AD55-AD56-24</f>
        <v>0</v>
      </c>
      <c r="AE59" s="113">
        <f t="shared" ref="AE59:AH59" si="64">41-AE54-AE55-AE56-24</f>
        <v>0</v>
      </c>
      <c r="AF59" s="113">
        <f t="shared" si="64"/>
        <v>0</v>
      </c>
      <c r="AG59" s="113">
        <f t="shared" si="64"/>
        <v>0</v>
      </c>
      <c r="AH59" s="113">
        <f t="shared" si="64"/>
        <v>0</v>
      </c>
      <c r="AI59" s="113">
        <f>41-AI54-AI55-AI56-19</f>
        <v>0</v>
      </c>
      <c r="AJ59" s="113">
        <f>41-AJ54-AJ55-AJ56-19</f>
        <v>0</v>
      </c>
      <c r="AK59" s="113">
        <f>41-AK54-AK55-AK56-24</f>
        <v>0</v>
      </c>
      <c r="AL59" s="113">
        <f t="shared" ref="AL59:AO59" si="65">41-AL54-AL55-AL56-24</f>
        <v>0</v>
      </c>
      <c r="AM59" s="113">
        <f t="shared" si="65"/>
        <v>0</v>
      </c>
      <c r="AN59" s="113">
        <f t="shared" si="65"/>
        <v>0</v>
      </c>
      <c r="AO59" s="113">
        <f t="shared" si="65"/>
        <v>0</v>
      </c>
    </row>
    <row r="60" spans="1:50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7"/>
    </row>
    <row r="61" spans="1:50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</row>
    <row r="62" spans="1:50" ht="24.6" customHeight="1" thickBot="1">
      <c r="A62" s="80"/>
      <c r="B62" s="80"/>
      <c r="C62" s="80"/>
      <c r="D62" s="80"/>
      <c r="I62" s="80"/>
      <c r="J62" s="228" t="s">
        <v>47</v>
      </c>
      <c r="K62" s="350" cm="1">
        <f t="array" ref="K62">SUMPRODUCT(COUNTIF(K4:K18,{"1";"M1"}))</f>
        <v>1</v>
      </c>
      <c r="L62" s="351" cm="1">
        <f t="array" ref="L62">SUMPRODUCT(COUNTIF(L4:L18,{"1";"M1"}))</f>
        <v>1</v>
      </c>
      <c r="M62" s="351" cm="1">
        <f t="array" ref="M62">SUMPRODUCT(COUNTIF(M4:M18,{"1";"M1"}))</f>
        <v>1</v>
      </c>
      <c r="N62" s="231" cm="1">
        <f t="array" ref="N62">SUMPRODUCT(COUNTIF(N4:N18,{"1";"M1"}))</f>
        <v>2</v>
      </c>
      <c r="O62" s="231" cm="1">
        <f t="array" ref="O62">SUMPRODUCT(COUNTIF(O4:O18,{"1";"M1"}))</f>
        <v>2</v>
      </c>
      <c r="P62" s="351" cm="1">
        <f t="array" ref="P62">SUMPRODUCT(COUNTIF(P4:P18,{"1";"M1"}))</f>
        <v>1</v>
      </c>
      <c r="Q62" s="351" cm="1">
        <f t="array" ref="Q62">SUMPRODUCT(COUNTIF(Q4:Q18,{"1";"M1"}))</f>
        <v>2</v>
      </c>
      <c r="R62" s="351" cm="1">
        <f t="array" ref="R62">SUMPRODUCT(COUNTIF(R4:R18,{"1";"M1"}))</f>
        <v>3</v>
      </c>
      <c r="S62" s="351" cm="1">
        <f t="array" ref="S62">SUMPRODUCT(COUNTIF(S4:S18,{"1";"M1"}))</f>
        <v>1</v>
      </c>
      <c r="T62" s="351" cm="1">
        <f t="array" ref="T62">SUMPRODUCT(COUNTIF(T4:T18,{"1";"M1"}))</f>
        <v>1</v>
      </c>
      <c r="U62" s="231" cm="1">
        <f t="array" ref="U62">SUMPRODUCT(COUNTIF(U4:U18,{"1";"M1"}))</f>
        <v>3</v>
      </c>
      <c r="V62" s="231" cm="1">
        <f t="array" ref="V62">SUMPRODUCT(COUNTIF(V4:V18,{"1";"M1"}))</f>
        <v>3</v>
      </c>
      <c r="W62" s="351" cm="1">
        <f t="array" ref="W62">SUMPRODUCT(COUNTIF(W4:W18,{"1";"M1"}))</f>
        <v>2</v>
      </c>
      <c r="X62" s="351" cm="1">
        <f t="array" ref="X62">SUMPRODUCT(COUNTIF(X4:X18,{"1";"M1"}))</f>
        <v>2</v>
      </c>
      <c r="Y62" s="351" cm="1">
        <f t="array" ref="Y62">SUMPRODUCT(COUNTIF(Y4:Y18,{"1";"M1"}))</f>
        <v>1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231" cm="1">
        <f t="array" ref="AB62">SUMPRODUCT(COUNTIF(AB4:AB18,{"1";"M1"}))</f>
        <v>0</v>
      </c>
      <c r="AC62" s="231" cm="1">
        <f t="array" ref="AC62">SUMPRODUCT(COUNTIF(AC4:AC18,{"1";"M1"}))</f>
        <v>0</v>
      </c>
      <c r="AD62" s="351" cm="1">
        <f t="array" ref="AD62">SUMPRODUCT(COUNTIF(AD4:AD18,{"1";"M1"}))</f>
        <v>1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231" cm="1">
        <f t="array" ref="AI62">SUMPRODUCT(COUNTIF(AI4:AI18,{"1";"M1"}))</f>
        <v>1</v>
      </c>
      <c r="AJ62" s="231" cm="1">
        <f t="array" ref="AJ62">SUMPRODUCT(COUNTIF(AJ4:AJ18,{"1";"M1"}))</f>
        <v>1</v>
      </c>
      <c r="AK62" s="35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3</v>
      </c>
      <c r="AN62" s="351" cm="1">
        <f t="array" ref="AN62">SUMPRODUCT(COUNTIF(AN4:AN18,{"1";"M1"}))</f>
        <v>1</v>
      </c>
      <c r="AO62" s="352" cm="1">
        <f t="array" ref="AO62">SUMPRODUCT(COUNTIF(AO4:AO18,{"1";"M1"}))</f>
        <v>1</v>
      </c>
    </row>
    <row r="63" spans="1:50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6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7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</row>
  </sheetData>
  <autoFilter ref="AT3:AT57" xr:uid="{00000000-0009-0000-0000-000006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S38 U4:AO38 K39:AO40 K41:S41 U41:AO41 K42:AO44">
    <cfRule type="expression" dxfId="32" priority="9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31" priority="10">
      <formula>OR(K4="晚", K4=3, K4="大夜")</formula>
    </cfRule>
    <cfRule type="expression" dxfId="30" priority="11">
      <formula>"OR(K4=""T中"", K4=""中"", K4=2, K4=""小夜"")"</formula>
    </cfRule>
    <cfRule type="expression" dxfId="29" priority="12">
      <formula>OR(K4="T早", K4="早", K4="M1", K4=1, K4="日")</formula>
    </cfRule>
  </conditionalFormatting>
  <conditionalFormatting sqref="K45:AO53">
    <cfRule type="cellIs" dxfId="28" priority="1244" operator="equal">
      <formula>1</formula>
    </cfRule>
    <cfRule type="cellIs" dxfId="27" priority="1241" operator="equal">
      <formula>4</formula>
    </cfRule>
    <cfRule type="cellIs" dxfId="26" priority="1242" operator="equal">
      <formula>3</formula>
    </cfRule>
    <cfRule type="cellIs" dxfId="25" priority="1243" operator="equal">
      <formula>2</formula>
    </cfRule>
    <cfRule type="cellIs" dxfId="24" priority="1240" operator="equal">
      <formula>5</formula>
    </cfRule>
  </conditionalFormatting>
  <conditionalFormatting sqref="K51:AO53">
    <cfRule type="cellIs" dxfId="23" priority="1245" operator="equal">
      <formula>"T中"</formula>
    </cfRule>
  </conditionalFormatting>
  <conditionalFormatting sqref="T4:T38">
    <cfRule type="expression" dxfId="22" priority="5">
      <formula>OR(     SUM(COUNTIF(T4:Y4, 上班代號)) &gt; 6,     AND(COLUMN()&gt;11, OR(         AND(SUM(COUNTIF(OFFSET(T4,0,-1), 中班組)), SUM(COUNTIF(T4, 早班組), COUNTIF(T4, 晚班組))),         AND(SUM(COUNTIF(OFFSET(T4,0,-1), 早班組)), SUM(COUNTIF(T4, 晚班組)))     )) )</formula>
    </cfRule>
    <cfRule type="expression" dxfId="21" priority="6">
      <formula>OR(T4="晚", T4=3, T4="大夜")</formula>
    </cfRule>
    <cfRule type="expression" dxfId="20" priority="7">
      <formula>"OR(K4=""T中"", K4=""中"", K4=2, K4=""小夜"")"</formula>
    </cfRule>
    <cfRule type="expression" dxfId="19" priority="8">
      <formula>OR(T4="T早", T4="早", T4="M1", T4=1, T4="日")</formula>
    </cfRule>
  </conditionalFormatting>
  <conditionalFormatting sqref="T41">
    <cfRule type="expression" dxfId="18" priority="3">
      <formula>"OR(K4=""T中"", K4=""中"", K4=2, K4=""小夜"")"</formula>
    </cfRule>
    <cfRule type="expression" dxfId="17" priority="4">
      <formula>OR(T41="T早", T41="早", T41="M1", T41=1, T41="日")</formula>
    </cfRule>
    <cfRule type="expression" dxfId="16" priority="1">
      <formula>OR(     SUM(COUNTIF(T41:Y41, 上班代號)) &gt; 6,     AND(COLUMN()&gt;11, OR(         AND(SUM(COUNTIF(OFFSET(T41,0,-1), 中班組)), SUM(COUNTIF(T41, 早班組), COUNTIF(T41, 晚班組))),         AND(SUM(COUNTIF(OFFSET(T41,0,-1), 早班組)), SUM(COUNTIF(T41, 晚班組)))     )) )</formula>
    </cfRule>
    <cfRule type="expression" dxfId="15" priority="2">
      <formula>OR(T41="晚", T41=3, T41="大夜")</formula>
    </cfRule>
  </conditionalFormatting>
  <conditionalFormatting sqref="AP24">
    <cfRule type="cellIs" dxfId="14" priority="1248" operator="equal">
      <formula>"大夜"</formula>
    </cfRule>
    <cfRule type="cellIs" dxfId="13" priority="1249" operator="equal">
      <formula>"晚"</formula>
    </cfRule>
    <cfRule type="cellIs" dxfId="12" priority="1250" operator="equal">
      <formula>3</formula>
    </cfRule>
    <cfRule type="cellIs" dxfId="11" priority="1251" operator="equal">
      <formula>"小夜"</formula>
    </cfRule>
    <cfRule type="cellIs" dxfId="10" priority="1252" operator="equal">
      <formula>"T中"</formula>
    </cfRule>
    <cfRule type="cellIs" dxfId="9" priority="1253" operator="equal">
      <formula>"中"</formula>
    </cfRule>
    <cfRule type="cellIs" dxfId="8" priority="1254" operator="equal">
      <formula>"M2"</formula>
    </cfRule>
    <cfRule type="cellIs" dxfId="7" priority="1255" operator="equal">
      <formula>2</formula>
    </cfRule>
    <cfRule type="cellIs" dxfId="6" priority="1256" operator="equal">
      <formula>"日"</formula>
    </cfRule>
    <cfRule type="cellIs" dxfId="5" priority="1257" operator="equal">
      <formula>"T早"</formula>
    </cfRule>
    <cfRule type="cellIs" dxfId="4" priority="1258" operator="equal">
      <formula>"早"</formula>
    </cfRule>
    <cfRule type="cellIs" dxfId="3" priority="1259" operator="equal">
      <formula>"M1"</formula>
    </cfRule>
    <cfRule type="cellIs" dxfId="2" priority="1260" operator="equal">
      <formula>1</formula>
    </cfRule>
  </conditionalFormatting>
  <conditionalFormatting sqref="AS4:AS44">
    <cfRule type="cellIs" dxfId="1" priority="1246" operator="equal">
      <formula>-2</formula>
    </cfRule>
    <cfRule type="cellIs" dxfId="0" priority="124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</vt:lpstr>
      <vt:lpstr>02</vt:lpstr>
      <vt:lpstr>03</vt:lpstr>
      <vt:lpstr>04</vt:lpstr>
      <vt:lpstr>05</vt:lpstr>
      <vt:lpstr>06</vt:lpstr>
      <vt:lpstr>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2026-07-10T13:21:41Z</dcterms:modified>
</cp:coreProperties>
</file>