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E57862A6-41F3-4903-AF1F-B9454B724D25}" xr6:coauthVersionLast="47" xr6:coauthVersionMax="47" xr10:uidLastSave="{00000000-0000-0000-0000-000000000000}"/>
  <bookViews>
    <workbookView xWindow="-108" yWindow="-108" windowWidth="23256" windowHeight="12576" activeTab="5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C4E593_CBE6_4671_A3D2_828E477A8888_.wvu.FilterData" localSheetId="5" hidden="1">'06'!$AS$3:$AS$57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E12975_286E_4F3E_84E7_84169855E9B0_.wvu.FilterData" localSheetId="5" hidden="1">'06'!$AS$3:$AS$57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D9DED9E_0E9B_4AC2_A6FE_0614C36A32EB_.wvu.FilterData" localSheetId="5" hidden="1">'06'!$AS$3:$AS$57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22" l="1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I44" i="22" l="1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K1" i="22" l="1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T6" authorId="2" shapeId="0" xr:uid="{5391B922-F306-4B86-A461-503C6AD0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V9" authorId="2" shapeId="0" xr:uid="{3DD0AE67-6DD5-4C67-A76A-7A82C190F79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7" authorId="2" shapeId="0" xr:uid="{3A5E739E-1ED4-4B75-8470-6AF77004B6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7" authorId="2" shapeId="0" xr:uid="{EDDBBB4B-D317-4336-A504-5B7AB9CB44B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38" authorId="2" shapeId="0" xr:uid="{D363B283-117E-4A01-8D2E-48D1545D95E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8" authorId="2" shapeId="0" xr:uid="{7B2BC34D-CAC3-43B1-8344-49E551D33F5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<sst xmlns="http://schemas.openxmlformats.org/spreadsheetml/2006/main" count="6981" uniqueCount="161">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</sst>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3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23" fillId="0" borderId="13" xfId="1" applyFont="1" applyFill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0" borderId="3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0" fontId="23" fillId="0" borderId="16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72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35" t="str">
        <f>"TPKC剩餘人力："&amp;AR59&amp;" / NK剩餘人力："&amp;AS59&amp;" /  N班人力："&amp;AR53</f>
        <v>TPKC剩餘人力：0 / NK剩餘人力：0 /  N班人力：92</v>
      </c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7"/>
      <c r="AJ1" s="336"/>
      <c r="AK1" s="336"/>
      <c r="AL1" s="338"/>
      <c r="AM1" s="339"/>
      <c r="AN1" s="339"/>
      <c r="AO1" s="5"/>
      <c r="AR1" s="6"/>
      <c r="AS1" s="7"/>
    </row>
    <row r="2" spans="1:226" ht="23.25" customHeight="1" thickBot="1">
      <c r="A2" s="347">
        <v>1</v>
      </c>
      <c r="B2" s="349">
        <v>2</v>
      </c>
      <c r="C2" s="349">
        <v>3</v>
      </c>
      <c r="D2" s="351" t="s">
        <v>60</v>
      </c>
      <c r="E2" s="353" t="s">
        <v>61</v>
      </c>
      <c r="F2" s="8" t="s">
        <v>62</v>
      </c>
      <c r="G2" s="8" t="s">
        <v>63</v>
      </c>
      <c r="H2" s="8" t="s">
        <v>64</v>
      </c>
      <c r="I2" s="343" t="s">
        <v>65</v>
      </c>
      <c r="J2" s="345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55" t="s">
        <v>48</v>
      </c>
      <c r="AW2" s="356"/>
      <c r="AX2" s="356"/>
    </row>
    <row r="3" spans="1:226" ht="24.6" customHeight="1" thickBot="1">
      <c r="A3" s="348"/>
      <c r="B3" s="350"/>
      <c r="C3" s="350"/>
      <c r="D3" s="352"/>
      <c r="E3" s="354"/>
      <c r="F3" s="15" t="s">
        <v>74</v>
      </c>
      <c r="G3" s="15" t="s">
        <v>75</v>
      </c>
      <c r="H3" s="16" t="s">
        <v>76</v>
      </c>
      <c r="I3" s="344"/>
      <c r="J3" s="357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171" priority="1" operator="equal">
      <formula>"大夜"</formula>
    </cfRule>
    <cfRule type="cellIs" dxfId="170" priority="2" operator="equal">
      <formula>"晚"</formula>
    </cfRule>
    <cfRule type="cellIs" dxfId="169" priority="3" operator="equal">
      <formula>3</formula>
    </cfRule>
    <cfRule type="cellIs" dxfId="168" priority="4" operator="equal">
      <formula>"小夜"</formula>
    </cfRule>
    <cfRule type="cellIs" dxfId="167" priority="5" operator="equal">
      <formula>"T中"</formula>
    </cfRule>
    <cfRule type="cellIs" dxfId="166" priority="6" operator="equal">
      <formula>"中"</formula>
    </cfRule>
    <cfRule type="cellIs" dxfId="165" priority="7" operator="equal">
      <formula>2</formula>
    </cfRule>
    <cfRule type="cellIs" dxfId="164" priority="8" operator="equal">
      <formula>"日"</formula>
    </cfRule>
    <cfRule type="cellIs" dxfId="163" priority="9" operator="equal">
      <formula>"T早"</formula>
    </cfRule>
    <cfRule type="cellIs" dxfId="162" priority="10" operator="equal">
      <formula>"早"</formula>
    </cfRule>
    <cfRule type="cellIs" dxfId="161" priority="11" operator="equal">
      <formula>"M1"</formula>
    </cfRule>
    <cfRule type="cellIs" dxfId="160" priority="12" operator="equal">
      <formula>1</formula>
    </cfRule>
    <cfRule type="expression" dxfId="159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58" priority="4256" operator="equal">
      <formula>5</formula>
    </cfRule>
    <cfRule type="cellIs" dxfId="157" priority="4257" operator="equal">
      <formula>4</formula>
    </cfRule>
    <cfRule type="cellIs" dxfId="156" priority="4258" operator="equal">
      <formula>3</formula>
    </cfRule>
    <cfRule type="cellIs" dxfId="155" priority="4259" operator="equal">
      <formula>2</formula>
    </cfRule>
    <cfRule type="cellIs" dxfId="154" priority="4260" operator="equal">
      <formula>1</formula>
    </cfRule>
  </conditionalFormatting>
  <conditionalFormatting sqref="K53:AO55">
    <cfRule type="cellIs" dxfId="153" priority="4261" operator="equal">
      <formula>"T中"</formula>
    </cfRule>
  </conditionalFormatting>
  <conditionalFormatting sqref="AP25">
    <cfRule type="cellIs" dxfId="152" priority="4564" operator="equal">
      <formula>"大夜"</formula>
    </cfRule>
    <cfRule type="cellIs" dxfId="151" priority="4565" operator="equal">
      <formula>"晚"</formula>
    </cfRule>
    <cfRule type="cellIs" dxfId="150" priority="4566" operator="equal">
      <formula>3</formula>
    </cfRule>
    <cfRule type="cellIs" dxfId="149" priority="4567" operator="equal">
      <formula>"小夜"</formula>
    </cfRule>
    <cfRule type="cellIs" dxfId="148" priority="4568" operator="equal">
      <formula>"T中"</formula>
    </cfRule>
    <cfRule type="cellIs" dxfId="147" priority="4569" operator="equal">
      <formula>"中"</formula>
    </cfRule>
    <cfRule type="cellIs" dxfId="146" priority="4570" operator="equal">
      <formula>"M2"</formula>
    </cfRule>
    <cfRule type="cellIs" dxfId="145" priority="4571" operator="equal">
      <formula>2</formula>
    </cfRule>
    <cfRule type="cellIs" dxfId="144" priority="4572" operator="equal">
      <formula>"日"</formula>
    </cfRule>
    <cfRule type="cellIs" dxfId="143" priority="4573" operator="equal">
      <formula>"T早"</formula>
    </cfRule>
    <cfRule type="cellIs" dxfId="142" priority="4574" operator="equal">
      <formula>"早"</formula>
    </cfRule>
    <cfRule type="cellIs" dxfId="141" priority="4575" operator="equal">
      <formula>"M1"</formula>
    </cfRule>
    <cfRule type="cellIs" dxfId="140" priority="4576" operator="equal">
      <formula>1</formula>
    </cfRule>
  </conditionalFormatting>
  <conditionalFormatting sqref="AS4:AS46">
    <cfRule type="cellIs" dxfId="139" priority="4562" operator="equal">
      <formula>-2</formula>
    </cfRule>
    <cfRule type="cellIs" dxfId="138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35" t="str">
        <f>"TPKC剩餘人力："&amp;AO59&amp;" / NK剩餘人力："&amp;AP59&amp;" /  N班人力："&amp;AO54</f>
        <v>TPKC剩餘人力：0 / NK剩餘人力：0 /  N班人力：32</v>
      </c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7"/>
      <c r="AJ1" s="336"/>
      <c r="AK1" s="336"/>
      <c r="AL1" s="183"/>
      <c r="AO1" s="6"/>
      <c r="AP1" s="7"/>
    </row>
    <row r="2" spans="1:223" ht="23.25" customHeight="1" thickBot="1">
      <c r="A2" s="347">
        <v>1</v>
      </c>
      <c r="B2" s="349">
        <v>2</v>
      </c>
      <c r="C2" s="349">
        <v>3</v>
      </c>
      <c r="D2" s="351" t="s">
        <v>104</v>
      </c>
      <c r="E2" s="353" t="s">
        <v>105</v>
      </c>
      <c r="F2" s="8" t="s">
        <v>106</v>
      </c>
      <c r="G2" s="8" t="s">
        <v>107</v>
      </c>
      <c r="H2" s="8" t="s">
        <v>108</v>
      </c>
      <c r="I2" s="343" t="s">
        <v>109</v>
      </c>
      <c r="J2" s="358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55" t="s">
        <v>48</v>
      </c>
      <c r="AT2" s="356"/>
      <c r="AU2" s="356"/>
    </row>
    <row r="3" spans="1:223" ht="24.6" customHeight="1" thickBot="1">
      <c r="A3" s="348"/>
      <c r="B3" s="350"/>
      <c r="C3" s="350"/>
      <c r="D3" s="352"/>
      <c r="E3" s="354"/>
      <c r="F3" s="15" t="s">
        <v>118</v>
      </c>
      <c r="G3" s="15" t="s">
        <v>119</v>
      </c>
      <c r="H3" s="16" t="s">
        <v>120</v>
      </c>
      <c r="I3" s="344"/>
      <c r="J3" s="359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37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36" priority="1">
      <formula>OR(K4=3, K4="晚",  K4="大夜")</formula>
    </cfRule>
    <cfRule type="expression" dxfId="135" priority="2">
      <formula>OR(K4="M2", K4=2, K4="中", K4="T中", K4="小夜")</formula>
    </cfRule>
    <cfRule type="expression" dxfId="134" priority="4">
      <formula>OR(K4="M1", K4=1, K4="早", K4="T早", K4="日")</formula>
    </cfRule>
  </conditionalFormatting>
  <conditionalFormatting sqref="K47:AL55">
    <cfRule type="cellIs" dxfId="133" priority="214" operator="equal">
      <formula>5</formula>
    </cfRule>
    <cfRule type="cellIs" dxfId="132" priority="215" operator="equal">
      <formula>4</formula>
    </cfRule>
    <cfRule type="cellIs" dxfId="131" priority="216" operator="equal">
      <formula>3</formula>
    </cfRule>
    <cfRule type="cellIs" dxfId="130" priority="217" operator="equal">
      <formula>2</formula>
    </cfRule>
    <cfRule type="cellIs" dxfId="129" priority="218" operator="equal">
      <formula>1</formula>
    </cfRule>
  </conditionalFormatting>
  <conditionalFormatting sqref="K53:AL55">
    <cfRule type="cellIs" dxfId="128" priority="219" operator="equal">
      <formula>"T中"</formula>
    </cfRule>
  </conditionalFormatting>
  <conditionalFormatting sqref="AM25">
    <cfRule type="cellIs" dxfId="127" priority="228" operator="equal">
      <formula>"大夜"</formula>
    </cfRule>
    <cfRule type="cellIs" dxfId="126" priority="229" operator="equal">
      <formula>"晚"</formula>
    </cfRule>
    <cfRule type="cellIs" dxfId="125" priority="230" operator="equal">
      <formula>3</formula>
    </cfRule>
    <cfRule type="cellIs" dxfId="124" priority="231" operator="equal">
      <formula>"小夜"</formula>
    </cfRule>
    <cfRule type="cellIs" dxfId="123" priority="232" operator="equal">
      <formula>"T中"</formula>
    </cfRule>
    <cfRule type="cellIs" dxfId="122" priority="233" operator="equal">
      <formula>"中"</formula>
    </cfRule>
    <cfRule type="cellIs" dxfId="121" priority="234" operator="equal">
      <formula>"M2"</formula>
    </cfRule>
    <cfRule type="cellIs" dxfId="120" priority="235" operator="equal">
      <formula>2</formula>
    </cfRule>
    <cfRule type="cellIs" dxfId="119" priority="236" operator="equal">
      <formula>"日"</formula>
    </cfRule>
    <cfRule type="cellIs" dxfId="118" priority="237" operator="equal">
      <formula>"T早"</formula>
    </cfRule>
    <cfRule type="cellIs" dxfId="117" priority="238" operator="equal">
      <formula>"早"</formula>
    </cfRule>
    <cfRule type="cellIs" dxfId="116" priority="239" operator="equal">
      <formula>"M1"</formula>
    </cfRule>
    <cfRule type="cellIs" dxfId="115" priority="240" operator="equal">
      <formula>1</formula>
    </cfRule>
  </conditionalFormatting>
  <conditionalFormatting sqref="AP4:AP46">
    <cfRule type="cellIs" dxfId="114" priority="226" operator="equal">
      <formula>-2</formula>
    </cfRule>
    <cfRule type="cellIs" dxfId="113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35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35" t="str">
        <f>"TPKC剩餘人力："&amp;AR58&amp;" / NK剩餘人力："&amp;AS58&amp;" /  N班人力："&amp;AR53</f>
        <v>TPKC剩餘人力：2 / NK剩餘人力：0 /  N班人力：114</v>
      </c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7"/>
      <c r="AJ1" s="336"/>
      <c r="AK1" s="336"/>
      <c r="AL1" s="338"/>
      <c r="AM1" s="339"/>
      <c r="AN1" s="339"/>
      <c r="AO1" s="5"/>
      <c r="AR1" s="6"/>
      <c r="AS1" s="7"/>
    </row>
    <row r="2" spans="1:226" ht="23.25" customHeight="1" thickBot="1">
      <c r="A2" s="347">
        <v>1</v>
      </c>
      <c r="B2" s="349">
        <v>2</v>
      </c>
      <c r="C2" s="349">
        <v>3</v>
      </c>
      <c r="D2" s="351" t="s">
        <v>104</v>
      </c>
      <c r="E2" s="353" t="s">
        <v>105</v>
      </c>
      <c r="F2" s="8" t="s">
        <v>106</v>
      </c>
      <c r="G2" s="8" t="s">
        <v>107</v>
      </c>
      <c r="H2" s="8" t="s">
        <v>108</v>
      </c>
      <c r="I2" s="343" t="s">
        <v>109</v>
      </c>
      <c r="J2" s="360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55" t="s">
        <v>48</v>
      </c>
      <c r="AW2" s="356"/>
      <c r="AX2" s="356"/>
    </row>
    <row r="3" spans="1:226" ht="24.6" customHeight="1" thickBot="1">
      <c r="A3" s="348"/>
      <c r="B3" s="350"/>
      <c r="C3" s="350"/>
      <c r="D3" s="352"/>
      <c r="E3" s="354"/>
      <c r="F3" s="15" t="s">
        <v>118</v>
      </c>
      <c r="G3" s="15" t="s">
        <v>119</v>
      </c>
      <c r="H3" s="16" t="s">
        <v>120</v>
      </c>
      <c r="I3" s="344"/>
      <c r="J3" s="361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2" priority="1">
      <formula>OR(K4=3, K4="晚",  K4="大夜")</formula>
    </cfRule>
    <cfRule type="expression" dxfId="111" priority="2">
      <formula>OR(K4="M2", K4=2, K4="中", K4="T中", K4="小夜")</formula>
    </cfRule>
    <cfRule type="expression" dxfId="110" priority="3">
      <formula>OR(K4="M1", K4=1, K4="早", K4="T早", K4="日")</formula>
    </cfRule>
    <cfRule type="expression" dxfId="109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08" priority="202" operator="equal">
      <formula>5</formula>
    </cfRule>
    <cfRule type="cellIs" dxfId="107" priority="203" operator="equal">
      <formula>4</formula>
    </cfRule>
    <cfRule type="cellIs" dxfId="106" priority="204" operator="equal">
      <formula>3</formula>
    </cfRule>
    <cfRule type="cellIs" dxfId="105" priority="205" operator="equal">
      <formula>2</formula>
    </cfRule>
    <cfRule type="cellIs" dxfId="104" priority="206" operator="equal">
      <formula>1</formula>
    </cfRule>
  </conditionalFormatting>
  <conditionalFormatting sqref="K53:AO55">
    <cfRule type="cellIs" dxfId="103" priority="207" operator="equal">
      <formula>"T中"</formula>
    </cfRule>
  </conditionalFormatting>
  <conditionalFormatting sqref="AP25">
    <cfRule type="cellIs" dxfId="102" priority="210" operator="equal">
      <formula>"大夜"</formula>
    </cfRule>
    <cfRule type="cellIs" dxfId="101" priority="211" operator="equal">
      <formula>"晚"</formula>
    </cfRule>
    <cfRule type="cellIs" dxfId="100" priority="212" operator="equal">
      <formula>3</formula>
    </cfRule>
    <cfRule type="cellIs" dxfId="99" priority="213" operator="equal">
      <formula>"小夜"</formula>
    </cfRule>
    <cfRule type="cellIs" dxfId="98" priority="214" operator="equal">
      <formula>"T中"</formula>
    </cfRule>
    <cfRule type="cellIs" dxfId="97" priority="215" operator="equal">
      <formula>"中"</formula>
    </cfRule>
    <cfRule type="cellIs" dxfId="96" priority="216" operator="equal">
      <formula>"M2"</formula>
    </cfRule>
    <cfRule type="cellIs" dxfId="95" priority="217" operator="equal">
      <formula>2</formula>
    </cfRule>
    <cfRule type="cellIs" dxfId="94" priority="218" operator="equal">
      <formula>"日"</formula>
    </cfRule>
    <cfRule type="cellIs" dxfId="93" priority="219" operator="equal">
      <formula>"T早"</formula>
    </cfRule>
    <cfRule type="cellIs" dxfId="92" priority="220" operator="equal">
      <formula>"早"</formula>
    </cfRule>
    <cfRule type="cellIs" dxfId="91" priority="221" operator="equal">
      <formula>"M1"</formula>
    </cfRule>
    <cfRule type="cellIs" dxfId="90" priority="222" operator="equal">
      <formula>1</formula>
    </cfRule>
  </conditionalFormatting>
  <conditionalFormatting sqref="AS4:AS46">
    <cfRule type="cellIs" dxfId="89" priority="208" operator="equal">
      <formula>-2</formula>
    </cfRule>
    <cfRule type="cellIs" dxfId="88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35" activePane="bottomRight" state="frozen"/>
      <selection pane="topRight" activeCell="K1" sqref="K1"/>
      <selection pane="bottomLeft" activeCell="A4" sqref="A4"/>
      <selection pane="bottomRight" activeCell="AI6" sqref="AI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35" t="str">
        <f>"TPKC剩餘人力："&amp;AQ58&amp;" / NK剩餘人力："&amp;AR58&amp;" /  N班人力："&amp;AQ53</f>
        <v>TPKC剩餘人力：0 / NK剩餘人力：0 /  N班人力：76</v>
      </c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7"/>
      <c r="AJ1" s="336"/>
      <c r="AK1" s="336"/>
      <c r="AL1" s="338"/>
      <c r="AM1" s="339"/>
      <c r="AN1" s="339"/>
      <c r="AQ1" s="6"/>
      <c r="AR1" s="7"/>
    </row>
    <row r="2" spans="1:224" ht="23.25" customHeight="1" thickBot="1">
      <c r="A2" s="347">
        <v>1</v>
      </c>
      <c r="B2" s="349">
        <v>2</v>
      </c>
      <c r="C2" s="349">
        <v>3</v>
      </c>
      <c r="D2" s="351" t="s">
        <v>104</v>
      </c>
      <c r="E2" s="353" t="s">
        <v>105</v>
      </c>
      <c r="F2" s="8" t="s">
        <v>106</v>
      </c>
      <c r="G2" s="8" t="s">
        <v>107</v>
      </c>
      <c r="H2" s="8" t="s">
        <v>108</v>
      </c>
      <c r="I2" s="343" t="s">
        <v>109</v>
      </c>
      <c r="J2" s="345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55" t="s">
        <v>48</v>
      </c>
      <c r="AV2" s="356"/>
      <c r="AW2" s="356"/>
    </row>
    <row r="3" spans="1:224" ht="24.6" customHeight="1" thickBot="1">
      <c r="A3" s="348"/>
      <c r="B3" s="350"/>
      <c r="C3" s="350"/>
      <c r="D3" s="352"/>
      <c r="E3" s="354"/>
      <c r="F3" s="15" t="s">
        <v>118</v>
      </c>
      <c r="G3" s="15" t="s">
        <v>119</v>
      </c>
      <c r="H3" s="16" t="s">
        <v>120</v>
      </c>
      <c r="I3" s="344"/>
      <c r="J3" s="346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87" priority="65">
      <formula>OR(K4="T中", K4="中", K4=2, K4="小夜")</formula>
    </cfRule>
    <cfRule type="expression" dxfId="86" priority="66">
      <formula>OR(K4="T早", K4="早", K4="M1", K4=1, K4="日")</formula>
    </cfRule>
  </conditionalFormatting>
  <conditionalFormatting sqref="K4:AN46">
    <cfRule type="expression" dxfId="85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4" priority="4">
      <formula>OR(K4="晚", K4=3, K4="大夜")</formula>
    </cfRule>
  </conditionalFormatting>
  <conditionalFormatting sqref="K47:AN55">
    <cfRule type="cellIs" dxfId="83" priority="71" operator="equal">
      <formula>5</formula>
    </cfRule>
    <cfRule type="cellIs" dxfId="82" priority="72" operator="equal">
      <formula>4</formula>
    </cfRule>
    <cfRule type="cellIs" dxfId="81" priority="73" operator="equal">
      <formula>3</formula>
    </cfRule>
    <cfRule type="cellIs" dxfId="80" priority="74" operator="equal">
      <formula>2</formula>
    </cfRule>
    <cfRule type="cellIs" dxfId="79" priority="75" operator="equal">
      <formula>1</formula>
    </cfRule>
  </conditionalFormatting>
  <conditionalFormatting sqref="K53:AN55">
    <cfRule type="cellIs" dxfId="78" priority="76" operator="equal">
      <formula>"T中"</formula>
    </cfRule>
  </conditionalFormatting>
  <conditionalFormatting sqref="AM8:AN8">
    <cfRule type="expression" dxfId="77" priority="2">
      <formula>OR(AM8="T中", AM8="中", AM8=2, AM8="小夜")</formula>
    </cfRule>
    <cfRule type="expression" dxfId="76" priority="3">
      <formula>OR(AM8="T早", AM8="早", AM8="M1", AM8=1, AM8="日")</formula>
    </cfRule>
  </conditionalFormatting>
  <conditionalFormatting sqref="AO25">
    <cfRule type="cellIs" dxfId="75" priority="83" operator="equal">
      <formula>"大夜"</formula>
    </cfRule>
    <cfRule type="cellIs" dxfId="74" priority="84" operator="equal">
      <formula>"晚"</formula>
    </cfRule>
    <cfRule type="cellIs" dxfId="73" priority="85" operator="equal">
      <formula>3</formula>
    </cfRule>
    <cfRule type="cellIs" dxfId="72" priority="86" operator="equal">
      <formula>"小夜"</formula>
    </cfRule>
    <cfRule type="cellIs" dxfId="71" priority="87" operator="equal">
      <formula>"T中"</formula>
    </cfRule>
    <cfRule type="cellIs" dxfId="70" priority="88" operator="equal">
      <formula>"中"</formula>
    </cfRule>
    <cfRule type="cellIs" dxfId="69" priority="89" operator="equal">
      <formula>"M2"</formula>
    </cfRule>
    <cfRule type="cellIs" dxfId="68" priority="90" operator="equal">
      <formula>2</formula>
    </cfRule>
    <cfRule type="cellIs" dxfId="67" priority="91" operator="equal">
      <formula>"日"</formula>
    </cfRule>
    <cfRule type="cellIs" dxfId="66" priority="92" operator="equal">
      <formula>"T早"</formula>
    </cfRule>
    <cfRule type="cellIs" dxfId="65" priority="93" operator="equal">
      <formula>"早"</formula>
    </cfRule>
    <cfRule type="cellIs" dxfId="64" priority="94" operator="equal">
      <formula>"M1"</formula>
    </cfRule>
    <cfRule type="cellIs" dxfId="63" priority="95" operator="equal">
      <formula>1</formula>
    </cfRule>
  </conditionalFormatting>
  <conditionalFormatting sqref="AR4:AR46">
    <cfRule type="cellIs" dxfId="62" priority="81" operator="equal">
      <formula>-2</formula>
    </cfRule>
    <cfRule type="cellIs" dxfId="61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27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35" t="str">
        <f>"TPKC剩餘人力："&amp;AR57&amp;" / NK剩餘人力："&amp;AS57&amp;" /  N班人力："&amp;AR52</f>
        <v>TPKC剩餘人力：0 / NK剩餘人力：0 /  N班人力：79</v>
      </c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7"/>
      <c r="AJ1" s="336"/>
      <c r="AK1" s="336"/>
      <c r="AL1" s="338"/>
      <c r="AM1" s="339"/>
      <c r="AN1" s="339"/>
      <c r="AO1" s="5"/>
      <c r="AR1" s="6"/>
      <c r="AS1" s="7"/>
    </row>
    <row r="2" spans="1:226" ht="23.25" customHeight="1" thickBot="1">
      <c r="A2" s="347">
        <v>1</v>
      </c>
      <c r="B2" s="349">
        <v>2</v>
      </c>
      <c r="C2" s="349">
        <v>3</v>
      </c>
      <c r="D2" s="351" t="s">
        <v>104</v>
      </c>
      <c r="E2" s="353" t="s">
        <v>105</v>
      </c>
      <c r="F2" s="8" t="s">
        <v>106</v>
      </c>
      <c r="G2" s="8" t="s">
        <v>107</v>
      </c>
      <c r="H2" s="8" t="s">
        <v>108</v>
      </c>
      <c r="I2" s="343" t="s">
        <v>109</v>
      </c>
      <c r="J2" s="345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40" t="s">
        <v>48</v>
      </c>
      <c r="AX2" s="341"/>
      <c r="AY2" s="342"/>
    </row>
    <row r="3" spans="1:226" ht="24.6" customHeight="1" thickBot="1">
      <c r="A3" s="348"/>
      <c r="B3" s="350"/>
      <c r="C3" s="350"/>
      <c r="D3" s="352"/>
      <c r="E3" s="354"/>
      <c r="F3" s="15" t="s">
        <v>118</v>
      </c>
      <c r="G3" s="15" t="s">
        <v>119</v>
      </c>
      <c r="H3" s="16" t="s">
        <v>120</v>
      </c>
      <c r="I3" s="344"/>
      <c r="J3" s="346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6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59" priority="6">
      <formula>OR(K4="T中", K4="中", K4=2, K4="小夜")</formula>
    </cfRule>
    <cfRule type="expression" dxfId="58" priority="7">
      <formula>OR(K4="T早", K4="早", K4="M1", K4=1, K4="日")</formula>
    </cfRule>
    <cfRule type="expression" dxfId="57" priority="8">
      <formula>OR(K4="晚", K4=3, K4="大夜")</formula>
    </cfRule>
  </conditionalFormatting>
  <conditionalFormatting sqref="K46:AO54">
    <cfRule type="cellIs" dxfId="56" priority="727" operator="equal">
      <formula>5</formula>
    </cfRule>
    <cfRule type="cellIs" dxfId="55" priority="728" operator="equal">
      <formula>4</formula>
    </cfRule>
    <cfRule type="cellIs" dxfId="54" priority="729" operator="equal">
      <formula>3</formula>
    </cfRule>
    <cfRule type="cellIs" dxfId="53" priority="730" operator="equal">
      <formula>2</formula>
    </cfRule>
    <cfRule type="cellIs" dxfId="52" priority="731" operator="equal">
      <formula>1</formula>
    </cfRule>
  </conditionalFormatting>
  <conditionalFormatting sqref="K52:AO54">
    <cfRule type="cellIs" dxfId="51" priority="732" operator="equal">
      <formula>"T中"</formula>
    </cfRule>
  </conditionalFormatting>
  <conditionalFormatting sqref="AP25">
    <cfRule type="cellIs" dxfId="50" priority="735" operator="equal">
      <formula>"大夜"</formula>
    </cfRule>
    <cfRule type="cellIs" dxfId="49" priority="736" operator="equal">
      <formula>"晚"</formula>
    </cfRule>
    <cfRule type="cellIs" dxfId="48" priority="737" operator="equal">
      <formula>3</formula>
    </cfRule>
    <cfRule type="cellIs" dxfId="47" priority="738" operator="equal">
      <formula>"小夜"</formula>
    </cfRule>
    <cfRule type="cellIs" dxfId="46" priority="739" operator="equal">
      <formula>"T中"</formula>
    </cfRule>
    <cfRule type="cellIs" dxfId="45" priority="740" operator="equal">
      <formula>"中"</formula>
    </cfRule>
    <cfRule type="cellIs" dxfId="44" priority="741" operator="equal">
      <formula>"M2"</formula>
    </cfRule>
    <cfRule type="cellIs" dxfId="43" priority="742" operator="equal">
      <formula>2</formula>
    </cfRule>
    <cfRule type="cellIs" dxfId="42" priority="743" operator="equal">
      <formula>"日"</formula>
    </cfRule>
    <cfRule type="cellIs" dxfId="41" priority="744" operator="equal">
      <formula>"T早"</formula>
    </cfRule>
    <cfRule type="cellIs" dxfId="40" priority="745" operator="equal">
      <formula>"早"</formula>
    </cfRule>
    <cfRule type="cellIs" dxfId="39" priority="746" operator="equal">
      <formula>"M1"</formula>
    </cfRule>
    <cfRule type="cellIs" dxfId="38" priority="747" operator="equal">
      <formula>1</formula>
    </cfRule>
  </conditionalFormatting>
  <conditionalFormatting sqref="AS4:AS45">
    <cfRule type="cellIs" dxfId="37" priority="733" operator="equal">
      <formula>-2</formula>
    </cfRule>
    <cfRule type="cellIs" dxfId="36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W8" sqref="W8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35" t="str">
        <f>"TPKC剩餘人力："&amp;AQ56&amp;" / NK剩餘人力："&amp;AR56&amp;" /  N班人力："&amp;AQ51</f>
        <v>TPKC剩餘人力：0 / NK剩餘人力：0 /  N班人力：103</v>
      </c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6"/>
      <c r="AC1" s="336"/>
      <c r="AD1" s="336"/>
      <c r="AE1" s="336"/>
      <c r="AF1" s="336"/>
      <c r="AG1" s="336"/>
      <c r="AH1" s="336"/>
      <c r="AI1" s="337"/>
      <c r="AJ1" s="336"/>
      <c r="AK1" s="336"/>
      <c r="AL1" s="338"/>
      <c r="AM1" s="339"/>
      <c r="AN1" s="339"/>
      <c r="AQ1" s="6"/>
      <c r="AR1" s="7"/>
    </row>
    <row r="2" spans="1:224" ht="23.25" customHeight="1" thickBot="1">
      <c r="A2" s="347">
        <v>1</v>
      </c>
      <c r="B2" s="349">
        <v>2</v>
      </c>
      <c r="C2" s="349">
        <v>3</v>
      </c>
      <c r="D2" s="351" t="s">
        <v>104</v>
      </c>
      <c r="E2" s="353" t="s">
        <v>105</v>
      </c>
      <c r="F2" s="8" t="s">
        <v>106</v>
      </c>
      <c r="G2" s="8" t="s">
        <v>107</v>
      </c>
      <c r="H2" s="8" t="s">
        <v>108</v>
      </c>
      <c r="I2" s="343" t="s">
        <v>109</v>
      </c>
      <c r="J2" s="345" t="s">
        <v>158</v>
      </c>
      <c r="K2" s="368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69" t="s">
        <v>113</v>
      </c>
      <c r="AQ2" s="6"/>
      <c r="AU2" s="340" t="s">
        <v>48</v>
      </c>
      <c r="AV2" s="341"/>
      <c r="AW2" s="342"/>
    </row>
    <row r="3" spans="1:224" ht="24.6" customHeight="1" thickBot="1">
      <c r="A3" s="348"/>
      <c r="B3" s="350"/>
      <c r="C3" s="350"/>
      <c r="D3" s="352"/>
      <c r="E3" s="354"/>
      <c r="F3" s="15" t="s">
        <v>118</v>
      </c>
      <c r="G3" s="15" t="s">
        <v>119</v>
      </c>
      <c r="H3" s="16" t="s">
        <v>120</v>
      </c>
      <c r="I3" s="344"/>
      <c r="J3" s="346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372">
        <v>3</v>
      </c>
      <c r="X4" s="372">
        <v>3</v>
      </c>
      <c r="Y4" s="118">
        <v>3</v>
      </c>
      <c r="Z4" s="29" t="s">
        <v>52</v>
      </c>
      <c r="AA4" s="371" t="s">
        <v>40</v>
      </c>
      <c r="AB4" s="371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375">
        <v>2</v>
      </c>
      <c r="L5" s="362">
        <v>2</v>
      </c>
      <c r="M5" s="30" t="s">
        <v>52</v>
      </c>
      <c r="N5" s="121">
        <v>3</v>
      </c>
      <c r="O5" s="362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>$F5+$G5+H5-$I$1</f>
        <v>0</v>
      </c>
      <c r="AQ5" s="46">
        <v>0</v>
      </c>
      <c r="AR5" s="41">
        <f t="shared" ref="AR5:AR44" si="9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10</v>
      </c>
      <c r="E6" s="41">
        <f t="shared" si="4"/>
        <v>2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44" t="s">
        <v>52</v>
      </c>
      <c r="O6" s="164" t="s">
        <v>36</v>
      </c>
      <c r="P6" s="32" t="s">
        <v>1</v>
      </c>
      <c r="Q6" s="44" t="s">
        <v>0</v>
      </c>
      <c r="R6" s="164" t="s">
        <v>36</v>
      </c>
      <c r="S6" s="30" t="s">
        <v>41</v>
      </c>
      <c r="T6" s="30" t="s">
        <v>159</v>
      </c>
      <c r="U6" s="30" t="s">
        <v>41</v>
      </c>
      <c r="V6" s="164" t="s">
        <v>36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53</v>
      </c>
      <c r="AJ6" s="41" t="s">
        <v>52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>$F6+$G6+H6-$I$1</f>
        <v>0</v>
      </c>
      <c r="AQ6" s="46">
        <v>0</v>
      </c>
      <c r="AR6" s="41">
        <f t="shared" si="9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0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73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3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0" t="s">
        <v>52</v>
      </c>
      <c r="AN7" s="48" t="s">
        <v>3</v>
      </c>
      <c r="AO7" s="45">
        <v>0</v>
      </c>
      <c r="AP7" s="46">
        <f>$F7+$G7+H7-$I$1</f>
        <v>0</v>
      </c>
      <c r="AQ7" s="46">
        <v>0</v>
      </c>
      <c r="AR7" s="41">
        <f t="shared" si="9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0"/>
        <v>2</v>
      </c>
    </row>
    <row r="8" spans="1:224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20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30" t="s">
        <v>3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>$F8+$G8+H8-$I$1</f>
        <v>0</v>
      </c>
      <c r="AQ8" s="46">
        <v>0</v>
      </c>
      <c r="AR8" s="41">
        <f t="shared" si="9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4</v>
      </c>
      <c r="E9" s="41">
        <f t="shared" si="4"/>
        <v>3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63" t="s">
        <v>5</v>
      </c>
      <c r="L9" s="30" t="s">
        <v>3</v>
      </c>
      <c r="M9" s="121">
        <v>1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2" t="s">
        <v>1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2" t="s">
        <v>0</v>
      </c>
      <c r="AK9" s="44" t="s">
        <v>52</v>
      </c>
      <c r="AL9" s="44" t="s">
        <v>0</v>
      </c>
      <c r="AM9" s="164" t="s">
        <v>36</v>
      </c>
      <c r="AN9" s="290" t="s">
        <v>1</v>
      </c>
      <c r="AO9" s="45">
        <v>0</v>
      </c>
      <c r="AP9" s="46">
        <f>$F9+$G9+H9-$I$1</f>
        <v>0</v>
      </c>
      <c r="AQ9" s="46">
        <v>0</v>
      </c>
      <c r="AR9" s="41">
        <f t="shared" si="9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1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>$F10+$G10+H10-$I$1</f>
        <v>0</v>
      </c>
      <c r="AQ10" s="46">
        <v>0</v>
      </c>
      <c r="AR10" s="41">
        <f t="shared" si="9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1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27" t="s">
        <v>36</v>
      </c>
      <c r="AO11" s="45">
        <v>0</v>
      </c>
      <c r="AP11" s="46">
        <f>$F11+$G11+H11-$I$1</f>
        <v>0</v>
      </c>
      <c r="AQ11" s="46">
        <v>0</v>
      </c>
      <c r="AR11" s="41">
        <f t="shared" si="9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1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15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163" t="s">
        <v>36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30" t="s">
        <v>3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164" t="s">
        <v>36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>$F12+$G12+H12-$I$1</f>
        <v>0</v>
      </c>
      <c r="AQ12" s="46">
        <v>0</v>
      </c>
      <c r="AR12" s="41">
        <f t="shared" si="9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1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7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0" t="s">
        <v>3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>$F13+$G13+H13-$I$1</f>
        <v>0</v>
      </c>
      <c r="AQ13" s="46">
        <v>0</v>
      </c>
      <c r="AR13" s="41">
        <f t="shared" si="9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1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>
        <v>2</v>
      </c>
      <c r="AN14" s="126">
        <v>2</v>
      </c>
      <c r="AO14" s="45">
        <v>0</v>
      </c>
      <c r="AP14" s="46">
        <f>$F14+$G14+H14-$I$1</f>
        <v>0</v>
      </c>
      <c r="AQ14" s="46">
        <v>0</v>
      </c>
      <c r="AR14" s="41">
        <f t="shared" si="9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64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>$F15+$G15+H15-$I$1</f>
        <v>0</v>
      </c>
      <c r="AQ15" s="46">
        <v>0</v>
      </c>
      <c r="AR15" s="41">
        <f t="shared" si="9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2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9</v>
      </c>
      <c r="B16" s="39">
        <f t="shared" si="1"/>
        <v>3</v>
      </c>
      <c r="C16" s="40">
        <f t="shared" si="2"/>
        <v>0</v>
      </c>
      <c r="D16" s="39">
        <f t="shared" si="3"/>
        <v>6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30" t="s">
        <v>3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>$F16+$G16+H16-$I$1</f>
        <v>0</v>
      </c>
      <c r="AQ16" s="46">
        <v>0</v>
      </c>
      <c r="AR16" s="41">
        <f t="shared" si="9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2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3</v>
      </c>
      <c r="B17" s="55">
        <f t="shared" si="1"/>
        <v>7</v>
      </c>
      <c r="C17" s="56">
        <f t="shared" si="2"/>
        <v>4</v>
      </c>
      <c r="D17" s="55">
        <f t="shared" si="3"/>
        <v>5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64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</v>
      </c>
      <c r="AO17" s="45">
        <v>0</v>
      </c>
      <c r="AP17" s="46">
        <f>$F17+$G17+H17-$I$1</f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2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3</v>
      </c>
      <c r="E18" s="41">
        <f t="shared" si="4"/>
        <v>7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3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65" t="s">
        <v>3</v>
      </c>
      <c r="V18" s="199">
        <v>1</v>
      </c>
      <c r="W18" s="199">
        <v>1</v>
      </c>
      <c r="X18" s="199">
        <v>1</v>
      </c>
      <c r="Y18" s="365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65" t="s">
        <v>36</v>
      </c>
      <c r="AH18" s="222" t="s">
        <v>36</v>
      </c>
      <c r="AI18" s="60" t="s">
        <v>3</v>
      </c>
      <c r="AJ18" s="365" t="s">
        <v>36</v>
      </c>
      <c r="AK18" s="63" t="s">
        <v>52</v>
      </c>
      <c r="AL18" s="199">
        <v>2</v>
      </c>
      <c r="AM18" s="60" t="s">
        <v>0</v>
      </c>
      <c r="AN18" s="374" t="s">
        <v>36</v>
      </c>
      <c r="AO18" s="73">
        <v>0</v>
      </c>
      <c r="AP18" s="74">
        <f>$F18+$G18+H18-$I$1</f>
        <v>0</v>
      </c>
      <c r="AQ18" s="74">
        <v>0</v>
      </c>
      <c r="AR18" s="63">
        <f t="shared" ref="AR18" si="14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2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67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67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67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>$F19+$G19+H19-$I$1</f>
        <v>0</v>
      </c>
      <c r="AQ19" s="167">
        <v>0</v>
      </c>
      <c r="AR19" s="331">
        <f t="shared" si="9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>$F20+$G20+H20-$I$1</f>
        <v>0</v>
      </c>
      <c r="AQ20" s="46">
        <v>0</v>
      </c>
      <c r="AR20" s="41">
        <f t="shared" si="9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6</v>
      </c>
      <c r="B21" s="39">
        <f t="shared" si="1"/>
        <v>10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 t="s">
        <v>36</v>
      </c>
      <c r="AO21" s="45">
        <v>0</v>
      </c>
      <c r="AP21" s="46">
        <f>$F21+$G21+H21-$I$1</f>
        <v>0</v>
      </c>
      <c r="AQ21" s="46">
        <v>0</v>
      </c>
      <c r="AR21" s="41">
        <f t="shared" si="9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>$F22+$G22+H22-$I$1</f>
        <v>0</v>
      </c>
      <c r="AQ22" s="46">
        <v>0</v>
      </c>
      <c r="AR22" s="41">
        <f t="shared" si="9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>$F23+$G23+H23-$I$1</f>
        <v>0</v>
      </c>
      <c r="AQ23" s="46">
        <v>0</v>
      </c>
      <c r="AR23" s="41">
        <f t="shared" si="9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0</v>
      </c>
      <c r="C24" s="40">
        <f t="shared" si="2"/>
        <v>0</v>
      </c>
      <c r="D24" s="39">
        <f t="shared" si="3"/>
        <v>14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 t="s">
        <v>3</v>
      </c>
      <c r="AN24" s="48">
        <v>1</v>
      </c>
      <c r="AO24" s="45">
        <v>0</v>
      </c>
      <c r="AP24" s="46">
        <f>$F24+$G24+H24-$I$1</f>
        <v>0</v>
      </c>
      <c r="AQ24" s="46">
        <v>0</v>
      </c>
      <c r="AR24" s="41">
        <f t="shared" si="9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13</v>
      </c>
      <c r="C25" s="40">
        <f t="shared" si="2"/>
        <v>5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38</v>
      </c>
      <c r="AN25" s="48" t="s">
        <v>38</v>
      </c>
      <c r="AO25" s="45">
        <v>0</v>
      </c>
      <c r="AP25" s="46">
        <f>$F25+$G25+H25-$I$1</f>
        <v>0</v>
      </c>
      <c r="AQ25" s="46">
        <v>0</v>
      </c>
      <c r="AR25" s="41">
        <f t="shared" si="9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21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48">
        <v>1</v>
      </c>
      <c r="AO26" s="45">
        <v>0</v>
      </c>
      <c r="AP26" s="46">
        <f>$F26+$G26+H26-$I$1</f>
        <v>0</v>
      </c>
      <c r="AQ26" s="46">
        <v>0</v>
      </c>
      <c r="AR26" s="41">
        <f t="shared" si="9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>$F27+$G27+H27-$I$1</f>
        <v>0</v>
      </c>
      <c r="AQ27" s="46">
        <v>0</v>
      </c>
      <c r="AR27" s="41">
        <f t="shared" si="9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10</v>
      </c>
      <c r="B28" s="39">
        <f t="shared" si="1"/>
        <v>0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1</v>
      </c>
      <c r="AN28" s="48" t="s">
        <v>52</v>
      </c>
      <c r="AO28" s="62">
        <v>0</v>
      </c>
      <c r="AP28" s="46">
        <f>$F28+$G28+H28-$I$1</f>
        <v>0</v>
      </c>
      <c r="AQ28" s="46">
        <v>0</v>
      </c>
      <c r="AR28" s="41">
        <f t="shared" si="9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>$F29+$G29+H29-$I$1</f>
        <v>0</v>
      </c>
      <c r="AQ29" s="46">
        <v>0</v>
      </c>
      <c r="AR29" s="41">
        <f t="shared" si="9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5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0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>$F30+$G30+H30-$I$1</f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70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>$F31+$G31+H31-$I$1</f>
        <v>0</v>
      </c>
      <c r="AQ31" s="74">
        <v>0</v>
      </c>
      <c r="AR31" s="63">
        <f t="shared" si="9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66">
        <v>0</v>
      </c>
      <c r="AP32" s="167">
        <f>$F32+$G32+H32-$I$1</f>
        <v>0</v>
      </c>
      <c r="AQ32" s="167">
        <v>0</v>
      </c>
      <c r="AR32" s="331">
        <f t="shared" si="9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>$F33+$G33+H33-$I$1</f>
        <v>0</v>
      </c>
      <c r="AQ33" s="46">
        <v>0</v>
      </c>
      <c r="AR33" s="41">
        <f t="shared" si="9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>$F34+$G34+H34-$I$1</f>
        <v>0</v>
      </c>
      <c r="AQ34" s="46">
        <v>0</v>
      </c>
      <c r="AR34" s="41">
        <f t="shared" si="9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>$F35+$G35+H35-$I$1</f>
        <v>0</v>
      </c>
      <c r="AQ35" s="46">
        <v>0</v>
      </c>
      <c r="AR35" s="41">
        <f t="shared" si="9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>$F36+$G36+H36-$I$1</f>
        <v>0</v>
      </c>
      <c r="AQ36" s="46">
        <v>0</v>
      </c>
      <c r="AR36" s="41">
        <f t="shared" si="9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19</v>
      </c>
      <c r="D37" s="39">
        <f t="shared" si="3"/>
        <v>1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40</v>
      </c>
      <c r="AN37" s="48" t="s">
        <v>40</v>
      </c>
      <c r="AO37" s="45">
        <v>0</v>
      </c>
      <c r="AP37" s="46">
        <f>$F37+$G37+H37-$I$1</f>
        <v>0</v>
      </c>
      <c r="AQ37" s="46">
        <v>0</v>
      </c>
      <c r="AR37" s="41">
        <f t="shared" si="9"/>
        <v>0</v>
      </c>
      <c r="AS37" s="329" t="s">
        <v>126</v>
      </c>
    </row>
    <row r="38" spans="1:224" ht="25.5" customHeight="1" thickBot="1">
      <c r="A38" s="54">
        <f t="shared" si="0"/>
        <v>6</v>
      </c>
      <c r="B38" s="55">
        <f t="shared" si="1"/>
        <v>0</v>
      </c>
      <c r="C38" s="56">
        <f t="shared" si="2"/>
        <v>9</v>
      </c>
      <c r="D38" s="55">
        <f t="shared" si="3"/>
        <v>6</v>
      </c>
      <c r="E38" s="17">
        <f t="shared" si="4"/>
        <v>0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60" t="s">
        <v>36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60" t="s">
        <v>36</v>
      </c>
      <c r="U38" s="60" t="s">
        <v>36</v>
      </c>
      <c r="V38" s="182" t="s">
        <v>3</v>
      </c>
      <c r="W38" s="59" t="s">
        <v>53</v>
      </c>
      <c r="X38" s="59" t="s">
        <v>0</v>
      </c>
      <c r="Y38" s="60" t="s">
        <v>36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182" t="s">
        <v>3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>$F38+$G38+H38-$I$1</f>
        <v>0</v>
      </c>
      <c r="AQ38" s="74">
        <v>0</v>
      </c>
      <c r="AR38" s="63">
        <f t="shared" si="9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>$F39+$G39+H39-$I$1</f>
        <v>0</v>
      </c>
      <c r="AQ39" s="167">
        <v>0</v>
      </c>
      <c r="AR39" s="331">
        <f t="shared" si="9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3</v>
      </c>
      <c r="B40" s="39">
        <f t="shared" si="1"/>
        <v>13</v>
      </c>
      <c r="C40" s="40">
        <f t="shared" si="2"/>
        <v>0</v>
      </c>
      <c r="D40" s="39">
        <f t="shared" si="3"/>
        <v>5</v>
      </c>
      <c r="E40" s="41">
        <f t="shared" si="4"/>
        <v>0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5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0" t="s">
        <v>54</v>
      </c>
      <c r="AB40" s="30" t="s">
        <v>54</v>
      </c>
      <c r="AC40" s="30" t="s">
        <v>0</v>
      </c>
      <c r="AD40" s="44" t="s">
        <v>52</v>
      </c>
      <c r="AE40" s="44" t="s">
        <v>0</v>
      </c>
      <c r="AF40" s="30" t="s">
        <v>3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>$F40+$G40+H40-$I$1</f>
        <v>0</v>
      </c>
      <c r="AQ40" s="46">
        <v>0</v>
      </c>
      <c r="AR40" s="41">
        <f t="shared" si="9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8</v>
      </c>
      <c r="B41" s="39">
        <f t="shared" si="1"/>
        <v>2</v>
      </c>
      <c r="C41" s="40">
        <f t="shared" si="2"/>
        <v>6</v>
      </c>
      <c r="D41" s="39">
        <f t="shared" si="3"/>
        <v>5</v>
      </c>
      <c r="E41" s="41">
        <f t="shared" si="4"/>
        <v>0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5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3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0" t="s">
        <v>52</v>
      </c>
      <c r="AN41" s="265" t="s">
        <v>3</v>
      </c>
      <c r="AO41" s="45">
        <v>0</v>
      </c>
      <c r="AP41" s="46">
        <f>$F41+$G41+H41-$I$1</f>
        <v>0</v>
      </c>
      <c r="AQ41" s="46">
        <v>0</v>
      </c>
      <c r="AR41" s="41">
        <f t="shared" si="9"/>
        <v>0</v>
      </c>
      <c r="AS41" s="329" t="s">
        <v>128</v>
      </c>
    </row>
    <row r="42" spans="1:224" s="50" customFormat="1" ht="25.5" customHeight="1">
      <c r="A42" s="38">
        <f t="shared" si="0"/>
        <v>8</v>
      </c>
      <c r="B42" s="39">
        <f t="shared" si="1"/>
        <v>0</v>
      </c>
      <c r="C42" s="40">
        <f t="shared" si="2"/>
        <v>5</v>
      </c>
      <c r="D42" s="39">
        <f t="shared" si="3"/>
        <v>6</v>
      </c>
      <c r="E42" s="41">
        <f t="shared" si="4"/>
        <v>2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5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3</v>
      </c>
      <c r="AC42" s="30" t="s">
        <v>3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>$F42+$G42+H42-$I$1</f>
        <v>0</v>
      </c>
      <c r="AQ42" s="46">
        <v>0</v>
      </c>
      <c r="AR42" s="41">
        <f t="shared" si="9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5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>$F43+$G43+H43-$I$1</f>
        <v>0</v>
      </c>
      <c r="AQ43" s="46">
        <v>0</v>
      </c>
      <c r="AR43" s="41">
        <f t="shared" si="9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6">COUNTIF(K44:AN44,1)+COUNTIF(K44:AN44,"早")+COUNTIF(K44:AN44,"M1")+COUNTIF(K44:AN44,"T早")+COUNTIF(K44:AN44,"日")</f>
        <v>4</v>
      </c>
      <c r="B44" s="70">
        <f t="shared" ref="B44" si="17">COUNTIF(K44:AN44,2)+COUNTIF(K44:AN44,"中")+COUNTIF(K44:AN44,"M2")+COUNTIF(K44:AN44,"T中")+COUNTIF(K44:AN44,"小夜")</f>
        <v>8</v>
      </c>
      <c r="C44" s="71">
        <f t="shared" ref="C44" si="18">COUNTIF(K44:AN44,3)+COUNTIF(K44:AN44,"晚")+COUNTIF(K44:AN44,"大夜")</f>
        <v>3</v>
      </c>
      <c r="D44" s="70">
        <f t="shared" ref="D44" si="19">COUNTIF(K44:AN44,"N")+COUNTIF(K44:AN44,"N8")</f>
        <v>6</v>
      </c>
      <c r="E44" s="63">
        <f t="shared" ref="E44" si="20">COUNTIF(K44:AN44,"S")</f>
        <v>0</v>
      </c>
      <c r="F44" s="63">
        <f t="shared" ref="F44" si="21">COUNTIF(K44:AN44,"X")</f>
        <v>4</v>
      </c>
      <c r="G44" s="63">
        <f t="shared" ref="G44" si="22">COUNTIF(K44:AN44,"Y")</f>
        <v>4</v>
      </c>
      <c r="H44" s="63">
        <f t="shared" ref="H44" si="23">COUNTIF(K44:AN44,"Z")</f>
        <v>1</v>
      </c>
      <c r="I44" s="178">
        <f t="shared" ref="I44" si="24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>$F44+$G44+H44-$I$1</f>
        <v>0</v>
      </c>
      <c r="AQ44" s="74">
        <v>0</v>
      </c>
      <c r="AR44" s="63">
        <f t="shared" si="9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76" cm="2">
        <f t="array" ref="K45">SUMPRODUCT(COUNTIF(K4:K44,{"1";"M1"}))</f>
        <v>3</v>
      </c>
      <c r="L45" s="376" cm="2">
        <f t="array" ref="L45">SUMPRODUCT(COUNTIF(L4:L44,{"1";"M1"}))</f>
        <v>3</v>
      </c>
      <c r="M45" s="376" cm="2">
        <f t="array" ref="M45">SUMPRODUCT(COUNTIF(M4:M44,{"1";"M1"}))</f>
        <v>3</v>
      </c>
      <c r="N45" s="376" cm="2">
        <f t="array" ref="N45">SUMPRODUCT(COUNTIF(N4:N44,{"1";"M1"}))</f>
        <v>3</v>
      </c>
      <c r="O45" s="376" cm="2">
        <f t="array" ref="O45">SUMPRODUCT(COUNTIF(O4:O44,{"1";"M1"}))</f>
        <v>3</v>
      </c>
      <c r="P45" s="376" cm="2">
        <f t="array" ref="P45">SUMPRODUCT(COUNTIF(P4:P44,{"1";"M1"}))</f>
        <v>3</v>
      </c>
      <c r="Q45" s="376" cm="2">
        <f t="array" ref="Q45">SUMPRODUCT(COUNTIF(Q4:Q44,{"1";"M1"}))</f>
        <v>3</v>
      </c>
      <c r="R45" s="376" cm="2">
        <f t="array" ref="R45">SUMPRODUCT(COUNTIF(R4:R44,{"1";"M1"}))</f>
        <v>3</v>
      </c>
      <c r="S45" s="376" cm="2">
        <f t="array" ref="S45">SUMPRODUCT(COUNTIF(S4:S44,{"1";"M1"}))</f>
        <v>3</v>
      </c>
      <c r="T45" s="376" cm="2">
        <f t="array" ref="T45">SUMPRODUCT(COUNTIF(T4:T44,{"1";"M1"}))</f>
        <v>3</v>
      </c>
      <c r="U45" s="376" cm="2">
        <f t="array" ref="U45">SUMPRODUCT(COUNTIF(U4:U44,{"1";"M1"}))</f>
        <v>3</v>
      </c>
      <c r="V45" s="376" cm="2">
        <f t="array" ref="V45">SUMPRODUCT(COUNTIF(V4:V44,{"1";"M1"}))</f>
        <v>3</v>
      </c>
      <c r="W45" s="376" cm="2">
        <f t="array" ref="W45">SUMPRODUCT(COUNTIF(W4:W44,{"1";"M1"}))</f>
        <v>3</v>
      </c>
      <c r="X45" s="376" cm="2">
        <f t="array" ref="X45">SUMPRODUCT(COUNTIF(X4:X44,{"1";"M1"}))</f>
        <v>3</v>
      </c>
      <c r="Y45" s="376" cm="2">
        <f t="array" ref="Y45">SUMPRODUCT(COUNTIF(Y4:Y44,{"1";"M1"}))</f>
        <v>3</v>
      </c>
      <c r="Z45" s="376" cm="2">
        <f t="array" ref="Z45">SUMPRODUCT(COUNTIF(Z4:Z44,{"1";"M1"}))</f>
        <v>3</v>
      </c>
      <c r="AA45" s="376" cm="2">
        <f t="array" ref="AA45">SUMPRODUCT(COUNTIF(AA4:AA44,{"1";"M1"}))</f>
        <v>3</v>
      </c>
      <c r="AB45" s="376" cm="2">
        <f t="array" ref="AB45">SUMPRODUCT(COUNTIF(AB4:AB44,{"1";"M1"}))</f>
        <v>3</v>
      </c>
      <c r="AC45" s="376" cm="2">
        <f t="array" ref="AC45">SUMPRODUCT(COUNTIF(AC4:AC44,{"1";"M1"}))</f>
        <v>3</v>
      </c>
      <c r="AD45" s="376" cm="2">
        <f t="array" ref="AD45">SUMPRODUCT(COUNTIF(AD4:AD44,{"1";"M1"}))</f>
        <v>3</v>
      </c>
      <c r="AE45" s="376" cm="2">
        <f t="array" ref="AE45">SUMPRODUCT(COUNTIF(AE4:AE44,{"1";"M1"}))</f>
        <v>3</v>
      </c>
      <c r="AF45" s="376" cm="2">
        <f t="array" ref="AF45">SUMPRODUCT(COUNTIF(AF4:AF44,{"1";"M1"}))</f>
        <v>3</v>
      </c>
      <c r="AG45" s="376" cm="2">
        <f t="array" ref="AG45">SUMPRODUCT(COUNTIF(AG4:AG44,{"1";"M1"}))</f>
        <v>3</v>
      </c>
      <c r="AH45" s="376" cm="2">
        <f t="array" ref="AH45">SUMPRODUCT(COUNTIF(AH4:AH44,{"1";"M1"}))</f>
        <v>3</v>
      </c>
      <c r="AI45" s="376" cm="2">
        <f t="array" ref="AI45">SUMPRODUCT(COUNTIF(AI4:AI44,{"1";"M1"}))</f>
        <v>3</v>
      </c>
      <c r="AJ45" s="376" cm="2">
        <f t="array" ref="AJ45">SUMPRODUCT(COUNTIF(AJ4:AJ44,{"1";"M1"}))</f>
        <v>3</v>
      </c>
      <c r="AK45" s="376" cm="2">
        <f t="array" ref="AK45">SUMPRODUCT(COUNTIF(AK4:AK44,{"1";"M1"}))</f>
        <v>3</v>
      </c>
      <c r="AL45" s="376" cm="2">
        <f t="array" ref="AL45">SUMPRODUCT(COUNTIF(AL4:AL44,{"1";"M1"}))</f>
        <v>3</v>
      </c>
      <c r="AM45" s="376" cm="2">
        <f t="array" ref="AM45">SUMPRODUCT(COUNTIF(AM4:AM44,{"1";"M1"}))</f>
        <v>3</v>
      </c>
      <c r="AN45" s="37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5">COUNTIF(K4:K44,3)</f>
        <v>3</v>
      </c>
      <c r="L47" s="130">
        <f t="shared" si="25"/>
        <v>3</v>
      </c>
      <c r="M47" s="130">
        <f t="shared" si="25"/>
        <v>3</v>
      </c>
      <c r="N47" s="130">
        <f t="shared" si="25"/>
        <v>3</v>
      </c>
      <c r="O47" s="130">
        <f t="shared" si="25"/>
        <v>3</v>
      </c>
      <c r="P47" s="130">
        <f t="shared" si="25"/>
        <v>2</v>
      </c>
      <c r="Q47" s="130">
        <f t="shared" si="25"/>
        <v>2</v>
      </c>
      <c r="R47" s="130">
        <f t="shared" si="25"/>
        <v>3</v>
      </c>
      <c r="S47" s="130">
        <f t="shared" si="25"/>
        <v>3</v>
      </c>
      <c r="T47" s="130">
        <f t="shared" si="25"/>
        <v>3</v>
      </c>
      <c r="U47" s="130">
        <f t="shared" si="25"/>
        <v>3</v>
      </c>
      <c r="V47" s="130">
        <f t="shared" si="25"/>
        <v>3</v>
      </c>
      <c r="W47" s="130">
        <f t="shared" si="25"/>
        <v>2</v>
      </c>
      <c r="X47" s="130">
        <f t="shared" si="25"/>
        <v>2</v>
      </c>
      <c r="Y47" s="130">
        <f t="shared" si="25"/>
        <v>3</v>
      </c>
      <c r="Z47" s="130">
        <f t="shared" si="25"/>
        <v>3</v>
      </c>
      <c r="AA47" s="130">
        <f t="shared" si="25"/>
        <v>3</v>
      </c>
      <c r="AB47" s="130">
        <f t="shared" si="25"/>
        <v>3</v>
      </c>
      <c r="AC47" s="130">
        <f t="shared" si="25"/>
        <v>2</v>
      </c>
      <c r="AD47" s="130">
        <f t="shared" si="25"/>
        <v>2</v>
      </c>
      <c r="AE47" s="130">
        <f t="shared" si="25"/>
        <v>2</v>
      </c>
      <c r="AF47" s="130">
        <f t="shared" si="25"/>
        <v>3</v>
      </c>
      <c r="AG47" s="130">
        <f t="shared" si="25"/>
        <v>3</v>
      </c>
      <c r="AH47" s="130">
        <f t="shared" si="25"/>
        <v>3</v>
      </c>
      <c r="AI47" s="130">
        <f t="shared" si="25"/>
        <v>3</v>
      </c>
      <c r="AJ47" s="130">
        <f t="shared" si="25"/>
        <v>3</v>
      </c>
      <c r="AK47" s="130">
        <f t="shared" si="25"/>
        <v>2</v>
      </c>
      <c r="AL47" s="130">
        <f t="shared" si="25"/>
        <v>2</v>
      </c>
      <c r="AM47" s="130">
        <f t="shared" si="25"/>
        <v>3</v>
      </c>
      <c r="AN47" s="130">
        <f t="shared" si="25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5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6">COUNTIF(K4:K44,"晚")</f>
        <v>3</v>
      </c>
      <c r="L50" s="130">
        <f t="shared" si="26"/>
        <v>3</v>
      </c>
      <c r="M50" s="130">
        <f t="shared" si="26"/>
        <v>3</v>
      </c>
      <c r="N50" s="130">
        <f t="shared" si="26"/>
        <v>3</v>
      </c>
      <c r="O50" s="130">
        <f t="shared" si="26"/>
        <v>3</v>
      </c>
      <c r="P50" s="130">
        <f t="shared" si="26"/>
        <v>2</v>
      </c>
      <c r="Q50" s="130">
        <f t="shared" si="26"/>
        <v>2</v>
      </c>
      <c r="R50" s="130">
        <f t="shared" si="26"/>
        <v>3</v>
      </c>
      <c r="S50" s="130">
        <f t="shared" si="26"/>
        <v>3</v>
      </c>
      <c r="T50" s="130">
        <f t="shared" si="26"/>
        <v>3</v>
      </c>
      <c r="U50" s="130">
        <f t="shared" si="26"/>
        <v>3</v>
      </c>
      <c r="V50" s="130">
        <f t="shared" si="26"/>
        <v>3</v>
      </c>
      <c r="W50" s="130">
        <f t="shared" si="26"/>
        <v>2</v>
      </c>
      <c r="X50" s="130">
        <f t="shared" si="26"/>
        <v>2</v>
      </c>
      <c r="Y50" s="130">
        <f t="shared" si="26"/>
        <v>3</v>
      </c>
      <c r="Z50" s="130">
        <f t="shared" si="26"/>
        <v>3</v>
      </c>
      <c r="AA50" s="130">
        <f t="shared" si="26"/>
        <v>3</v>
      </c>
      <c r="AB50" s="130">
        <f t="shared" si="26"/>
        <v>3</v>
      </c>
      <c r="AC50" s="130">
        <f t="shared" si="26"/>
        <v>2</v>
      </c>
      <c r="AD50" s="130">
        <f t="shared" si="26"/>
        <v>2</v>
      </c>
      <c r="AE50" s="130">
        <f t="shared" si="26"/>
        <v>2</v>
      </c>
      <c r="AF50" s="130">
        <f t="shared" si="26"/>
        <v>3</v>
      </c>
      <c r="AG50" s="130">
        <f t="shared" si="26"/>
        <v>3</v>
      </c>
      <c r="AH50" s="130">
        <f t="shared" si="26"/>
        <v>3</v>
      </c>
      <c r="AI50" s="130">
        <f t="shared" si="26"/>
        <v>3</v>
      </c>
      <c r="AJ50" s="130">
        <f t="shared" si="26"/>
        <v>3</v>
      </c>
      <c r="AK50" s="130">
        <f t="shared" si="26"/>
        <v>2</v>
      </c>
      <c r="AL50" s="130">
        <f t="shared" si="26"/>
        <v>2</v>
      </c>
      <c r="AM50" s="130">
        <f t="shared" si="26"/>
        <v>3</v>
      </c>
      <c r="AN50" s="130">
        <f t="shared" si="26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7">COUNTIF(K4:K44,"日")</f>
        <v>1</v>
      </c>
      <c r="L51" s="128">
        <f t="shared" si="27"/>
        <v>1</v>
      </c>
      <c r="M51" s="128">
        <f t="shared" si="27"/>
        <v>1</v>
      </c>
      <c r="N51" s="128">
        <f t="shared" si="27"/>
        <v>1</v>
      </c>
      <c r="O51" s="128">
        <f t="shared" si="27"/>
        <v>1</v>
      </c>
      <c r="P51" s="128">
        <f t="shared" si="27"/>
        <v>1</v>
      </c>
      <c r="Q51" s="128">
        <f t="shared" si="27"/>
        <v>1</v>
      </c>
      <c r="R51" s="128">
        <f t="shared" si="27"/>
        <v>1</v>
      </c>
      <c r="S51" s="128">
        <f t="shared" si="27"/>
        <v>1</v>
      </c>
      <c r="T51" s="128">
        <f t="shared" si="27"/>
        <v>1</v>
      </c>
      <c r="U51" s="128">
        <f t="shared" si="27"/>
        <v>1</v>
      </c>
      <c r="V51" s="128">
        <f t="shared" si="27"/>
        <v>1</v>
      </c>
      <c r="W51" s="128">
        <f t="shared" si="27"/>
        <v>1</v>
      </c>
      <c r="X51" s="128">
        <f t="shared" si="27"/>
        <v>1</v>
      </c>
      <c r="Y51" s="128">
        <f t="shared" si="27"/>
        <v>1</v>
      </c>
      <c r="Z51" s="128">
        <f t="shared" si="27"/>
        <v>1</v>
      </c>
      <c r="AA51" s="128">
        <f t="shared" si="27"/>
        <v>1</v>
      </c>
      <c r="AB51" s="128">
        <f t="shared" si="27"/>
        <v>1</v>
      </c>
      <c r="AC51" s="128">
        <f t="shared" si="27"/>
        <v>1</v>
      </c>
      <c r="AD51" s="128">
        <f t="shared" si="27"/>
        <v>1</v>
      </c>
      <c r="AE51" s="128">
        <f t="shared" si="27"/>
        <v>1</v>
      </c>
      <c r="AF51" s="128">
        <f t="shared" si="27"/>
        <v>1</v>
      </c>
      <c r="AG51" s="128">
        <f t="shared" si="27"/>
        <v>1</v>
      </c>
      <c r="AH51" s="128">
        <f t="shared" si="27"/>
        <v>1</v>
      </c>
      <c r="AI51" s="128">
        <f t="shared" si="27"/>
        <v>1</v>
      </c>
      <c r="AJ51" s="128">
        <f t="shared" si="27"/>
        <v>1</v>
      </c>
      <c r="AK51" s="128">
        <f t="shared" si="27"/>
        <v>1</v>
      </c>
      <c r="AL51" s="128">
        <f t="shared" si="27"/>
        <v>1</v>
      </c>
      <c r="AM51" s="128">
        <f t="shared" si="27"/>
        <v>1</v>
      </c>
      <c r="AN51" s="128">
        <f t="shared" si="27"/>
        <v>1</v>
      </c>
      <c r="AP51" s="50" t="s">
        <v>104</v>
      </c>
      <c r="AQ51" s="91" cm="1">
        <f t="array" ref="AQ51">SUMPRODUCT(COUNTIF(K4:AN38,{"N";"N8"}))</f>
        <v>103</v>
      </c>
      <c r="AR51" s="91" cm="1">
        <f t="array" ref="AR51">SUMPRODUCT(COUNTIF(K39:AN44,{"N";"N8"}))</f>
        <v>33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8">COUNTIF(K4:K44,"小夜")</f>
        <v>1</v>
      </c>
      <c r="L52" s="129">
        <f t="shared" si="28"/>
        <v>1</v>
      </c>
      <c r="M52" s="129">
        <f t="shared" si="28"/>
        <v>1</v>
      </c>
      <c r="N52" s="129">
        <f t="shared" si="28"/>
        <v>1</v>
      </c>
      <c r="O52" s="129">
        <f t="shared" si="28"/>
        <v>1</v>
      </c>
      <c r="P52" s="129">
        <f t="shared" si="28"/>
        <v>1</v>
      </c>
      <c r="Q52" s="129">
        <f t="shared" si="28"/>
        <v>1</v>
      </c>
      <c r="R52" s="129">
        <f t="shared" si="28"/>
        <v>1</v>
      </c>
      <c r="S52" s="129">
        <f t="shared" si="28"/>
        <v>1</v>
      </c>
      <c r="T52" s="129">
        <f t="shared" si="28"/>
        <v>1</v>
      </c>
      <c r="U52" s="129">
        <f t="shared" si="28"/>
        <v>1</v>
      </c>
      <c r="V52" s="129">
        <f t="shared" si="28"/>
        <v>1</v>
      </c>
      <c r="W52" s="129">
        <f t="shared" si="28"/>
        <v>1</v>
      </c>
      <c r="X52" s="129">
        <f t="shared" si="28"/>
        <v>1</v>
      </c>
      <c r="Y52" s="129">
        <f t="shared" si="28"/>
        <v>1</v>
      </c>
      <c r="Z52" s="129">
        <f t="shared" si="28"/>
        <v>1</v>
      </c>
      <c r="AA52" s="129">
        <f t="shared" si="28"/>
        <v>1</v>
      </c>
      <c r="AB52" s="129">
        <f t="shared" si="28"/>
        <v>1</v>
      </c>
      <c r="AC52" s="129">
        <f t="shared" si="28"/>
        <v>1</v>
      </c>
      <c r="AD52" s="129">
        <f t="shared" si="28"/>
        <v>1</v>
      </c>
      <c r="AE52" s="129">
        <f t="shared" si="28"/>
        <v>1</v>
      </c>
      <c r="AF52" s="129">
        <f t="shared" si="28"/>
        <v>1</v>
      </c>
      <c r="AG52" s="129">
        <f t="shared" si="28"/>
        <v>1</v>
      </c>
      <c r="AH52" s="129">
        <f t="shared" si="28"/>
        <v>1</v>
      </c>
      <c r="AI52" s="129">
        <f t="shared" si="28"/>
        <v>1</v>
      </c>
      <c r="AJ52" s="129">
        <f t="shared" si="28"/>
        <v>1</v>
      </c>
      <c r="AK52" s="129">
        <f t="shared" si="28"/>
        <v>1</v>
      </c>
      <c r="AL52" s="129">
        <f t="shared" si="28"/>
        <v>1</v>
      </c>
      <c r="AM52" s="129">
        <f t="shared" si="28"/>
        <v>1</v>
      </c>
      <c r="AN52" s="129">
        <f t="shared" si="28"/>
        <v>1</v>
      </c>
      <c r="AP52" s="50" t="s">
        <v>105</v>
      </c>
      <c r="AQ52" s="92">
        <f>SUMPRODUCT(COUNTIF(K4:AN38,{"S"}))</f>
        <v>68</v>
      </c>
      <c r="AR52" s="75">
        <f>SUMPRODUCT(COUNTIF(K39:AN44,{"S"}))</f>
        <v>3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29">COUNTIF(K7:K47,"大夜")</f>
        <v>1</v>
      </c>
      <c r="L53" s="130">
        <f t="shared" si="29"/>
        <v>1</v>
      </c>
      <c r="M53" s="130">
        <f t="shared" si="29"/>
        <v>1</v>
      </c>
      <c r="N53" s="130">
        <f t="shared" si="29"/>
        <v>1</v>
      </c>
      <c r="O53" s="130">
        <f t="shared" si="29"/>
        <v>1</v>
      </c>
      <c r="P53" s="130">
        <f t="shared" si="29"/>
        <v>1</v>
      </c>
      <c r="Q53" s="130">
        <f t="shared" si="29"/>
        <v>1</v>
      </c>
      <c r="R53" s="130">
        <f t="shared" si="29"/>
        <v>1</v>
      </c>
      <c r="S53" s="130">
        <f t="shared" si="29"/>
        <v>1</v>
      </c>
      <c r="T53" s="130">
        <f t="shared" si="29"/>
        <v>1</v>
      </c>
      <c r="U53" s="130">
        <f t="shared" si="29"/>
        <v>1</v>
      </c>
      <c r="V53" s="130">
        <f t="shared" si="29"/>
        <v>1</v>
      </c>
      <c r="W53" s="130">
        <f t="shared" si="29"/>
        <v>1</v>
      </c>
      <c r="X53" s="130">
        <f t="shared" si="29"/>
        <v>1</v>
      </c>
      <c r="Y53" s="130">
        <f t="shared" si="29"/>
        <v>1</v>
      </c>
      <c r="Z53" s="130">
        <f t="shared" si="29"/>
        <v>1</v>
      </c>
      <c r="AA53" s="130">
        <f t="shared" si="29"/>
        <v>1</v>
      </c>
      <c r="AB53" s="130">
        <f t="shared" si="29"/>
        <v>1</v>
      </c>
      <c r="AC53" s="130">
        <f t="shared" si="29"/>
        <v>1</v>
      </c>
      <c r="AD53" s="130">
        <f t="shared" si="29"/>
        <v>1</v>
      </c>
      <c r="AE53" s="130">
        <f t="shared" si="29"/>
        <v>1</v>
      </c>
      <c r="AF53" s="130">
        <f t="shared" si="29"/>
        <v>1</v>
      </c>
      <c r="AG53" s="130">
        <f t="shared" si="29"/>
        <v>1</v>
      </c>
      <c r="AH53" s="130">
        <f t="shared" si="29"/>
        <v>1</v>
      </c>
      <c r="AI53" s="130">
        <f t="shared" si="29"/>
        <v>1</v>
      </c>
      <c r="AJ53" s="130">
        <f t="shared" si="29"/>
        <v>1</v>
      </c>
      <c r="AK53" s="130">
        <f t="shared" si="29"/>
        <v>1</v>
      </c>
      <c r="AL53" s="130">
        <f t="shared" si="29"/>
        <v>1</v>
      </c>
      <c r="AM53" s="130">
        <f t="shared" si="29"/>
        <v>1</v>
      </c>
      <c r="AN53" s="130">
        <f t="shared" si="29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77">
        <f t="shared" ref="K54:AN54" si="30">COUNTIF(K4:K44,"N")+COUNTIF(K4:K44,"N8")</f>
        <v>6</v>
      </c>
      <c r="L54" s="96">
        <f t="shared" si="30"/>
        <v>7</v>
      </c>
      <c r="M54" s="96">
        <f t="shared" si="30"/>
        <v>4</v>
      </c>
      <c r="N54" s="96">
        <f t="shared" si="30"/>
        <v>4</v>
      </c>
      <c r="O54" s="96">
        <f t="shared" si="30"/>
        <v>2</v>
      </c>
      <c r="P54" s="96">
        <f t="shared" si="30"/>
        <v>0</v>
      </c>
      <c r="Q54" s="96">
        <f t="shared" si="30"/>
        <v>0</v>
      </c>
      <c r="R54" s="96">
        <f t="shared" si="30"/>
        <v>4</v>
      </c>
      <c r="S54" s="96">
        <f t="shared" si="30"/>
        <v>10</v>
      </c>
      <c r="T54" s="96">
        <f t="shared" si="30"/>
        <v>7</v>
      </c>
      <c r="U54" s="96">
        <f t="shared" si="30"/>
        <v>12</v>
      </c>
      <c r="V54" s="96">
        <f t="shared" si="30"/>
        <v>6</v>
      </c>
      <c r="W54" s="96">
        <f t="shared" si="30"/>
        <v>0</v>
      </c>
      <c r="X54" s="96">
        <f t="shared" si="30"/>
        <v>0</v>
      </c>
      <c r="Y54" s="96">
        <f t="shared" si="30"/>
        <v>4</v>
      </c>
      <c r="Z54" s="96">
        <f t="shared" si="30"/>
        <v>4</v>
      </c>
      <c r="AA54" s="96">
        <f t="shared" si="30"/>
        <v>6</v>
      </c>
      <c r="AB54" s="96">
        <f t="shared" si="30"/>
        <v>12</v>
      </c>
      <c r="AC54" s="96">
        <f t="shared" si="30"/>
        <v>1</v>
      </c>
      <c r="AD54" s="96">
        <f t="shared" si="30"/>
        <v>0</v>
      </c>
      <c r="AE54" s="96">
        <f t="shared" si="30"/>
        <v>0</v>
      </c>
      <c r="AF54" s="96">
        <f t="shared" si="30"/>
        <v>11</v>
      </c>
      <c r="AG54" s="96">
        <f t="shared" si="30"/>
        <v>7</v>
      </c>
      <c r="AH54" s="96">
        <f t="shared" si="30"/>
        <v>7</v>
      </c>
      <c r="AI54" s="96">
        <f t="shared" si="30"/>
        <v>7</v>
      </c>
      <c r="AJ54" s="96">
        <f t="shared" si="30"/>
        <v>5</v>
      </c>
      <c r="AK54" s="96">
        <f t="shared" si="30"/>
        <v>0</v>
      </c>
      <c r="AL54" s="96">
        <f t="shared" si="30"/>
        <v>0</v>
      </c>
      <c r="AM54" s="97">
        <f t="shared" si="30"/>
        <v>4</v>
      </c>
      <c r="AN54" s="99">
        <f t="shared" si="30"/>
        <v>6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1">COUNTIF(K4:K44,"X")+COUNTIF(K4:K44,"Y")+COUNTIF(K4:K44,"Z")</f>
        <v>8</v>
      </c>
      <c r="L55" s="24">
        <f t="shared" si="31"/>
        <v>5</v>
      </c>
      <c r="M55" s="24">
        <f t="shared" si="31"/>
        <v>9</v>
      </c>
      <c r="N55" s="24">
        <f t="shared" si="31"/>
        <v>10</v>
      </c>
      <c r="O55" s="24">
        <f t="shared" si="31"/>
        <v>11</v>
      </c>
      <c r="P55" s="24">
        <f t="shared" si="31"/>
        <v>18</v>
      </c>
      <c r="Q55" s="24">
        <f t="shared" si="31"/>
        <v>19</v>
      </c>
      <c r="R55" s="24">
        <f t="shared" si="31"/>
        <v>11</v>
      </c>
      <c r="S55" s="24">
        <f t="shared" si="31"/>
        <v>4</v>
      </c>
      <c r="T55" s="24">
        <f t="shared" si="31"/>
        <v>10</v>
      </c>
      <c r="U55" s="24">
        <f t="shared" si="31"/>
        <v>5</v>
      </c>
      <c r="V55" s="24">
        <f t="shared" si="31"/>
        <v>10</v>
      </c>
      <c r="W55" s="24">
        <f t="shared" si="31"/>
        <v>21</v>
      </c>
      <c r="X55" s="24">
        <f t="shared" si="31"/>
        <v>21</v>
      </c>
      <c r="Y55" s="24">
        <f t="shared" si="31"/>
        <v>12</v>
      </c>
      <c r="Z55" s="24">
        <f t="shared" si="31"/>
        <v>11</v>
      </c>
      <c r="AA55" s="24">
        <f t="shared" si="31"/>
        <v>10</v>
      </c>
      <c r="AB55" s="24">
        <f t="shared" si="31"/>
        <v>5</v>
      </c>
      <c r="AC55" s="24">
        <f t="shared" si="31"/>
        <v>15</v>
      </c>
      <c r="AD55" s="24">
        <f t="shared" si="31"/>
        <v>21</v>
      </c>
      <c r="AE55" s="24">
        <f t="shared" si="31"/>
        <v>22</v>
      </c>
      <c r="AF55" s="24">
        <f t="shared" si="31"/>
        <v>7</v>
      </c>
      <c r="AG55" s="24">
        <f t="shared" si="31"/>
        <v>10</v>
      </c>
      <c r="AH55" s="24">
        <f t="shared" si="31"/>
        <v>11</v>
      </c>
      <c r="AI55" s="24">
        <f t="shared" si="31"/>
        <v>11</v>
      </c>
      <c r="AJ55" s="24">
        <f t="shared" si="31"/>
        <v>11</v>
      </c>
      <c r="AK55" s="24">
        <f t="shared" si="31"/>
        <v>22</v>
      </c>
      <c r="AL55" s="24">
        <f t="shared" si="31"/>
        <v>19</v>
      </c>
      <c r="AM55" s="24">
        <f t="shared" si="31"/>
        <v>12</v>
      </c>
      <c r="AN55" s="102">
        <f t="shared" si="31"/>
        <v>8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2">COUNTIF(K4:K44,"S")</f>
        <v>4</v>
      </c>
      <c r="L56" s="39">
        <f t="shared" si="32"/>
        <v>6</v>
      </c>
      <c r="M56" s="39">
        <f t="shared" si="32"/>
        <v>5</v>
      </c>
      <c r="N56" s="39">
        <f t="shared" si="32"/>
        <v>4</v>
      </c>
      <c r="O56" s="39">
        <f t="shared" si="32"/>
        <v>5</v>
      </c>
      <c r="P56" s="39">
        <f t="shared" si="32"/>
        <v>4</v>
      </c>
      <c r="Q56" s="39">
        <f t="shared" si="32"/>
        <v>3</v>
      </c>
      <c r="R56" s="39">
        <f t="shared" si="32"/>
        <v>3</v>
      </c>
      <c r="S56" s="39">
        <f t="shared" si="32"/>
        <v>4</v>
      </c>
      <c r="T56" s="39">
        <f t="shared" si="32"/>
        <v>1</v>
      </c>
      <c r="U56" s="39">
        <f t="shared" si="32"/>
        <v>1</v>
      </c>
      <c r="V56" s="39">
        <f t="shared" si="32"/>
        <v>2</v>
      </c>
      <c r="W56" s="39">
        <f t="shared" si="32"/>
        <v>1</v>
      </c>
      <c r="X56" s="39">
        <f t="shared" si="32"/>
        <v>1</v>
      </c>
      <c r="Y56" s="39">
        <f t="shared" si="32"/>
        <v>2</v>
      </c>
      <c r="Z56" s="39">
        <f t="shared" si="32"/>
        <v>3</v>
      </c>
      <c r="AA56" s="39">
        <f t="shared" si="32"/>
        <v>2</v>
      </c>
      <c r="AB56" s="39">
        <f t="shared" si="32"/>
        <v>1</v>
      </c>
      <c r="AC56" s="39">
        <f t="shared" si="32"/>
        <v>6</v>
      </c>
      <c r="AD56" s="39">
        <f t="shared" si="32"/>
        <v>1</v>
      </c>
      <c r="AE56" s="39">
        <f t="shared" si="32"/>
        <v>0</v>
      </c>
      <c r="AF56" s="39">
        <f t="shared" si="32"/>
        <v>0</v>
      </c>
      <c r="AG56" s="39">
        <f t="shared" si="32"/>
        <v>1</v>
      </c>
      <c r="AH56" s="39">
        <f t="shared" si="32"/>
        <v>0</v>
      </c>
      <c r="AI56" s="39">
        <f t="shared" si="32"/>
        <v>0</v>
      </c>
      <c r="AJ56" s="39">
        <f t="shared" si="32"/>
        <v>2</v>
      </c>
      <c r="AK56" s="39">
        <f t="shared" si="32"/>
        <v>0</v>
      </c>
      <c r="AL56" s="39">
        <f t="shared" si="32"/>
        <v>3</v>
      </c>
      <c r="AM56" s="39">
        <f t="shared" si="32"/>
        <v>2</v>
      </c>
      <c r="AN56" s="83">
        <f t="shared" si="32"/>
        <v>4</v>
      </c>
      <c r="AP56" s="107" t="s">
        <v>46</v>
      </c>
      <c r="AQ56" s="105">
        <f>AQ47-AQ48-AQ50-AQ51-AQ52-AQ53+AQ54+AQ55-AQ49</f>
        <v>0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3">COUNTIF(K4:K44,"T")</f>
        <v>0</v>
      </c>
      <c r="L57" s="39">
        <f t="shared" si="33"/>
        <v>0</v>
      </c>
      <c r="M57" s="39">
        <f t="shared" si="33"/>
        <v>0</v>
      </c>
      <c r="N57" s="39">
        <f t="shared" si="33"/>
        <v>0</v>
      </c>
      <c r="O57" s="39">
        <f t="shared" si="33"/>
        <v>0</v>
      </c>
      <c r="P57" s="39">
        <f t="shared" si="33"/>
        <v>0</v>
      </c>
      <c r="Q57" s="39">
        <f t="shared" si="33"/>
        <v>0</v>
      </c>
      <c r="R57" s="39">
        <f t="shared" si="33"/>
        <v>0</v>
      </c>
      <c r="S57" s="39">
        <f t="shared" si="33"/>
        <v>0</v>
      </c>
      <c r="T57" s="39">
        <f t="shared" si="33"/>
        <v>0</v>
      </c>
      <c r="U57" s="39">
        <f t="shared" si="33"/>
        <v>0</v>
      </c>
      <c r="V57" s="39">
        <f t="shared" si="33"/>
        <v>0</v>
      </c>
      <c r="W57" s="39">
        <f t="shared" si="33"/>
        <v>0</v>
      </c>
      <c r="X57" s="39">
        <f t="shared" si="33"/>
        <v>0</v>
      </c>
      <c r="Y57" s="39">
        <f t="shared" si="33"/>
        <v>0</v>
      </c>
      <c r="Z57" s="39">
        <f t="shared" si="33"/>
        <v>0</v>
      </c>
      <c r="AA57" s="39">
        <f t="shared" si="33"/>
        <v>0</v>
      </c>
      <c r="AB57" s="39">
        <f t="shared" si="33"/>
        <v>0</v>
      </c>
      <c r="AC57" s="39">
        <f t="shared" si="33"/>
        <v>0</v>
      </c>
      <c r="AD57" s="39">
        <f t="shared" si="33"/>
        <v>0</v>
      </c>
      <c r="AE57" s="39">
        <f t="shared" si="33"/>
        <v>0</v>
      </c>
      <c r="AF57" s="39">
        <f t="shared" si="33"/>
        <v>0</v>
      </c>
      <c r="AG57" s="39">
        <f t="shared" si="33"/>
        <v>0</v>
      </c>
      <c r="AH57" s="39">
        <f t="shared" si="33"/>
        <v>0</v>
      </c>
      <c r="AI57" s="39">
        <f t="shared" si="33"/>
        <v>0</v>
      </c>
      <c r="AJ57" s="39">
        <f t="shared" si="33"/>
        <v>0</v>
      </c>
      <c r="AK57" s="39">
        <f t="shared" si="33"/>
        <v>0</v>
      </c>
      <c r="AL57" s="39">
        <f t="shared" si="33"/>
        <v>0</v>
      </c>
      <c r="AM57" s="39">
        <f t="shared" si="33"/>
        <v>0</v>
      </c>
      <c r="AN57" s="83">
        <f t="shared" si="33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4">SUM(L45:L57)</f>
        <v>41</v>
      </c>
      <c r="M58" s="109">
        <f t="shared" si="34"/>
        <v>41</v>
      </c>
      <c r="N58" s="109">
        <f t="shared" si="34"/>
        <v>41</v>
      </c>
      <c r="O58" s="109">
        <f t="shared" si="34"/>
        <v>41</v>
      </c>
      <c r="P58" s="109">
        <f t="shared" si="34"/>
        <v>41</v>
      </c>
      <c r="Q58" s="109">
        <f t="shared" si="34"/>
        <v>41</v>
      </c>
      <c r="R58" s="109">
        <f t="shared" si="34"/>
        <v>41</v>
      </c>
      <c r="S58" s="109">
        <f t="shared" si="34"/>
        <v>41</v>
      </c>
      <c r="T58" s="109">
        <f t="shared" si="34"/>
        <v>41</v>
      </c>
      <c r="U58" s="109">
        <f t="shared" si="34"/>
        <v>41</v>
      </c>
      <c r="V58" s="109">
        <f t="shared" si="34"/>
        <v>41</v>
      </c>
      <c r="W58" s="109">
        <f t="shared" si="34"/>
        <v>41</v>
      </c>
      <c r="X58" s="109">
        <f t="shared" si="34"/>
        <v>41</v>
      </c>
      <c r="Y58" s="109">
        <f t="shared" si="34"/>
        <v>41</v>
      </c>
      <c r="Z58" s="109">
        <f t="shared" si="34"/>
        <v>41</v>
      </c>
      <c r="AA58" s="109">
        <f t="shared" si="34"/>
        <v>41</v>
      </c>
      <c r="AB58" s="109">
        <f t="shared" si="34"/>
        <v>41</v>
      </c>
      <c r="AC58" s="109">
        <f t="shared" si="34"/>
        <v>41</v>
      </c>
      <c r="AD58" s="109">
        <f t="shared" si="34"/>
        <v>41</v>
      </c>
      <c r="AE58" s="109">
        <f t="shared" si="34"/>
        <v>41</v>
      </c>
      <c r="AF58" s="109">
        <f t="shared" si="34"/>
        <v>41</v>
      </c>
      <c r="AG58" s="109">
        <f t="shared" si="34"/>
        <v>41</v>
      </c>
      <c r="AH58" s="109">
        <f t="shared" si="34"/>
        <v>41</v>
      </c>
      <c r="AI58" s="109">
        <f t="shared" si="34"/>
        <v>41</v>
      </c>
      <c r="AJ58" s="109">
        <f t="shared" si="34"/>
        <v>41</v>
      </c>
      <c r="AK58" s="109">
        <f t="shared" si="34"/>
        <v>41</v>
      </c>
      <c r="AL58" s="109">
        <f t="shared" si="34"/>
        <v>41</v>
      </c>
      <c r="AM58" s="109">
        <f t="shared" si="34"/>
        <v>41</v>
      </c>
      <c r="AN58" s="110">
        <f t="shared" si="34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0</v>
      </c>
      <c r="L59" s="113">
        <f t="shared" ref="L59:O59" si="35">41-L54-L55-L56-23</f>
        <v>0</v>
      </c>
      <c r="M59" s="113">
        <f t="shared" si="35"/>
        <v>0</v>
      </c>
      <c r="N59" s="113">
        <f t="shared" si="35"/>
        <v>0</v>
      </c>
      <c r="O59" s="113">
        <f t="shared" si="35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6">41-S54-S55-S56-23</f>
        <v>0</v>
      </c>
      <c r="T59" s="113">
        <f t="shared" si="36"/>
        <v>0</v>
      </c>
      <c r="U59" s="113">
        <f t="shared" si="36"/>
        <v>0</v>
      </c>
      <c r="V59" s="113">
        <f t="shared" si="36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7">41-Z54-Z55-Z56-23</f>
        <v>0</v>
      </c>
      <c r="AA59" s="113">
        <f t="shared" si="37"/>
        <v>0</v>
      </c>
      <c r="AB59" s="113">
        <f t="shared" si="37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8">41-AG54-AG55-AG56-23</f>
        <v>0</v>
      </c>
      <c r="AH59" s="113">
        <f t="shared" si="38"/>
        <v>0</v>
      </c>
      <c r="AI59" s="113">
        <f t="shared" si="38"/>
        <v>0</v>
      </c>
      <c r="AJ59" s="113">
        <f t="shared" si="38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39">41-AM54-AM55-AM56-23</f>
        <v>0</v>
      </c>
      <c r="AN59" s="113">
        <f t="shared" si="39"/>
        <v>0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1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1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I2:I3"/>
    <mergeCell ref="J2:J3"/>
    <mergeCell ref="A2:A3"/>
    <mergeCell ref="B2:B3"/>
    <mergeCell ref="C2:C3"/>
    <mergeCell ref="D2:D3"/>
    <mergeCell ref="E2:E3"/>
    <mergeCell ref="AU2:AW2"/>
    <mergeCell ref="K1:AH1"/>
    <mergeCell ref="AI1:AK1"/>
    <mergeCell ref="AL1:AN1"/>
  </mergeCells>
  <conditionalFormatting sqref="K38:U38 K36:AO36 K37:AN37 K4:AN35 K39:AN44">
    <cfRule type="expression" dxfId="35" priority="8">
      <formula>OR(K4="晚", K4=3, K4="大夜")</formula>
    </cfRule>
  </conditionalFormatting>
  <conditionalFormatting sqref="M38:U38 W38:Y38 AB38:AH38 AK38:AN38 K36:AO36 K37:AN37 K38 K4:AN35 K39:AN44">
    <cfRule type="expression" dxfId="34" priority="24">
      <formula>OR(K4="T早", K4="早", K4="M1", K4=1, K4="日")</formula>
    </cfRule>
  </conditionalFormatting>
  <conditionalFormatting sqref="AB38:AH38 AK38:AN38 W38:Y38 M38:U38 K36:AO36 K37:AN37 K38 K4:AN35 K39:AN44">
    <cfRule type="expression" dxfId="33" priority="23">
      <formula>OR(K4="T中", K4="中", K4=2, K4="小夜")</formula>
    </cfRule>
  </conditionalFormatting>
  <conditionalFormatting sqref="K36:AO36 K4:AN35 K37:AN44">
    <cfRule type="expression" dxfId="32" priority="2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31" priority="43" operator="equal">
      <formula>5</formula>
    </cfRule>
    <cfRule type="cellIs" dxfId="30" priority="44" operator="equal">
      <formula>4</formula>
    </cfRule>
    <cfRule type="cellIs" dxfId="29" priority="45" operator="equal">
      <formula>3</formula>
    </cfRule>
    <cfRule type="cellIs" dxfId="28" priority="46" operator="equal">
      <formula>2</formula>
    </cfRule>
    <cfRule type="cellIs" dxfId="27" priority="47" operator="equal">
      <formula>1</formula>
    </cfRule>
  </conditionalFormatting>
  <conditionalFormatting sqref="K51:AN53">
    <cfRule type="cellIs" dxfId="26" priority="48" operator="equal">
      <formula>"T中"</formula>
    </cfRule>
  </conditionalFormatting>
  <conditionalFormatting sqref="L38">
    <cfRule type="expression" dxfId="25" priority="6">
      <formula>OR(L38="T中", L38="中", L38=2, L38="小夜")</formula>
    </cfRule>
    <cfRule type="expression" dxfId="24" priority="7">
      <formula>OR(L38="T早", L38="早", L38="M1", L38=1, L38="日")</formula>
    </cfRule>
  </conditionalFormatting>
  <conditionalFormatting sqref="V38">
    <cfRule type="expression" dxfId="23" priority="2">
      <formula>OR(V38="T中", V38="中", V38=2, V38="小夜")</formula>
    </cfRule>
    <cfRule type="expression" dxfId="22" priority="3">
      <formula>OR(V38="T早", V38="早", V38="M1", V38=1, V38="日")</formula>
    </cfRule>
    <cfRule type="expression" dxfId="21" priority="4">
      <formula>OR(V38="晚", V38=3, V38="大夜")</formula>
    </cfRule>
  </conditionalFormatting>
  <conditionalFormatting sqref="W38:AA38">
    <cfRule type="expression" dxfId="20" priority="12">
      <formula>OR(W38="晚", W38=3, W38="大夜")</formula>
    </cfRule>
  </conditionalFormatting>
  <conditionalFormatting sqref="Z38:AA38">
    <cfRule type="expression" dxfId="19" priority="10">
      <formula>OR(Z38="T中", Z38="中", Z38=2, Z38="小夜")</formula>
    </cfRule>
    <cfRule type="expression" dxfId="18" priority="11">
      <formula>OR(Z38="T早", Z38="早", Z38="M1", Z38=1, Z38="日")</formula>
    </cfRule>
  </conditionalFormatting>
  <conditionalFormatting sqref="AB38:AN38">
    <cfRule type="expression" dxfId="17" priority="16">
      <formula>OR(AB38="晚", AB38=3, AB38="大夜")</formula>
    </cfRule>
  </conditionalFormatting>
  <conditionalFormatting sqref="AI38:AJ38">
    <cfRule type="expression" dxfId="16" priority="14">
      <formula>OR(AI38="T中", AI38="中", AI38=2, AI38="小夜")</formula>
    </cfRule>
    <cfRule type="expression" dxfId="15" priority="15">
      <formula>OR(AI38="T早", AI38="早", AI38="M1", AI38=1, AI38="日")</formula>
    </cfRule>
  </conditionalFormatting>
  <conditionalFormatting sqref="AO24">
    <cfRule type="cellIs" dxfId="14" priority="51" operator="equal">
      <formula>"大夜"</formula>
    </cfRule>
    <cfRule type="cellIs" dxfId="13" priority="52" operator="equal">
      <formula>"晚"</formula>
    </cfRule>
    <cfRule type="cellIs" dxfId="12" priority="53" operator="equal">
      <formula>3</formula>
    </cfRule>
    <cfRule type="cellIs" dxfId="11" priority="54" operator="equal">
      <formula>"小夜"</formula>
    </cfRule>
    <cfRule type="cellIs" dxfId="10" priority="55" operator="equal">
      <formula>"T中"</formula>
    </cfRule>
    <cfRule type="cellIs" dxfId="9" priority="56" operator="equal">
      <formula>"中"</formula>
    </cfRule>
    <cfRule type="cellIs" dxfId="8" priority="57" operator="equal">
      <formula>"M2"</formula>
    </cfRule>
    <cfRule type="cellIs" dxfId="7" priority="58" operator="equal">
      <formula>2</formula>
    </cfRule>
    <cfRule type="cellIs" dxfId="6" priority="59" operator="equal">
      <formula>"日"</formula>
    </cfRule>
    <cfRule type="cellIs" dxfId="5" priority="60" operator="equal">
      <formula>"T早"</formula>
    </cfRule>
    <cfRule type="cellIs" dxfId="4" priority="61" operator="equal">
      <formula>"早"</formula>
    </cfRule>
    <cfRule type="cellIs" dxfId="3" priority="62" operator="equal">
      <formula>"M1"</formula>
    </cfRule>
    <cfRule type="cellIs" dxfId="2" priority="63" operator="equal">
      <formula>1</formula>
    </cfRule>
  </conditionalFormatting>
  <conditionalFormatting sqref="AR4:AR44">
    <cfRule type="cellIs" dxfId="1" priority="49" operator="equal">
      <formula>-2</formula>
    </cfRule>
    <cfRule type="cellIs" dxfId="0" priority="5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01</vt:lpstr>
      <vt:lpstr>02</vt:lpstr>
      <vt:lpstr>03</vt:lpstr>
      <vt:lpstr>04</vt:lpstr>
      <vt:lpstr>05</vt:lpstr>
      <vt:lpstr>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2026-05-22T03:16:01Z</dcterms:modified>
</cp:coreProperties>
</file>