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75398F17-ED0D-4B8F-8254-CAD94872150C}" xr6:coauthVersionLast="47" xr6:coauthVersionMax="47" xr10:uidLastSave="{00000000-0000-0000-0000-000000000000}"/>
  <bookViews>
    <workbookView xWindow="-108" yWindow="-108" windowWidth="23256" windowHeight="12576" activeTab="4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407A7A5D_9C54_4104_81F8_F342BBAE3576_.wvu.FilterData" localSheetId="3" hidden="1">'04'!$AS$3:$AS$59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807DA4_029B_47FA_AF91_7D6825173DCF_.wvu.FilterData" localSheetId="4" hidden="1">'05'!$AT$3:$AT$58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710F00CC_4461_4D68_9909_9C152E8EE632_.wvu.FilterData" localSheetId="4" hidden="1">'05'!$AT$3:$AT$58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6F84DA_B23D_450F_A576_E469F5B8DF36_.wvu.FilterData" localSheetId="4" hidden="1">'05'!$AT$3:$AT$58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7A169A_4F5B_4947_AF7C_8990161EC901_.wvu.FilterData" localSheetId="4" hidden="1">'05'!$AT$3:$AT$58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59A7523_AB22_4DC5_981C_6AAAE2F60349_.wvu.FilterData" localSheetId="4" hidden="1">'05'!$AT$3:$AT$58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606A5A1_A66F_45D6_9BAC_AE0DD2010C25_.wvu.FilterData" localSheetId="4" hidden="1">'05'!$AT$3:$AT$58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A9D8CB7_27F4_4671_8893_F8A1336921C5_.wvu.FilterData" localSheetId="4" hidden="1">'05'!$AT$3:$AT$58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21" l="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AH54" i="21" l="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AW18" i="21" l="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G21" authorId="2" shapeId="0" xr:uid="{EE165090-77F2-442D-B20E-60ECE3D436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<sst xmlns="http://schemas.openxmlformats.org/spreadsheetml/2006/main" count="5845" uniqueCount="158">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</sst>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1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5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23" fillId="0" borderId="13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3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28" t="str">
        <f>"TPKC剩餘人力："&amp;AR59&amp;" / NK剩餘人力："&amp;AS59&amp;" /  N班人力："&amp;AR53</f>
        <v>TPKC剩餘人力：0 / NK剩餘人力：0 /  N班人力：92</v>
      </c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30"/>
      <c r="AJ1" s="329"/>
      <c r="AK1" s="329"/>
      <c r="AL1" s="331"/>
      <c r="AM1" s="332"/>
      <c r="AN1" s="332"/>
      <c r="AO1" s="5"/>
      <c r="AR1" s="6"/>
      <c r="AS1" s="7"/>
    </row>
    <row r="2" spans="1:226" ht="23.25" customHeight="1" thickBot="1">
      <c r="A2" s="340">
        <v>1</v>
      </c>
      <c r="B2" s="342">
        <v>2</v>
      </c>
      <c r="C2" s="342">
        <v>3</v>
      </c>
      <c r="D2" s="344" t="s">
        <v>60</v>
      </c>
      <c r="E2" s="346" t="s">
        <v>61</v>
      </c>
      <c r="F2" s="8" t="s">
        <v>62</v>
      </c>
      <c r="G2" s="8" t="s">
        <v>63</v>
      </c>
      <c r="H2" s="8" t="s">
        <v>64</v>
      </c>
      <c r="I2" s="336" t="s">
        <v>65</v>
      </c>
      <c r="J2" s="338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48" t="s">
        <v>48</v>
      </c>
      <c r="AW2" s="349"/>
      <c r="AX2" s="349"/>
    </row>
    <row r="3" spans="1:226" ht="24.6" customHeight="1" thickBot="1">
      <c r="A3" s="341"/>
      <c r="B3" s="343"/>
      <c r="C3" s="343"/>
      <c r="D3" s="345"/>
      <c r="E3" s="347"/>
      <c r="F3" s="15" t="s">
        <v>74</v>
      </c>
      <c r="G3" s="15" t="s">
        <v>75</v>
      </c>
      <c r="H3" s="16" t="s">
        <v>76</v>
      </c>
      <c r="I3" s="337"/>
      <c r="J3" s="350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135" priority="1" operator="equal">
      <formula>"大夜"</formula>
    </cfRule>
    <cfRule type="cellIs" dxfId="134" priority="2" operator="equal">
      <formula>"晚"</formula>
    </cfRule>
    <cfRule type="cellIs" dxfId="133" priority="3" operator="equal">
      <formula>3</formula>
    </cfRule>
    <cfRule type="cellIs" dxfId="132" priority="4" operator="equal">
      <formula>"小夜"</formula>
    </cfRule>
    <cfRule type="cellIs" dxfId="131" priority="5" operator="equal">
      <formula>"T中"</formula>
    </cfRule>
    <cfRule type="cellIs" dxfId="130" priority="6" operator="equal">
      <formula>"中"</formula>
    </cfRule>
    <cfRule type="cellIs" dxfId="129" priority="7" operator="equal">
      <formula>2</formula>
    </cfRule>
    <cfRule type="cellIs" dxfId="128" priority="8" operator="equal">
      <formula>"日"</formula>
    </cfRule>
    <cfRule type="cellIs" dxfId="127" priority="9" operator="equal">
      <formula>"T早"</formula>
    </cfRule>
    <cfRule type="cellIs" dxfId="126" priority="10" operator="equal">
      <formula>"早"</formula>
    </cfRule>
    <cfRule type="cellIs" dxfId="125" priority="11" operator="equal">
      <formula>"M1"</formula>
    </cfRule>
    <cfRule type="cellIs" dxfId="124" priority="12" operator="equal">
      <formula>1</formula>
    </cfRule>
    <cfRule type="expression" dxfId="123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22" priority="4256" operator="equal">
      <formula>5</formula>
    </cfRule>
    <cfRule type="cellIs" dxfId="121" priority="4257" operator="equal">
      <formula>4</formula>
    </cfRule>
    <cfRule type="cellIs" dxfId="120" priority="4258" operator="equal">
      <formula>3</formula>
    </cfRule>
    <cfRule type="cellIs" dxfId="119" priority="4259" operator="equal">
      <formula>2</formula>
    </cfRule>
    <cfRule type="cellIs" dxfId="118" priority="4260" operator="equal">
      <formula>1</formula>
    </cfRule>
  </conditionalFormatting>
  <conditionalFormatting sqref="K53:AO55">
    <cfRule type="cellIs" dxfId="117" priority="4261" operator="equal">
      <formula>"T中"</formula>
    </cfRule>
  </conditionalFormatting>
  <conditionalFormatting sqref="AP25">
    <cfRule type="cellIs" dxfId="116" priority="4564" operator="equal">
      <formula>"大夜"</formula>
    </cfRule>
    <cfRule type="cellIs" dxfId="115" priority="4565" operator="equal">
      <formula>"晚"</formula>
    </cfRule>
    <cfRule type="cellIs" dxfId="114" priority="4566" operator="equal">
      <formula>3</formula>
    </cfRule>
    <cfRule type="cellIs" dxfId="113" priority="4567" operator="equal">
      <formula>"小夜"</formula>
    </cfRule>
    <cfRule type="cellIs" dxfId="112" priority="4568" operator="equal">
      <formula>"T中"</formula>
    </cfRule>
    <cfRule type="cellIs" dxfId="111" priority="4569" operator="equal">
      <formula>"中"</formula>
    </cfRule>
    <cfRule type="cellIs" dxfId="110" priority="4570" operator="equal">
      <formula>"M2"</formula>
    </cfRule>
    <cfRule type="cellIs" dxfId="109" priority="4571" operator="equal">
      <formula>2</formula>
    </cfRule>
    <cfRule type="cellIs" dxfId="108" priority="4572" operator="equal">
      <formula>"日"</formula>
    </cfRule>
    <cfRule type="cellIs" dxfId="107" priority="4573" operator="equal">
      <formula>"T早"</formula>
    </cfRule>
    <cfRule type="cellIs" dxfId="106" priority="4574" operator="equal">
      <formula>"早"</formula>
    </cfRule>
    <cfRule type="cellIs" dxfId="105" priority="4575" operator="equal">
      <formula>"M1"</formula>
    </cfRule>
    <cfRule type="cellIs" dxfId="104" priority="4576" operator="equal">
      <formula>1</formula>
    </cfRule>
  </conditionalFormatting>
  <conditionalFormatting sqref="AS4:AS46">
    <cfRule type="cellIs" dxfId="103" priority="4562" operator="equal">
      <formula>-2</formula>
    </cfRule>
    <cfRule type="cellIs" dxfId="102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28" t="str">
        <f>"TPKC剩餘人力："&amp;AO59&amp;" / NK剩餘人力："&amp;AP59&amp;" /  N班人力："&amp;AO54</f>
        <v>TPKC剩餘人力：0 / NK剩餘人力：0 /  N班人力：32</v>
      </c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30"/>
      <c r="AJ1" s="329"/>
      <c r="AK1" s="329"/>
      <c r="AL1" s="183"/>
      <c r="AO1" s="6"/>
      <c r="AP1" s="7"/>
    </row>
    <row r="2" spans="1:223" ht="23.25" customHeight="1" thickBot="1">
      <c r="A2" s="340">
        <v>1</v>
      </c>
      <c r="B2" s="342">
        <v>2</v>
      </c>
      <c r="C2" s="342">
        <v>3</v>
      </c>
      <c r="D2" s="344" t="s">
        <v>104</v>
      </c>
      <c r="E2" s="346" t="s">
        <v>105</v>
      </c>
      <c r="F2" s="8" t="s">
        <v>106</v>
      </c>
      <c r="G2" s="8" t="s">
        <v>107</v>
      </c>
      <c r="H2" s="8" t="s">
        <v>108</v>
      </c>
      <c r="I2" s="336" t="s">
        <v>109</v>
      </c>
      <c r="J2" s="351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48" t="s">
        <v>48</v>
      </c>
      <c r="AT2" s="349"/>
      <c r="AU2" s="349"/>
    </row>
    <row r="3" spans="1:223" ht="24.6" customHeight="1" thickBot="1">
      <c r="A3" s="341"/>
      <c r="B3" s="343"/>
      <c r="C3" s="343"/>
      <c r="D3" s="345"/>
      <c r="E3" s="347"/>
      <c r="F3" s="15" t="s">
        <v>118</v>
      </c>
      <c r="G3" s="15" t="s">
        <v>119</v>
      </c>
      <c r="H3" s="16" t="s">
        <v>120</v>
      </c>
      <c r="I3" s="337"/>
      <c r="J3" s="352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101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100" priority="1">
      <formula>OR(K4=3, K4="晚",  K4="大夜")</formula>
    </cfRule>
    <cfRule type="expression" dxfId="99" priority="2">
      <formula>OR(K4="M2", K4=2, K4="中", K4="T中", K4="小夜")</formula>
    </cfRule>
    <cfRule type="expression" dxfId="98" priority="4">
      <formula>OR(K4="M1", K4=1, K4="早", K4="T早", K4="日")</formula>
    </cfRule>
  </conditionalFormatting>
  <conditionalFormatting sqref="K47:AL55">
    <cfRule type="cellIs" dxfId="97" priority="214" operator="equal">
      <formula>5</formula>
    </cfRule>
    <cfRule type="cellIs" dxfId="96" priority="215" operator="equal">
      <formula>4</formula>
    </cfRule>
    <cfRule type="cellIs" dxfId="95" priority="216" operator="equal">
      <formula>3</formula>
    </cfRule>
    <cfRule type="cellIs" dxfId="94" priority="217" operator="equal">
      <formula>2</formula>
    </cfRule>
    <cfRule type="cellIs" dxfId="93" priority="218" operator="equal">
      <formula>1</formula>
    </cfRule>
  </conditionalFormatting>
  <conditionalFormatting sqref="K53:AL55">
    <cfRule type="cellIs" dxfId="92" priority="219" operator="equal">
      <formula>"T中"</formula>
    </cfRule>
  </conditionalFormatting>
  <conditionalFormatting sqref="AM25">
    <cfRule type="cellIs" dxfId="91" priority="228" operator="equal">
      <formula>"大夜"</formula>
    </cfRule>
    <cfRule type="cellIs" dxfId="90" priority="229" operator="equal">
      <formula>"晚"</formula>
    </cfRule>
    <cfRule type="cellIs" dxfId="89" priority="230" operator="equal">
      <formula>3</formula>
    </cfRule>
    <cfRule type="cellIs" dxfId="88" priority="231" operator="equal">
      <formula>"小夜"</formula>
    </cfRule>
    <cfRule type="cellIs" dxfId="87" priority="232" operator="equal">
      <formula>"T中"</formula>
    </cfRule>
    <cfRule type="cellIs" dxfId="86" priority="233" operator="equal">
      <formula>"中"</formula>
    </cfRule>
    <cfRule type="cellIs" dxfId="85" priority="234" operator="equal">
      <formula>"M2"</formula>
    </cfRule>
    <cfRule type="cellIs" dxfId="84" priority="235" operator="equal">
      <formula>2</formula>
    </cfRule>
    <cfRule type="cellIs" dxfId="83" priority="236" operator="equal">
      <formula>"日"</formula>
    </cfRule>
    <cfRule type="cellIs" dxfId="82" priority="237" operator="equal">
      <formula>"T早"</formula>
    </cfRule>
    <cfRule type="cellIs" dxfId="81" priority="238" operator="equal">
      <formula>"早"</formula>
    </cfRule>
    <cfRule type="cellIs" dxfId="80" priority="239" operator="equal">
      <formula>"M1"</formula>
    </cfRule>
    <cfRule type="cellIs" dxfId="79" priority="240" operator="equal">
      <formula>1</formula>
    </cfRule>
  </conditionalFormatting>
  <conditionalFormatting sqref="AP4:AP46">
    <cfRule type="cellIs" dxfId="78" priority="226" operator="equal">
      <formula>-2</formula>
    </cfRule>
    <cfRule type="cellIs" dxfId="77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28" t="str">
        <f>"TPKC剩餘人力："&amp;AR58&amp;" / NK剩餘人力："&amp;AS58&amp;" /  N班人力："&amp;AR53</f>
        <v>TPKC剩餘人力：2 / NK剩餘人力：0 /  N班人力：114</v>
      </c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30"/>
      <c r="AJ1" s="329"/>
      <c r="AK1" s="329"/>
      <c r="AL1" s="331"/>
      <c r="AM1" s="332"/>
      <c r="AN1" s="332"/>
      <c r="AO1" s="5"/>
      <c r="AR1" s="6"/>
      <c r="AS1" s="7"/>
    </row>
    <row r="2" spans="1:226" ht="23.25" customHeight="1" thickBot="1">
      <c r="A2" s="340">
        <v>1</v>
      </c>
      <c r="B2" s="342">
        <v>2</v>
      </c>
      <c r="C2" s="342">
        <v>3</v>
      </c>
      <c r="D2" s="344" t="s">
        <v>104</v>
      </c>
      <c r="E2" s="346" t="s">
        <v>105</v>
      </c>
      <c r="F2" s="8" t="s">
        <v>106</v>
      </c>
      <c r="G2" s="8" t="s">
        <v>107</v>
      </c>
      <c r="H2" s="8" t="s">
        <v>108</v>
      </c>
      <c r="I2" s="336" t="s">
        <v>109</v>
      </c>
      <c r="J2" s="353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48" t="s">
        <v>48</v>
      </c>
      <c r="AW2" s="349"/>
      <c r="AX2" s="349"/>
    </row>
    <row r="3" spans="1:226" ht="24.6" customHeight="1" thickBot="1">
      <c r="A3" s="341"/>
      <c r="B3" s="343"/>
      <c r="C3" s="343"/>
      <c r="D3" s="345"/>
      <c r="E3" s="347"/>
      <c r="F3" s="15" t="s">
        <v>118</v>
      </c>
      <c r="G3" s="15" t="s">
        <v>119</v>
      </c>
      <c r="H3" s="16" t="s">
        <v>120</v>
      </c>
      <c r="I3" s="337"/>
      <c r="J3" s="354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76" priority="1">
      <formula>OR(K4=3, K4="晚",  K4="大夜")</formula>
    </cfRule>
    <cfRule type="expression" dxfId="75" priority="2">
      <formula>OR(K4="M2", K4=2, K4="中", K4="T中", K4="小夜")</formula>
    </cfRule>
    <cfRule type="expression" dxfId="74" priority="3">
      <formula>OR(K4="M1", K4=1, K4="早", K4="T早", K4="日")</formula>
    </cfRule>
    <cfRule type="expression" dxfId="73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2" priority="202" operator="equal">
      <formula>5</formula>
    </cfRule>
    <cfRule type="cellIs" dxfId="71" priority="203" operator="equal">
      <formula>4</formula>
    </cfRule>
    <cfRule type="cellIs" dxfId="70" priority="204" operator="equal">
      <formula>3</formula>
    </cfRule>
    <cfRule type="cellIs" dxfId="69" priority="205" operator="equal">
      <formula>2</formula>
    </cfRule>
    <cfRule type="cellIs" dxfId="68" priority="206" operator="equal">
      <formula>1</formula>
    </cfRule>
  </conditionalFormatting>
  <conditionalFormatting sqref="K53:AO55">
    <cfRule type="cellIs" dxfId="67" priority="207" operator="equal">
      <formula>"T中"</formula>
    </cfRule>
  </conditionalFormatting>
  <conditionalFormatting sqref="AP25">
    <cfRule type="cellIs" dxfId="66" priority="210" operator="equal">
      <formula>"大夜"</formula>
    </cfRule>
    <cfRule type="cellIs" dxfId="65" priority="211" operator="equal">
      <formula>"晚"</formula>
    </cfRule>
    <cfRule type="cellIs" dxfId="64" priority="212" operator="equal">
      <formula>3</formula>
    </cfRule>
    <cfRule type="cellIs" dxfId="63" priority="213" operator="equal">
      <formula>"小夜"</formula>
    </cfRule>
    <cfRule type="cellIs" dxfId="62" priority="214" operator="equal">
      <formula>"T中"</formula>
    </cfRule>
    <cfRule type="cellIs" dxfId="61" priority="215" operator="equal">
      <formula>"中"</formula>
    </cfRule>
    <cfRule type="cellIs" dxfId="60" priority="216" operator="equal">
      <formula>"M2"</formula>
    </cfRule>
    <cfRule type="cellIs" dxfId="59" priority="217" operator="equal">
      <formula>2</formula>
    </cfRule>
    <cfRule type="cellIs" dxfId="58" priority="218" operator="equal">
      <formula>"日"</formula>
    </cfRule>
    <cfRule type="cellIs" dxfId="57" priority="219" operator="equal">
      <formula>"T早"</formula>
    </cfRule>
    <cfRule type="cellIs" dxfId="56" priority="220" operator="equal">
      <formula>"早"</formula>
    </cfRule>
    <cfRule type="cellIs" dxfId="55" priority="221" operator="equal">
      <formula>"M1"</formula>
    </cfRule>
    <cfRule type="cellIs" dxfId="54" priority="222" operator="equal">
      <formula>1</formula>
    </cfRule>
  </conditionalFormatting>
  <conditionalFormatting sqref="AS4:AS46">
    <cfRule type="cellIs" dxfId="53" priority="208" operator="equal">
      <formula>-2</formula>
    </cfRule>
    <cfRule type="cellIs" dxfId="52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F9" sqref="AF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28" t="str">
        <f>"TPKC剩餘人力："&amp;AQ58&amp;" / NK剩餘人力："&amp;AR58&amp;" /  N班人力："&amp;AQ53</f>
        <v>TPKC剩餘人力：0 / NK剩餘人力：0 /  N班人力：76</v>
      </c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30"/>
      <c r="AJ1" s="329"/>
      <c r="AK1" s="329"/>
      <c r="AL1" s="331"/>
      <c r="AM1" s="332"/>
      <c r="AN1" s="332"/>
      <c r="AQ1" s="6"/>
      <c r="AR1" s="7"/>
    </row>
    <row r="2" spans="1:224" ht="23.25" customHeight="1" thickBot="1">
      <c r="A2" s="340">
        <v>1</v>
      </c>
      <c r="B2" s="342">
        <v>2</v>
      </c>
      <c r="C2" s="342">
        <v>3</v>
      </c>
      <c r="D2" s="344" t="s">
        <v>104</v>
      </c>
      <c r="E2" s="346" t="s">
        <v>105</v>
      </c>
      <c r="F2" s="8" t="s">
        <v>106</v>
      </c>
      <c r="G2" s="8" t="s">
        <v>107</v>
      </c>
      <c r="H2" s="8" t="s">
        <v>108</v>
      </c>
      <c r="I2" s="336" t="s">
        <v>109</v>
      </c>
      <c r="J2" s="338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48" t="s">
        <v>48</v>
      </c>
      <c r="AV2" s="349"/>
      <c r="AW2" s="349"/>
    </row>
    <row r="3" spans="1:224" ht="24.6" customHeight="1" thickBot="1">
      <c r="A3" s="341"/>
      <c r="B3" s="343"/>
      <c r="C3" s="343"/>
      <c r="D3" s="345"/>
      <c r="E3" s="347"/>
      <c r="F3" s="15" t="s">
        <v>118</v>
      </c>
      <c r="G3" s="15" t="s">
        <v>119</v>
      </c>
      <c r="H3" s="16" t="s">
        <v>120</v>
      </c>
      <c r="I3" s="337"/>
      <c r="J3" s="33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18</v>
      </c>
      <c r="E8" s="41">
        <f t="shared" si="4"/>
        <v>2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48" t="s">
        <v>3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0</v>
      </c>
      <c r="E9" s="41">
        <f t="shared" si="4"/>
        <v>2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2" t="s">
        <v>1</v>
      </c>
      <c r="AL9" s="30" t="s">
        <v>52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5</v>
      </c>
      <c r="AM56" s="296">
        <f t="shared" si="48"/>
        <v>1</v>
      </c>
      <c r="AN56" s="99">
        <f t="shared" si="48"/>
        <v>2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13</v>
      </c>
      <c r="AL57" s="24">
        <f t="shared" si="49"/>
        <v>9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3</v>
      </c>
      <c r="AL58" s="39">
        <f t="shared" si="50"/>
        <v>4</v>
      </c>
      <c r="AM58" s="39">
        <f t="shared" si="50"/>
        <v>2</v>
      </c>
      <c r="AN58" s="83">
        <f t="shared" si="50"/>
        <v>3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51" priority="65">
      <formula>OR(K4="T中", K4="中", K4=2, K4="小夜")</formula>
    </cfRule>
    <cfRule type="expression" dxfId="50" priority="66">
      <formula>OR(K4="T早", K4="早", K4="M1", K4=1, K4="日")</formula>
    </cfRule>
  </conditionalFormatting>
  <conditionalFormatting sqref="K4:AN46">
    <cfRule type="expression" dxfId="49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48" priority="4">
      <formula>OR(K4="晚", K4=3, K4="大夜")</formula>
    </cfRule>
  </conditionalFormatting>
  <conditionalFormatting sqref="K47:AN55">
    <cfRule type="cellIs" dxfId="47" priority="71" operator="equal">
      <formula>5</formula>
    </cfRule>
    <cfRule type="cellIs" dxfId="46" priority="72" operator="equal">
      <formula>4</formula>
    </cfRule>
    <cfRule type="cellIs" dxfId="45" priority="73" operator="equal">
      <formula>3</formula>
    </cfRule>
    <cfRule type="cellIs" dxfId="44" priority="74" operator="equal">
      <formula>2</formula>
    </cfRule>
    <cfRule type="cellIs" dxfId="43" priority="75" operator="equal">
      <formula>1</formula>
    </cfRule>
  </conditionalFormatting>
  <conditionalFormatting sqref="K53:AN55">
    <cfRule type="cellIs" dxfId="42" priority="76" operator="equal">
      <formula>"T中"</formula>
    </cfRule>
  </conditionalFormatting>
  <conditionalFormatting sqref="AM8">
    <cfRule type="expression" dxfId="41" priority="2">
      <formula>OR(AM8="T中", AM8="中", AM8=2, AM8="小夜")</formula>
    </cfRule>
    <cfRule type="expression" dxfId="40" priority="3">
      <formula>OR(AM8="T早", AM8="早", AM8="M1", AM8=1, AM8="日")</formula>
    </cfRule>
  </conditionalFormatting>
  <conditionalFormatting sqref="AO25">
    <cfRule type="cellIs" dxfId="39" priority="83" operator="equal">
      <formula>"大夜"</formula>
    </cfRule>
    <cfRule type="cellIs" dxfId="38" priority="84" operator="equal">
      <formula>"晚"</formula>
    </cfRule>
    <cfRule type="cellIs" dxfId="37" priority="85" operator="equal">
      <formula>3</formula>
    </cfRule>
    <cfRule type="cellIs" dxfId="36" priority="86" operator="equal">
      <formula>"小夜"</formula>
    </cfRule>
    <cfRule type="cellIs" dxfId="35" priority="87" operator="equal">
      <formula>"T中"</formula>
    </cfRule>
    <cfRule type="cellIs" dxfId="34" priority="88" operator="equal">
      <formula>"中"</formula>
    </cfRule>
    <cfRule type="cellIs" dxfId="33" priority="89" operator="equal">
      <formula>"M2"</formula>
    </cfRule>
    <cfRule type="cellIs" dxfId="32" priority="90" operator="equal">
      <formula>2</formula>
    </cfRule>
    <cfRule type="cellIs" dxfId="31" priority="91" operator="equal">
      <formula>"日"</formula>
    </cfRule>
    <cfRule type="cellIs" dxfId="30" priority="92" operator="equal">
      <formula>"T早"</formula>
    </cfRule>
    <cfRule type="cellIs" dxfId="29" priority="93" operator="equal">
      <formula>"早"</formula>
    </cfRule>
    <cfRule type="cellIs" dxfId="28" priority="94" operator="equal">
      <formula>"M1"</formula>
    </cfRule>
    <cfRule type="cellIs" dxfId="27" priority="95" operator="equal">
      <formula>1</formula>
    </cfRule>
  </conditionalFormatting>
  <conditionalFormatting sqref="AR4:AR46">
    <cfRule type="cellIs" dxfId="26" priority="81" operator="equal">
      <formula>-2</formula>
    </cfRule>
    <cfRule type="cellIs" dxfId="25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2" sqref="J2:J3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328" t="str">
        <f>"TPKC剩餘人力："&amp;AR57&amp;" / NK剩餘人力："&amp;AS57&amp;" /  N班人力："&amp;AR52</f>
        <v>TPKC剩餘人力：0 / NK剩餘人力：0 /  N班人力：81</v>
      </c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30"/>
      <c r="AJ1" s="329"/>
      <c r="AK1" s="329"/>
      <c r="AL1" s="331"/>
      <c r="AM1" s="332"/>
      <c r="AN1" s="332"/>
      <c r="AO1" s="5"/>
      <c r="AR1" s="6"/>
      <c r="AS1" s="7"/>
    </row>
    <row r="2" spans="1:226" ht="23.25" customHeight="1" thickBot="1">
      <c r="A2" s="340">
        <v>1</v>
      </c>
      <c r="B2" s="342">
        <v>2</v>
      </c>
      <c r="C2" s="342">
        <v>3</v>
      </c>
      <c r="D2" s="344" t="s">
        <v>104</v>
      </c>
      <c r="E2" s="346" t="s">
        <v>105</v>
      </c>
      <c r="F2" s="8" t="s">
        <v>106</v>
      </c>
      <c r="G2" s="8" t="s">
        <v>107</v>
      </c>
      <c r="H2" s="8" t="s">
        <v>108</v>
      </c>
      <c r="I2" s="336" t="s">
        <v>109</v>
      </c>
      <c r="J2" s="338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333" t="s">
        <v>48</v>
      </c>
      <c r="AX2" s="334"/>
      <c r="AY2" s="335"/>
    </row>
    <row r="3" spans="1:226" ht="24.6" customHeight="1" thickBot="1">
      <c r="A3" s="341"/>
      <c r="B3" s="343"/>
      <c r="C3" s="343"/>
      <c r="D3" s="345"/>
      <c r="E3" s="347"/>
      <c r="F3" s="15" t="s">
        <v>118</v>
      </c>
      <c r="G3" s="15" t="s">
        <v>119</v>
      </c>
      <c r="H3" s="16" t="s">
        <v>120</v>
      </c>
      <c r="I3" s="337"/>
      <c r="J3" s="33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2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5</v>
      </c>
      <c r="B5" s="39">
        <f t="shared" ref="B5:B39" si="3">COUNTIF(K5:AO5,2)+COUNTIF(K5:AO5,"中")+COUNTIF(K5:AO5,"M2")+COUNTIF(K5:AO5,"T中")+COUNTIF(K5:AO5,"小夜")</f>
        <v>0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1">
        <v>3</v>
      </c>
      <c r="AJ5" s="120">
        <v>3</v>
      </c>
      <c r="AK5" s="120">
        <v>3</v>
      </c>
      <c r="AL5" s="30" t="s">
        <v>0</v>
      </c>
      <c r="AM5" s="32" t="s">
        <v>0</v>
      </c>
      <c r="AN5" s="30">
        <v>1</v>
      </c>
      <c r="AO5" s="48">
        <v>1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11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1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127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0</v>
      </c>
      <c r="AK6" s="53" t="s">
        <v>3</v>
      </c>
      <c r="AL6" s="30" t="s">
        <v>3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16</v>
      </c>
      <c r="E8" s="41">
        <f t="shared" si="6"/>
        <v>4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30" t="s">
        <v>3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0" t="s">
        <v>3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15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2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>
        <v>1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124" t="s">
        <v>5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>
        <v>1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 t="s">
        <v>36</v>
      </c>
      <c r="AJ10" s="30" t="s">
        <v>3</v>
      </c>
      <c r="AK10" s="30" t="s">
        <v>36</v>
      </c>
      <c r="AL10" s="30" t="s">
        <v>36</v>
      </c>
      <c r="AM10" s="17" t="s">
        <v>0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36</v>
      </c>
      <c r="AF12" s="30" t="s">
        <v>3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26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55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55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9</v>
      </c>
      <c r="B15" s="39">
        <f t="shared" si="3"/>
        <v>3</v>
      </c>
      <c r="C15" s="40">
        <f t="shared" si="4"/>
        <v>0</v>
      </c>
      <c r="D15" s="39">
        <f t="shared" si="5"/>
        <v>5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 t="s">
        <v>3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30" t="s">
        <v>0</v>
      </c>
      <c r="AK16" s="53" t="s">
        <v>3</v>
      </c>
      <c r="AL16" s="30" t="s">
        <v>36</v>
      </c>
      <c r="AM16" s="30" t="s">
        <v>0</v>
      </c>
      <c r="AN16" s="121">
        <v>2</v>
      </c>
      <c r="AO16" s="125">
        <v>2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-1</v>
      </c>
      <c r="AX16" s="6">
        <v>4</v>
      </c>
      <c r="AY16" s="6">
        <f t="shared" si="1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72">
        <v>1</v>
      </c>
      <c r="AK18" s="172">
        <v>1</v>
      </c>
      <c r="AL18" s="160" t="s">
        <v>0</v>
      </c>
      <c r="AM18" s="160" t="s">
        <v>36</v>
      </c>
      <c r="AN18" s="171">
        <v>1</v>
      </c>
      <c r="AO18" s="181" t="s">
        <v>0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0</v>
      </c>
      <c r="AX18" s="6">
        <v>3</v>
      </c>
      <c r="AY18" s="6">
        <f t="shared" si="13"/>
        <v>3</v>
      </c>
    </row>
    <row r="19" spans="1:226" s="50" customFormat="1" ht="25.5" customHeight="1">
      <c r="A19" s="23">
        <f t="shared" si="2"/>
        <v>1</v>
      </c>
      <c r="B19" s="24">
        <f t="shared" si="3"/>
        <v>14</v>
      </c>
      <c r="C19" s="25">
        <f t="shared" si="4"/>
        <v>3</v>
      </c>
      <c r="D19" s="24">
        <f t="shared" si="5"/>
        <v>0</v>
      </c>
      <c r="E19" s="26">
        <f t="shared" si="6"/>
        <v>2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29">
        <v>2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5</v>
      </c>
      <c r="B20" s="39">
        <f t="shared" si="3"/>
        <v>10</v>
      </c>
      <c r="C20" s="40">
        <f t="shared" si="4"/>
        <v>4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44" t="s">
        <v>0</v>
      </c>
      <c r="AH20" s="44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 t="s">
        <v>0</v>
      </c>
      <c r="AN20" s="30" t="s">
        <v>38</v>
      </c>
      <c r="AO20" s="48" t="s">
        <v>38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6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3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 t="s">
        <v>36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30" t="s">
        <v>0</v>
      </c>
      <c r="AH21" s="30">
        <v>1</v>
      </c>
      <c r="AI21" s="30" t="s">
        <v>38</v>
      </c>
      <c r="AJ21" s="30" t="s">
        <v>38</v>
      </c>
      <c r="AK21" s="30">
        <v>2</v>
      </c>
      <c r="AL21" s="30">
        <v>2</v>
      </c>
      <c r="AM21" s="30" t="s">
        <v>38</v>
      </c>
      <c r="AN21" s="44" t="s">
        <v>0</v>
      </c>
      <c r="AO21" s="123" t="s">
        <v>0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7</v>
      </c>
      <c r="B25" s="39">
        <f t="shared" si="3"/>
        <v>0</v>
      </c>
      <c r="C25" s="40">
        <f t="shared" si="4"/>
        <v>0</v>
      </c>
      <c r="D25" s="39">
        <f t="shared" si="5"/>
        <v>10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 t="s">
        <v>3</v>
      </c>
      <c r="R25" s="30">
        <v>1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>
        <v>1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6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 t="s">
        <v>36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19</v>
      </c>
      <c r="B27" s="39">
        <f t="shared" si="3"/>
        <v>0</v>
      </c>
      <c r="C27" s="40">
        <f t="shared" si="4"/>
        <v>1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3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2</v>
      </c>
      <c r="C30" s="40">
        <f t="shared" si="4"/>
        <v>6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 t="s">
        <v>0</v>
      </c>
      <c r="AI30" s="30">
        <v>2</v>
      </c>
      <c r="AJ30" s="30">
        <v>2</v>
      </c>
      <c r="AK30" s="41" t="s">
        <v>0</v>
      </c>
      <c r="AL30" s="46" t="s">
        <v>0</v>
      </c>
      <c r="AM30" s="46">
        <v>3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 t="s">
        <v>0</v>
      </c>
      <c r="AF32" s="60">
        <v>2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1</v>
      </c>
      <c r="B35" s="39">
        <f t="shared" si="3"/>
        <v>19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0</v>
      </c>
      <c r="AJ35" s="30" t="s">
        <v>36</v>
      </c>
      <c r="AK35" s="30" t="s">
        <v>38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3</v>
      </c>
      <c r="E43" s="41">
        <f t="shared" si="38"/>
        <v>0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0" t="s">
        <v>3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81</v>
      </c>
      <c r="AS52" s="91" cm="1">
        <f t="array" ref="AS52">SUMPRODUCT(COUNTIF(K40:AO45,{"N";"N8"}))</f>
        <v>23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63</v>
      </c>
      <c r="AS53" s="75">
        <f>SUMPRODUCT(COUNTIF(K40:AO45,{"S"}))</f>
        <v>4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5</v>
      </c>
      <c r="Y55" s="96">
        <f t="shared" si="56"/>
        <v>2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6</v>
      </c>
      <c r="AG55" s="96">
        <f t="shared" si="56"/>
        <v>0</v>
      </c>
      <c r="AH55" s="96">
        <f t="shared" si="56"/>
        <v>0</v>
      </c>
      <c r="AI55" s="96">
        <f t="shared" si="56"/>
        <v>4</v>
      </c>
      <c r="AJ55" s="96">
        <f t="shared" si="56"/>
        <v>5</v>
      </c>
      <c r="AK55" s="96">
        <f t="shared" si="56"/>
        <v>7</v>
      </c>
      <c r="AL55" s="96">
        <f t="shared" si="56"/>
        <v>6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18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10</v>
      </c>
      <c r="AF56" s="24">
        <f t="shared" si="57"/>
        <v>10</v>
      </c>
      <c r="AG56" s="24">
        <f t="shared" si="57"/>
        <v>21</v>
      </c>
      <c r="AH56" s="24">
        <f t="shared" si="57"/>
        <v>23</v>
      </c>
      <c r="AI56" s="24">
        <f t="shared" si="57"/>
        <v>15</v>
      </c>
      <c r="AJ56" s="24">
        <f t="shared" si="57"/>
        <v>13</v>
      </c>
      <c r="AK56" s="24">
        <f t="shared" si="57"/>
        <v>10</v>
      </c>
      <c r="AL56" s="24">
        <f t="shared" si="57"/>
        <v>11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5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2</v>
      </c>
      <c r="Y57" s="39">
        <f t="shared" si="58"/>
        <v>5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1</v>
      </c>
      <c r="AF57" s="39">
        <f t="shared" si="58"/>
        <v>3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0" cm="1">
        <f t="array" ref="R63">SUMPRODUCT(COUNTIF(R4:R18,{"1";"M1"}))</f>
        <v>1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2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sheetProtection algorithmName="SHA-512" hashValue="CUQyrheJXJ4sLKLc1dJ8FMwD78IuunFLpEaDzK3KTwXmyNQDTj/QOc15UJmZ3aGPAE0R9mNQCD0EhuOZR7UVsA==" saltValue="gEPDxGOECBazJJaX0fLICg==" spinCount="100000" sheet="1" objects="1" scenarios="1"/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4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3" priority="6">
      <formula>OR(K4="T中", K4="中", K4=2, K4="小夜")</formula>
    </cfRule>
    <cfRule type="expression" dxfId="22" priority="7">
      <formula>OR(K4="T早", K4="早", K4="M1", K4=1, K4="日")</formula>
    </cfRule>
    <cfRule type="expression" dxfId="21" priority="8">
      <formula>OR(K4="晚", K4=3, K4="大夜")</formula>
    </cfRule>
  </conditionalFormatting>
  <conditionalFormatting sqref="K46:AO54">
    <cfRule type="cellIs" dxfId="20" priority="727" operator="equal">
      <formula>5</formula>
    </cfRule>
    <cfRule type="cellIs" dxfId="19" priority="728" operator="equal">
      <formula>4</formula>
    </cfRule>
    <cfRule type="cellIs" dxfId="18" priority="729" operator="equal">
      <formula>3</formula>
    </cfRule>
    <cfRule type="cellIs" dxfId="17" priority="730" operator="equal">
      <formula>2</formula>
    </cfRule>
    <cfRule type="cellIs" dxfId="16" priority="731" operator="equal">
      <formula>1</formula>
    </cfRule>
  </conditionalFormatting>
  <conditionalFormatting sqref="K52:AO54">
    <cfRule type="cellIs" dxfId="15" priority="732" operator="equal">
      <formula>"T中"</formula>
    </cfRule>
  </conditionalFormatting>
  <conditionalFormatting sqref="AP25">
    <cfRule type="cellIs" dxfId="14" priority="735" operator="equal">
      <formula>"大夜"</formula>
    </cfRule>
    <cfRule type="cellIs" dxfId="13" priority="736" operator="equal">
      <formula>"晚"</formula>
    </cfRule>
    <cfRule type="cellIs" dxfId="12" priority="737" operator="equal">
      <formula>3</formula>
    </cfRule>
    <cfRule type="cellIs" dxfId="11" priority="738" operator="equal">
      <formula>"小夜"</formula>
    </cfRule>
    <cfRule type="cellIs" dxfId="10" priority="739" operator="equal">
      <formula>"T中"</formula>
    </cfRule>
    <cfRule type="cellIs" dxfId="9" priority="740" operator="equal">
      <formula>"中"</formula>
    </cfRule>
    <cfRule type="cellIs" dxfId="8" priority="741" operator="equal">
      <formula>"M2"</formula>
    </cfRule>
    <cfRule type="cellIs" dxfId="7" priority="742" operator="equal">
      <formula>2</formula>
    </cfRule>
    <cfRule type="cellIs" dxfId="6" priority="743" operator="equal">
      <formula>"日"</formula>
    </cfRule>
    <cfRule type="cellIs" dxfId="5" priority="744" operator="equal">
      <formula>"T早"</formula>
    </cfRule>
    <cfRule type="cellIs" dxfId="4" priority="745" operator="equal">
      <formula>"早"</formula>
    </cfRule>
    <cfRule type="cellIs" dxfId="3" priority="746" operator="equal">
      <formula>"M1"</formula>
    </cfRule>
    <cfRule type="cellIs" dxfId="2" priority="747" operator="equal">
      <formula>1</formula>
    </cfRule>
  </conditionalFormatting>
  <conditionalFormatting sqref="AS4:AS45">
    <cfRule type="cellIs" dxfId="1" priority="733" operator="equal">
      <formula>-2</formula>
    </cfRule>
    <cfRule type="cellIs" dxfId="0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01</vt:lpstr>
      <vt:lpstr>02</vt:lpstr>
      <vt:lpstr>03</vt:lpstr>
      <vt:lpstr>04</vt:lpstr>
      <vt:lpstr>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2026-04-24T07:53:03Z</dcterms:modified>
</cp:coreProperties>
</file>