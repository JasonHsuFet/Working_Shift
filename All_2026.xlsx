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ECA748AC-6474-433A-BDA6-A23F1718667B}" xr6:coauthVersionLast="47" xr6:coauthVersionMax="47" xr10:uidLastSave="{00000000-0000-0000-0000-000000000000}"/>
  <bookViews>
    <workbookView xWindow="-108" yWindow="-108" windowWidth="23256" windowHeight="12576" activeTab="8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3880C30_E311_4DE4_96DE_9B46BB6A8D37_.wvu.FilterData" localSheetId="8" hidden="1">'09'!$AS$3:$AS$58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244B5B0_212B_4FBF_82F9_F588D1DDBE55_.wvu.FilterData" localSheetId="8" hidden="1">'09'!$AS$3:$AS$58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C34905_1601_4E5B_ACB5_480E1D8DEC31_.wvu.FilterData" localSheetId="8" hidden="1">'09'!$AS$3:$AS$58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F095E16_EFE7_4E8C_9FDD_D82226DB3762_.wvu.FilterData" localSheetId="8" hidden="1">'09'!$AS$3:$AS$58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DC1D2_F6A5_4780_BE2C_9EF4309C35C5_.wvu.FilterData" localSheetId="8" hidden="1">'09'!$AS$3:$AS$58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498531C_126E_4039_8DBD_A68A690FB243_.wvu.FilterData" localSheetId="8" hidden="1">'09'!$AS$3:$AS$58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477163_0230_4EA2_B409_15D15F578FD4_.wvu.FilterData" localSheetId="8" hidden="1">'09'!$AS$3:$AS$58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F3472EB_D2CA_45EF_B105_88D28EFE2989_.wvu.FilterData" localSheetId="8" hidden="1">'09'!$AS$3:$AS$58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B0261416_10FA_4EA7_9B1A_373D3E77FF98_.wvu.FilterData" localSheetId="8" hidden="1">'09'!$AS$3:$AS$58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675FB5_168D_4EC7_9395_5DE064850FC1_.wvu.FilterData" localSheetId="8" hidden="1">'09'!$AS$3:$AS$58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CC51770_0B7C_4318_82DD_1BF78E5E9554_.wvu.FilterData" localSheetId="8" hidden="1">'09'!$AS$3:$AS$58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32125AC_58EB_478E_AC6D_A6F58CEA4EE0_.wvu.FilterData" localSheetId="8" hidden="1">'09'!$AS$3:$AS$58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CEE278_AFC6_4210_8796_E55A1FE1F60B_.wvu.FilterData" localSheetId="8" hidden="1">'09'!$AS$3:$AS$58</definedName>
    <definedName name="Z_FDE4F21F_07B1_48EF_9661_F0A29AFE0CA7_.wvu.FilterData" localSheetId="8" hidden="1">'09'!$AS$3:$AS$58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6" l="1"/>
  <c r="G17" i="26"/>
  <c r="H17" i="26"/>
  <c r="AV6" i="26" a="1"/>
  <c r="AV6" i="26" s="1"/>
  <c r="AV7" i="26" a="1"/>
  <c r="AV7" i="26" s="1"/>
  <c r="AV9" i="26" a="1"/>
  <c r="AV9" i="26" s="1"/>
  <c r="AV10" i="26" a="1"/>
  <c r="AV10" i="26" s="1"/>
  <c r="AV11" i="26" a="1"/>
  <c r="AV11" i="26" s="1"/>
  <c r="AV12" i="26" a="1"/>
  <c r="AV12" i="26" s="1"/>
  <c r="AV13" i="26" a="1"/>
  <c r="AV13" i="26" s="1"/>
  <c r="AV15" i="26" a="1"/>
  <c r="AV15" i="26" s="1"/>
  <c r="AV16" i="26" a="1"/>
  <c r="AV16" i="26" s="1"/>
  <c r="AV17" i="26" a="1"/>
  <c r="AV17" i="26" s="1"/>
  <c r="AV18" i="26" a="1"/>
  <c r="AV18" i="26" s="1"/>
  <c r="AV4" i="26" a="1"/>
  <c r="AV4" i="26" s="1"/>
  <c r="A41" i="26"/>
  <c r="B41" i="26"/>
  <c r="C41" i="26"/>
  <c r="D41" i="26"/>
  <c r="E41" i="26"/>
  <c r="F41" i="26"/>
  <c r="G41" i="26"/>
  <c r="H41" i="26"/>
  <c r="A42" i="26"/>
  <c r="B42" i="26"/>
  <c r="C42" i="26"/>
  <c r="D42" i="26"/>
  <c r="E42" i="26"/>
  <c r="F42" i="26"/>
  <c r="G42" i="26"/>
  <c r="H42" i="26"/>
  <c r="AR53" i="26" a="1"/>
  <c r="AR53" i="26" s="1"/>
  <c r="A45" i="26"/>
  <c r="B45" i="26"/>
  <c r="C45" i="26"/>
  <c r="D45" i="26"/>
  <c r="E45" i="26"/>
  <c r="F45" i="26"/>
  <c r="G45" i="26"/>
  <c r="H45" i="26"/>
  <c r="A6" i="26"/>
  <c r="B6" i="26"/>
  <c r="C6" i="26"/>
  <c r="D6" i="26"/>
  <c r="E6" i="26"/>
  <c r="F6" i="26"/>
  <c r="G6" i="26"/>
  <c r="H6" i="26"/>
  <c r="A7" i="26"/>
  <c r="B7" i="26"/>
  <c r="C7" i="26"/>
  <c r="D7" i="26"/>
  <c r="E7" i="26"/>
  <c r="F7" i="26"/>
  <c r="G7" i="26"/>
  <c r="H7" i="26"/>
  <c r="A8" i="26"/>
  <c r="B8" i="26"/>
  <c r="C8" i="26"/>
  <c r="D8" i="26"/>
  <c r="E8" i="26"/>
  <c r="F8" i="26"/>
  <c r="G8" i="26"/>
  <c r="H8" i="26"/>
  <c r="A9" i="26"/>
  <c r="B9" i="26"/>
  <c r="C9" i="26"/>
  <c r="D9" i="26"/>
  <c r="E9" i="26"/>
  <c r="F9" i="26"/>
  <c r="G9" i="26"/>
  <c r="H9" i="26"/>
  <c r="A10" i="26"/>
  <c r="B10" i="26"/>
  <c r="C10" i="26"/>
  <c r="D10" i="26"/>
  <c r="E10" i="26"/>
  <c r="F10" i="26"/>
  <c r="G10" i="26"/>
  <c r="H10" i="26"/>
  <c r="A11" i="26"/>
  <c r="B11" i="26"/>
  <c r="C11" i="26"/>
  <c r="D11" i="26"/>
  <c r="E11" i="26"/>
  <c r="F11" i="26"/>
  <c r="G11" i="26"/>
  <c r="H11" i="26"/>
  <c r="A12" i="26"/>
  <c r="B12" i="26"/>
  <c r="C12" i="26"/>
  <c r="D12" i="26"/>
  <c r="E12" i="26"/>
  <c r="F12" i="26"/>
  <c r="G12" i="26"/>
  <c r="H12" i="26"/>
  <c r="A13" i="26"/>
  <c r="B13" i="26"/>
  <c r="C13" i="26"/>
  <c r="D13" i="26"/>
  <c r="E13" i="26"/>
  <c r="F13" i="26"/>
  <c r="G13" i="26"/>
  <c r="H13" i="26"/>
  <c r="I42" i="26" l="1"/>
  <c r="I13" i="26"/>
  <c r="I41" i="26"/>
  <c r="I7" i="26"/>
  <c r="I11" i="26"/>
  <c r="I45" i="26"/>
  <c r="I8" i="26"/>
  <c r="I12" i="26"/>
  <c r="I9" i="26"/>
  <c r="I6" i="26"/>
  <c r="I10" i="26"/>
  <c r="K52" i="26"/>
  <c r="L52" i="26"/>
  <c r="M52" i="26"/>
  <c r="N52" i="26"/>
  <c r="O52" i="26"/>
  <c r="P52" i="26"/>
  <c r="Q52" i="26"/>
  <c r="R52" i="26"/>
  <c r="S52" i="26"/>
  <c r="T52" i="26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AJ52" i="26"/>
  <c r="AK52" i="26"/>
  <c r="AL52" i="26"/>
  <c r="AM52" i="26"/>
  <c r="AN52" i="26"/>
  <c r="K53" i="26"/>
  <c r="L53" i="26"/>
  <c r="M53" i="26"/>
  <c r="N53" i="26"/>
  <c r="O53" i="26"/>
  <c r="P53" i="26"/>
  <c r="Q53" i="26"/>
  <c r="R53" i="26"/>
  <c r="S53" i="26"/>
  <c r="T53" i="26"/>
  <c r="U53" i="26"/>
  <c r="V53" i="26"/>
  <c r="W53" i="26"/>
  <c r="X53" i="26"/>
  <c r="Y53" i="26"/>
  <c r="Z53" i="26"/>
  <c r="AA53" i="26"/>
  <c r="AB53" i="26"/>
  <c r="AC53" i="26"/>
  <c r="AD53" i="26"/>
  <c r="AE53" i="26"/>
  <c r="AF53" i="26"/>
  <c r="AG53" i="26"/>
  <c r="AH53" i="26"/>
  <c r="AI53" i="26"/>
  <c r="AJ53" i="26"/>
  <c r="AK53" i="26"/>
  <c r="AL53" i="26"/>
  <c r="AM53" i="26"/>
  <c r="AN53" i="26"/>
  <c r="K46" i="26" a="1"/>
  <c r="K46" i="26" s="1"/>
  <c r="L46" i="26" a="1"/>
  <c r="L46" i="26" s="1"/>
  <c r="M46" i="26" a="1"/>
  <c r="M46" i="26" s="1"/>
  <c r="N46" i="26" a="1"/>
  <c r="N46" i="26" s="1"/>
  <c r="O46" i="26" a="1"/>
  <c r="O46" i="26" s="1"/>
  <c r="P46" i="26" a="1"/>
  <c r="P46" i="26" s="1"/>
  <c r="Q46" i="26" a="1"/>
  <c r="Q46" i="26" s="1"/>
  <c r="R46" i="26" a="1"/>
  <c r="R46" i="26" s="1"/>
  <c r="S46" i="26" a="1"/>
  <c r="S46" i="26" s="1"/>
  <c r="T46" i="26" a="1"/>
  <c r="T46" i="26" s="1"/>
  <c r="U46" i="26" a="1"/>
  <c r="U46" i="26" s="1"/>
  <c r="V46" i="26" a="1"/>
  <c r="V46" i="26" s="1"/>
  <c r="W46" i="26" a="1"/>
  <c r="W46" i="26" s="1"/>
  <c r="X46" i="26" a="1"/>
  <c r="X46" i="26" s="1"/>
  <c r="Y46" i="26" a="1"/>
  <c r="Y46" i="26" s="1"/>
  <c r="Z46" i="26" a="1"/>
  <c r="Z46" i="26" s="1"/>
  <c r="AA46" i="26" a="1"/>
  <c r="AA46" i="26" s="1"/>
  <c r="AB46" i="26" a="1"/>
  <c r="AB46" i="26" s="1"/>
  <c r="AC46" i="26" a="1"/>
  <c r="AC46" i="26" s="1"/>
  <c r="AD46" i="26" a="1"/>
  <c r="AD46" i="26" s="1"/>
  <c r="AE46" i="26" a="1"/>
  <c r="AE46" i="26" s="1"/>
  <c r="AF46" i="26" a="1"/>
  <c r="AF46" i="26" s="1"/>
  <c r="AG46" i="26" a="1"/>
  <c r="AG46" i="26" s="1"/>
  <c r="AH46" i="26" a="1"/>
  <c r="AH46" i="26" s="1"/>
  <c r="AI46" i="26" a="1"/>
  <c r="AI46" i="26" s="1"/>
  <c r="AJ46" i="26" a="1"/>
  <c r="AJ46" i="26" s="1"/>
  <c r="AK46" i="26" a="1"/>
  <c r="AK46" i="26" s="1"/>
  <c r="AL46" i="26" a="1"/>
  <c r="AL46" i="26" s="1"/>
  <c r="AM46" i="26" a="1"/>
  <c r="AM46" i="26" s="1"/>
  <c r="AN46" i="26" a="1"/>
  <c r="AN46" i="26" s="1"/>
  <c r="K47" i="26" a="1"/>
  <c r="K47" i="26" s="1"/>
  <c r="L47" i="26" a="1"/>
  <c r="L47" i="26" s="1"/>
  <c r="M47" i="26" a="1"/>
  <c r="M47" i="26" s="1"/>
  <c r="N47" i="26" a="1"/>
  <c r="N47" i="26" s="1"/>
  <c r="O47" i="26" a="1"/>
  <c r="O47" i="26" s="1"/>
  <c r="P47" i="26" a="1"/>
  <c r="P47" i="26" s="1"/>
  <c r="Q47" i="26" a="1"/>
  <c r="Q47" i="26" s="1"/>
  <c r="R47" i="26" a="1"/>
  <c r="R47" i="26" s="1"/>
  <c r="S47" i="26" a="1"/>
  <c r="S47" i="26" s="1"/>
  <c r="T47" i="26" a="1"/>
  <c r="T47" i="26" s="1"/>
  <c r="U47" i="26" a="1"/>
  <c r="U47" i="26" s="1"/>
  <c r="V47" i="26" a="1"/>
  <c r="V47" i="26" s="1"/>
  <c r="W47" i="26" a="1"/>
  <c r="W47" i="26" s="1"/>
  <c r="X47" i="26" a="1"/>
  <c r="X47" i="26" s="1"/>
  <c r="Y47" i="26" a="1"/>
  <c r="Y47" i="26" s="1"/>
  <c r="Z47" i="26" a="1"/>
  <c r="Z47" i="26" s="1"/>
  <c r="AA47" i="26" a="1"/>
  <c r="AA47" i="26" s="1"/>
  <c r="AB47" i="26" a="1"/>
  <c r="AB47" i="26" s="1"/>
  <c r="AC47" i="26" a="1"/>
  <c r="AC47" i="26" s="1"/>
  <c r="AD47" i="26" a="1"/>
  <c r="AD47" i="26" s="1"/>
  <c r="AE47" i="26" a="1"/>
  <c r="AE47" i="26" s="1"/>
  <c r="AF47" i="26" a="1"/>
  <c r="AF47" i="26" s="1"/>
  <c r="AG47" i="26" a="1"/>
  <c r="AG47" i="26" s="1"/>
  <c r="AH47" i="26" a="1"/>
  <c r="AH47" i="26" s="1"/>
  <c r="AI47" i="26" a="1"/>
  <c r="AI47" i="26" s="1"/>
  <c r="AJ47" i="26" a="1"/>
  <c r="AJ47" i="26" s="1"/>
  <c r="AK47" i="26" a="1"/>
  <c r="AK47" i="26" s="1"/>
  <c r="AL47" i="26" a="1"/>
  <c r="AL47" i="26" s="1"/>
  <c r="AM47" i="26" a="1"/>
  <c r="AM47" i="26" s="1"/>
  <c r="AN47" i="26" a="1"/>
  <c r="AN47" i="26" s="1"/>
  <c r="K48" i="26"/>
  <c r="L48" i="26"/>
  <c r="M48" i="26"/>
  <c r="N48" i="26"/>
  <c r="O48" i="26"/>
  <c r="P48" i="26"/>
  <c r="Q48" i="26"/>
  <c r="R48" i="26"/>
  <c r="S48" i="26"/>
  <c r="T48" i="26"/>
  <c r="U48" i="26"/>
  <c r="V48" i="26"/>
  <c r="W48" i="26"/>
  <c r="X48" i="26"/>
  <c r="Y48" i="26"/>
  <c r="Z48" i="26"/>
  <c r="AA48" i="26"/>
  <c r="AB48" i="26"/>
  <c r="AC48" i="26"/>
  <c r="AD48" i="26"/>
  <c r="AE48" i="26"/>
  <c r="AF48" i="26"/>
  <c r="AG48" i="26"/>
  <c r="AH48" i="26"/>
  <c r="AI48" i="26"/>
  <c r="AJ48" i="26"/>
  <c r="AK48" i="26"/>
  <c r="AL48" i="26"/>
  <c r="AM48" i="26"/>
  <c r="AN48" i="26"/>
  <c r="K49" i="26" a="1"/>
  <c r="K49" i="26" s="1"/>
  <c r="L49" i="26" a="1"/>
  <c r="L49" i="26" s="1"/>
  <c r="M49" i="26" a="1"/>
  <c r="M49" i="26" s="1"/>
  <c r="N49" i="26" a="1"/>
  <c r="N49" i="26" s="1"/>
  <c r="O49" i="26" a="1"/>
  <c r="O49" i="26" s="1"/>
  <c r="P49" i="26" a="1"/>
  <c r="P49" i="26" s="1"/>
  <c r="Q49" i="26" a="1"/>
  <c r="Q49" i="26" s="1"/>
  <c r="R49" i="26" a="1"/>
  <c r="R49" i="26" s="1"/>
  <c r="S49" i="26" a="1"/>
  <c r="S49" i="26" s="1"/>
  <c r="T49" i="26" a="1"/>
  <c r="T49" i="26" s="1"/>
  <c r="U49" i="26" a="1"/>
  <c r="U49" i="26" s="1"/>
  <c r="V49" i="26" a="1"/>
  <c r="V49" i="26" s="1"/>
  <c r="W49" i="26" a="1"/>
  <c r="W49" i="26" s="1"/>
  <c r="X49" i="26" a="1"/>
  <c r="X49" i="26" s="1"/>
  <c r="Y49" i="26" a="1"/>
  <c r="Y49" i="26" s="1"/>
  <c r="Z49" i="26" a="1"/>
  <c r="Z49" i="26" s="1"/>
  <c r="AA49" i="26" a="1"/>
  <c r="AA49" i="26" s="1"/>
  <c r="AB49" i="26" a="1"/>
  <c r="AB49" i="26" s="1"/>
  <c r="AC49" i="26" a="1"/>
  <c r="AC49" i="26" s="1"/>
  <c r="AD49" i="26" a="1"/>
  <c r="AD49" i="26" s="1"/>
  <c r="AE49" i="26" a="1"/>
  <c r="AE49" i="26" s="1"/>
  <c r="AF49" i="26" a="1"/>
  <c r="AF49" i="26" s="1"/>
  <c r="AG49" i="26" a="1"/>
  <c r="AG49" i="26" s="1"/>
  <c r="AH49" i="26" a="1"/>
  <c r="AH49" i="26" s="1"/>
  <c r="AI49" i="26" a="1"/>
  <c r="AI49" i="26" s="1"/>
  <c r="AJ49" i="26" a="1"/>
  <c r="AJ49" i="26" s="1"/>
  <c r="AK49" i="26" a="1"/>
  <c r="AK49" i="26" s="1"/>
  <c r="AL49" i="26" a="1"/>
  <c r="AL49" i="26" s="1"/>
  <c r="AM49" i="26" a="1"/>
  <c r="AM49" i="26" s="1"/>
  <c r="AN49" i="26" a="1"/>
  <c r="AN49" i="26" s="1"/>
  <c r="K50" i="26" a="1"/>
  <c r="K50" i="26" s="1"/>
  <c r="L50" i="26" a="1"/>
  <c r="L50" i="26" s="1"/>
  <c r="M50" i="26" a="1"/>
  <c r="M50" i="26" s="1"/>
  <c r="N50" i="26" a="1"/>
  <c r="N50" i="26" s="1"/>
  <c r="O50" i="26" a="1"/>
  <c r="O50" i="26" s="1"/>
  <c r="P50" i="26" a="1"/>
  <c r="P50" i="26" s="1"/>
  <c r="Q50" i="26" a="1"/>
  <c r="Q50" i="26" s="1"/>
  <c r="R50" i="26" a="1"/>
  <c r="R50" i="26" s="1"/>
  <c r="S50" i="26" a="1"/>
  <c r="S50" i="26" s="1"/>
  <c r="T50" i="26" a="1"/>
  <c r="T50" i="26" s="1"/>
  <c r="U50" i="26" a="1"/>
  <c r="U50" i="26" s="1"/>
  <c r="V50" i="26" a="1"/>
  <c r="V50" i="26" s="1"/>
  <c r="W50" i="26" a="1"/>
  <c r="W50" i="26" s="1"/>
  <c r="X50" i="26" a="1"/>
  <c r="X50" i="26" s="1"/>
  <c r="Y50" i="26" a="1"/>
  <c r="Y50" i="26" s="1"/>
  <c r="Z50" i="26" a="1"/>
  <c r="Z50" i="26" s="1"/>
  <c r="AA50" i="26" a="1"/>
  <c r="AA50" i="26" s="1"/>
  <c r="AB50" i="26" a="1"/>
  <c r="AB50" i="26" s="1"/>
  <c r="AC50" i="26" a="1"/>
  <c r="AC50" i="26" s="1"/>
  <c r="AD50" i="26" a="1"/>
  <c r="AD50" i="26" s="1"/>
  <c r="AE50" i="26" a="1"/>
  <c r="AE50" i="26" s="1"/>
  <c r="AF50" i="26" a="1"/>
  <c r="AF50" i="26" s="1"/>
  <c r="AG50" i="26" a="1"/>
  <c r="AG50" i="26" s="1"/>
  <c r="AH50" i="26" a="1"/>
  <c r="AH50" i="26" s="1"/>
  <c r="AI50" i="26" a="1"/>
  <c r="AI50" i="26" s="1"/>
  <c r="AJ50" i="26" a="1"/>
  <c r="AJ50" i="26" s="1"/>
  <c r="AK50" i="26" a="1"/>
  <c r="AK50" i="26" s="1"/>
  <c r="AL50" i="26" a="1"/>
  <c r="AL50" i="26" s="1"/>
  <c r="AM50" i="26" a="1"/>
  <c r="AM50" i="26" s="1"/>
  <c r="AN50" i="26" a="1"/>
  <c r="AN50" i="26" s="1"/>
  <c r="K51" i="26"/>
  <c r="L51" i="26"/>
  <c r="M51" i="26"/>
  <c r="N51" i="26"/>
  <c r="O51" i="26"/>
  <c r="P51" i="26"/>
  <c r="Q51" i="26"/>
  <c r="R51" i="26"/>
  <c r="S51" i="26"/>
  <c r="T5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AJ51" i="26"/>
  <c r="AK51" i="26"/>
  <c r="AL51" i="26"/>
  <c r="AM51" i="26"/>
  <c r="AN51" i="26"/>
  <c r="AN63" i="26" a="1"/>
  <c r="AN63" i="26" s="1"/>
  <c r="AM63" i="26" a="1"/>
  <c r="AM63" i="26" s="1"/>
  <c r="AL63" i="26" a="1"/>
  <c r="AL63" i="26" s="1"/>
  <c r="AK63" i="26" a="1"/>
  <c r="AK63" i="26" s="1"/>
  <c r="AJ63" i="26" a="1"/>
  <c r="AJ63" i="26" s="1"/>
  <c r="AI63" i="26" a="1"/>
  <c r="AI63" i="26" s="1"/>
  <c r="AH63" i="26" a="1"/>
  <c r="AH63" i="26" s="1"/>
  <c r="AG63" i="26" a="1"/>
  <c r="AG63" i="26" s="1"/>
  <c r="AF63" i="26" a="1"/>
  <c r="AF63" i="26" s="1"/>
  <c r="AE63" i="26" a="1"/>
  <c r="AE63" i="26" s="1"/>
  <c r="AD63" i="26" a="1"/>
  <c r="AD63" i="26" s="1"/>
  <c r="AC63" i="26" a="1"/>
  <c r="AC63" i="26" s="1"/>
  <c r="AB63" i="26" a="1"/>
  <c r="AB63" i="26" s="1"/>
  <c r="AA63" i="26" a="1"/>
  <c r="AA63" i="26" s="1"/>
  <c r="Z63" i="26" a="1"/>
  <c r="Z63" i="26" s="1"/>
  <c r="Y63" i="26" a="1"/>
  <c r="Y63" i="26" s="1"/>
  <c r="X63" i="26" a="1"/>
  <c r="X63" i="26" s="1"/>
  <c r="W63" i="26" a="1"/>
  <c r="W63" i="26" s="1"/>
  <c r="V63" i="26" a="1"/>
  <c r="V63" i="26" s="1"/>
  <c r="U63" i="26" a="1"/>
  <c r="U63" i="26" s="1"/>
  <c r="T63" i="26" a="1"/>
  <c r="T63" i="26" s="1"/>
  <c r="S63" i="26" a="1"/>
  <c r="S63" i="26" s="1"/>
  <c r="R63" i="26" a="1"/>
  <c r="R63" i="26" s="1"/>
  <c r="Q63" i="26" a="1"/>
  <c r="Q63" i="26" s="1"/>
  <c r="P63" i="26" a="1"/>
  <c r="P63" i="26" s="1"/>
  <c r="O63" i="26" a="1"/>
  <c r="O63" i="26" s="1"/>
  <c r="N63" i="26" a="1"/>
  <c r="N63" i="26" s="1"/>
  <c r="M63" i="26" a="1"/>
  <c r="M63" i="26" s="1"/>
  <c r="L63" i="26" a="1"/>
  <c r="L63" i="26" s="1"/>
  <c r="K63" i="26" a="1"/>
  <c r="K63" i="26" s="1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AQ53" i="26"/>
  <c r="AR52" i="26" a="1"/>
  <c r="AR52" i="26" s="1"/>
  <c r="AQ52" i="26" a="1"/>
  <c r="AQ52" i="26" s="1"/>
  <c r="AR51" i="26"/>
  <c r="AQ51" i="26"/>
  <c r="AR50" i="26"/>
  <c r="AQ50" i="26"/>
  <c r="AR49" i="26"/>
  <c r="AQ49" i="26"/>
  <c r="AR48" i="26"/>
  <c r="AQ48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3" i="26"/>
  <c r="G33" i="26"/>
  <c r="F33" i="26"/>
  <c r="E33" i="26"/>
  <c r="D33" i="26"/>
  <c r="C33" i="26"/>
  <c r="B33" i="26"/>
  <c r="A33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AX18" i="26"/>
  <c r="H18" i="26"/>
  <c r="G18" i="26"/>
  <c r="F18" i="26"/>
  <c r="E18" i="26"/>
  <c r="D18" i="26"/>
  <c r="C18" i="26"/>
  <c r="B18" i="26"/>
  <c r="A18" i="26"/>
  <c r="AX17" i="26"/>
  <c r="E17" i="26"/>
  <c r="D17" i="26"/>
  <c r="C17" i="26"/>
  <c r="B17" i="26"/>
  <c r="A17" i="26"/>
  <c r="AX16" i="26"/>
  <c r="H16" i="26"/>
  <c r="G16" i="26"/>
  <c r="F16" i="26"/>
  <c r="E16" i="26"/>
  <c r="D16" i="26"/>
  <c r="C16" i="26"/>
  <c r="B16" i="26"/>
  <c r="A16" i="26"/>
  <c r="AX15" i="26"/>
  <c r="H15" i="26"/>
  <c r="G15" i="26"/>
  <c r="F15" i="26"/>
  <c r="E15" i="26"/>
  <c r="D15" i="26"/>
  <c r="C15" i="26"/>
  <c r="B15" i="26"/>
  <c r="A15" i="26"/>
  <c r="H14" i="26"/>
  <c r="G14" i="26"/>
  <c r="F14" i="26"/>
  <c r="E14" i="26"/>
  <c r="D14" i="26"/>
  <c r="C14" i="26"/>
  <c r="B14" i="26"/>
  <c r="A14" i="26"/>
  <c r="AX13" i="26"/>
  <c r="AP13" i="26"/>
  <c r="AR13" i="26" s="1"/>
  <c r="AX12" i="26"/>
  <c r="AX11" i="26"/>
  <c r="AX10" i="26"/>
  <c r="AX9" i="26"/>
  <c r="AX7" i="26"/>
  <c r="AX6" i="26"/>
  <c r="AP6" i="26"/>
  <c r="AR6" i="26" s="1"/>
  <c r="H5" i="26"/>
  <c r="G5" i="26"/>
  <c r="F5" i="26"/>
  <c r="E5" i="26"/>
  <c r="D5" i="26"/>
  <c r="C5" i="26"/>
  <c r="B5" i="26"/>
  <c r="A5" i="26"/>
  <c r="AX4" i="26"/>
  <c r="H4" i="26"/>
  <c r="G4" i="26"/>
  <c r="F4" i="26"/>
  <c r="E4" i="26"/>
  <c r="D4" i="26"/>
  <c r="C4" i="26"/>
  <c r="B4" i="26"/>
  <c r="A4" i="26"/>
  <c r="AP5" i="26" l="1"/>
  <c r="AR5" i="26" s="1"/>
  <c r="AR57" i="26"/>
  <c r="U60" i="26"/>
  <c r="AP15" i="26"/>
  <c r="AR15" i="26" s="1"/>
  <c r="S54" i="26"/>
  <c r="S59" i="26" s="1"/>
  <c r="AP43" i="26"/>
  <c r="AR43" i="26" s="1"/>
  <c r="I35" i="26"/>
  <c r="L54" i="26"/>
  <c r="L59" i="26" s="1"/>
  <c r="AA54" i="26"/>
  <c r="AA59" i="26" s="1"/>
  <c r="M54" i="26"/>
  <c r="M59" i="26" s="1"/>
  <c r="AP17" i="26"/>
  <c r="AR17" i="26" s="1"/>
  <c r="Z54" i="26"/>
  <c r="Z59" i="26" s="1"/>
  <c r="AP8" i="26"/>
  <c r="AR8" i="26" s="1"/>
  <c r="Y54" i="26"/>
  <c r="Y59" i="26" s="1"/>
  <c r="I5" i="26"/>
  <c r="AP19" i="26"/>
  <c r="AR19" i="26" s="1"/>
  <c r="AP29" i="26"/>
  <c r="AR29" i="26" s="1"/>
  <c r="AP31" i="26"/>
  <c r="AR31" i="26" s="1"/>
  <c r="AN54" i="26"/>
  <c r="AN59" i="26" s="1"/>
  <c r="W54" i="26"/>
  <c r="W59" i="26" s="1"/>
  <c r="T54" i="26"/>
  <c r="T59" i="26" s="1"/>
  <c r="Q54" i="26"/>
  <c r="Q59" i="26" s="1"/>
  <c r="AP38" i="26"/>
  <c r="AR38" i="26" s="1"/>
  <c r="AP40" i="26"/>
  <c r="AR40" i="26" s="1"/>
  <c r="AE54" i="26"/>
  <c r="AE59" i="26" s="1"/>
  <c r="AD54" i="26"/>
  <c r="AD59" i="26" s="1"/>
  <c r="N54" i="26"/>
  <c r="N59" i="26" s="1"/>
  <c r="X54" i="26"/>
  <c r="X59" i="26" s="1"/>
  <c r="AF54" i="26"/>
  <c r="AF59" i="26" s="1"/>
  <c r="R54" i="26"/>
  <c r="R59" i="26" s="1"/>
  <c r="K54" i="26"/>
  <c r="K59" i="26" s="1"/>
  <c r="V54" i="26"/>
  <c r="V59" i="26" s="1"/>
  <c r="AP25" i="26"/>
  <c r="AR25" i="26" s="1"/>
  <c r="AP23" i="26"/>
  <c r="AR23" i="26" s="1"/>
  <c r="U54" i="26"/>
  <c r="U59" i="26" s="1"/>
  <c r="AH54" i="26"/>
  <c r="AH59" i="26" s="1"/>
  <c r="AC54" i="26"/>
  <c r="AC59" i="26" s="1"/>
  <c r="AB54" i="26"/>
  <c r="AB59" i="26" s="1"/>
  <c r="AP14" i="26"/>
  <c r="AR14" i="26" s="1"/>
  <c r="P60" i="26"/>
  <c r="P54" i="26"/>
  <c r="P59" i="26" s="1"/>
  <c r="O54" i="26"/>
  <c r="O59" i="26" s="1"/>
  <c r="W60" i="26"/>
  <c r="AH60" i="26"/>
  <c r="AP10" i="26"/>
  <c r="AR10" i="26" s="1"/>
  <c r="AG54" i="26"/>
  <c r="AG59" i="26" s="1"/>
  <c r="V60" i="26"/>
  <c r="AI54" i="26"/>
  <c r="AI59" i="26" s="1"/>
  <c r="AJ54" i="26"/>
  <c r="AJ59" i="26" s="1"/>
  <c r="AK54" i="26"/>
  <c r="AK59" i="26" s="1"/>
  <c r="AL54" i="26"/>
  <c r="AL59" i="26" s="1"/>
  <c r="AL60" i="26"/>
  <c r="AF60" i="26"/>
  <c r="AM54" i="26"/>
  <c r="AM59" i="26" s="1"/>
  <c r="AM60" i="26"/>
  <c r="AK60" i="26"/>
  <c r="I44" i="26"/>
  <c r="I34" i="26"/>
  <c r="I36" i="26"/>
  <c r="I40" i="26"/>
  <c r="R60" i="26"/>
  <c r="I33" i="26"/>
  <c r="AP16" i="26"/>
  <c r="AR16" i="26" s="1"/>
  <c r="T60" i="26"/>
  <c r="AJ60" i="26"/>
  <c r="AQ57" i="26"/>
  <c r="AP22" i="26"/>
  <c r="AR22" i="26" s="1"/>
  <c r="I24" i="26"/>
  <c r="AP32" i="26"/>
  <c r="AR32" i="26" s="1"/>
  <c r="AP34" i="26"/>
  <c r="AR34" i="26" s="1"/>
  <c r="Z60" i="26"/>
  <c r="M60" i="26"/>
  <c r="AC60" i="26"/>
  <c r="I4" i="26"/>
  <c r="AP37" i="26"/>
  <c r="AR37" i="26" s="1"/>
  <c r="I27" i="26"/>
  <c r="I39" i="26"/>
  <c r="X60" i="26"/>
  <c r="AN60" i="26"/>
  <c r="AP33" i="26"/>
  <c r="AR33" i="26" s="1"/>
  <c r="Y60" i="26"/>
  <c r="K60" i="26"/>
  <c r="AA60" i="26"/>
  <c r="AP12" i="26"/>
  <c r="AR12" i="26" s="1"/>
  <c r="AP7" i="26"/>
  <c r="AR7" i="26" s="1"/>
  <c r="I18" i="26"/>
  <c r="I21" i="26"/>
  <c r="I22" i="26"/>
  <c r="I26" i="26"/>
  <c r="I28" i="26"/>
  <c r="AP9" i="26"/>
  <c r="AR9" i="26" s="1"/>
  <c r="I32" i="26"/>
  <c r="AP35" i="26"/>
  <c r="AR35" i="26" s="1"/>
  <c r="AP39" i="26"/>
  <c r="AR39" i="26" s="1"/>
  <c r="I20" i="26"/>
  <c r="AP41" i="26"/>
  <c r="AR41" i="26" s="1"/>
  <c r="I43" i="26"/>
  <c r="O60" i="26"/>
  <c r="AE60" i="26"/>
  <c r="Q60" i="26"/>
  <c r="AG60" i="26"/>
  <c r="AP45" i="26"/>
  <c r="AR45" i="26" s="1"/>
  <c r="AP11" i="26"/>
  <c r="AR11" i="26" s="1"/>
  <c r="AP18" i="26"/>
  <c r="AR18" i="26" s="1"/>
  <c r="I30" i="26"/>
  <c r="I38" i="26"/>
  <c r="I17" i="26"/>
  <c r="AP20" i="26"/>
  <c r="AR20" i="26" s="1"/>
  <c r="AP26" i="26"/>
  <c r="AR26" i="26" s="1"/>
  <c r="AP28" i="26"/>
  <c r="AR28" i="26" s="1"/>
  <c r="AP30" i="26"/>
  <c r="AR30" i="26" s="1"/>
  <c r="I19" i="26"/>
  <c r="I25" i="26"/>
  <c r="I29" i="26"/>
  <c r="I31" i="26"/>
  <c r="S60" i="26"/>
  <c r="AI60" i="26"/>
  <c r="I23" i="26"/>
  <c r="AP36" i="26"/>
  <c r="AR36" i="26" s="1"/>
  <c r="AP42" i="26"/>
  <c r="AR42" i="26" s="1"/>
  <c r="I14" i="26"/>
  <c r="AP44" i="26"/>
  <c r="AR44" i="26" s="1"/>
  <c r="AP27" i="26"/>
  <c r="AR27" i="26" s="1"/>
  <c r="AP21" i="26"/>
  <c r="AR21" i="26" s="1"/>
  <c r="AP4" i="26"/>
  <c r="AR4" i="26" s="1"/>
  <c r="I15" i="26"/>
  <c r="I16" i="26"/>
  <c r="I37" i="26"/>
  <c r="L60" i="26"/>
  <c r="AB60" i="26"/>
  <c r="AP24" i="26"/>
  <c r="AR24" i="26" s="1"/>
  <c r="N60" i="26"/>
  <c r="AD60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19E71B78-24F2-4B07-9C94-341918F4487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0D180BD-0727-4B5F-B7BC-BDC37AA977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E80D6182-C33F-475B-803F-2241A2D1E02A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92C80263-BB29-498F-88FB-1B06A61CC427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F01CAB70-E483-435C-8BD6-98E40729D5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33508FE0-8968-4D89-BCFD-67F46914084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4A316313-AC69-4597-8715-9DE7A12CFF52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1ABE46CF-AEE8-484E-BA09-FEA64F8C66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95D02DD5-687D-481B-AF7E-D2D02B1A41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08443B16-0BA1-4C70-9528-CB756BC179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DE3AE768-5088-485E-9D7C-45DDD9DFAF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229FCA4C-131E-4E35-903F-963D3788838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5494755F-016C-4777-90C9-685B121001E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17A2EEE0-3BBB-4CE0-AAA3-92255A2A47A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1028FB9B-3C81-4926-A9DE-29F51FB1DF7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A81C6910-EB72-47E4-94B8-4E91231F865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6" authorId="2" shapeId="0" xr:uid="{A27EFF6A-49AC-4824-8542-E0E14836C2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CFD8735F-9684-49E8-B20A-0428514E29DE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6" authorId="2" shapeId="0" xr:uid="{3C82B19F-CB48-4AE9-BAAD-2789BE96251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J7" authorId="2" shapeId="0" xr:uid="{37C97E65-3ED1-4206-98D5-33EEA9E9002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1C1EDB3C-1157-43FD-8408-24A2FDBF27F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AE8" authorId="2" shapeId="0" xr:uid="{C07BF52A-D921-4AAA-96A7-2C78170B1E7C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F8" authorId="2" shapeId="0" xr:uid="{F4B3DA23-71C6-454F-92B9-C26BD46BF4F1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G8" authorId="2" shapeId="0" xr:uid="{5ECF637E-B538-4685-80A5-E3BDF67B7BAE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H8" authorId="2" shapeId="0" xr:uid="{95A86370-2868-4803-B36D-35842C458D95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O9" authorId="2" shapeId="0" xr:uid="{2F3D128D-621F-4DD0-A0DD-DD6F902A677F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9" authorId="3" shapeId="0" xr:uid="{BCAE5973-D36B-4EA7-BFC0-07D3E755FB84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9" authorId="2" shapeId="0" xr:uid="{79715D9E-F247-4F0A-829F-A3C12280FE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9" authorId="2" shapeId="0" xr:uid="{D2FE5F54-BCA5-4F38-AA26-9C02CF3553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10" authorId="2" shapeId="0" xr:uid="{C67E06DD-F127-4151-94B0-622DD716849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E033D3BA-D6BA-4F0A-BF19-339150A6ADD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10" authorId="2" shapeId="0" xr:uid="{4F4C5422-C7C9-4ADA-A039-02A5B81D5B4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10" authorId="2" shapeId="0" xr:uid="{C368852D-4ED0-4DE9-BE3F-A1D2E0A74C7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358BE094-177E-4D58-B4A6-465B007B058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58B654EF-A818-4963-BDDE-40C3EC12F3F1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1" authorId="2" shapeId="0" xr:uid="{5502DCB9-B29D-4D66-83F0-1C04ADA427C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V11" authorId="2" shapeId="0" xr:uid="{4B0C45B7-22EA-4B94-B394-79D9CFAE20F9}">
      <text>
        <r>
          <rPr>
            <b/>
            <sz val="14"/>
            <color indexed="81"/>
            <rFont val="Tahoma"/>
            <family val="2"/>
          </rPr>
          <t xml:space="preserve">admin: 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11" authorId="2" shapeId="0" xr:uid="{D2691993-DA69-4DED-8528-DCBD9CC6E1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sir:如果排班方便請幫我排"2"或"中"或"X"
</t>
        </r>
      </text>
    </comment>
    <comment ref="AG11" authorId="2" shapeId="0" xr:uid="{142F9542-1AFF-493F-9554-6908F550600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1" authorId="2" shapeId="0" xr:uid="{26E26046-4FA4-4A74-BE5B-04E48B7147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1" authorId="2" shapeId="0" xr:uid="{C622B701-2554-4901-9DEC-44086DA80B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3" shapeId="0" xr:uid="{70949866-3851-4420-AC18-A8090B47B8C3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2" authorId="3" shapeId="0" xr:uid="{557E3671-03F0-48A2-BD8C-ACD9250A587C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3" authorId="2" shapeId="0" xr:uid="{96B49408-6358-465C-9F55-20E0D796F57F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3" authorId="2" shapeId="0" xr:uid="{93BF1520-D3FB-4A4D-B646-1BFC93DD1F1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3" authorId="3" shapeId="0" xr:uid="{94B482F9-95BE-40A7-9305-347E132B24B0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3" authorId="3" shapeId="0" xr:uid="{A3423B4B-9BFF-4FFC-B2AA-300765871494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4" authorId="2" shapeId="0" xr:uid="{6404BF10-522D-4855-B41C-EEF8AB945B4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847215AA-DC50-49A6-B3B9-3A85F27CA0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E8594640-A1C4-43D4-9C3C-136866128A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A9D3C9D-A5B7-4827-83DF-90F8771E05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46D08C10-9B94-44A6-B217-ACD60DE5CB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1F741597-35DD-4D88-8403-24CD7864B5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2" shapeId="0" xr:uid="{1A7EE8B3-1092-42CD-9A45-7587586507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F98F86A1-B830-4FF2-9BD9-E1DE9207E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3F662951-F9B4-46B0-B2F5-0EBAABCEF9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4F97A8ED-70AD-464A-87FF-4646D266EC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305BC14F-D274-4F9E-AFC3-4182AE0BA44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Z14" authorId="2" shapeId="0" xr:uid="{8EE2E4C2-3A23-4E64-902F-01FD45DBBD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C25BC43A-CB02-4A13-8B30-415525652C7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C8156BB9-A90F-47CF-982E-F75EEC01AA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8ACAB49-7259-46E5-B7A2-12E0AD7B90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C12DA6BF-9A7B-4A18-B9C5-AA8BDFAFF0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9D551FB-2A27-4741-B0A6-CCA47029DB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603D0ADA-79CC-46F7-BA8D-ABD64EBA4F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32DE6951-1342-4B75-8A2D-BEC0DA5AED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710D06A2-3DB7-49BA-BB72-58141BDF13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0221BD59-FB83-466A-9531-80EBDDC20E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EA16168-61C9-4650-85C9-E5D01A0BD2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2" shapeId="0" xr:uid="{C84AA652-CFC9-4AFD-AC9E-18EFD48D787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5" authorId="2" shapeId="0" xr:uid="{685289E7-F491-4E27-BDB9-647DF1F4F8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5" authorId="2" shapeId="0" xr:uid="{3FA85EB1-0A94-4044-93D9-D14CE7F765B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86558C2D-23C7-4918-BD2B-E7A36F09F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0AD3E043-1C0F-4BDA-B279-E5170AEF246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E73E3D32-0B33-42FD-9B19-6BDD6C64F835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6" authorId="2" shapeId="0" xr:uid="{A9AA1032-71C9-424C-879C-543F88B9C4FA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6" authorId="2" shapeId="0" xr:uid="{7D3C37A3-2F60-4955-91C5-32ED8909ACC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6" authorId="2" shapeId="0" xr:uid="{43FDCD8D-5BE2-4028-ABCE-1D6D5E00D0D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O16" authorId="2" shapeId="0" xr:uid="{320B2858-868A-477E-955E-06A62EE62D40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6" authorId="2" shapeId="0" xr:uid="{19AE3D9E-81F3-4CFE-A505-39A5DC4B7FAD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6" authorId="2" shapeId="0" xr:uid="{E5640A1D-8538-4A6C-9EE8-5EBDB8BEC80A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6" authorId="2" shapeId="0" xr:uid="{90DC454F-2B8F-42C4-8640-563EAB915EF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W16" authorId="2" shapeId="0" xr:uid="{55C8D68C-20BC-4A53-AB7E-0DE6A06E3EE8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Z16" authorId="2" shapeId="0" xr:uid="{2AE1B591-EFAF-474B-B2EC-E8468CBA87F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6" authorId="2" shapeId="0" xr:uid="{86DE5AFD-CA19-489A-9C29-24DB31B925CE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6" authorId="2" shapeId="0" xr:uid="{53FE3603-2CD5-4F51-B282-EE5728575F11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8" authorId="2" shapeId="0" xr:uid="{4A649A11-856D-4B18-BAEA-0D209D00136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8" authorId="2" shapeId="0" xr:uid="{2F3E0314-DD78-47E4-B44E-D94453C3FD0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8" authorId="2" shapeId="0" xr:uid="{048852BC-03B6-444C-A296-CEAADD81DCD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9" authorId="2" shapeId="0" xr:uid="{70739F5D-4877-4A9C-9426-5F29E47113F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0" authorId="2" shapeId="0" xr:uid="{86887529-D36D-469F-B303-60578CE2C9B8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20" authorId="2" shapeId="0" xr:uid="{D63E349A-FA69-4AFB-B763-CF87772DEA03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20" authorId="2" shapeId="0" xr:uid="{F6967A54-B638-4420-A2B1-945EF861CE8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20" authorId="5" shapeId="0" xr:uid="{92550F3E-B011-42A6-A6EF-3E822D24EC11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20" authorId="2" shapeId="0" xr:uid="{28E03FE8-CBA2-41EB-8603-4E14276D938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1" authorId="2" shapeId="0" xr:uid="{797355BB-7365-4D86-8D33-898BE4AC741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1" authorId="2" shapeId="0" xr:uid="{76687356-C9C4-4FCA-BAB2-3696F9C134C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1" authorId="2" shapeId="0" xr:uid="{E58D9B21-3E4E-4344-8783-A843F7B0B4C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2" authorId="2" shapeId="0" xr:uid="{5711D88A-0530-4252-9C56-6EBFC9C8D6A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09B1F1D3-750C-417F-98E8-E0DFFF573CB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7747724-08E9-4B77-A802-BF8ADCC255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2" authorId="2" shapeId="0" xr:uid="{72207671-0452-4ED3-B0B5-D4B21C50C5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5FAB45C1-38FC-475D-BD65-5F445D0FF825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3" authorId="2" shapeId="0" xr:uid="{2E3A74AF-1CE8-4983-80E8-6B0019D2B03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3" authorId="2" shapeId="0" xr:uid="{3FF9F37F-03F8-4354-9F4E-E919C119E08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6096D708-A327-4949-A0F7-4BD65299E613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3" authorId="2" shapeId="0" xr:uid="{D751768C-002B-484E-BB65-E9A7BE865E95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3" authorId="2" shapeId="0" xr:uid="{EECFBF41-B698-4A7D-96E0-8A2DAB6746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4" authorId="2" shapeId="0" xr:uid="{CEF9F918-386C-460A-AB3F-58589263B18E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5" authorId="6" shapeId="0" xr:uid="{F83E222F-6AC6-43EA-82DA-63D770A35E19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6" authorId="2" shapeId="0" xr:uid="{71EA0CEF-C861-45B3-B5C3-448336D1BC79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6" authorId="2" shapeId="0" xr:uid="{C49F930C-7B53-4EF3-B810-E44D6A0043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6" authorId="2" shapeId="0" xr:uid="{27E5803D-0824-47BB-9EAF-841231103CCE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6" authorId="2" shapeId="0" xr:uid="{997888BA-C765-402B-84E8-86578F8EA28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6" authorId="2" shapeId="0" xr:uid="{7DBCC8D7-A0D7-45B2-A09E-A424C96F03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6" authorId="2" shapeId="0" xr:uid="{C32BD431-566E-4145-8547-D4D6802B9A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6" authorId="2" shapeId="0" xr:uid="{D9A442F5-FBE6-4D63-9B64-9AF0B55143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6" authorId="2" shapeId="0" xr:uid="{29DFE248-C4DB-4310-8D5F-E562DA72B06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7" authorId="2" shapeId="0" xr:uid="{7A776C7C-1478-4771-966B-E30F77AA8AA9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7" authorId="2" shapeId="0" xr:uid="{36FA39DE-49C5-444D-9BC4-187A5D8F4E4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2" shapeId="0" xr:uid="{CF88A190-3AC8-4F0F-A657-659D349DA87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7" authorId="2" shapeId="0" xr:uid="{72120041-0DD6-4E3F-8A39-80783F09021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7" authorId="2" shapeId="0" xr:uid="{A7F9CE3C-7D61-424B-93A8-40FA72509F5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7" authorId="2" shapeId="0" xr:uid="{42C49378-4341-4780-B213-A2DA62063FC6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7" authorId="2" shapeId="0" xr:uid="{FFC19E18-207A-4767-8071-14AB948D893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7" authorId="2" shapeId="0" xr:uid="{B48C8056-E8B6-4278-9A3E-20F84D88BF8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8" authorId="2" shapeId="0" xr:uid="{7D03F34C-94C2-40ED-BA15-94D4D8E6B8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8" authorId="2" shapeId="0" xr:uid="{336D3530-17BB-4496-95E6-EB039453C31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46D0305F-F3CF-4BD1-BC69-2B9DE3D819F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8" authorId="2" shapeId="0" xr:uid="{0FCE1F01-4E48-4B4B-9A4B-BF524FB057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8" authorId="2" shapeId="0" xr:uid="{3014115C-EF36-4C14-9FCD-2AD92A74706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8" authorId="2" shapeId="0" xr:uid="{E6780452-99E7-4605-8093-FEC5DF0587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01B4A390-76EB-4976-AB7B-CDCDB59DCAF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4C0FFDFD-D450-47A2-876B-AC4F8D1C5D0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8" authorId="2" shapeId="0" xr:uid="{54E895E8-7ADD-4FBF-B8F2-926F79002BB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9" authorId="2" shapeId="0" xr:uid="{DB106042-71C6-4F88-B601-C8FE2B1875E2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9" authorId="2" shapeId="0" xr:uid="{EEB0A998-C41C-43B6-98EA-453F2CFEA54C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8D572644-C230-4C5C-95D1-BCCB35E9945E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9" authorId="2" shapeId="0" xr:uid="{9ED446E2-AD70-4F81-8D4A-C2F84FBDF24B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9" authorId="2" shapeId="0" xr:uid="{828C1928-A993-44D0-9151-B204292BA557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9" authorId="2" shapeId="0" xr:uid="{91B55BEE-1432-446D-BACD-B701A909D88B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30" authorId="2" shapeId="0" xr:uid="{15896E3D-716B-4E54-9637-CCFE43444C0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30" authorId="2" shapeId="0" xr:uid="{3FC8089E-B49B-49EA-BF83-601AE4D9ACE9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30" authorId="2" shapeId="0" xr:uid="{93B20BC3-430A-4F80-A66B-DA259520B404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30" authorId="2" shapeId="0" xr:uid="{E0ADC9CF-2948-4324-9580-80ABEA83E9F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30" authorId="2" shapeId="0" xr:uid="{D0CD6737-4DBA-4BAA-8976-3D34ACC6FC1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O33" authorId="2" shapeId="0" xr:uid="{A4A4226C-A9C1-4FC8-A7E3-5E5CDF24A709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3" authorId="2" shapeId="0" xr:uid="{4DC2E28E-4EF5-4A4E-A99B-A9321F8C8E50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3" authorId="2" shapeId="0" xr:uid="{691C346F-5054-462F-B8AA-92324F63F1C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3" authorId="2" shapeId="0" xr:uid="{6130AC4D-7E83-4ACE-B9DB-DE44CD74BC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3" authorId="2" shapeId="0" xr:uid="{78C4C67A-95B8-428A-B10C-419227F2AB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3" authorId="2" shapeId="0" xr:uid="{04003686-9556-4494-9260-0DBA702B96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3" authorId="2" shapeId="0" xr:uid="{79DBDF4D-19F4-4592-8ED6-FA51E66BAD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3" authorId="2" shapeId="0" xr:uid="{426B500A-8CB9-48A0-ABB8-48A235A39BE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CC336743-19F0-4455-8FEB-14DD56313874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4" authorId="2" shapeId="0" xr:uid="{092ACC8F-FA9F-4728-86F0-98EF52C4495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4" authorId="2" shapeId="0" xr:uid="{F036D2C8-8E20-44B5-8A37-AB4DD740AF0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4" authorId="2" shapeId="0" xr:uid="{CDCD8323-D4E6-461E-9187-C01E1134D8D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4" authorId="2" shapeId="0" xr:uid="{546B52CF-1B82-43B5-90CC-00BF9A78CD3A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4" authorId="2" shapeId="0" xr:uid="{16834A1B-0A36-4399-8DF2-81A223B6ECB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4" authorId="2" shapeId="0" xr:uid="{7940B7E3-CDB3-4954-9B4A-C3C0CBFB76B3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4" authorId="2" shapeId="0" xr:uid="{1C7654BE-A0DA-4886-A6B1-4B03238BD95C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4" authorId="2" shapeId="0" xr:uid="{66BFAAF2-A8F0-405C-A022-04BF6BCEE80F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4" authorId="2" shapeId="0" xr:uid="{FBBB86F3-73B8-49FB-8B5D-8D406C959B72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5" authorId="2" shapeId="0" xr:uid="{CEEF4E4F-8D98-496F-B531-D15539D1D25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5" authorId="2" shapeId="0" xr:uid="{0CD3ADFC-D60C-4E1F-8BA9-4B97ACB926D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DFE9BC50-F26D-45F7-AAD1-539F0575E1FE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F383D49-E257-4AD0-B500-CE78D41E95F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1C6F4077-D21C-4AE7-A18D-724AC814B1F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7" shapeId="0" xr:uid="{FD6DF6A7-6809-4FA9-91F0-177D2188CCC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7" authorId="2" shapeId="0" xr:uid="{263DED45-CFF3-4968-A1B2-390CC073A1F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7" authorId="2" shapeId="0" xr:uid="{01A1F34D-BA56-44A3-B1C7-399A2C0E12B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8" authorId="2" shapeId="0" xr:uid="{608D0AFA-25A9-458C-8554-45E9270875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8" authorId="2" shapeId="0" xr:uid="{B3577D00-E926-461C-8E70-CBDA78883F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8" authorId="2" shapeId="0" xr:uid="{7BD97F20-9DC0-400D-A0DD-148CA8A8EF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2" shapeId="0" xr:uid="{0F9D7667-F546-442D-9A5F-4637A2184FD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55ECB5D1-FCA6-4542-81F0-4CE44C6162A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8" authorId="2" shapeId="0" xr:uid="{D9C5F755-61E0-4065-9D19-CD26B2F6C366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8" authorId="2" shapeId="0" xr:uid="{BD7216E4-D914-4A8A-A4F7-C340114A4226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8" authorId="2" shapeId="0" xr:uid="{05183CC1-2CC2-45FF-A51A-7D3185F3B75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8" authorId="2" shapeId="0" xr:uid="{E6FE52D8-8D00-4D25-B211-11F6E6E093D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2" shapeId="0" xr:uid="{E09C8B4E-3F00-4617-88B8-C486698D50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2" shapeId="0" xr:uid="{356EF2AB-A515-480E-AE7F-A6CE8F057C6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5E2A074F-9472-4698-8D2A-9D0C0676300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2" shapeId="0" xr:uid="{67C98659-8CFA-47BF-9A9D-95DE2530698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2" shapeId="0" xr:uid="{15954E4D-C555-4133-B4F5-F313D8E1248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2" shapeId="0" xr:uid="{EE3881A8-DC5F-4487-92CE-6532876918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8" authorId="2" shapeId="0" xr:uid="{BC823E31-4C1C-42FF-9205-89DCE61E8C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2" shapeId="0" xr:uid="{5F3D79EF-D6DF-41BC-8C68-6C14F541EF9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2" shapeId="0" xr:uid="{B2BC45BC-B1D8-4967-B2A9-43665D2D3D7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9" authorId="2" shapeId="0" xr:uid="{793A8673-BAC8-46A8-9F7F-35CF8E465E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9" authorId="2" shapeId="0" xr:uid="{18B9E70C-DE50-491E-814F-7C1A2ADF4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39" authorId="2" shapeId="0" xr:uid="{03E5BA2B-B6EB-427F-8942-D3E48E1968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39" authorId="2" shapeId="0" xr:uid="{F24660D2-0E6A-4D9A-AB5B-8241E715A86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39" authorId="2" shapeId="0" xr:uid="{71D0B934-FF5F-40E4-9D37-C94FDA5B6E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39" authorId="2" shapeId="0" xr:uid="{2D6079B7-24FE-4EDD-BB20-E09675AB02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39" authorId="2" shapeId="0" xr:uid="{6DF00540-F029-4258-B51F-DCB2750B7F6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39" authorId="8" shapeId="0" xr:uid="{088D8768-98EA-44CD-AC87-D4B301B020D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39" authorId="8" shapeId="0" xr:uid="{A8601DFB-C524-42B3-B272-9CB95853F55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39" authorId="8" shapeId="0" xr:uid="{7F552A38-6325-4164-8B43-E663CE8F143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8" shapeId="0" xr:uid="{C69C242B-1F43-4E00-86C9-4522C8D4F45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39" authorId="2" shapeId="0" xr:uid="{8F975D08-57AC-4128-AAC2-68B7AD7A5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39" authorId="2" shapeId="0" xr:uid="{BD459ED3-17C6-499E-8EB0-3686411E07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39" authorId="2" shapeId="0" xr:uid="{A2838C67-CD3C-4B3F-8E1C-A22E26C1F46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EA85EB16-A7AE-4C38-BE60-8CCB085D65D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0" authorId="2" shapeId="0" xr:uid="{5C6C01BE-DB8F-4AF1-97EA-2E6D8F78441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0" authorId="2" shapeId="0" xr:uid="{09E728D0-6924-41B7-A545-018EC5D694E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0" authorId="2" shapeId="0" xr:uid="{5B0542B1-A697-41E3-BF0F-0B5E778A92F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0" authorId="2" shapeId="0" xr:uid="{54AA839C-1307-4AB0-B542-CD66DECBC5C2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2" authorId="2" shapeId="0" xr:uid="{A3A18CE8-DF7E-4182-BA47-4E9218776B6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2" authorId="2" shapeId="0" xr:uid="{20E0CF00-8AF5-48A1-8ABC-AA4E805D529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3" authorId="2" shapeId="0" xr:uid="{656A7497-DFF3-409C-BD61-80272BA787F8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3" authorId="2" shapeId="0" xr:uid="{C7F12A15-15DB-4E92-AE4E-A9A05C219BE3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4" authorId="2" shapeId="0" xr:uid="{2E65C18B-6FF6-404B-8E18-4F2928091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4" authorId="2" shapeId="0" xr:uid="{A1CD659F-AB37-4D93-B809-13032289BB1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4" authorId="2" shapeId="0" xr:uid="{7E47A163-F2E2-45DE-8C66-8600F8A5FC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4" authorId="2" shapeId="0" xr:uid="{8F2B9A82-2475-456A-A705-CC9146A744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4" authorId="2" shapeId="0" xr:uid="{79995546-5E55-40B4-9973-EE28D6431DE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4" authorId="2" shapeId="0" xr:uid="{AC919475-CC9C-43E6-9664-6BA8CA4753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4" authorId="2" shapeId="0" xr:uid="{FBBBBFBC-686F-4CBB-8C59-A41D9186BD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4" authorId="2" shapeId="0" xr:uid="{88CBF2DB-5617-4FBC-9968-76FC81FB2A9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5" authorId="2" shapeId="0" xr:uid="{C94DD1AC-77FA-4CB4-9121-D2CEFE4315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5" authorId="2" shapeId="0" xr:uid="{B13225D2-48A1-4F55-881B-A893C6C853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5" authorId="2" shapeId="0" xr:uid="{E3833922-18B8-4C41-BE5A-4995F18564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5" authorId="2" shapeId="0" xr:uid="{7A307995-9237-4B05-8E4C-211EAAFDAB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5" authorId="2" shapeId="0" xr:uid="{C17214D9-AEEB-4856-9867-C96CC4C9F4B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<sst xmlns="http://schemas.openxmlformats.org/spreadsheetml/2006/main" count="10407" uniqueCount="170">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</sst>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1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7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 wrapText="1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292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40" t="str">
        <f>"TPKC剩餘人力："&amp;AR59&amp;" / NK剩餘人力："&amp;AS59&amp;" /  N班人力："&amp;AR53</f>
        <v>TPKC剩餘人力：0 / NK剩餘人力：0 /  N班人力：92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443"/>
      <c r="AM1" s="444"/>
      <c r="AN1" s="444"/>
      <c r="AO1" s="5"/>
      <c r="AR1" s="6"/>
      <c r="AS1" s="7"/>
    </row>
    <row r="2" spans="1:226" ht="23.25" customHeight="1" thickBot="1">
      <c r="A2" s="449">
        <v>1</v>
      </c>
      <c r="B2" s="451">
        <v>2</v>
      </c>
      <c r="C2" s="451">
        <v>3</v>
      </c>
      <c r="D2" s="453" t="s">
        <v>60</v>
      </c>
      <c r="E2" s="455" t="s">
        <v>61</v>
      </c>
      <c r="F2" s="8" t="s">
        <v>62</v>
      </c>
      <c r="G2" s="8" t="s">
        <v>63</v>
      </c>
      <c r="H2" s="8" t="s">
        <v>64</v>
      </c>
      <c r="I2" s="445" t="s">
        <v>65</v>
      </c>
      <c r="J2" s="447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57" t="s">
        <v>48</v>
      </c>
      <c r="AW2" s="458"/>
      <c r="AX2" s="458"/>
    </row>
    <row r="3" spans="1:226" ht="24.6" customHeight="1" thickBot="1">
      <c r="A3" s="450"/>
      <c r="B3" s="452"/>
      <c r="C3" s="452"/>
      <c r="D3" s="454"/>
      <c r="E3" s="456"/>
      <c r="F3" s="15" t="s">
        <v>74</v>
      </c>
      <c r="G3" s="15" t="s">
        <v>75</v>
      </c>
      <c r="H3" s="16" t="s">
        <v>76</v>
      </c>
      <c r="I3" s="446"/>
      <c r="J3" s="448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291" priority="1" operator="equal">
      <formula>"大夜"</formula>
    </cfRule>
    <cfRule type="cellIs" dxfId="290" priority="2" operator="equal">
      <formula>"晚"</formula>
    </cfRule>
    <cfRule type="cellIs" dxfId="289" priority="3" operator="equal">
      <formula>3</formula>
    </cfRule>
    <cfRule type="cellIs" dxfId="288" priority="4" operator="equal">
      <formula>"小夜"</formula>
    </cfRule>
    <cfRule type="cellIs" dxfId="287" priority="5" operator="equal">
      <formula>"T中"</formula>
    </cfRule>
    <cfRule type="cellIs" dxfId="286" priority="6" operator="equal">
      <formula>"中"</formula>
    </cfRule>
    <cfRule type="cellIs" dxfId="285" priority="7" operator="equal">
      <formula>2</formula>
    </cfRule>
    <cfRule type="cellIs" dxfId="284" priority="8" operator="equal">
      <formula>"日"</formula>
    </cfRule>
    <cfRule type="cellIs" dxfId="283" priority="9" operator="equal">
      <formula>"T早"</formula>
    </cfRule>
    <cfRule type="cellIs" dxfId="282" priority="10" operator="equal">
      <formula>"早"</formula>
    </cfRule>
    <cfRule type="cellIs" dxfId="281" priority="11" operator="equal">
      <formula>"M1"</formula>
    </cfRule>
    <cfRule type="cellIs" dxfId="280" priority="12" operator="equal">
      <formula>1</formula>
    </cfRule>
    <cfRule type="expression" dxfId="279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78" priority="4256" operator="equal">
      <formula>5</formula>
    </cfRule>
    <cfRule type="cellIs" dxfId="277" priority="4257" operator="equal">
      <formula>4</formula>
    </cfRule>
    <cfRule type="cellIs" dxfId="276" priority="4258" operator="equal">
      <formula>3</formula>
    </cfRule>
    <cfRule type="cellIs" dxfId="275" priority="4259" operator="equal">
      <formula>2</formula>
    </cfRule>
    <cfRule type="cellIs" dxfId="274" priority="4260" operator="equal">
      <formula>1</formula>
    </cfRule>
  </conditionalFormatting>
  <conditionalFormatting sqref="K53:AO55">
    <cfRule type="cellIs" dxfId="273" priority="4261" operator="equal">
      <formula>"T中"</formula>
    </cfRule>
  </conditionalFormatting>
  <conditionalFormatting sqref="AP25">
    <cfRule type="cellIs" dxfId="272" priority="4564" operator="equal">
      <formula>"大夜"</formula>
    </cfRule>
    <cfRule type="cellIs" dxfId="271" priority="4565" operator="equal">
      <formula>"晚"</formula>
    </cfRule>
    <cfRule type="cellIs" dxfId="270" priority="4566" operator="equal">
      <formula>3</formula>
    </cfRule>
    <cfRule type="cellIs" dxfId="269" priority="4567" operator="equal">
      <formula>"小夜"</formula>
    </cfRule>
    <cfRule type="cellIs" dxfId="268" priority="4568" operator="equal">
      <formula>"T中"</formula>
    </cfRule>
    <cfRule type="cellIs" dxfId="267" priority="4569" operator="equal">
      <formula>"中"</formula>
    </cfRule>
    <cfRule type="cellIs" dxfId="266" priority="4570" operator="equal">
      <formula>"M2"</formula>
    </cfRule>
    <cfRule type="cellIs" dxfId="265" priority="4571" operator="equal">
      <formula>2</formula>
    </cfRule>
    <cfRule type="cellIs" dxfId="264" priority="4572" operator="equal">
      <formula>"日"</formula>
    </cfRule>
    <cfRule type="cellIs" dxfId="263" priority="4573" operator="equal">
      <formula>"T早"</formula>
    </cfRule>
    <cfRule type="cellIs" dxfId="262" priority="4574" operator="equal">
      <formula>"早"</formula>
    </cfRule>
    <cfRule type="cellIs" dxfId="261" priority="4575" operator="equal">
      <formula>"M1"</formula>
    </cfRule>
    <cfRule type="cellIs" dxfId="260" priority="4576" operator="equal">
      <formula>1</formula>
    </cfRule>
  </conditionalFormatting>
  <conditionalFormatting sqref="AS4:AS46">
    <cfRule type="cellIs" dxfId="259" priority="4562" operator="equal">
      <formula>-2</formula>
    </cfRule>
    <cfRule type="cellIs" dxfId="258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40" t="str">
        <f>"TPKC剩餘人力："&amp;AO59&amp;" / NK剩餘人力："&amp;AP59&amp;" /  N班人力："&amp;AO54</f>
        <v>TPKC剩餘人力：0 / NK剩餘人力：0 /  N班人力：32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183"/>
      <c r="AO1" s="6"/>
      <c r="AP1" s="7"/>
    </row>
    <row r="2" spans="1:223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8" t="s">
        <v>106</v>
      </c>
      <c r="G2" s="8" t="s">
        <v>107</v>
      </c>
      <c r="H2" s="8" t="s">
        <v>108</v>
      </c>
      <c r="I2" s="445" t="s">
        <v>109</v>
      </c>
      <c r="J2" s="459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57" t="s">
        <v>48</v>
      </c>
      <c r="AT2" s="458"/>
      <c r="AU2" s="458"/>
    </row>
    <row r="3" spans="1:223" ht="24.6" customHeight="1" thickBot="1">
      <c r="A3" s="450"/>
      <c r="B3" s="452"/>
      <c r="C3" s="452"/>
      <c r="D3" s="454"/>
      <c r="E3" s="456"/>
      <c r="F3" s="15" t="s">
        <v>118</v>
      </c>
      <c r="G3" s="15" t="s">
        <v>119</v>
      </c>
      <c r="H3" s="16" t="s">
        <v>120</v>
      </c>
      <c r="I3" s="446"/>
      <c r="J3" s="460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257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256" priority="1">
      <formula>OR(K4=3, K4="晚",  K4="大夜")</formula>
    </cfRule>
    <cfRule type="expression" dxfId="255" priority="2">
      <formula>OR(K4="M2", K4=2, K4="中", K4="T中", K4="小夜")</formula>
    </cfRule>
    <cfRule type="expression" dxfId="254" priority="4">
      <formula>OR(K4="M1", K4=1, K4="早", K4="T早", K4="日")</formula>
    </cfRule>
  </conditionalFormatting>
  <conditionalFormatting sqref="K47:AL55">
    <cfRule type="cellIs" dxfId="253" priority="214" operator="equal">
      <formula>5</formula>
    </cfRule>
    <cfRule type="cellIs" dxfId="252" priority="215" operator="equal">
      <formula>4</formula>
    </cfRule>
    <cfRule type="cellIs" dxfId="251" priority="216" operator="equal">
      <formula>3</formula>
    </cfRule>
    <cfRule type="cellIs" dxfId="250" priority="217" operator="equal">
      <formula>2</formula>
    </cfRule>
    <cfRule type="cellIs" dxfId="249" priority="218" operator="equal">
      <formula>1</formula>
    </cfRule>
  </conditionalFormatting>
  <conditionalFormatting sqref="K53:AL55">
    <cfRule type="cellIs" dxfId="248" priority="219" operator="equal">
      <formula>"T中"</formula>
    </cfRule>
  </conditionalFormatting>
  <conditionalFormatting sqref="AM25">
    <cfRule type="cellIs" dxfId="247" priority="228" operator="equal">
      <formula>"大夜"</formula>
    </cfRule>
    <cfRule type="cellIs" dxfId="246" priority="229" operator="equal">
      <formula>"晚"</formula>
    </cfRule>
    <cfRule type="cellIs" dxfId="245" priority="230" operator="equal">
      <formula>3</formula>
    </cfRule>
    <cfRule type="cellIs" dxfId="244" priority="231" operator="equal">
      <formula>"小夜"</formula>
    </cfRule>
    <cfRule type="cellIs" dxfId="243" priority="232" operator="equal">
      <formula>"T中"</formula>
    </cfRule>
    <cfRule type="cellIs" dxfId="242" priority="233" operator="equal">
      <formula>"中"</formula>
    </cfRule>
    <cfRule type="cellIs" dxfId="241" priority="234" operator="equal">
      <formula>"M2"</formula>
    </cfRule>
    <cfRule type="cellIs" dxfId="240" priority="235" operator="equal">
      <formula>2</formula>
    </cfRule>
    <cfRule type="cellIs" dxfId="239" priority="236" operator="equal">
      <formula>"日"</formula>
    </cfRule>
    <cfRule type="cellIs" dxfId="238" priority="237" operator="equal">
      <formula>"T早"</formula>
    </cfRule>
    <cfRule type="cellIs" dxfId="237" priority="238" operator="equal">
      <formula>"早"</formula>
    </cfRule>
    <cfRule type="cellIs" dxfId="236" priority="239" operator="equal">
      <formula>"M1"</formula>
    </cfRule>
    <cfRule type="cellIs" dxfId="235" priority="240" operator="equal">
      <formula>1</formula>
    </cfRule>
  </conditionalFormatting>
  <conditionalFormatting sqref="AP4:AP46">
    <cfRule type="cellIs" dxfId="234" priority="226" operator="equal">
      <formula>-2</formula>
    </cfRule>
    <cfRule type="cellIs" dxfId="233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40" t="str">
        <f>"TPKC剩餘人力："&amp;AR58&amp;" / NK剩餘人力："&amp;AS58&amp;" /  N班人力："&amp;AR53</f>
        <v>TPKC剩餘人力：2 / NK剩餘人力：0 /  N班人力：114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443"/>
      <c r="AM1" s="444"/>
      <c r="AN1" s="444"/>
      <c r="AO1" s="5"/>
      <c r="AR1" s="6"/>
      <c r="AS1" s="7"/>
    </row>
    <row r="2" spans="1:226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8" t="s">
        <v>106</v>
      </c>
      <c r="G2" s="8" t="s">
        <v>107</v>
      </c>
      <c r="H2" s="8" t="s">
        <v>108</v>
      </c>
      <c r="I2" s="445" t="s">
        <v>109</v>
      </c>
      <c r="J2" s="461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57" t="s">
        <v>48</v>
      </c>
      <c r="AW2" s="458"/>
      <c r="AX2" s="458"/>
    </row>
    <row r="3" spans="1:226" ht="24.6" customHeight="1" thickBot="1">
      <c r="A3" s="450"/>
      <c r="B3" s="452"/>
      <c r="C3" s="452"/>
      <c r="D3" s="454"/>
      <c r="E3" s="456"/>
      <c r="F3" s="15" t="s">
        <v>118</v>
      </c>
      <c r="G3" s="15" t="s">
        <v>119</v>
      </c>
      <c r="H3" s="16" t="s">
        <v>120</v>
      </c>
      <c r="I3" s="446"/>
      <c r="J3" s="462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232" priority="1">
      <formula>OR(K4=3, K4="晚",  K4="大夜")</formula>
    </cfRule>
    <cfRule type="expression" dxfId="231" priority="2">
      <formula>OR(K4="M2", K4=2, K4="中", K4="T中", K4="小夜")</formula>
    </cfRule>
    <cfRule type="expression" dxfId="230" priority="3">
      <formula>OR(K4="M1", K4=1, K4="早", K4="T早", K4="日")</formula>
    </cfRule>
    <cfRule type="expression" dxfId="229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28" priority="202" operator="equal">
      <formula>5</formula>
    </cfRule>
    <cfRule type="cellIs" dxfId="227" priority="203" operator="equal">
      <formula>4</formula>
    </cfRule>
    <cfRule type="cellIs" dxfId="226" priority="204" operator="equal">
      <formula>3</formula>
    </cfRule>
    <cfRule type="cellIs" dxfId="225" priority="205" operator="equal">
      <formula>2</formula>
    </cfRule>
    <cfRule type="cellIs" dxfId="224" priority="206" operator="equal">
      <formula>1</formula>
    </cfRule>
  </conditionalFormatting>
  <conditionalFormatting sqref="K53:AO55">
    <cfRule type="cellIs" dxfId="223" priority="207" operator="equal">
      <formula>"T中"</formula>
    </cfRule>
  </conditionalFormatting>
  <conditionalFormatting sqref="AP25">
    <cfRule type="cellIs" dxfId="222" priority="210" operator="equal">
      <formula>"大夜"</formula>
    </cfRule>
    <cfRule type="cellIs" dxfId="221" priority="211" operator="equal">
      <formula>"晚"</formula>
    </cfRule>
    <cfRule type="cellIs" dxfId="220" priority="212" operator="equal">
      <formula>3</formula>
    </cfRule>
    <cfRule type="cellIs" dxfId="219" priority="213" operator="equal">
      <formula>"小夜"</formula>
    </cfRule>
    <cfRule type="cellIs" dxfId="218" priority="214" operator="equal">
      <formula>"T中"</formula>
    </cfRule>
    <cfRule type="cellIs" dxfId="217" priority="215" operator="equal">
      <formula>"中"</formula>
    </cfRule>
    <cfRule type="cellIs" dxfId="216" priority="216" operator="equal">
      <formula>"M2"</formula>
    </cfRule>
    <cfRule type="cellIs" dxfId="215" priority="217" operator="equal">
      <formula>2</formula>
    </cfRule>
    <cfRule type="cellIs" dxfId="214" priority="218" operator="equal">
      <formula>"日"</formula>
    </cfRule>
    <cfRule type="cellIs" dxfId="213" priority="219" operator="equal">
      <formula>"T早"</formula>
    </cfRule>
    <cfRule type="cellIs" dxfId="212" priority="220" operator="equal">
      <formula>"早"</formula>
    </cfRule>
    <cfRule type="cellIs" dxfId="211" priority="221" operator="equal">
      <formula>"M1"</formula>
    </cfRule>
    <cfRule type="cellIs" dxfId="210" priority="222" operator="equal">
      <formula>1</formula>
    </cfRule>
  </conditionalFormatting>
  <conditionalFormatting sqref="AS4:AS46">
    <cfRule type="cellIs" dxfId="209" priority="208" operator="equal">
      <formula>-2</formula>
    </cfRule>
    <cfRule type="cellIs" dxfId="208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40" t="str">
        <f>"TPKC剩餘人力："&amp;AQ58&amp;" / NK剩餘人力："&amp;AR58&amp;" /  N班人力："&amp;AQ53</f>
        <v>TPKC剩餘人力：0 / NK剩餘人力：0 /  N班人力：76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443"/>
      <c r="AM1" s="444"/>
      <c r="AN1" s="444"/>
      <c r="AQ1" s="6"/>
      <c r="AR1" s="7"/>
    </row>
    <row r="2" spans="1:224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8" t="s">
        <v>106</v>
      </c>
      <c r="G2" s="8" t="s">
        <v>107</v>
      </c>
      <c r="H2" s="8" t="s">
        <v>108</v>
      </c>
      <c r="I2" s="445" t="s">
        <v>109</v>
      </c>
      <c r="J2" s="447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57" t="s">
        <v>48</v>
      </c>
      <c r="AV2" s="458"/>
      <c r="AW2" s="458"/>
    </row>
    <row r="3" spans="1:224" ht="24.6" customHeight="1" thickBot="1">
      <c r="A3" s="450"/>
      <c r="B3" s="452"/>
      <c r="C3" s="452"/>
      <c r="D3" s="454"/>
      <c r="E3" s="456"/>
      <c r="F3" s="15" t="s">
        <v>118</v>
      </c>
      <c r="G3" s="15" t="s">
        <v>119</v>
      </c>
      <c r="H3" s="16" t="s">
        <v>120</v>
      </c>
      <c r="I3" s="446"/>
      <c r="J3" s="463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207" priority="65">
      <formula>OR(K4="T中", K4="中", K4=2, K4="小夜")</formula>
    </cfRule>
    <cfRule type="expression" dxfId="206" priority="66">
      <formula>OR(K4="T早", K4="早", K4="M1", K4=1, K4="日")</formula>
    </cfRule>
  </conditionalFormatting>
  <conditionalFormatting sqref="K4:AN46">
    <cfRule type="expression" dxfId="205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04" priority="4">
      <formula>OR(K4="晚", K4=3, K4="大夜")</formula>
    </cfRule>
  </conditionalFormatting>
  <conditionalFormatting sqref="K47:AN55">
    <cfRule type="cellIs" dxfId="203" priority="71" operator="equal">
      <formula>5</formula>
    </cfRule>
    <cfRule type="cellIs" dxfId="202" priority="72" operator="equal">
      <formula>4</formula>
    </cfRule>
    <cfRule type="cellIs" dxfId="201" priority="73" operator="equal">
      <formula>3</formula>
    </cfRule>
    <cfRule type="cellIs" dxfId="200" priority="74" operator="equal">
      <formula>2</formula>
    </cfRule>
    <cfRule type="cellIs" dxfId="199" priority="75" operator="equal">
      <formula>1</formula>
    </cfRule>
  </conditionalFormatting>
  <conditionalFormatting sqref="K53:AN55">
    <cfRule type="cellIs" dxfId="198" priority="76" operator="equal">
      <formula>"T中"</formula>
    </cfRule>
  </conditionalFormatting>
  <conditionalFormatting sqref="AM8:AN8">
    <cfRule type="expression" dxfId="197" priority="2">
      <formula>OR(AM8="T中", AM8="中", AM8=2, AM8="小夜")</formula>
    </cfRule>
    <cfRule type="expression" dxfId="196" priority="3">
      <formula>OR(AM8="T早", AM8="早", AM8="M1", AM8=1, AM8="日")</formula>
    </cfRule>
  </conditionalFormatting>
  <conditionalFormatting sqref="AO25">
    <cfRule type="cellIs" dxfId="195" priority="83" operator="equal">
      <formula>"大夜"</formula>
    </cfRule>
    <cfRule type="cellIs" dxfId="194" priority="84" operator="equal">
      <formula>"晚"</formula>
    </cfRule>
    <cfRule type="cellIs" dxfId="193" priority="85" operator="equal">
      <formula>3</formula>
    </cfRule>
    <cfRule type="cellIs" dxfId="192" priority="86" operator="equal">
      <formula>"小夜"</formula>
    </cfRule>
    <cfRule type="cellIs" dxfId="191" priority="87" operator="equal">
      <formula>"T中"</formula>
    </cfRule>
    <cfRule type="cellIs" dxfId="190" priority="88" operator="equal">
      <formula>"中"</formula>
    </cfRule>
    <cfRule type="cellIs" dxfId="189" priority="89" operator="equal">
      <formula>"M2"</formula>
    </cfRule>
    <cfRule type="cellIs" dxfId="188" priority="90" operator="equal">
      <formula>2</formula>
    </cfRule>
    <cfRule type="cellIs" dxfId="187" priority="91" operator="equal">
      <formula>"日"</formula>
    </cfRule>
    <cfRule type="cellIs" dxfId="186" priority="92" operator="equal">
      <formula>"T早"</formula>
    </cfRule>
    <cfRule type="cellIs" dxfId="185" priority="93" operator="equal">
      <formula>"早"</formula>
    </cfRule>
    <cfRule type="cellIs" dxfId="184" priority="94" operator="equal">
      <formula>"M1"</formula>
    </cfRule>
    <cfRule type="cellIs" dxfId="183" priority="95" operator="equal">
      <formula>1</formula>
    </cfRule>
  </conditionalFormatting>
  <conditionalFormatting sqref="AR4:AR46">
    <cfRule type="cellIs" dxfId="182" priority="81" operator="equal">
      <formula>-2</formula>
    </cfRule>
    <cfRule type="cellIs" dxfId="181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40" t="str">
        <f>"TPKC剩餘人力："&amp;AR57&amp;" / NK剩餘人力："&amp;AS57&amp;" /  N班人力："&amp;AR52</f>
        <v>TPKC剩餘人力：0 / NK剩餘人力：0 /  N班人力：79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443"/>
      <c r="AM1" s="444"/>
      <c r="AN1" s="444"/>
      <c r="AO1" s="5"/>
      <c r="AR1" s="6"/>
      <c r="AS1" s="7"/>
    </row>
    <row r="2" spans="1:226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8" t="s">
        <v>106</v>
      </c>
      <c r="G2" s="8" t="s">
        <v>107</v>
      </c>
      <c r="H2" s="8" t="s">
        <v>108</v>
      </c>
      <c r="I2" s="445" t="s">
        <v>109</v>
      </c>
      <c r="J2" s="447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37" t="s">
        <v>48</v>
      </c>
      <c r="AX2" s="438"/>
      <c r="AY2" s="439"/>
    </row>
    <row r="3" spans="1:226" ht="24.6" customHeight="1" thickBot="1">
      <c r="A3" s="450"/>
      <c r="B3" s="452"/>
      <c r="C3" s="452"/>
      <c r="D3" s="454"/>
      <c r="E3" s="456"/>
      <c r="F3" s="15" t="s">
        <v>118</v>
      </c>
      <c r="G3" s="15" t="s">
        <v>119</v>
      </c>
      <c r="H3" s="16" t="s">
        <v>120</v>
      </c>
      <c r="I3" s="446"/>
      <c r="J3" s="463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80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79" priority="6">
      <formula>OR(K4="T中", K4="中", K4=2, K4="小夜")</formula>
    </cfRule>
    <cfRule type="expression" dxfId="178" priority="7">
      <formula>OR(K4="T早", K4="早", K4="M1", K4=1, K4="日")</formula>
    </cfRule>
    <cfRule type="expression" dxfId="177" priority="8">
      <formula>OR(K4="晚", K4=3, K4="大夜")</formula>
    </cfRule>
  </conditionalFormatting>
  <conditionalFormatting sqref="K46:AO54">
    <cfRule type="cellIs" dxfId="176" priority="727" operator="equal">
      <formula>5</formula>
    </cfRule>
    <cfRule type="cellIs" dxfId="175" priority="728" operator="equal">
      <formula>4</formula>
    </cfRule>
    <cfRule type="cellIs" dxfId="174" priority="729" operator="equal">
      <formula>3</formula>
    </cfRule>
    <cfRule type="cellIs" dxfId="173" priority="730" operator="equal">
      <formula>2</formula>
    </cfRule>
    <cfRule type="cellIs" dxfId="172" priority="731" operator="equal">
      <formula>1</formula>
    </cfRule>
  </conditionalFormatting>
  <conditionalFormatting sqref="K52:AO54">
    <cfRule type="cellIs" dxfId="171" priority="732" operator="equal">
      <formula>"T中"</formula>
    </cfRule>
  </conditionalFormatting>
  <conditionalFormatting sqref="AP25">
    <cfRule type="cellIs" dxfId="170" priority="735" operator="equal">
      <formula>"大夜"</formula>
    </cfRule>
    <cfRule type="cellIs" dxfId="169" priority="736" operator="equal">
      <formula>"晚"</formula>
    </cfRule>
    <cfRule type="cellIs" dxfId="168" priority="737" operator="equal">
      <formula>3</formula>
    </cfRule>
    <cfRule type="cellIs" dxfId="167" priority="738" operator="equal">
      <formula>"小夜"</formula>
    </cfRule>
    <cfRule type="cellIs" dxfId="166" priority="739" operator="equal">
      <formula>"T中"</formula>
    </cfRule>
    <cfRule type="cellIs" dxfId="165" priority="740" operator="equal">
      <formula>"中"</formula>
    </cfRule>
    <cfRule type="cellIs" dxfId="164" priority="741" operator="equal">
      <formula>"M2"</formula>
    </cfRule>
    <cfRule type="cellIs" dxfId="163" priority="742" operator="equal">
      <formula>2</formula>
    </cfRule>
    <cfRule type="cellIs" dxfId="162" priority="743" operator="equal">
      <formula>"日"</formula>
    </cfRule>
    <cfRule type="cellIs" dxfId="161" priority="744" operator="equal">
      <formula>"T早"</formula>
    </cfRule>
    <cfRule type="cellIs" dxfId="160" priority="745" operator="equal">
      <formula>"早"</formula>
    </cfRule>
    <cfRule type="cellIs" dxfId="159" priority="746" operator="equal">
      <formula>"M1"</formula>
    </cfRule>
    <cfRule type="cellIs" dxfId="158" priority="747" operator="equal">
      <formula>1</formula>
    </cfRule>
  </conditionalFormatting>
  <conditionalFormatting sqref="AS4:AS45">
    <cfRule type="cellIs" dxfId="157" priority="733" operator="equal">
      <formula>-2</formula>
    </cfRule>
    <cfRule type="cellIs" dxfId="156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40" t="str">
        <f>"TPKC剩餘人力："&amp;AQ56&amp;" / NK剩餘人力："&amp;AR56&amp;" /  N班人力："&amp;AQ51</f>
        <v>TPKC剩餘人力：-2 / NK剩餘人力：0 /  N班人力：100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443"/>
      <c r="AM1" s="444"/>
      <c r="AN1" s="444"/>
      <c r="AQ1" s="6"/>
      <c r="AR1" s="7"/>
    </row>
    <row r="2" spans="1:224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8" t="s">
        <v>106</v>
      </c>
      <c r="G2" s="8" t="s">
        <v>107</v>
      </c>
      <c r="H2" s="8" t="s">
        <v>108</v>
      </c>
      <c r="I2" s="445" t="s">
        <v>109</v>
      </c>
      <c r="J2" s="447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37" t="s">
        <v>48</v>
      </c>
      <c r="AV2" s="438"/>
      <c r="AW2" s="439"/>
    </row>
    <row r="3" spans="1:224" ht="24.6" customHeight="1" thickBot="1">
      <c r="A3" s="450"/>
      <c r="B3" s="452"/>
      <c r="C3" s="452"/>
      <c r="D3" s="454"/>
      <c r="E3" s="456"/>
      <c r="F3" s="15" t="s">
        <v>118</v>
      </c>
      <c r="G3" s="15" t="s">
        <v>119</v>
      </c>
      <c r="H3" s="16" t="s">
        <v>120</v>
      </c>
      <c r="I3" s="446"/>
      <c r="J3" s="463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155" priority="17">
      <formula>OR(K4="晚", K4=3, K4="大夜")</formula>
    </cfRule>
  </conditionalFormatting>
  <conditionalFormatting sqref="K4:AN6 K7:AL7 K8:AN35 K36:AO36 K37:AN37 K38 M38:Y38 AB38:AH38 AJ38:AN38 K39:AN44">
    <cfRule type="expression" dxfId="154" priority="32">
      <formula>OR(K4="T中", K4="中", K4=2, K4="小夜")</formula>
    </cfRule>
    <cfRule type="expression" dxfId="153" priority="33">
      <formula>OR(K4="T早", K4="早", K4="M1", K4=1, K4="日")</formula>
    </cfRule>
  </conditionalFormatting>
  <conditionalFormatting sqref="K37:AN44 K4:AN6 K7:AL7 K8:AN35 K36:AO36">
    <cfRule type="expression" dxfId="152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151" priority="52" operator="equal">
      <formula>5</formula>
    </cfRule>
    <cfRule type="cellIs" dxfId="150" priority="53" operator="equal">
      <formula>4</formula>
    </cfRule>
    <cfRule type="cellIs" dxfId="149" priority="54" operator="equal">
      <formula>3</formula>
    </cfRule>
    <cfRule type="cellIs" dxfId="148" priority="55" operator="equal">
      <formula>2</formula>
    </cfRule>
    <cfRule type="cellIs" dxfId="147" priority="56" operator="equal">
      <formula>1</formula>
    </cfRule>
  </conditionalFormatting>
  <conditionalFormatting sqref="K51:AN53">
    <cfRule type="cellIs" dxfId="146" priority="57" operator="equal">
      <formula>"T中"</formula>
    </cfRule>
  </conditionalFormatting>
  <conditionalFormatting sqref="L38">
    <cfRule type="expression" dxfId="145" priority="15">
      <formula>OR(L38="T中", L38="中", L38=2, L38="小夜")</formula>
    </cfRule>
    <cfRule type="expression" dxfId="144" priority="16">
      <formula>OR(L38="T早", L38="早", L38="M1", L38=1, L38="日")</formula>
    </cfRule>
  </conditionalFormatting>
  <conditionalFormatting sqref="T38">
    <cfRule type="expression" dxfId="143" priority="7">
      <formula>OR(T38="T中", T38="中", T38=2, T38="小夜")</formula>
    </cfRule>
    <cfRule type="expression" dxfId="142" priority="8">
      <formula>OR(T38="T早", T38="早", T38="M1", T38=1, T38="日")</formula>
    </cfRule>
    <cfRule type="expression" dxfId="141" priority="9">
      <formula>OR(T38="晚", T38=3, T38="大夜")</formula>
    </cfRule>
  </conditionalFormatting>
  <conditionalFormatting sqref="V38">
    <cfRule type="expression" dxfId="140" priority="11">
      <formula>OR(V38="T中", V38="中", V38=2, V38="小夜")</formula>
    </cfRule>
    <cfRule type="expression" dxfId="139" priority="12">
      <formula>OR(V38="T早", V38="早", V38="M1", V38=1, V38="日")</formula>
    </cfRule>
    <cfRule type="expression" dxfId="138" priority="13">
      <formula>OR(V38="晚", V38=3, V38="大夜")</formula>
    </cfRule>
  </conditionalFormatting>
  <conditionalFormatting sqref="W38:AA38">
    <cfRule type="expression" dxfId="137" priority="21">
      <formula>OR(W38="晚", W38=3, W38="大夜")</formula>
    </cfRule>
  </conditionalFormatting>
  <conditionalFormatting sqref="Y38">
    <cfRule type="expression" dxfId="136" priority="6">
      <formula>OR(Y38="晚", Y38=3, Y38="大夜")</formula>
    </cfRule>
  </conditionalFormatting>
  <conditionalFormatting sqref="Z38:AA38">
    <cfRule type="expression" dxfId="135" priority="19">
      <formula>OR(Z38="T中", Z38="中", Z38=2, Z38="小夜")</formula>
    </cfRule>
    <cfRule type="expression" dxfId="134" priority="20">
      <formula>OR(Z38="T早", Z38="早", Z38="M1", Z38=1, Z38="日")</formula>
    </cfRule>
  </conditionalFormatting>
  <conditionalFormatting sqref="AB38:AN38">
    <cfRule type="expression" dxfId="133" priority="25">
      <formula>OR(AB38="晚", AB38=3, AB38="大夜")</formula>
    </cfRule>
  </conditionalFormatting>
  <conditionalFormatting sqref="AI38:AJ38">
    <cfRule type="expression" dxfId="132" priority="23">
      <formula>OR(AI38="T中", AI38="中", AI38=2, AI38="小夜")</formula>
    </cfRule>
    <cfRule type="expression" dxfId="131" priority="24">
      <formula>OR(AI38="T早", AI38="早", AI38="M1", AI38=1, AI38="日")</formula>
    </cfRule>
  </conditionalFormatting>
  <conditionalFormatting sqref="AJ38">
    <cfRule type="expression" dxfId="130" priority="1">
      <formula>OR(AJ38="晚", AJ38=3, AJ38="大夜")</formula>
    </cfRule>
  </conditionalFormatting>
  <conditionalFormatting sqref="AO24">
    <cfRule type="cellIs" dxfId="129" priority="60" operator="equal">
      <formula>"大夜"</formula>
    </cfRule>
    <cfRule type="cellIs" dxfId="128" priority="61" operator="equal">
      <formula>"晚"</formula>
    </cfRule>
    <cfRule type="cellIs" dxfId="127" priority="62" operator="equal">
      <formula>3</formula>
    </cfRule>
    <cfRule type="cellIs" dxfId="126" priority="63" operator="equal">
      <formula>"小夜"</formula>
    </cfRule>
    <cfRule type="cellIs" dxfId="125" priority="64" operator="equal">
      <formula>"T中"</formula>
    </cfRule>
    <cfRule type="cellIs" dxfId="124" priority="65" operator="equal">
      <formula>"中"</formula>
    </cfRule>
    <cfRule type="cellIs" dxfId="123" priority="66" operator="equal">
      <formula>"M2"</formula>
    </cfRule>
    <cfRule type="cellIs" dxfId="122" priority="67" operator="equal">
      <formula>2</formula>
    </cfRule>
    <cfRule type="cellIs" dxfId="121" priority="68" operator="equal">
      <formula>"日"</formula>
    </cfRule>
    <cfRule type="cellIs" dxfId="120" priority="69" operator="equal">
      <formula>"T早"</formula>
    </cfRule>
    <cfRule type="cellIs" dxfId="119" priority="70" operator="equal">
      <formula>"早"</formula>
    </cfRule>
    <cfRule type="cellIs" dxfId="118" priority="71" operator="equal">
      <formula>"M1"</formula>
    </cfRule>
    <cfRule type="cellIs" dxfId="117" priority="72" operator="equal">
      <formula>1</formula>
    </cfRule>
  </conditionalFormatting>
  <conditionalFormatting sqref="AR4:AR44">
    <cfRule type="cellIs" dxfId="116" priority="58" operator="equal">
      <formula>-2</formula>
    </cfRule>
    <cfRule type="cellIs" dxfId="115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40" t="str">
        <f>"TPKC剩餘人力："&amp;AS56&amp;" / NK剩餘人力："&amp;AT56&amp;" /  N班人力："&amp;AS51</f>
        <v>TPKC剩餘人力：5 / NK剩餘人力：2 /  N班人力：115</v>
      </c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2"/>
      <c r="AK1" s="441"/>
      <c r="AL1" s="441"/>
      <c r="AM1" s="443"/>
      <c r="AN1" s="444"/>
      <c r="AO1" s="444"/>
      <c r="AP1" s="5"/>
      <c r="AS1" s="6"/>
      <c r="AT1" s="7"/>
    </row>
    <row r="2" spans="1:227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455" t="s">
        <v>163</v>
      </c>
      <c r="G2" s="8" t="s">
        <v>106</v>
      </c>
      <c r="H2" s="8" t="s">
        <v>107</v>
      </c>
      <c r="I2" s="8" t="s">
        <v>108</v>
      </c>
      <c r="J2" s="445" t="s">
        <v>109</v>
      </c>
      <c r="K2" s="447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37" t="s">
        <v>48</v>
      </c>
      <c r="AX2" s="438"/>
      <c r="AY2" s="439"/>
    </row>
    <row r="3" spans="1:227" ht="24.6" customHeight="1" thickBot="1">
      <c r="A3" s="450"/>
      <c r="B3" s="452"/>
      <c r="C3" s="452"/>
      <c r="D3" s="454"/>
      <c r="E3" s="456"/>
      <c r="F3" s="456"/>
      <c r="G3" s="15" t="s">
        <v>118</v>
      </c>
      <c r="H3" s="15" t="s">
        <v>119</v>
      </c>
      <c r="I3" s="16" t="s">
        <v>120</v>
      </c>
      <c r="J3" s="446"/>
      <c r="K3" s="448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114" priority="15">
      <formula>"OR(K4=""T中"", K4=""中"", K4=2, K4=""小夜"")"</formula>
    </cfRule>
    <cfRule type="expression" dxfId="113" priority="16">
      <formula>OR(L4="T早", L4="早", L4="M1", L4=1, L4="日")</formula>
    </cfRule>
    <cfRule type="expression" dxfId="112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11" priority="14">
      <formula>OR(L4="晚", L4=3, L4="大夜")</formula>
    </cfRule>
  </conditionalFormatting>
  <conditionalFormatting sqref="L45:AP53">
    <cfRule type="cellIs" dxfId="110" priority="1246" operator="equal">
      <formula>3</formula>
    </cfRule>
    <cfRule type="cellIs" dxfId="109" priority="1244" operator="equal">
      <formula>5</formula>
    </cfRule>
    <cfRule type="cellIs" dxfId="108" priority="1245" operator="equal">
      <formula>4</formula>
    </cfRule>
    <cfRule type="cellIs" dxfId="107" priority="1248" operator="equal">
      <formula>1</formula>
    </cfRule>
    <cfRule type="cellIs" dxfId="106" priority="1247" operator="equal">
      <formula>2</formula>
    </cfRule>
  </conditionalFormatting>
  <conditionalFormatting sqref="L51:AP53">
    <cfRule type="cellIs" dxfId="105" priority="1249" operator="equal">
      <formula>"T中"</formula>
    </cfRule>
  </conditionalFormatting>
  <conditionalFormatting sqref="U4:U10 U12:U38">
    <cfRule type="expression" dxfId="104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03" priority="10">
      <formula>OR(U4="晚", U4=3, U4="大夜")</formula>
    </cfRule>
    <cfRule type="expression" dxfId="102" priority="11">
      <formula>"OR(K4=""T中"", K4=""中"", K4=2, K4=""小夜"")"</formula>
    </cfRule>
    <cfRule type="expression" dxfId="101" priority="12">
      <formula>OR(U4="T早", U4="早", U4="M1", U4=1, U4="日")</formula>
    </cfRule>
  </conditionalFormatting>
  <conditionalFormatting sqref="U11">
    <cfRule type="expression" dxfId="100" priority="2">
      <formula>OR(U11="晚", U11=3, U11="大夜")</formula>
    </cfRule>
    <cfRule type="expression" dxfId="99" priority="3">
      <formula>"OR(K4=""T中"", K4=""中"", K4=2, K4=""小夜"")"</formula>
    </cfRule>
    <cfRule type="expression" dxfId="98" priority="4">
      <formula>OR(U11="T早", U11="早", U11="M1", U11=1, U11="日")</formula>
    </cfRule>
    <cfRule type="expression" dxfId="97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96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95" priority="8">
      <formula>OR(U41="T早", U41="早", U41="M1", U41=1, U41="日")</formula>
    </cfRule>
    <cfRule type="expression" dxfId="94" priority="7">
      <formula>"OR(K4=""T中"", K4=""中"", K4=2, K4=""小夜"")"</formula>
    </cfRule>
    <cfRule type="expression" dxfId="93" priority="6">
      <formula>OR(U41="晚", U41=3, U41="大夜")</formula>
    </cfRule>
  </conditionalFormatting>
  <conditionalFormatting sqref="AQ24">
    <cfRule type="cellIs" dxfId="92" priority="1252" operator="equal">
      <formula>"大夜"</formula>
    </cfRule>
    <cfRule type="cellIs" dxfId="91" priority="1253" operator="equal">
      <formula>"晚"</formula>
    </cfRule>
    <cfRule type="cellIs" dxfId="90" priority="1254" operator="equal">
      <formula>3</formula>
    </cfRule>
    <cfRule type="cellIs" dxfId="89" priority="1255" operator="equal">
      <formula>"小夜"</formula>
    </cfRule>
    <cfRule type="cellIs" dxfId="88" priority="1256" operator="equal">
      <formula>"T中"</formula>
    </cfRule>
    <cfRule type="cellIs" dxfId="87" priority="1257" operator="equal">
      <formula>"中"</formula>
    </cfRule>
    <cfRule type="cellIs" dxfId="86" priority="1258" operator="equal">
      <formula>"M2"</formula>
    </cfRule>
    <cfRule type="cellIs" dxfId="85" priority="1259" operator="equal">
      <formula>2</formula>
    </cfRule>
    <cfRule type="cellIs" dxfId="84" priority="1260" operator="equal">
      <formula>"日"</formula>
    </cfRule>
    <cfRule type="cellIs" dxfId="83" priority="1261" operator="equal">
      <formula>"T早"</formula>
    </cfRule>
    <cfRule type="cellIs" dxfId="82" priority="1262" operator="equal">
      <formula>"早"</formula>
    </cfRule>
    <cfRule type="cellIs" dxfId="81" priority="1263" operator="equal">
      <formula>"M1"</formula>
    </cfRule>
    <cfRule type="cellIs" dxfId="80" priority="1264" operator="equal">
      <formula>1</formula>
    </cfRule>
  </conditionalFormatting>
  <conditionalFormatting sqref="AT4:AT44">
    <cfRule type="cellIs" dxfId="79" priority="1250" operator="equal">
      <formula>-2</formula>
    </cfRule>
    <cfRule type="cellIs" dxfId="78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40" t="str">
        <f>"TPKC剩餘人力："&amp;AR57&amp;" / NK剩餘人力："&amp;AS57&amp;" /  N班人力："&amp;AR52</f>
        <v>TPKC剩餘人力：-1 / NK剩餘人力：0 /  N班人力：62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443"/>
      <c r="AM1" s="444"/>
      <c r="AN1" s="444"/>
      <c r="AO1" s="5"/>
      <c r="AR1" s="6"/>
      <c r="AS1" s="7"/>
    </row>
    <row r="2" spans="1:226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8" t="s">
        <v>106</v>
      </c>
      <c r="G2" s="8" t="s">
        <v>107</v>
      </c>
      <c r="H2" s="8" t="s">
        <v>108</v>
      </c>
      <c r="I2" s="445" t="s">
        <v>109</v>
      </c>
      <c r="J2" s="447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37" t="s">
        <v>48</v>
      </c>
      <c r="AX2" s="438"/>
      <c r="AY2" s="439"/>
    </row>
    <row r="3" spans="1:226" ht="24.6" customHeight="1" thickBot="1">
      <c r="A3" s="450"/>
      <c r="B3" s="452"/>
      <c r="C3" s="452"/>
      <c r="D3" s="454"/>
      <c r="E3" s="456"/>
      <c r="F3" s="15" t="s">
        <v>118</v>
      </c>
      <c r="G3" s="15" t="s">
        <v>119</v>
      </c>
      <c r="H3" s="16" t="s">
        <v>120</v>
      </c>
      <c r="I3" s="446"/>
      <c r="J3" s="448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77" priority="1">
      <formula>OR(K4="晚", K4=3, K4="大夜")</formula>
    </cfRule>
    <cfRule type="expression" dxfId="76" priority="2">
      <formula>OR(K4="T中", K4="中", K4=2, K4="小夜")</formula>
    </cfRule>
    <cfRule type="expression" dxfId="75" priority="3">
      <formula>OR(K4="T早", K4="早", K4="M1", K4=1, K4="日")</formula>
    </cfRule>
    <cfRule type="expression" dxfId="74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73" priority="12" operator="greaterThan">
      <formula>5</formula>
    </cfRule>
  </conditionalFormatting>
  <conditionalFormatting sqref="K46:AO54">
    <cfRule type="cellIs" dxfId="72" priority="1110" operator="equal">
      <formula>5</formula>
    </cfRule>
    <cfRule type="cellIs" dxfId="71" priority="1111" operator="equal">
      <formula>4</formula>
    </cfRule>
    <cfRule type="cellIs" dxfId="70" priority="1112" operator="equal">
      <formula>3</formula>
    </cfRule>
    <cfRule type="cellIs" dxfId="69" priority="1113" operator="equal">
      <formula>2</formula>
    </cfRule>
    <cfRule type="cellIs" dxfId="68" priority="1114" operator="equal">
      <formula>1</formula>
    </cfRule>
  </conditionalFormatting>
  <conditionalFormatting sqref="K52:AO54">
    <cfRule type="cellIs" dxfId="67" priority="1115" operator="equal">
      <formula>"T中"</formula>
    </cfRule>
  </conditionalFormatting>
  <conditionalFormatting sqref="AP24">
    <cfRule type="cellIs" dxfId="66" priority="1157" operator="equal">
      <formula>"T中"</formula>
    </cfRule>
    <cfRule type="cellIs" dxfId="65" priority="1158" operator="equal">
      <formula>"中"</formula>
    </cfRule>
    <cfRule type="cellIs" dxfId="64" priority="1159" operator="equal">
      <formula>"M2"</formula>
    </cfRule>
    <cfRule type="cellIs" dxfId="63" priority="1160" operator="equal">
      <formula>2</formula>
    </cfRule>
    <cfRule type="cellIs" dxfId="62" priority="1161" operator="equal">
      <formula>"日"</formula>
    </cfRule>
    <cfRule type="cellIs" dxfId="61" priority="1162" operator="equal">
      <formula>"T早"</formula>
    </cfRule>
    <cfRule type="cellIs" dxfId="60" priority="1163" operator="equal">
      <formula>"早"</formula>
    </cfRule>
    <cfRule type="cellIs" dxfId="59" priority="1164" operator="equal">
      <formula>"M1"</formula>
    </cfRule>
    <cfRule type="cellIs" dxfId="58" priority="1165" operator="equal">
      <formula>1</formula>
    </cfRule>
    <cfRule type="cellIs" dxfId="57" priority="1153" operator="equal">
      <formula>"大夜"</formula>
    </cfRule>
    <cfRule type="cellIs" dxfId="56" priority="1154" operator="equal">
      <formula>"晚"</formula>
    </cfRule>
    <cfRule type="cellIs" dxfId="55" priority="1155" operator="equal">
      <formula>3</formula>
    </cfRule>
    <cfRule type="cellIs" dxfId="54" priority="1156" operator="equal">
      <formula>"小夜"</formula>
    </cfRule>
  </conditionalFormatting>
  <conditionalFormatting sqref="AP31:AP32">
    <cfRule type="cellIs" dxfId="53" priority="1138" operator="equal">
      <formula>"大夜"</formula>
    </cfRule>
    <cfRule type="cellIs" dxfId="52" priority="1139" operator="equal">
      <formula>"晚"</formula>
    </cfRule>
    <cfRule type="cellIs" dxfId="51" priority="1140" operator="equal">
      <formula>3</formula>
    </cfRule>
    <cfRule type="cellIs" dxfId="50" priority="1141" operator="equal">
      <formula>"小夜"</formula>
    </cfRule>
    <cfRule type="cellIs" dxfId="49" priority="1142" operator="equal">
      <formula>"T中"</formula>
    </cfRule>
    <cfRule type="cellIs" dxfId="48" priority="1143" operator="equal">
      <formula>"中"</formula>
    </cfRule>
    <cfRule type="cellIs" dxfId="47" priority="1144" operator="equal">
      <formula>"M2"</formula>
    </cfRule>
    <cfRule type="cellIs" dxfId="46" priority="1145" operator="equal">
      <formula>2</formula>
    </cfRule>
    <cfRule type="cellIs" dxfId="45" priority="1147" operator="equal">
      <formula>"T早"</formula>
    </cfRule>
    <cfRule type="cellIs" dxfId="44" priority="1148" operator="equal">
      <formula>"早"</formula>
    </cfRule>
    <cfRule type="cellIs" dxfId="43" priority="1149" operator="equal">
      <formula>"M1"</formula>
    </cfRule>
    <cfRule type="cellIs" dxfId="42" priority="1150" operator="equal">
      <formula>1</formula>
    </cfRule>
    <cfRule type="cellIs" dxfId="41" priority="1146" operator="equal">
      <formula>"日"</formula>
    </cfRule>
  </conditionalFormatting>
  <conditionalFormatting sqref="AS4:AS45">
    <cfRule type="cellIs" dxfId="40" priority="1151" operator="equal">
      <formula>-2</formula>
    </cfRule>
    <cfRule type="cellIs" dxfId="39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6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V23" sqref="V23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40" t="str">
        <f>"TPKC剩餘人力："&amp;AQ57&amp;" / NK剩餘人力："&amp;AR57&amp;" /  N班人力："&amp;AQ52</f>
        <v>TPKC剩餘人力：0 / NK剩餘人力：0 /  N班人力：71</v>
      </c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2"/>
      <c r="AJ1" s="441"/>
      <c r="AK1" s="441"/>
      <c r="AL1" s="443"/>
      <c r="AM1" s="444"/>
      <c r="AN1" s="444"/>
      <c r="AQ1" s="6"/>
      <c r="AR1" s="7"/>
    </row>
    <row r="2" spans="1:225" ht="23.25" customHeight="1" thickBot="1">
      <c r="A2" s="449">
        <v>1</v>
      </c>
      <c r="B2" s="451">
        <v>2</v>
      </c>
      <c r="C2" s="451">
        <v>3</v>
      </c>
      <c r="D2" s="453" t="s">
        <v>104</v>
      </c>
      <c r="E2" s="455" t="s">
        <v>105</v>
      </c>
      <c r="F2" s="8" t="s">
        <v>106</v>
      </c>
      <c r="G2" s="8" t="s">
        <v>107</v>
      </c>
      <c r="H2" s="8" t="s">
        <v>108</v>
      </c>
      <c r="I2" s="445" t="s">
        <v>109</v>
      </c>
      <c r="J2" s="447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37" t="s">
        <v>48</v>
      </c>
      <c r="AW2" s="438"/>
      <c r="AX2" s="439"/>
    </row>
    <row r="3" spans="1:225" ht="24.6" customHeight="1" thickBot="1">
      <c r="A3" s="450"/>
      <c r="B3" s="452"/>
      <c r="C3" s="452"/>
      <c r="D3" s="454"/>
      <c r="E3" s="456"/>
      <c r="F3" s="15" t="s">
        <v>118</v>
      </c>
      <c r="G3" s="15" t="s">
        <v>119</v>
      </c>
      <c r="H3" s="16" t="s">
        <v>120</v>
      </c>
      <c r="I3" s="446"/>
      <c r="J3" s="448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5" si="0">COUNTIF(K4:AN4,1)+COUNTIF(K4:AN4,"早")+COUNTIF(K4:AN4,"M1")+COUNTIF(K4:AN4,"T早")+COUNTIF(K4:AN4,"日")</f>
        <v>0</v>
      </c>
      <c r="B4" s="24">
        <f t="shared" ref="B4:B5" si="1">COUNTIF(K4:AN4,2)+COUNTIF(K4:AN4,"中")+COUNTIF(K4:AN4,"M2")+COUNTIF(K4:AN4,"T中")+COUNTIF(K4:AN4,"小夜")</f>
        <v>0</v>
      </c>
      <c r="C4" s="25">
        <f t="shared" ref="C4:C5" si="2">COUNTIF(K4:AN4,3)+COUNTIF(K4:AN4,"晚")+COUNTIF(K4:AN4,"大夜")</f>
        <v>19</v>
      </c>
      <c r="D4" s="24">
        <f t="shared" ref="D4:D5" si="3">COUNTIF(K4:AN4,"N")+COUNTIF(K4:AN4,"N8")</f>
        <v>0</v>
      </c>
      <c r="E4" s="26">
        <f t="shared" ref="E4:E5" si="4">COUNTIF(K4:AN4,"S")</f>
        <v>1</v>
      </c>
      <c r="F4" s="26">
        <f t="shared" ref="F4:F5" si="5">COUNTIF(K4:AN4,"X")</f>
        <v>4</v>
      </c>
      <c r="G4" s="26">
        <f t="shared" ref="G4:G5" si="6">COUNTIF(K4:AN4,"Y")</f>
        <v>4</v>
      </c>
      <c r="H4" s="26">
        <f t="shared" ref="H4:H5" si="7">COUNTIF(K4:AN4,"Z")</f>
        <v>2</v>
      </c>
      <c r="I4" s="27">
        <f t="shared" ref="I4:I16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5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5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38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1" si="10">SUM(AO5:AQ5)</f>
        <v>0</v>
      </c>
      <c r="AS5" s="329" t="s">
        <v>126</v>
      </c>
    </row>
    <row r="6" spans="1:225" ht="25.5" customHeight="1">
      <c r="A6" s="38">
        <f t="shared" ref="A6:A13" si="11">COUNTIF(K6:AN6,1)+COUNTIF(K6:AN6,"早")+COUNTIF(K6:AN6,"M1")+COUNTIF(K6:AN6,"T早")+COUNTIF(K6:AN6,"日")</f>
        <v>13</v>
      </c>
      <c r="B6" s="39">
        <f t="shared" ref="B6:B13" si="12">COUNTIF(K6:AN6,2)+COUNTIF(K6:AN6,"中")+COUNTIF(K6:AN6,"M2")+COUNTIF(K6:AN6,"T中")+COUNTIF(K6:AN6,"小夜")</f>
        <v>1</v>
      </c>
      <c r="C6" s="40">
        <f t="shared" ref="C6:C13" si="13">COUNTIF(K6:AN6,3)+COUNTIF(K6:AN6,"晚")+COUNTIF(K6:AN6,"大夜")</f>
        <v>0</v>
      </c>
      <c r="D6" s="39">
        <f t="shared" ref="D6:D13" si="14">COUNTIF(K6:AN6,"N")+COUNTIF(K6:AN6,"N8")</f>
        <v>4</v>
      </c>
      <c r="E6" s="41">
        <f t="shared" ref="E6:E13" si="15">COUNTIF(K6:AN6,"S")</f>
        <v>2</v>
      </c>
      <c r="F6" s="41">
        <f t="shared" ref="F6:F13" si="16">COUNTIF(K6:AN6,"X")</f>
        <v>4</v>
      </c>
      <c r="G6" s="41">
        <f t="shared" ref="G6:G13" si="17">COUNTIF(K6:AN6,"Y")</f>
        <v>4</v>
      </c>
      <c r="H6" s="41">
        <f t="shared" ref="H6:H13" si="18">COUNTIF(K6:AN6,"Z")</f>
        <v>2</v>
      </c>
      <c r="I6" s="42">
        <f t="shared" ref="I6:I13" si="19">SUM(A6:H6)</f>
        <v>30</v>
      </c>
      <c r="J6" s="209" t="s">
        <v>129</v>
      </c>
      <c r="K6" s="426" t="s">
        <v>3</v>
      </c>
      <c r="L6" s="242" t="s">
        <v>3</v>
      </c>
      <c r="M6" s="242" t="s">
        <v>3</v>
      </c>
      <c r="N6" s="259">
        <v>1</v>
      </c>
      <c r="O6" s="238" t="s">
        <v>52</v>
      </c>
      <c r="P6" s="238" t="s">
        <v>36</v>
      </c>
      <c r="Q6" s="234" t="s">
        <v>1</v>
      </c>
      <c r="R6" s="238" t="s">
        <v>0</v>
      </c>
      <c r="S6" s="238" t="s">
        <v>53</v>
      </c>
      <c r="T6" s="238">
        <v>1</v>
      </c>
      <c r="U6" s="259">
        <v>1</v>
      </c>
      <c r="V6" s="239" t="s">
        <v>52</v>
      </c>
      <c r="W6" s="239" t="s">
        <v>0</v>
      </c>
      <c r="X6" s="259">
        <v>1</v>
      </c>
      <c r="Y6" s="242" t="s">
        <v>3</v>
      </c>
      <c r="Z6" s="259">
        <v>1</v>
      </c>
      <c r="AA6" s="238" t="s">
        <v>0</v>
      </c>
      <c r="AB6" s="238" t="s">
        <v>36</v>
      </c>
      <c r="AC6" s="259">
        <v>1</v>
      </c>
      <c r="AD6" s="259">
        <v>1</v>
      </c>
      <c r="AE6" s="259" t="s">
        <v>38</v>
      </c>
      <c r="AF6" s="238" t="s">
        <v>52</v>
      </c>
      <c r="AG6" s="238" t="s">
        <v>36</v>
      </c>
      <c r="AH6" s="238" t="s">
        <v>36</v>
      </c>
      <c r="AI6" s="239" t="s">
        <v>52</v>
      </c>
      <c r="AJ6" s="271" t="s">
        <v>53</v>
      </c>
      <c r="AK6" s="234" t="s">
        <v>1</v>
      </c>
      <c r="AL6" s="239" t="s">
        <v>0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4</v>
      </c>
      <c r="AX6" s="6">
        <f t="shared" ref="AX6:AX7" si="20">AV6+AW6</f>
        <v>4</v>
      </c>
    </row>
    <row r="7" spans="1:225" ht="25.5" customHeight="1">
      <c r="A7" s="38">
        <f t="shared" si="11"/>
        <v>16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3</v>
      </c>
      <c r="F7" s="41">
        <f t="shared" si="16"/>
        <v>4</v>
      </c>
      <c r="G7" s="41">
        <f t="shared" si="17"/>
        <v>4</v>
      </c>
      <c r="H7" s="41">
        <f t="shared" si="18"/>
        <v>2</v>
      </c>
      <c r="I7" s="42">
        <f t="shared" si="19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7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20"/>
        <v>2</v>
      </c>
    </row>
    <row r="8" spans="1:225" ht="24" customHeight="1">
      <c r="A8" s="38">
        <f t="shared" si="11"/>
        <v>0</v>
      </c>
      <c r="B8" s="39">
        <f t="shared" si="12"/>
        <v>0</v>
      </c>
      <c r="C8" s="40">
        <f t="shared" si="13"/>
        <v>0</v>
      </c>
      <c r="D8" s="39">
        <f t="shared" si="14"/>
        <v>17</v>
      </c>
      <c r="E8" s="41">
        <f t="shared" si="15"/>
        <v>3</v>
      </c>
      <c r="F8" s="41">
        <f t="shared" si="16"/>
        <v>4</v>
      </c>
      <c r="G8" s="41">
        <f t="shared" si="17"/>
        <v>4</v>
      </c>
      <c r="H8" s="41">
        <f t="shared" si="18"/>
        <v>2</v>
      </c>
      <c r="I8" s="42">
        <f t="shared" si="19"/>
        <v>30</v>
      </c>
      <c r="J8" s="209" t="s">
        <v>132</v>
      </c>
      <c r="K8" s="428" t="s">
        <v>1</v>
      </c>
      <c r="L8" s="234" t="s">
        <v>1</v>
      </c>
      <c r="M8" s="234" t="s">
        <v>1</v>
      </c>
      <c r="N8" s="238" t="s">
        <v>3</v>
      </c>
      <c r="O8" s="239" t="s">
        <v>52</v>
      </c>
      <c r="P8" s="239" t="s">
        <v>0</v>
      </c>
      <c r="Q8" s="238" t="s">
        <v>3</v>
      </c>
      <c r="R8" s="238" t="s">
        <v>3</v>
      </c>
      <c r="S8" s="238" t="s">
        <v>3</v>
      </c>
      <c r="T8" s="238" t="s">
        <v>3</v>
      </c>
      <c r="U8" s="238" t="s">
        <v>3</v>
      </c>
      <c r="V8" s="239" t="s">
        <v>52</v>
      </c>
      <c r="W8" s="239" t="s">
        <v>0</v>
      </c>
      <c r="X8" s="238" t="s">
        <v>3</v>
      </c>
      <c r="Y8" s="238" t="s">
        <v>3</v>
      </c>
      <c r="Z8" s="238" t="s">
        <v>3</v>
      </c>
      <c r="AA8" s="238" t="s">
        <v>3</v>
      </c>
      <c r="AB8" s="238" t="s">
        <v>3</v>
      </c>
      <c r="AC8" s="239" t="s">
        <v>52</v>
      </c>
      <c r="AD8" s="239" t="s">
        <v>0</v>
      </c>
      <c r="AE8" s="393" t="s">
        <v>41</v>
      </c>
      <c r="AF8" s="393" t="s">
        <v>41</v>
      </c>
      <c r="AG8" s="393" t="s">
        <v>41</v>
      </c>
      <c r="AH8" s="393" t="s">
        <v>41</v>
      </c>
      <c r="AI8" s="239" t="s">
        <v>53</v>
      </c>
      <c r="AJ8" s="239" t="s">
        <v>52</v>
      </c>
      <c r="AK8" s="239" t="s">
        <v>53</v>
      </c>
      <c r="AL8" s="239" t="s">
        <v>0</v>
      </c>
      <c r="AM8" s="238" t="s">
        <v>3</v>
      </c>
      <c r="AN8" s="241" t="s">
        <v>3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5" s="50" customFormat="1" ht="24.75" customHeight="1">
      <c r="A9" s="38">
        <f t="shared" si="11"/>
        <v>16</v>
      </c>
      <c r="B9" s="39">
        <f t="shared" si="12"/>
        <v>2</v>
      </c>
      <c r="C9" s="40">
        <f t="shared" si="13"/>
        <v>1</v>
      </c>
      <c r="D9" s="39">
        <f t="shared" si="14"/>
        <v>0</v>
      </c>
      <c r="E9" s="41">
        <f t="shared" si="15"/>
        <v>1</v>
      </c>
      <c r="F9" s="41">
        <f t="shared" si="16"/>
        <v>4</v>
      </c>
      <c r="G9" s="41">
        <f t="shared" si="17"/>
        <v>4</v>
      </c>
      <c r="H9" s="41">
        <f t="shared" si="18"/>
        <v>2</v>
      </c>
      <c r="I9" s="42">
        <f t="shared" si="19"/>
        <v>30</v>
      </c>
      <c r="J9" s="209" t="s">
        <v>4</v>
      </c>
      <c r="K9" s="245" t="s">
        <v>36</v>
      </c>
      <c r="L9" s="238" t="s">
        <v>52</v>
      </c>
      <c r="M9" s="256" t="s">
        <v>5</v>
      </c>
      <c r="N9" s="238" t="s">
        <v>36</v>
      </c>
      <c r="O9" s="238" t="s">
        <v>38</v>
      </c>
      <c r="P9" s="259">
        <v>2</v>
      </c>
      <c r="Q9" s="238" t="s">
        <v>52</v>
      </c>
      <c r="R9" s="238" t="s">
        <v>36</v>
      </c>
      <c r="S9" s="259">
        <v>1</v>
      </c>
      <c r="T9" s="256" t="s">
        <v>5</v>
      </c>
      <c r="U9" s="234" t="s">
        <v>0</v>
      </c>
      <c r="V9" s="259">
        <v>3</v>
      </c>
      <c r="W9" s="239" t="s">
        <v>53</v>
      </c>
      <c r="X9" s="238">
        <v>1</v>
      </c>
      <c r="Y9" s="238">
        <v>1</v>
      </c>
      <c r="Z9" s="238">
        <v>1</v>
      </c>
      <c r="AA9" s="256" t="s">
        <v>5</v>
      </c>
      <c r="AB9" s="234" t="s">
        <v>52</v>
      </c>
      <c r="AC9" s="238">
        <v>1</v>
      </c>
      <c r="AD9" s="239" t="s">
        <v>0</v>
      </c>
      <c r="AE9" s="238" t="s">
        <v>36</v>
      </c>
      <c r="AF9" s="238" t="s">
        <v>36</v>
      </c>
      <c r="AG9" s="238" t="s">
        <v>36</v>
      </c>
      <c r="AH9" s="238" t="s">
        <v>36</v>
      </c>
      <c r="AI9" s="234" t="s">
        <v>1</v>
      </c>
      <c r="AJ9" s="272" t="s">
        <v>53</v>
      </c>
      <c r="AK9" s="272" t="s">
        <v>52</v>
      </c>
      <c r="AL9" s="271" t="s">
        <v>0</v>
      </c>
      <c r="AM9" s="238" t="s">
        <v>0</v>
      </c>
      <c r="AN9" s="260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128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-1</v>
      </c>
      <c r="AW9" s="6">
        <v>7</v>
      </c>
      <c r="AX9" s="6">
        <f t="shared" ref="AX9:AX13" si="21">AV9+AW9</f>
        <v>6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8.8" customHeight="1">
      <c r="A10" s="38">
        <f t="shared" si="11"/>
        <v>16</v>
      </c>
      <c r="B10" s="39">
        <f t="shared" si="12"/>
        <v>4</v>
      </c>
      <c r="C10" s="40">
        <f t="shared" si="13"/>
        <v>0</v>
      </c>
      <c r="D10" s="39">
        <f t="shared" si="14"/>
        <v>0</v>
      </c>
      <c r="E10" s="41">
        <f t="shared" si="15"/>
        <v>0</v>
      </c>
      <c r="F10" s="41">
        <f t="shared" si="16"/>
        <v>4</v>
      </c>
      <c r="G10" s="41">
        <f t="shared" si="17"/>
        <v>4</v>
      </c>
      <c r="H10" s="41">
        <f t="shared" si="18"/>
        <v>2</v>
      </c>
      <c r="I10" s="42">
        <f t="shared" si="19"/>
        <v>30</v>
      </c>
      <c r="J10" s="210" t="s">
        <v>134</v>
      </c>
      <c r="K10" s="245" t="s">
        <v>36</v>
      </c>
      <c r="L10" s="238" t="s">
        <v>36</v>
      </c>
      <c r="M10" s="238" t="s">
        <v>52</v>
      </c>
      <c r="N10" s="259" t="s">
        <v>36</v>
      </c>
      <c r="O10" s="238">
        <v>1</v>
      </c>
      <c r="P10" s="238" t="s">
        <v>0</v>
      </c>
      <c r="Q10" s="238">
        <v>1</v>
      </c>
      <c r="R10" s="238">
        <v>1</v>
      </c>
      <c r="S10" s="259" t="s">
        <v>36</v>
      </c>
      <c r="T10" s="238" t="s">
        <v>36</v>
      </c>
      <c r="U10" s="259">
        <v>2</v>
      </c>
      <c r="V10" s="239" t="s">
        <v>52</v>
      </c>
      <c r="W10" s="239" t="s">
        <v>0</v>
      </c>
      <c r="X10" s="234" t="s">
        <v>0</v>
      </c>
      <c r="Y10" s="238" t="s">
        <v>36</v>
      </c>
      <c r="Z10" s="238" t="s">
        <v>36</v>
      </c>
      <c r="AA10" s="238" t="s">
        <v>36</v>
      </c>
      <c r="AB10" s="238" t="s">
        <v>36</v>
      </c>
      <c r="AC10" s="238" t="s">
        <v>36</v>
      </c>
      <c r="AD10" s="238" t="s">
        <v>36</v>
      </c>
      <c r="AE10" s="238" t="s">
        <v>52</v>
      </c>
      <c r="AF10" s="259" t="s">
        <v>38</v>
      </c>
      <c r="AG10" s="259">
        <v>2</v>
      </c>
      <c r="AH10" s="259">
        <v>2</v>
      </c>
      <c r="AI10" s="234" t="s">
        <v>52</v>
      </c>
      <c r="AJ10" s="239" t="s">
        <v>53</v>
      </c>
      <c r="AK10" s="239" t="s">
        <v>53</v>
      </c>
      <c r="AL10" s="234" t="s">
        <v>0</v>
      </c>
      <c r="AM10" s="238">
        <v>1</v>
      </c>
      <c r="AN10" s="241">
        <v>1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126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2</v>
      </c>
      <c r="AX10" s="6">
        <f t="shared" si="2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11"/>
        <v>14</v>
      </c>
      <c r="B11" s="39">
        <f t="shared" si="12"/>
        <v>1</v>
      </c>
      <c r="C11" s="40">
        <f t="shared" si="13"/>
        <v>1</v>
      </c>
      <c r="D11" s="39">
        <f t="shared" si="14"/>
        <v>2</v>
      </c>
      <c r="E11" s="41">
        <f t="shared" si="15"/>
        <v>2</v>
      </c>
      <c r="F11" s="41">
        <f t="shared" si="16"/>
        <v>4</v>
      </c>
      <c r="G11" s="41">
        <f t="shared" si="17"/>
        <v>4</v>
      </c>
      <c r="H11" s="41">
        <f t="shared" si="18"/>
        <v>2</v>
      </c>
      <c r="I11" s="42">
        <f t="shared" si="19"/>
        <v>30</v>
      </c>
      <c r="J11" s="209" t="s">
        <v>6</v>
      </c>
      <c r="K11" s="429" t="s">
        <v>5</v>
      </c>
      <c r="L11" s="238" t="s">
        <v>36</v>
      </c>
      <c r="M11" s="238" t="s">
        <v>36</v>
      </c>
      <c r="N11" s="234" t="s">
        <v>1</v>
      </c>
      <c r="O11" s="239" t="s">
        <v>52</v>
      </c>
      <c r="P11" s="239" t="s">
        <v>0</v>
      </c>
      <c r="Q11" s="238" t="s">
        <v>36</v>
      </c>
      <c r="R11" s="238" t="s">
        <v>36</v>
      </c>
      <c r="S11" s="242" t="s">
        <v>3</v>
      </c>
      <c r="T11" s="238" t="s">
        <v>52</v>
      </c>
      <c r="U11" s="238" t="s">
        <v>53</v>
      </c>
      <c r="V11" s="259" t="s">
        <v>36</v>
      </c>
      <c r="W11" s="238">
        <v>1</v>
      </c>
      <c r="X11" s="238" t="s">
        <v>0</v>
      </c>
      <c r="Y11" s="238" t="s">
        <v>36</v>
      </c>
      <c r="Z11" s="238" t="s">
        <v>36</v>
      </c>
      <c r="AA11" s="238" t="s">
        <v>36</v>
      </c>
      <c r="AB11" s="234" t="s">
        <v>53</v>
      </c>
      <c r="AC11" s="239" t="s">
        <v>52</v>
      </c>
      <c r="AD11" s="239" t="s">
        <v>0</v>
      </c>
      <c r="AE11" s="234" t="s">
        <v>1</v>
      </c>
      <c r="AF11" s="238">
        <v>1</v>
      </c>
      <c r="AG11" s="242" t="s">
        <v>3</v>
      </c>
      <c r="AH11" s="256" t="s">
        <v>5</v>
      </c>
      <c r="AI11" s="234" t="s">
        <v>52</v>
      </c>
      <c r="AJ11" s="259">
        <v>3</v>
      </c>
      <c r="AK11" s="259">
        <v>2</v>
      </c>
      <c r="AL11" s="271" t="s">
        <v>0</v>
      </c>
      <c r="AM11" s="256" t="s">
        <v>5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128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4</v>
      </c>
      <c r="AX11" s="6">
        <f t="shared" si="2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5.5" customHeight="1">
      <c r="A12" s="38">
        <f t="shared" si="11"/>
        <v>18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4</v>
      </c>
      <c r="G12" s="41">
        <f t="shared" si="17"/>
        <v>4</v>
      </c>
      <c r="H12" s="41">
        <f t="shared" si="18"/>
        <v>2</v>
      </c>
      <c r="I12" s="42">
        <f t="shared" si="19"/>
        <v>30</v>
      </c>
      <c r="J12" s="209" t="s">
        <v>135</v>
      </c>
      <c r="K12" s="245" t="s">
        <v>36</v>
      </c>
      <c r="L12" s="238" t="s">
        <v>36</v>
      </c>
      <c r="M12" s="238">
        <v>1</v>
      </c>
      <c r="N12" s="238" t="s">
        <v>52</v>
      </c>
      <c r="O12" s="259">
        <v>2</v>
      </c>
      <c r="P12" s="238">
        <v>2</v>
      </c>
      <c r="Q12" s="238" t="s">
        <v>0</v>
      </c>
      <c r="R12" s="238" t="s">
        <v>36</v>
      </c>
      <c r="S12" s="238" t="s">
        <v>36</v>
      </c>
      <c r="T12" s="238" t="s">
        <v>36</v>
      </c>
      <c r="U12" s="238" t="s">
        <v>36</v>
      </c>
      <c r="V12" s="239" t="s">
        <v>52</v>
      </c>
      <c r="W12" s="239" t="s">
        <v>0</v>
      </c>
      <c r="X12" s="238" t="s">
        <v>36</v>
      </c>
      <c r="Y12" s="238" t="s">
        <v>36</v>
      </c>
      <c r="Z12" s="238" t="s">
        <v>36</v>
      </c>
      <c r="AA12" s="238" t="s">
        <v>52</v>
      </c>
      <c r="AB12" s="238">
        <v>1</v>
      </c>
      <c r="AC12" s="259">
        <v>1</v>
      </c>
      <c r="AD12" s="259">
        <v>1</v>
      </c>
      <c r="AE12" s="259">
        <v>1</v>
      </c>
      <c r="AF12" s="238" t="s">
        <v>0</v>
      </c>
      <c r="AG12" s="259">
        <v>1</v>
      </c>
      <c r="AH12" s="238" t="s">
        <v>36</v>
      </c>
      <c r="AI12" s="234" t="s">
        <v>53</v>
      </c>
      <c r="AJ12" s="239" t="s">
        <v>53</v>
      </c>
      <c r="AK12" s="239" t="s">
        <v>52</v>
      </c>
      <c r="AL12" s="271" t="s">
        <v>0</v>
      </c>
      <c r="AM12" s="238" t="s">
        <v>36</v>
      </c>
      <c r="AN12" s="241" t="s">
        <v>36</v>
      </c>
      <c r="AO12" s="175">
        <v>0</v>
      </c>
      <c r="AP12" s="46">
        <f t="shared" si="9"/>
        <v>0</v>
      </c>
      <c r="AQ12" s="46">
        <v>0</v>
      </c>
      <c r="AR12" s="41">
        <f>SUM(AO12:AQ12)</f>
        <v>0</v>
      </c>
      <c r="AS12" s="329" t="s">
        <v>126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-1</v>
      </c>
      <c r="AW12" s="6">
        <v>2</v>
      </c>
      <c r="AX12" s="6">
        <f t="shared" si="21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8.35" customHeight="1">
      <c r="A13" s="38">
        <f t="shared" si="11"/>
        <v>17</v>
      </c>
      <c r="B13" s="39">
        <f t="shared" si="12"/>
        <v>1</v>
      </c>
      <c r="C13" s="40">
        <f t="shared" si="13"/>
        <v>0</v>
      </c>
      <c r="D13" s="39">
        <f t="shared" si="14"/>
        <v>1</v>
      </c>
      <c r="E13" s="41">
        <f t="shared" si="15"/>
        <v>1</v>
      </c>
      <c r="F13" s="41">
        <f t="shared" si="16"/>
        <v>4</v>
      </c>
      <c r="G13" s="41">
        <f t="shared" si="17"/>
        <v>4</v>
      </c>
      <c r="H13" s="41">
        <f t="shared" si="18"/>
        <v>2</v>
      </c>
      <c r="I13" s="42">
        <f t="shared" si="19"/>
        <v>30</v>
      </c>
      <c r="J13" s="210" t="s">
        <v>136</v>
      </c>
      <c r="K13" s="258" t="s">
        <v>58</v>
      </c>
      <c r="L13" s="259">
        <v>1</v>
      </c>
      <c r="M13" s="238">
        <v>1</v>
      </c>
      <c r="N13" s="234" t="s">
        <v>1</v>
      </c>
      <c r="O13" s="239" t="s">
        <v>52</v>
      </c>
      <c r="P13" s="239" t="s">
        <v>0</v>
      </c>
      <c r="Q13" s="238" t="s">
        <v>36</v>
      </c>
      <c r="R13" s="234" t="s">
        <v>52</v>
      </c>
      <c r="S13" s="238" t="s">
        <v>36</v>
      </c>
      <c r="T13" s="238" t="s">
        <v>36</v>
      </c>
      <c r="U13" s="259" t="s">
        <v>58</v>
      </c>
      <c r="V13" s="259">
        <v>2</v>
      </c>
      <c r="W13" s="238" t="s">
        <v>0</v>
      </c>
      <c r="X13" s="238" t="s">
        <v>36</v>
      </c>
      <c r="Y13" s="238" t="s">
        <v>36</v>
      </c>
      <c r="Z13" s="238" t="s">
        <v>52</v>
      </c>
      <c r="AA13" s="238">
        <v>1</v>
      </c>
      <c r="AB13" s="259" t="s">
        <v>58</v>
      </c>
      <c r="AC13" s="239" t="s">
        <v>53</v>
      </c>
      <c r="AD13" s="239" t="s">
        <v>0</v>
      </c>
      <c r="AE13" s="259" t="s">
        <v>58</v>
      </c>
      <c r="AF13" s="242" t="s">
        <v>3</v>
      </c>
      <c r="AG13" s="238">
        <v>1</v>
      </c>
      <c r="AH13" s="238" t="s">
        <v>53</v>
      </c>
      <c r="AI13" s="234" t="s">
        <v>52</v>
      </c>
      <c r="AJ13" s="238">
        <v>1</v>
      </c>
      <c r="AK13" s="238">
        <v>1</v>
      </c>
      <c r="AL13" s="271" t="s">
        <v>0</v>
      </c>
      <c r="AM13" s="259" t="s">
        <v>58</v>
      </c>
      <c r="AN13" s="260" t="s">
        <v>36</v>
      </c>
      <c r="AO13" s="175">
        <v>0</v>
      </c>
      <c r="AP13" s="46">
        <f t="shared" si="9"/>
        <v>0</v>
      </c>
      <c r="AQ13" s="46">
        <v>0</v>
      </c>
      <c r="AR13" s="41">
        <f t="shared" ref="AR13:AR16" si="22">SUM(AO13:AQ13)</f>
        <v>0</v>
      </c>
      <c r="AS13" s="329" t="s">
        <v>128</v>
      </c>
      <c r="AT13" s="6"/>
      <c r="AU13" s="6"/>
      <c r="AV13" s="6" cm="2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4</v>
      </c>
      <c r="AX13" s="6">
        <f t="shared" si="21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ref="A14:A44" si="23">COUNTIF(K14:AN14,1)+COUNTIF(K14:AN14,"早")+COUNTIF(K14:AN14,"M1")+COUNTIF(K14:AN14,"T早")+COUNTIF(K14:AN14,"日")</f>
        <v>0</v>
      </c>
      <c r="B14" s="39">
        <f t="shared" ref="B14:B44" si="24">COUNTIF(K14:AN14,2)+COUNTIF(K14:AN14,"中")+COUNTIF(K14:AN14,"M2")+COUNTIF(K14:AN14,"T中")+COUNTIF(K14:AN14,"小夜")</f>
        <v>13</v>
      </c>
      <c r="C14" s="40">
        <f t="shared" ref="C14:C44" si="25">COUNTIF(K14:AN14,3)+COUNTIF(K14:AN14,"晚")+COUNTIF(K14:AN14,"大夜")</f>
        <v>5</v>
      </c>
      <c r="D14" s="39">
        <f t="shared" ref="D14:D44" si="26">COUNTIF(K14:AN14,"N")+COUNTIF(K14:AN14,"N8")</f>
        <v>2</v>
      </c>
      <c r="E14" s="41">
        <f t="shared" ref="E14:E44" si="27">COUNTIF(K14:AN14,"S")</f>
        <v>0</v>
      </c>
      <c r="F14" s="41">
        <f t="shared" ref="F14:F44" si="28">COUNTIF(K14:AN14,"X")</f>
        <v>4</v>
      </c>
      <c r="G14" s="41">
        <f t="shared" ref="G14:G44" si="29">COUNTIF(K14:AN14,"Y")</f>
        <v>4</v>
      </c>
      <c r="H14" s="41">
        <f t="shared" ref="H14:H44" si="30">COUNTIF(K14:AN14,"Z")</f>
        <v>2</v>
      </c>
      <c r="I14" s="42">
        <f t="shared" si="8"/>
        <v>30</v>
      </c>
      <c r="J14" s="211" t="s">
        <v>7</v>
      </c>
      <c r="K14" s="258">
        <v>2</v>
      </c>
      <c r="L14" s="259">
        <v>2</v>
      </c>
      <c r="M14" s="234" t="s">
        <v>0</v>
      </c>
      <c r="N14" s="238" t="s">
        <v>52</v>
      </c>
      <c r="O14" s="259">
        <v>3</v>
      </c>
      <c r="P14" s="238" t="s">
        <v>0</v>
      </c>
      <c r="Q14" s="259">
        <v>2</v>
      </c>
      <c r="R14" s="238">
        <v>2</v>
      </c>
      <c r="S14" s="238">
        <v>2</v>
      </c>
      <c r="T14" s="238">
        <v>2</v>
      </c>
      <c r="U14" s="238">
        <v>2</v>
      </c>
      <c r="V14" s="239" t="s">
        <v>52</v>
      </c>
      <c r="W14" s="238">
        <v>3</v>
      </c>
      <c r="X14" s="238" t="s">
        <v>53</v>
      </c>
      <c r="Y14" s="242" t="s">
        <v>3</v>
      </c>
      <c r="Z14" s="259">
        <v>2</v>
      </c>
      <c r="AA14" s="259">
        <v>2</v>
      </c>
      <c r="AB14" s="238" t="s">
        <v>52</v>
      </c>
      <c r="AC14" s="259">
        <v>3</v>
      </c>
      <c r="AD14" s="259">
        <v>3</v>
      </c>
      <c r="AE14" s="238" t="s">
        <v>0</v>
      </c>
      <c r="AF14" s="242" t="s">
        <v>3</v>
      </c>
      <c r="AG14" s="238">
        <v>2</v>
      </c>
      <c r="AH14" s="238">
        <v>2</v>
      </c>
      <c r="AI14" s="238" t="s">
        <v>52</v>
      </c>
      <c r="AJ14" s="239" t="s">
        <v>53</v>
      </c>
      <c r="AK14" s="239" t="s">
        <v>0</v>
      </c>
      <c r="AL14" s="238" t="s">
        <v>40</v>
      </c>
      <c r="AM14" s="259">
        <v>2</v>
      </c>
      <c r="AN14" s="260">
        <v>2</v>
      </c>
      <c r="AO14" s="175">
        <v>0</v>
      </c>
      <c r="AP14" s="46">
        <f t="shared" si="9"/>
        <v>0</v>
      </c>
      <c r="AQ14" s="46">
        <v>0</v>
      </c>
      <c r="AR14" s="41">
        <f t="shared" si="22"/>
        <v>0</v>
      </c>
      <c r="AS14" s="329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23"/>
        <v>13</v>
      </c>
      <c r="B15" s="39">
        <f t="shared" si="24"/>
        <v>3</v>
      </c>
      <c r="C15" s="40">
        <f t="shared" si="25"/>
        <v>0</v>
      </c>
      <c r="D15" s="39">
        <f t="shared" si="26"/>
        <v>3</v>
      </c>
      <c r="E15" s="41">
        <f t="shared" si="27"/>
        <v>1</v>
      </c>
      <c r="F15" s="41">
        <f t="shared" si="28"/>
        <v>4</v>
      </c>
      <c r="G15" s="41">
        <f t="shared" si="29"/>
        <v>4</v>
      </c>
      <c r="H15" s="41">
        <f t="shared" si="30"/>
        <v>2</v>
      </c>
      <c r="I15" s="42">
        <f t="shared" si="8"/>
        <v>30</v>
      </c>
      <c r="J15" s="209" t="s">
        <v>8</v>
      </c>
      <c r="K15" s="245" t="s">
        <v>0</v>
      </c>
      <c r="L15" s="242" t="s">
        <v>3</v>
      </c>
      <c r="M15" s="259" t="s">
        <v>58</v>
      </c>
      <c r="N15" s="238" t="s">
        <v>53</v>
      </c>
      <c r="O15" s="239" t="s">
        <v>52</v>
      </c>
      <c r="P15" s="239" t="s">
        <v>0</v>
      </c>
      <c r="Q15" s="238" t="s">
        <v>36</v>
      </c>
      <c r="R15" s="238" t="s">
        <v>36</v>
      </c>
      <c r="S15" s="242" t="s">
        <v>3</v>
      </c>
      <c r="T15" s="259" t="s">
        <v>58</v>
      </c>
      <c r="U15" s="238" t="s">
        <v>52</v>
      </c>
      <c r="V15" s="238">
        <v>2</v>
      </c>
      <c r="W15" s="259">
        <v>2</v>
      </c>
      <c r="X15" s="238" t="s">
        <v>0</v>
      </c>
      <c r="Y15" s="238">
        <v>1</v>
      </c>
      <c r="Z15" s="259" t="s">
        <v>36</v>
      </c>
      <c r="AA15" s="259" t="s">
        <v>58</v>
      </c>
      <c r="AB15" s="259">
        <v>2</v>
      </c>
      <c r="AC15" s="239" t="s">
        <v>52</v>
      </c>
      <c r="AD15" s="239" t="s">
        <v>53</v>
      </c>
      <c r="AE15" s="238" t="s">
        <v>36</v>
      </c>
      <c r="AF15" s="242" t="s">
        <v>3</v>
      </c>
      <c r="AG15" s="238" t="s">
        <v>0</v>
      </c>
      <c r="AH15" s="259" t="s">
        <v>58</v>
      </c>
      <c r="AI15" s="259" t="s">
        <v>36</v>
      </c>
      <c r="AJ15" s="238" t="s">
        <v>36</v>
      </c>
      <c r="AK15" s="238" t="s">
        <v>36</v>
      </c>
      <c r="AL15" s="259" t="s">
        <v>36</v>
      </c>
      <c r="AM15" s="238" t="s">
        <v>52</v>
      </c>
      <c r="AN15" s="261" t="s">
        <v>1</v>
      </c>
      <c r="AO15" s="175">
        <v>0</v>
      </c>
      <c r="AP15" s="46">
        <f t="shared" si="9"/>
        <v>0</v>
      </c>
      <c r="AQ15" s="46">
        <v>0</v>
      </c>
      <c r="AR15" s="41">
        <f t="shared" si="22"/>
        <v>0</v>
      </c>
      <c r="AS15" s="329" t="s">
        <v>128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-1</v>
      </c>
      <c r="AW15" s="6">
        <v>4</v>
      </c>
      <c r="AX15" s="6">
        <f t="shared" ref="AX15:AX18" si="31">AV15+AW15</f>
        <v>3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0" customFormat="1" ht="25.5" customHeight="1">
      <c r="A16" s="38">
        <f t="shared" si="23"/>
        <v>12</v>
      </c>
      <c r="B16" s="39">
        <f t="shared" si="24"/>
        <v>1</v>
      </c>
      <c r="C16" s="40">
        <f t="shared" si="25"/>
        <v>0</v>
      </c>
      <c r="D16" s="39">
        <f t="shared" si="26"/>
        <v>5</v>
      </c>
      <c r="E16" s="41">
        <f t="shared" si="27"/>
        <v>2</v>
      </c>
      <c r="F16" s="41">
        <f t="shared" si="28"/>
        <v>4</v>
      </c>
      <c r="G16" s="41">
        <f t="shared" si="29"/>
        <v>4</v>
      </c>
      <c r="H16" s="41">
        <f t="shared" si="30"/>
        <v>2</v>
      </c>
      <c r="I16" s="42">
        <f t="shared" si="8"/>
        <v>30</v>
      </c>
      <c r="J16" s="212" t="s">
        <v>93</v>
      </c>
      <c r="K16" s="245" t="s">
        <v>0</v>
      </c>
      <c r="L16" s="393" t="s">
        <v>3</v>
      </c>
      <c r="M16" s="242" t="s">
        <v>3</v>
      </c>
      <c r="N16" s="242" t="s">
        <v>3</v>
      </c>
      <c r="O16" s="239" t="s">
        <v>52</v>
      </c>
      <c r="P16" s="238">
        <v>1</v>
      </c>
      <c r="Q16" s="259">
        <v>1</v>
      </c>
      <c r="R16" s="256" t="s">
        <v>5</v>
      </c>
      <c r="S16" s="234" t="s">
        <v>1</v>
      </c>
      <c r="T16" s="242" t="s">
        <v>3</v>
      </c>
      <c r="U16" s="234" t="s">
        <v>1</v>
      </c>
      <c r="V16" s="239" t="s">
        <v>52</v>
      </c>
      <c r="W16" s="422">
        <v>1</v>
      </c>
      <c r="X16" s="238" t="s">
        <v>36</v>
      </c>
      <c r="Y16" s="256" t="s">
        <v>5</v>
      </c>
      <c r="Z16" s="234" t="s">
        <v>52</v>
      </c>
      <c r="AA16" s="238" t="s">
        <v>53</v>
      </c>
      <c r="AB16" s="238" t="s">
        <v>36</v>
      </c>
      <c r="AC16" s="238" t="s">
        <v>36</v>
      </c>
      <c r="AD16" s="238" t="s">
        <v>36</v>
      </c>
      <c r="AE16" s="234" t="s">
        <v>0</v>
      </c>
      <c r="AF16" s="256" t="s">
        <v>5</v>
      </c>
      <c r="AG16" s="242" t="s">
        <v>3</v>
      </c>
      <c r="AH16" s="238" t="s">
        <v>38</v>
      </c>
      <c r="AI16" s="234" t="s">
        <v>52</v>
      </c>
      <c r="AJ16" s="239" t="s">
        <v>53</v>
      </c>
      <c r="AK16" s="239" t="s">
        <v>0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 t="shared" si="22"/>
        <v>0</v>
      </c>
      <c r="AS16" s="329" t="s">
        <v>126</v>
      </c>
      <c r="AT16" s="6"/>
      <c r="AU16" s="6"/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4</v>
      </c>
      <c r="AX16" s="6">
        <f t="shared" si="31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>
      <c r="A17" s="54">
        <f t="shared" si="23"/>
        <v>8</v>
      </c>
      <c r="B17" s="55">
        <f t="shared" si="24"/>
        <v>7</v>
      </c>
      <c r="C17" s="56">
        <f t="shared" si="25"/>
        <v>3</v>
      </c>
      <c r="D17" s="55">
        <f t="shared" si="26"/>
        <v>0</v>
      </c>
      <c r="E17" s="17">
        <f t="shared" si="27"/>
        <v>2</v>
      </c>
      <c r="F17" s="41">
        <f t="shared" ref="F17" si="32">COUNTIF(K17:AN17,"X")</f>
        <v>4</v>
      </c>
      <c r="G17" s="41">
        <f t="shared" ref="G17" si="33">COUNTIF(K17:AN17,"Y")</f>
        <v>4</v>
      </c>
      <c r="H17" s="41">
        <f t="shared" ref="H17" si="34">COUNTIF(K17:AN17,"Z")</f>
        <v>2</v>
      </c>
      <c r="I17" s="57">
        <f>SUM(A17:H17)</f>
        <v>30</v>
      </c>
      <c r="J17" s="209" t="s">
        <v>9</v>
      </c>
      <c r="K17" s="245" t="s">
        <v>0</v>
      </c>
      <c r="L17" s="238" t="s">
        <v>0</v>
      </c>
      <c r="M17" s="259">
        <v>2</v>
      </c>
      <c r="N17" s="259">
        <v>2</v>
      </c>
      <c r="O17" s="239" t="s">
        <v>52</v>
      </c>
      <c r="P17" s="239" t="s">
        <v>53</v>
      </c>
      <c r="Q17" s="234" t="s">
        <v>1</v>
      </c>
      <c r="R17" s="259">
        <v>2</v>
      </c>
      <c r="S17" s="259">
        <v>2</v>
      </c>
      <c r="T17" s="259">
        <v>2</v>
      </c>
      <c r="U17" s="238" t="s">
        <v>52</v>
      </c>
      <c r="V17" s="238" t="s">
        <v>36</v>
      </c>
      <c r="W17" s="238" t="s">
        <v>36</v>
      </c>
      <c r="X17" s="259">
        <v>2</v>
      </c>
      <c r="Y17" s="259">
        <v>2</v>
      </c>
      <c r="Z17" s="238" t="s">
        <v>52</v>
      </c>
      <c r="AA17" s="238" t="s">
        <v>36</v>
      </c>
      <c r="AB17" s="234" t="s">
        <v>1</v>
      </c>
      <c r="AC17" s="239" t="s">
        <v>53</v>
      </c>
      <c r="AD17" s="239" t="s">
        <v>0</v>
      </c>
      <c r="AE17" s="238">
        <v>3</v>
      </c>
      <c r="AF17" s="238">
        <v>3</v>
      </c>
      <c r="AG17" s="238">
        <v>3</v>
      </c>
      <c r="AH17" s="238" t="s">
        <v>52</v>
      </c>
      <c r="AI17" s="238" t="s">
        <v>36</v>
      </c>
      <c r="AJ17" s="259" t="s">
        <v>36</v>
      </c>
      <c r="AK17" s="259" t="s">
        <v>36</v>
      </c>
      <c r="AL17" s="238" t="s">
        <v>36</v>
      </c>
      <c r="AM17" s="238" t="s">
        <v>36</v>
      </c>
      <c r="AN17" s="241" t="s">
        <v>0</v>
      </c>
      <c r="AO17" s="17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128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6</v>
      </c>
      <c r="AX17" s="6">
        <f t="shared" si="31"/>
        <v>5</v>
      </c>
    </row>
    <row r="18" spans="1:225" ht="25.5" customHeight="1" thickBot="1">
      <c r="A18" s="38">
        <f t="shared" si="23"/>
        <v>14</v>
      </c>
      <c r="B18" s="39">
        <f t="shared" si="24"/>
        <v>2</v>
      </c>
      <c r="C18" s="40">
        <f t="shared" si="25"/>
        <v>0</v>
      </c>
      <c r="D18" s="39">
        <f t="shared" si="26"/>
        <v>3</v>
      </c>
      <c r="E18" s="41">
        <f t="shared" si="27"/>
        <v>1</v>
      </c>
      <c r="F18" s="41">
        <f t="shared" si="28"/>
        <v>4</v>
      </c>
      <c r="G18" s="41">
        <f t="shared" si="29"/>
        <v>4</v>
      </c>
      <c r="H18" s="41">
        <f t="shared" si="30"/>
        <v>2</v>
      </c>
      <c r="I18" s="42">
        <f t="shared" ref="I18:I39" si="35">SUM(A18:H18)</f>
        <v>30</v>
      </c>
      <c r="J18" s="224" t="s">
        <v>137</v>
      </c>
      <c r="K18" s="464" t="s">
        <v>36</v>
      </c>
      <c r="L18" s="465" t="s">
        <v>3</v>
      </c>
      <c r="M18" s="466" t="s">
        <v>52</v>
      </c>
      <c r="N18" s="466" t="s">
        <v>36</v>
      </c>
      <c r="O18" s="466" t="s">
        <v>36</v>
      </c>
      <c r="P18" s="466" t="s">
        <v>36</v>
      </c>
      <c r="Q18" s="466" t="s">
        <v>36</v>
      </c>
      <c r="R18" s="466" t="s">
        <v>0</v>
      </c>
      <c r="S18" s="467" t="s">
        <v>3</v>
      </c>
      <c r="T18" s="468">
        <v>1</v>
      </c>
      <c r="U18" s="466" t="s">
        <v>36</v>
      </c>
      <c r="V18" s="469" t="s">
        <v>52</v>
      </c>
      <c r="W18" s="469" t="s">
        <v>0</v>
      </c>
      <c r="X18" s="466" t="s">
        <v>0</v>
      </c>
      <c r="Y18" s="466" t="s">
        <v>0</v>
      </c>
      <c r="Z18" s="466" t="s">
        <v>36</v>
      </c>
      <c r="AA18" s="466" t="s">
        <v>36</v>
      </c>
      <c r="AB18" s="470">
        <v>1</v>
      </c>
      <c r="AC18" s="470">
        <v>2</v>
      </c>
      <c r="AD18" s="470">
        <v>2</v>
      </c>
      <c r="AE18" s="466" t="s">
        <v>52</v>
      </c>
      <c r="AF18" s="470" t="s">
        <v>36</v>
      </c>
      <c r="AG18" s="470" t="s">
        <v>36</v>
      </c>
      <c r="AH18" s="468">
        <v>1</v>
      </c>
      <c r="AI18" s="471" t="s">
        <v>53</v>
      </c>
      <c r="AJ18" s="472" t="s">
        <v>53</v>
      </c>
      <c r="AK18" s="473" t="s">
        <v>1</v>
      </c>
      <c r="AL18" s="472" t="s">
        <v>52</v>
      </c>
      <c r="AM18" s="468">
        <v>1</v>
      </c>
      <c r="AN18" s="474" t="s">
        <v>3</v>
      </c>
      <c r="AO18" s="286">
        <v>0</v>
      </c>
      <c r="AP18" s="74">
        <f t="shared" si="9"/>
        <v>0</v>
      </c>
      <c r="AQ18" s="74">
        <v>0</v>
      </c>
      <c r="AR18" s="63">
        <f t="shared" ref="AR18:AR45" si="36">SUM(AO18:AQ18)</f>
        <v>0</v>
      </c>
      <c r="AS18" s="330" t="s">
        <v>126</v>
      </c>
      <c r="AV18" s="6" cm="2">
        <f t="array" ref="AV18">SUMPRODUCT(COUNTIF(O18:P18,{"X";"Y";"Z";"S"}))+SUMPRODUCT(COUNTIF(V18:W18,{"X";"Y";"Z";"S"}))+SUMPRODUCT(COUNTIF(AC18:AD18,{"X";"Y";"Z";"S"}))+SUMPRODUCT(COUNTIF(AJ18:AK18,{"X";"Y";"Z";"S"}))-5</f>
        <v>-1</v>
      </c>
      <c r="AW18" s="6">
        <v>3</v>
      </c>
      <c r="AX18" s="6">
        <f t="shared" si="31"/>
        <v>2</v>
      </c>
    </row>
    <row r="19" spans="1:225" s="50" customFormat="1" ht="25.5" customHeight="1">
      <c r="A19" s="23">
        <f t="shared" si="23"/>
        <v>0</v>
      </c>
      <c r="B19" s="24">
        <f t="shared" si="24"/>
        <v>13</v>
      </c>
      <c r="C19" s="25">
        <f t="shared" si="25"/>
        <v>5</v>
      </c>
      <c r="D19" s="24">
        <f t="shared" si="26"/>
        <v>0</v>
      </c>
      <c r="E19" s="26">
        <f t="shared" si="27"/>
        <v>2</v>
      </c>
      <c r="F19" s="26">
        <f t="shared" si="28"/>
        <v>4</v>
      </c>
      <c r="G19" s="26">
        <f t="shared" si="29"/>
        <v>4</v>
      </c>
      <c r="H19" s="26">
        <f t="shared" si="30"/>
        <v>2</v>
      </c>
      <c r="I19" s="27">
        <f t="shared" si="35"/>
        <v>30</v>
      </c>
      <c r="J19" s="154" t="s">
        <v>10</v>
      </c>
      <c r="K19" s="395">
        <v>3</v>
      </c>
      <c r="L19" s="235">
        <v>3</v>
      </c>
      <c r="M19" s="235" t="s">
        <v>52</v>
      </c>
      <c r="N19" s="235">
        <v>2</v>
      </c>
      <c r="O19" s="235">
        <v>2</v>
      </c>
      <c r="P19" s="235">
        <v>2</v>
      </c>
      <c r="Q19" s="235">
        <v>2</v>
      </c>
      <c r="R19" s="235" t="s">
        <v>0</v>
      </c>
      <c r="S19" s="235">
        <v>3</v>
      </c>
      <c r="T19" s="235">
        <v>3</v>
      </c>
      <c r="U19" s="235">
        <v>3</v>
      </c>
      <c r="V19" s="235" t="s">
        <v>52</v>
      </c>
      <c r="W19" s="235">
        <v>2</v>
      </c>
      <c r="X19" s="235">
        <v>2</v>
      </c>
      <c r="Y19" s="254" t="s">
        <v>0</v>
      </c>
      <c r="Z19" s="254" t="s">
        <v>1</v>
      </c>
      <c r="AA19" s="254" t="s">
        <v>1</v>
      </c>
      <c r="AB19" s="254" t="s">
        <v>52</v>
      </c>
      <c r="AC19" s="235">
        <v>2</v>
      </c>
      <c r="AD19" s="235">
        <v>2</v>
      </c>
      <c r="AE19" s="235">
        <v>2</v>
      </c>
      <c r="AF19" s="235">
        <v>2</v>
      </c>
      <c r="AG19" s="235" t="s">
        <v>0</v>
      </c>
      <c r="AH19" s="235">
        <v>2</v>
      </c>
      <c r="AI19" s="235">
        <v>2</v>
      </c>
      <c r="AJ19" s="235">
        <v>2</v>
      </c>
      <c r="AK19" s="233" t="s">
        <v>52</v>
      </c>
      <c r="AL19" s="254" t="s">
        <v>53</v>
      </c>
      <c r="AM19" s="254" t="s">
        <v>53</v>
      </c>
      <c r="AN19" s="391" t="s">
        <v>0</v>
      </c>
      <c r="AO19" s="313">
        <v>0</v>
      </c>
      <c r="AP19" s="36">
        <f t="shared" si="9"/>
        <v>0</v>
      </c>
      <c r="AQ19" s="36">
        <v>0</v>
      </c>
      <c r="AR19" s="26">
        <f t="shared" si="36"/>
        <v>0</v>
      </c>
      <c r="AS19" s="328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s="50" customFormat="1" ht="25.5" customHeight="1">
      <c r="A20" s="38">
        <f t="shared" si="23"/>
        <v>4</v>
      </c>
      <c r="B20" s="39">
        <f t="shared" si="24"/>
        <v>9</v>
      </c>
      <c r="C20" s="40">
        <f t="shared" si="25"/>
        <v>2</v>
      </c>
      <c r="D20" s="39">
        <f t="shared" si="26"/>
        <v>3</v>
      </c>
      <c r="E20" s="41">
        <f t="shared" si="27"/>
        <v>2</v>
      </c>
      <c r="F20" s="41">
        <f t="shared" si="28"/>
        <v>4</v>
      </c>
      <c r="G20" s="41">
        <f t="shared" si="29"/>
        <v>4</v>
      </c>
      <c r="H20" s="41">
        <f t="shared" si="30"/>
        <v>2</v>
      </c>
      <c r="I20" s="42">
        <f t="shared" si="35"/>
        <v>30</v>
      </c>
      <c r="J20" s="145" t="s">
        <v>11</v>
      </c>
      <c r="K20" s="245" t="s">
        <v>52</v>
      </c>
      <c r="L20" s="393" t="s">
        <v>3</v>
      </c>
      <c r="M20" s="238" t="s">
        <v>36</v>
      </c>
      <c r="N20" s="238">
        <v>1</v>
      </c>
      <c r="O20" s="238" t="s">
        <v>38</v>
      </c>
      <c r="P20" s="238" t="s">
        <v>38</v>
      </c>
      <c r="Q20" s="238" t="s">
        <v>38</v>
      </c>
      <c r="R20" s="238" t="s">
        <v>0</v>
      </c>
      <c r="S20" s="238" t="s">
        <v>36</v>
      </c>
      <c r="T20" s="242" t="s">
        <v>3</v>
      </c>
      <c r="U20" s="234" t="s">
        <v>1</v>
      </c>
      <c r="V20" s="239" t="s">
        <v>52</v>
      </c>
      <c r="W20" s="239" t="s">
        <v>0</v>
      </c>
      <c r="X20" s="234" t="s">
        <v>1</v>
      </c>
      <c r="Y20" s="234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38</v>
      </c>
      <c r="AE20" s="238" t="s">
        <v>52</v>
      </c>
      <c r="AF20" s="238" t="s">
        <v>36</v>
      </c>
      <c r="AG20" s="242" t="s">
        <v>3</v>
      </c>
      <c r="AH20" s="238" t="s">
        <v>38</v>
      </c>
      <c r="AI20" s="234" t="s">
        <v>52</v>
      </c>
      <c r="AJ20" s="239" t="s">
        <v>53</v>
      </c>
      <c r="AK20" s="239" t="s">
        <v>53</v>
      </c>
      <c r="AL20" s="234" t="s">
        <v>0</v>
      </c>
      <c r="AM20" s="238">
        <v>3</v>
      </c>
      <c r="AN20" s="241">
        <v>3</v>
      </c>
      <c r="AO20" s="45">
        <v>0</v>
      </c>
      <c r="AP20" s="46">
        <f t="shared" si="9"/>
        <v>0</v>
      </c>
      <c r="AQ20" s="46">
        <v>0</v>
      </c>
      <c r="AR20" s="41">
        <f t="shared" si="36"/>
        <v>0</v>
      </c>
      <c r="AS20" s="329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</row>
    <row r="21" spans="1:225" ht="25.5" customHeight="1">
      <c r="A21" s="38">
        <f t="shared" si="23"/>
        <v>4</v>
      </c>
      <c r="B21" s="39">
        <f t="shared" si="24"/>
        <v>9</v>
      </c>
      <c r="C21" s="40">
        <f t="shared" si="25"/>
        <v>3</v>
      </c>
      <c r="D21" s="39">
        <f t="shared" si="26"/>
        <v>1</v>
      </c>
      <c r="E21" s="41">
        <f t="shared" si="27"/>
        <v>3</v>
      </c>
      <c r="F21" s="41">
        <f t="shared" si="28"/>
        <v>4</v>
      </c>
      <c r="G21" s="41">
        <f t="shared" si="29"/>
        <v>4</v>
      </c>
      <c r="H21" s="41">
        <f t="shared" si="30"/>
        <v>2</v>
      </c>
      <c r="I21" s="42">
        <f t="shared" si="35"/>
        <v>30</v>
      </c>
      <c r="J21" s="155" t="s">
        <v>12</v>
      </c>
      <c r="K21" s="245" t="s">
        <v>0</v>
      </c>
      <c r="L21" s="238">
        <v>1</v>
      </c>
      <c r="M21" s="242" t="s">
        <v>3</v>
      </c>
      <c r="N21" s="239" t="s">
        <v>53</v>
      </c>
      <c r="O21" s="234" t="s">
        <v>1</v>
      </c>
      <c r="P21" s="234" t="s">
        <v>1</v>
      </c>
      <c r="Q21" s="234" t="s">
        <v>1</v>
      </c>
      <c r="R21" s="238" t="s">
        <v>0</v>
      </c>
      <c r="S21" s="238" t="s">
        <v>0</v>
      </c>
      <c r="T21" s="238">
        <v>2</v>
      </c>
      <c r="U21" s="238" t="s">
        <v>38</v>
      </c>
      <c r="V21" s="238" t="s">
        <v>38</v>
      </c>
      <c r="W21" s="238" t="s">
        <v>38</v>
      </c>
      <c r="X21" s="238">
        <v>2</v>
      </c>
      <c r="Y21" s="238" t="s">
        <v>52</v>
      </c>
      <c r="Z21" s="238" t="s">
        <v>38</v>
      </c>
      <c r="AA21" s="238">
        <v>2</v>
      </c>
      <c r="AB21" s="238" t="s">
        <v>52</v>
      </c>
      <c r="AC21" s="239" t="s">
        <v>53</v>
      </c>
      <c r="AD21" s="239" t="s">
        <v>0</v>
      </c>
      <c r="AE21" s="238" t="s">
        <v>40</v>
      </c>
      <c r="AF21" s="238" t="s">
        <v>40</v>
      </c>
      <c r="AG21" s="238" t="s">
        <v>40</v>
      </c>
      <c r="AH21" s="238" t="s">
        <v>52</v>
      </c>
      <c r="AI21" s="238" t="s">
        <v>36</v>
      </c>
      <c r="AJ21" s="238" t="s">
        <v>36</v>
      </c>
      <c r="AK21" s="238" t="s">
        <v>36</v>
      </c>
      <c r="AL21" s="239" t="s">
        <v>52</v>
      </c>
      <c r="AM21" s="238" t="s">
        <v>38</v>
      </c>
      <c r="AN21" s="241" t="s">
        <v>38</v>
      </c>
      <c r="AO21" s="45">
        <v>0</v>
      </c>
      <c r="AP21" s="46">
        <f t="shared" si="9"/>
        <v>0</v>
      </c>
      <c r="AQ21" s="46">
        <v>0</v>
      </c>
      <c r="AR21" s="41">
        <f t="shared" si="36"/>
        <v>0</v>
      </c>
      <c r="AS21" s="329" t="s">
        <v>128</v>
      </c>
    </row>
    <row r="22" spans="1:225" ht="25.5" customHeight="1">
      <c r="A22" s="38">
        <f t="shared" si="23"/>
        <v>0</v>
      </c>
      <c r="B22" s="39">
        <f t="shared" si="24"/>
        <v>0</v>
      </c>
      <c r="C22" s="40">
        <f t="shared" si="25"/>
        <v>18</v>
      </c>
      <c r="D22" s="39">
        <f t="shared" si="26"/>
        <v>0</v>
      </c>
      <c r="E22" s="41">
        <f t="shared" si="27"/>
        <v>2</v>
      </c>
      <c r="F22" s="41">
        <f t="shared" si="28"/>
        <v>4</v>
      </c>
      <c r="G22" s="41">
        <f t="shared" si="29"/>
        <v>4</v>
      </c>
      <c r="H22" s="41">
        <f t="shared" si="30"/>
        <v>2</v>
      </c>
      <c r="I22" s="42">
        <f t="shared" si="35"/>
        <v>30</v>
      </c>
      <c r="J22" s="145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 t="s">
        <v>40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9" t="s">
        <v>53</v>
      </c>
      <c r="W22" s="239" t="s">
        <v>0</v>
      </c>
      <c r="X22" s="238" t="s">
        <v>40</v>
      </c>
      <c r="Y22" s="238" t="s">
        <v>40</v>
      </c>
      <c r="Z22" s="238" t="s">
        <v>0</v>
      </c>
      <c r="AA22" s="238" t="s">
        <v>52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0</v>
      </c>
      <c r="AG22" s="238" t="s">
        <v>40</v>
      </c>
      <c r="AH22" s="238" t="s">
        <v>40</v>
      </c>
      <c r="AI22" s="239" t="s">
        <v>53</v>
      </c>
      <c r="AJ22" s="234" t="s">
        <v>1</v>
      </c>
      <c r="AK22" s="234" t="s">
        <v>1</v>
      </c>
      <c r="AL22" s="234" t="s">
        <v>52</v>
      </c>
      <c r="AM22" s="238" t="s">
        <v>40</v>
      </c>
      <c r="AN22" s="24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36"/>
        <v>0</v>
      </c>
      <c r="AS22" s="329" t="s">
        <v>126</v>
      </c>
    </row>
    <row r="23" spans="1:225" s="50" customFormat="1" ht="25.5" customHeight="1">
      <c r="A23" s="38">
        <f t="shared" si="23"/>
        <v>3</v>
      </c>
      <c r="B23" s="39">
        <f t="shared" si="24"/>
        <v>16</v>
      </c>
      <c r="C23" s="40">
        <f t="shared" si="25"/>
        <v>0</v>
      </c>
      <c r="D23" s="39">
        <f t="shared" si="26"/>
        <v>0</v>
      </c>
      <c r="E23" s="41">
        <f t="shared" si="27"/>
        <v>1</v>
      </c>
      <c r="F23" s="41">
        <f t="shared" si="28"/>
        <v>4</v>
      </c>
      <c r="G23" s="41">
        <f t="shared" si="29"/>
        <v>4</v>
      </c>
      <c r="H23" s="41">
        <f t="shared" si="30"/>
        <v>2</v>
      </c>
      <c r="I23" s="42">
        <f t="shared" si="35"/>
        <v>30</v>
      </c>
      <c r="J23" s="146" t="s">
        <v>138</v>
      </c>
      <c r="K23" s="245" t="s">
        <v>38</v>
      </c>
      <c r="L23" s="238" t="s">
        <v>0</v>
      </c>
      <c r="M23" s="238" t="s">
        <v>36</v>
      </c>
      <c r="N23" s="238" t="s">
        <v>38</v>
      </c>
      <c r="O23" s="239" t="s">
        <v>52</v>
      </c>
      <c r="P23" s="239" t="s">
        <v>0</v>
      </c>
      <c r="Q23" s="238" t="s">
        <v>38</v>
      </c>
      <c r="R23" s="238" t="s">
        <v>38</v>
      </c>
      <c r="S23" s="238" t="s">
        <v>38</v>
      </c>
      <c r="T23" s="238" t="s">
        <v>38</v>
      </c>
      <c r="U23" s="238" t="s">
        <v>0</v>
      </c>
      <c r="V23" s="238" t="s">
        <v>36</v>
      </c>
      <c r="W23" s="238" t="s">
        <v>36</v>
      </c>
      <c r="X23" s="238" t="s">
        <v>38</v>
      </c>
      <c r="Y23" s="238" t="s">
        <v>38</v>
      </c>
      <c r="Z23" s="238" t="s">
        <v>52</v>
      </c>
      <c r="AA23" s="238" t="s">
        <v>0</v>
      </c>
      <c r="AB23" s="238">
        <v>2</v>
      </c>
      <c r="AC23" s="238" t="s">
        <v>38</v>
      </c>
      <c r="AD23" s="238" t="s">
        <v>38</v>
      </c>
      <c r="AE23" s="238" t="s">
        <v>38</v>
      </c>
      <c r="AF23" s="238" t="s">
        <v>38</v>
      </c>
      <c r="AG23" s="238" t="s">
        <v>38</v>
      </c>
      <c r="AH23" s="238" t="s">
        <v>52</v>
      </c>
      <c r="AI23" s="234" t="s">
        <v>1</v>
      </c>
      <c r="AJ23" s="239" t="s">
        <v>53</v>
      </c>
      <c r="AK23" s="239" t="s">
        <v>53</v>
      </c>
      <c r="AL23" s="234" t="s">
        <v>52</v>
      </c>
      <c r="AM23" s="238" t="s">
        <v>38</v>
      </c>
      <c r="AN23" s="241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36"/>
        <v>0</v>
      </c>
      <c r="AS23" s="329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0" customFormat="1" ht="25.5" customHeight="1">
      <c r="A24" s="38">
        <f t="shared" si="23"/>
        <v>10</v>
      </c>
      <c r="B24" s="39">
        <f t="shared" si="24"/>
        <v>0</v>
      </c>
      <c r="C24" s="40">
        <f t="shared" si="25"/>
        <v>0</v>
      </c>
      <c r="D24" s="39">
        <f t="shared" si="26"/>
        <v>10</v>
      </c>
      <c r="E24" s="41">
        <f t="shared" si="27"/>
        <v>0</v>
      </c>
      <c r="F24" s="41">
        <f t="shared" si="28"/>
        <v>4</v>
      </c>
      <c r="G24" s="41">
        <f t="shared" si="29"/>
        <v>4</v>
      </c>
      <c r="H24" s="41">
        <f t="shared" si="30"/>
        <v>2</v>
      </c>
      <c r="I24" s="42">
        <f t="shared" si="35"/>
        <v>30</v>
      </c>
      <c r="J24" s="147" t="s">
        <v>165</v>
      </c>
      <c r="K24" s="245">
        <v>1</v>
      </c>
      <c r="L24" s="238">
        <v>1</v>
      </c>
      <c r="M24" s="238" t="s">
        <v>3</v>
      </c>
      <c r="N24" s="238" t="s">
        <v>3</v>
      </c>
      <c r="O24" s="239" t="s">
        <v>52</v>
      </c>
      <c r="P24" s="239" t="s">
        <v>0</v>
      </c>
      <c r="Q24" s="238">
        <v>1</v>
      </c>
      <c r="R24" s="238">
        <v>1</v>
      </c>
      <c r="S24" s="238">
        <v>1</v>
      </c>
      <c r="T24" s="238" t="s">
        <v>3</v>
      </c>
      <c r="U24" s="238">
        <v>1</v>
      </c>
      <c r="V24" s="239" t="s">
        <v>52</v>
      </c>
      <c r="W24" s="239" t="s">
        <v>0</v>
      </c>
      <c r="X24" s="238" t="s">
        <v>3</v>
      </c>
      <c r="Y24" s="238" t="s">
        <v>3</v>
      </c>
      <c r="Z24" s="238" t="s">
        <v>3</v>
      </c>
      <c r="AA24" s="238">
        <v>1</v>
      </c>
      <c r="AB24" s="238">
        <v>1</v>
      </c>
      <c r="AC24" s="239" t="s">
        <v>52</v>
      </c>
      <c r="AD24" s="239" t="s">
        <v>0</v>
      </c>
      <c r="AE24" s="238">
        <v>1</v>
      </c>
      <c r="AF24" s="238">
        <v>1</v>
      </c>
      <c r="AG24" s="242" t="s">
        <v>3</v>
      </c>
      <c r="AH24" s="238" t="s">
        <v>3</v>
      </c>
      <c r="AI24" s="239" t="s">
        <v>52</v>
      </c>
      <c r="AJ24" s="239" t="s">
        <v>53</v>
      </c>
      <c r="AK24" s="239" t="s">
        <v>53</v>
      </c>
      <c r="AL24" s="239" t="s">
        <v>0</v>
      </c>
      <c r="AM24" s="238" t="s">
        <v>3</v>
      </c>
      <c r="AN24" s="241" t="s">
        <v>3</v>
      </c>
      <c r="AO24" s="45">
        <v>0</v>
      </c>
      <c r="AP24" s="46">
        <f t="shared" si="9"/>
        <v>0</v>
      </c>
      <c r="AQ24" s="46">
        <v>0</v>
      </c>
      <c r="AR24" s="41">
        <f t="shared" si="36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5.5" customHeight="1">
      <c r="A25" s="38">
        <f t="shared" si="23"/>
        <v>7</v>
      </c>
      <c r="B25" s="39">
        <f t="shared" si="24"/>
        <v>8</v>
      </c>
      <c r="C25" s="40">
        <f t="shared" si="25"/>
        <v>3</v>
      </c>
      <c r="D25" s="39">
        <f t="shared" si="26"/>
        <v>0</v>
      </c>
      <c r="E25" s="41">
        <f t="shared" si="27"/>
        <v>2</v>
      </c>
      <c r="F25" s="41">
        <f t="shared" si="28"/>
        <v>4</v>
      </c>
      <c r="G25" s="41">
        <f t="shared" si="29"/>
        <v>4</v>
      </c>
      <c r="H25" s="41">
        <f t="shared" si="30"/>
        <v>2</v>
      </c>
      <c r="I25" s="42">
        <f t="shared" si="35"/>
        <v>30</v>
      </c>
      <c r="J25" s="147" t="s">
        <v>16</v>
      </c>
      <c r="K25" s="245" t="s">
        <v>0</v>
      </c>
      <c r="L25" s="238" t="s">
        <v>38</v>
      </c>
      <c r="M25" s="238" t="s">
        <v>38</v>
      </c>
      <c r="N25" s="239" t="s">
        <v>52</v>
      </c>
      <c r="O25" s="234" t="s">
        <v>1</v>
      </c>
      <c r="P25" s="234" t="s">
        <v>1</v>
      </c>
      <c r="Q25" s="239" t="s">
        <v>53</v>
      </c>
      <c r="R25" s="238" t="s">
        <v>52</v>
      </c>
      <c r="S25" s="238" t="s">
        <v>36</v>
      </c>
      <c r="T25" s="238" t="s">
        <v>36</v>
      </c>
      <c r="U25" s="238" t="s">
        <v>36</v>
      </c>
      <c r="V25" s="238">
        <v>1</v>
      </c>
      <c r="W25" s="239" t="s">
        <v>0</v>
      </c>
      <c r="X25" s="234" t="s">
        <v>53</v>
      </c>
      <c r="Y25" s="238" t="s">
        <v>0</v>
      </c>
      <c r="Z25" s="238" t="s">
        <v>40</v>
      </c>
      <c r="AA25" s="238" t="s">
        <v>40</v>
      </c>
      <c r="AB25" s="238" t="s">
        <v>40</v>
      </c>
      <c r="AC25" s="239" t="s">
        <v>52</v>
      </c>
      <c r="AD25" s="238">
        <v>1</v>
      </c>
      <c r="AE25" s="238" t="s">
        <v>36</v>
      </c>
      <c r="AF25" s="238" t="s">
        <v>0</v>
      </c>
      <c r="AG25" s="238" t="s">
        <v>38</v>
      </c>
      <c r="AH25" s="238" t="s">
        <v>38</v>
      </c>
      <c r="AI25" s="238">
        <v>2</v>
      </c>
      <c r="AJ25" s="238">
        <v>2</v>
      </c>
      <c r="AK25" s="238">
        <v>2</v>
      </c>
      <c r="AL25" s="238">
        <v>2</v>
      </c>
      <c r="AM25" s="238" t="s">
        <v>52</v>
      </c>
      <c r="AN25" s="241" t="s">
        <v>36</v>
      </c>
      <c r="AO25" s="45">
        <v>0</v>
      </c>
      <c r="AP25" s="46">
        <f t="shared" si="9"/>
        <v>0</v>
      </c>
      <c r="AQ25" s="46">
        <v>0</v>
      </c>
      <c r="AR25" s="41">
        <f t="shared" si="36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7" customHeight="1">
      <c r="A26" s="38">
        <f t="shared" si="23"/>
        <v>3</v>
      </c>
      <c r="B26" s="39">
        <f t="shared" si="24"/>
        <v>0</v>
      </c>
      <c r="C26" s="40">
        <f t="shared" si="25"/>
        <v>15</v>
      </c>
      <c r="D26" s="39">
        <f t="shared" si="26"/>
        <v>1</v>
      </c>
      <c r="E26" s="41">
        <f t="shared" si="27"/>
        <v>1</v>
      </c>
      <c r="F26" s="41">
        <f t="shared" si="28"/>
        <v>4</v>
      </c>
      <c r="G26" s="41">
        <f t="shared" si="29"/>
        <v>4</v>
      </c>
      <c r="H26" s="41">
        <f t="shared" si="30"/>
        <v>2</v>
      </c>
      <c r="I26" s="42">
        <f t="shared" si="35"/>
        <v>30</v>
      </c>
      <c r="J26" s="147" t="s">
        <v>139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53</v>
      </c>
      <c r="Q26" s="234" t="s">
        <v>53</v>
      </c>
      <c r="R26" s="234" t="s">
        <v>1</v>
      </c>
      <c r="S26" s="238">
        <v>1</v>
      </c>
      <c r="T26" s="242" t="s">
        <v>3</v>
      </c>
      <c r="U26" s="238" t="s">
        <v>0</v>
      </c>
      <c r="V26" s="238">
        <v>1</v>
      </c>
      <c r="W26" s="238">
        <v>1</v>
      </c>
      <c r="X26" s="238" t="s">
        <v>52</v>
      </c>
      <c r="Y26" s="238">
        <v>3</v>
      </c>
      <c r="Z26" s="238">
        <v>3</v>
      </c>
      <c r="AA26" s="238">
        <v>3</v>
      </c>
      <c r="AB26" s="234" t="s">
        <v>0</v>
      </c>
      <c r="AC26" s="239" t="s">
        <v>52</v>
      </c>
      <c r="AD26" s="239" t="s">
        <v>0</v>
      </c>
      <c r="AE26" s="238">
        <v>3</v>
      </c>
      <c r="AF26" s="238">
        <v>3</v>
      </c>
      <c r="AG26" s="238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>
        <v>3</v>
      </c>
      <c r="AM26" s="238">
        <v>3</v>
      </c>
      <c r="AN26" s="241" t="s">
        <v>52</v>
      </c>
      <c r="AO26" s="45">
        <v>0</v>
      </c>
      <c r="AP26" s="46">
        <f t="shared" si="9"/>
        <v>0</v>
      </c>
      <c r="AQ26" s="46">
        <v>0</v>
      </c>
      <c r="AR26" s="41">
        <f t="shared" si="36"/>
        <v>0</v>
      </c>
      <c r="AS26" s="329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23"/>
        <v>5</v>
      </c>
      <c r="B27" s="39">
        <f t="shared" si="24"/>
        <v>8</v>
      </c>
      <c r="C27" s="40">
        <f t="shared" si="25"/>
        <v>7</v>
      </c>
      <c r="D27" s="39">
        <f t="shared" si="26"/>
        <v>0</v>
      </c>
      <c r="E27" s="41">
        <f t="shared" si="27"/>
        <v>0</v>
      </c>
      <c r="F27" s="41">
        <f t="shared" si="28"/>
        <v>4</v>
      </c>
      <c r="G27" s="41">
        <f t="shared" si="29"/>
        <v>4</v>
      </c>
      <c r="H27" s="41">
        <f t="shared" si="30"/>
        <v>2</v>
      </c>
      <c r="I27" s="42">
        <f t="shared" si="35"/>
        <v>30</v>
      </c>
      <c r="J27" s="147" t="s">
        <v>140</v>
      </c>
      <c r="K27" s="245">
        <v>3</v>
      </c>
      <c r="L27" s="238">
        <v>3</v>
      </c>
      <c r="M27" s="238">
        <v>3</v>
      </c>
      <c r="N27" s="238">
        <v>3</v>
      </c>
      <c r="O27" s="239" t="s">
        <v>52</v>
      </c>
      <c r="P27" s="239" t="s">
        <v>0</v>
      </c>
      <c r="Q27" s="238">
        <v>3</v>
      </c>
      <c r="R27" s="238">
        <v>3</v>
      </c>
      <c r="S27" s="238" t="s">
        <v>53</v>
      </c>
      <c r="T27" s="238" t="s">
        <v>0</v>
      </c>
      <c r="U27" s="238">
        <v>2</v>
      </c>
      <c r="V27" s="243">
        <v>2</v>
      </c>
      <c r="W27" s="243">
        <v>2</v>
      </c>
      <c r="X27" s="238" t="s">
        <v>52</v>
      </c>
      <c r="Y27" s="238" t="s">
        <v>0</v>
      </c>
      <c r="Z27" s="238">
        <v>1</v>
      </c>
      <c r="AA27" s="238">
        <v>2</v>
      </c>
      <c r="AB27" s="238">
        <v>2</v>
      </c>
      <c r="AC27" s="238">
        <v>2</v>
      </c>
      <c r="AD27" s="238">
        <v>2</v>
      </c>
      <c r="AE27" s="238">
        <v>2</v>
      </c>
      <c r="AF27" s="238" t="s">
        <v>52</v>
      </c>
      <c r="AG27" s="238">
        <v>1</v>
      </c>
      <c r="AH27" s="238">
        <v>1</v>
      </c>
      <c r="AI27" s="238">
        <v>1</v>
      </c>
      <c r="AJ27" s="239" t="s">
        <v>53</v>
      </c>
      <c r="AK27" s="239" t="s">
        <v>0</v>
      </c>
      <c r="AL27" s="238">
        <v>1</v>
      </c>
      <c r="AM27" s="238" t="s">
        <v>52</v>
      </c>
      <c r="AN27" s="241">
        <v>3</v>
      </c>
      <c r="AO27" s="62">
        <v>0</v>
      </c>
      <c r="AP27" s="46">
        <f t="shared" si="9"/>
        <v>0</v>
      </c>
      <c r="AQ27" s="46">
        <v>0</v>
      </c>
      <c r="AR27" s="41">
        <f t="shared" si="36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23"/>
        <v>0</v>
      </c>
      <c r="B28" s="39">
        <f t="shared" si="24"/>
        <v>7</v>
      </c>
      <c r="C28" s="40">
        <f t="shared" si="25"/>
        <v>10</v>
      </c>
      <c r="D28" s="39">
        <f t="shared" si="26"/>
        <v>0</v>
      </c>
      <c r="E28" s="41">
        <f t="shared" si="27"/>
        <v>3</v>
      </c>
      <c r="F28" s="41">
        <f t="shared" si="28"/>
        <v>4</v>
      </c>
      <c r="G28" s="41">
        <f t="shared" si="29"/>
        <v>4</v>
      </c>
      <c r="H28" s="41">
        <f t="shared" si="30"/>
        <v>2</v>
      </c>
      <c r="I28" s="42">
        <f t="shared" si="35"/>
        <v>30</v>
      </c>
      <c r="J28" s="147" t="s">
        <v>19</v>
      </c>
      <c r="K28" s="245" t="s">
        <v>0</v>
      </c>
      <c r="L28" s="238">
        <v>2</v>
      </c>
      <c r="M28" s="238">
        <v>2</v>
      </c>
      <c r="N28" s="238" t="s">
        <v>52</v>
      </c>
      <c r="O28" s="238">
        <v>3</v>
      </c>
      <c r="P28" s="238">
        <v>3</v>
      </c>
      <c r="Q28" s="238">
        <v>3</v>
      </c>
      <c r="R28" s="238">
        <v>3</v>
      </c>
      <c r="S28" s="239" t="s">
        <v>52</v>
      </c>
      <c r="T28" s="234" t="s">
        <v>1</v>
      </c>
      <c r="U28" s="234" t="s">
        <v>1</v>
      </c>
      <c r="V28" s="234" t="s">
        <v>1</v>
      </c>
      <c r="W28" s="239" t="s">
        <v>0</v>
      </c>
      <c r="X28" s="238" t="s">
        <v>53</v>
      </c>
      <c r="Y28" s="238">
        <v>2</v>
      </c>
      <c r="Z28" s="238">
        <v>2</v>
      </c>
      <c r="AA28" s="238" t="s">
        <v>52</v>
      </c>
      <c r="AB28" s="238">
        <v>3</v>
      </c>
      <c r="AC28" s="238">
        <v>3</v>
      </c>
      <c r="AD28" s="238">
        <v>3</v>
      </c>
      <c r="AE28" s="234" t="s">
        <v>0</v>
      </c>
      <c r="AF28" s="238" t="s">
        <v>52</v>
      </c>
      <c r="AG28" s="238">
        <v>3</v>
      </c>
      <c r="AH28" s="238">
        <v>3</v>
      </c>
      <c r="AI28" s="238">
        <v>3</v>
      </c>
      <c r="AJ28" s="239" t="s">
        <v>53</v>
      </c>
      <c r="AK28" s="239" t="s">
        <v>0</v>
      </c>
      <c r="AL28" s="238">
        <v>2</v>
      </c>
      <c r="AM28" s="238">
        <v>2</v>
      </c>
      <c r="AN28" s="241">
        <v>2</v>
      </c>
      <c r="AO28" s="62">
        <v>0</v>
      </c>
      <c r="AP28" s="46">
        <f t="shared" si="9"/>
        <v>0</v>
      </c>
      <c r="AQ28" s="46">
        <v>0</v>
      </c>
      <c r="AR28" s="41">
        <f t="shared" si="36"/>
        <v>0</v>
      </c>
      <c r="AS28" s="329" t="s">
        <v>126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23"/>
        <v>7</v>
      </c>
      <c r="B29" s="39">
        <f t="shared" si="24"/>
        <v>13</v>
      </c>
      <c r="C29" s="40">
        <f t="shared" si="25"/>
        <v>0</v>
      </c>
      <c r="D29" s="39">
        <f t="shared" si="26"/>
        <v>0</v>
      </c>
      <c r="E29" s="41">
        <f t="shared" si="27"/>
        <v>0</v>
      </c>
      <c r="F29" s="41">
        <f t="shared" si="28"/>
        <v>4</v>
      </c>
      <c r="G29" s="41">
        <f t="shared" si="29"/>
        <v>4</v>
      </c>
      <c r="H29" s="41">
        <f t="shared" si="30"/>
        <v>2</v>
      </c>
      <c r="I29" s="42">
        <f>SUM(A29:H29)</f>
        <v>30</v>
      </c>
      <c r="J29" s="147" t="s">
        <v>20</v>
      </c>
      <c r="K29" s="245">
        <v>2</v>
      </c>
      <c r="L29" s="238">
        <v>2</v>
      </c>
      <c r="M29" s="238">
        <v>2</v>
      </c>
      <c r="N29" s="238">
        <v>2</v>
      </c>
      <c r="O29" s="246">
        <v>2</v>
      </c>
      <c r="P29" s="239" t="s">
        <v>0</v>
      </c>
      <c r="Q29" s="238">
        <v>2</v>
      </c>
      <c r="R29" s="238">
        <v>2</v>
      </c>
      <c r="S29" s="238">
        <v>2</v>
      </c>
      <c r="T29" s="238" t="s">
        <v>52</v>
      </c>
      <c r="U29" s="238">
        <v>1</v>
      </c>
      <c r="V29" s="238">
        <v>1</v>
      </c>
      <c r="W29" s="239" t="s">
        <v>0</v>
      </c>
      <c r="X29" s="238">
        <v>1</v>
      </c>
      <c r="Y29" s="238">
        <v>2</v>
      </c>
      <c r="Z29" s="238">
        <v>2</v>
      </c>
      <c r="AA29" s="238" t="s">
        <v>52</v>
      </c>
      <c r="AB29" s="234" t="s">
        <v>53</v>
      </c>
      <c r="AC29" s="239" t="s">
        <v>53</v>
      </c>
      <c r="AD29" s="239" t="s">
        <v>0</v>
      </c>
      <c r="AE29" s="238">
        <v>2</v>
      </c>
      <c r="AF29" s="238">
        <v>2</v>
      </c>
      <c r="AG29" s="238" t="s">
        <v>52</v>
      </c>
      <c r="AH29" s="238" t="s">
        <v>0</v>
      </c>
      <c r="AI29" s="238">
        <v>1</v>
      </c>
      <c r="AJ29" s="238">
        <v>1</v>
      </c>
      <c r="AK29" s="238">
        <v>1</v>
      </c>
      <c r="AL29" s="238">
        <v>1</v>
      </c>
      <c r="AM29" s="238">
        <v>2</v>
      </c>
      <c r="AN29" s="241" t="s">
        <v>52</v>
      </c>
      <c r="AO29" s="62">
        <v>0</v>
      </c>
      <c r="AP29" s="46">
        <f t="shared" si="9"/>
        <v>0</v>
      </c>
      <c r="AQ29" s="46">
        <v>0</v>
      </c>
      <c r="AR29" s="41">
        <f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54">
        <f t="shared" si="23"/>
        <v>8</v>
      </c>
      <c r="B30" s="55">
        <f t="shared" si="24"/>
        <v>4</v>
      </c>
      <c r="C30" s="56">
        <f t="shared" si="25"/>
        <v>8</v>
      </c>
      <c r="D30" s="55">
        <f t="shared" si="26"/>
        <v>0</v>
      </c>
      <c r="E30" s="17">
        <f t="shared" si="27"/>
        <v>0</v>
      </c>
      <c r="F30" s="17">
        <f t="shared" si="28"/>
        <v>4</v>
      </c>
      <c r="G30" s="17">
        <f t="shared" si="29"/>
        <v>4</v>
      </c>
      <c r="H30" s="17">
        <f t="shared" si="30"/>
        <v>2</v>
      </c>
      <c r="I30" s="57">
        <f t="shared" ref="I30:I32" si="37">SUM(A30:H30)</f>
        <v>30</v>
      </c>
      <c r="J30" s="147" t="s">
        <v>21</v>
      </c>
      <c r="K30" s="245">
        <v>2</v>
      </c>
      <c r="L30" s="238" t="s">
        <v>52</v>
      </c>
      <c r="M30" s="238" t="s">
        <v>53</v>
      </c>
      <c r="N30" s="238">
        <v>1</v>
      </c>
      <c r="O30" s="243">
        <v>1</v>
      </c>
      <c r="P30" s="243">
        <v>1</v>
      </c>
      <c r="Q30" s="234" t="s">
        <v>0</v>
      </c>
      <c r="R30" s="238" t="s">
        <v>0</v>
      </c>
      <c r="S30" s="238">
        <v>3</v>
      </c>
      <c r="T30" s="238">
        <v>3</v>
      </c>
      <c r="U30" s="238">
        <v>3</v>
      </c>
      <c r="V30" s="239" t="s">
        <v>52</v>
      </c>
      <c r="W30" s="239" t="s">
        <v>0</v>
      </c>
      <c r="X30" s="238">
        <v>3</v>
      </c>
      <c r="Y30" s="238">
        <v>3</v>
      </c>
      <c r="Z30" s="238">
        <v>3</v>
      </c>
      <c r="AA30" s="238">
        <v>3</v>
      </c>
      <c r="AB30" s="238">
        <v>3</v>
      </c>
      <c r="AC30" s="239" t="s">
        <v>52</v>
      </c>
      <c r="AD30" s="239" t="s">
        <v>53</v>
      </c>
      <c r="AE30" s="238">
        <v>1</v>
      </c>
      <c r="AF30" s="238">
        <v>2</v>
      </c>
      <c r="AG30" s="238">
        <v>2</v>
      </c>
      <c r="AH30" s="238" t="s">
        <v>52</v>
      </c>
      <c r="AI30" s="238">
        <v>1</v>
      </c>
      <c r="AJ30" s="238">
        <v>1</v>
      </c>
      <c r="AK30" s="238">
        <v>1</v>
      </c>
      <c r="AL30" s="238">
        <v>1</v>
      </c>
      <c r="AM30" s="238" t="s">
        <v>0</v>
      </c>
      <c r="AN30" s="241">
        <v>2</v>
      </c>
      <c r="AO30" s="62">
        <v>0</v>
      </c>
      <c r="AP30" s="46">
        <f t="shared" si="9"/>
        <v>0</v>
      </c>
      <c r="AQ30" s="46">
        <v>0</v>
      </c>
      <c r="AR30" s="41">
        <f t="shared" ref="AR30:AR32" si="38">SUM(AO30:AQ30)</f>
        <v>0</v>
      </c>
      <c r="AS30" s="329" t="s">
        <v>128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54">
        <f t="shared" si="23"/>
        <v>20</v>
      </c>
      <c r="B31" s="55">
        <f t="shared" si="24"/>
        <v>0</v>
      </c>
      <c r="C31" s="56">
        <f t="shared" si="25"/>
        <v>0</v>
      </c>
      <c r="D31" s="55">
        <f t="shared" si="26"/>
        <v>0</v>
      </c>
      <c r="E31" s="17">
        <f t="shared" si="27"/>
        <v>0</v>
      </c>
      <c r="F31" s="17">
        <f t="shared" si="28"/>
        <v>4</v>
      </c>
      <c r="G31" s="17">
        <f t="shared" si="29"/>
        <v>4</v>
      </c>
      <c r="H31" s="17">
        <f t="shared" si="30"/>
        <v>2</v>
      </c>
      <c r="I31" s="57">
        <f t="shared" si="37"/>
        <v>30</v>
      </c>
      <c r="J31" s="147" t="s">
        <v>166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45">
        <v>0</v>
      </c>
      <c r="AP31" s="46">
        <f t="shared" si="9"/>
        <v>0</v>
      </c>
      <c r="AQ31" s="46">
        <v>0</v>
      </c>
      <c r="AR31" s="41">
        <f t="shared" si="38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 thickBot="1">
      <c r="A32" s="54">
        <f t="shared" si="23"/>
        <v>20</v>
      </c>
      <c r="B32" s="55">
        <f t="shared" si="24"/>
        <v>0</v>
      </c>
      <c r="C32" s="56">
        <f t="shared" si="25"/>
        <v>0</v>
      </c>
      <c r="D32" s="55">
        <f t="shared" si="26"/>
        <v>0</v>
      </c>
      <c r="E32" s="17">
        <f t="shared" si="27"/>
        <v>0</v>
      </c>
      <c r="F32" s="17">
        <f t="shared" si="28"/>
        <v>4</v>
      </c>
      <c r="G32" s="17">
        <f t="shared" si="29"/>
        <v>4</v>
      </c>
      <c r="H32" s="17">
        <f t="shared" si="30"/>
        <v>2</v>
      </c>
      <c r="I32" s="57">
        <f t="shared" si="37"/>
        <v>30</v>
      </c>
      <c r="J32" s="158" t="s">
        <v>167</v>
      </c>
      <c r="K32" s="247">
        <v>1</v>
      </c>
      <c r="L32" s="248">
        <v>1</v>
      </c>
      <c r="M32" s="248">
        <v>1</v>
      </c>
      <c r="N32" s="248">
        <v>1</v>
      </c>
      <c r="O32" s="249" t="s">
        <v>52</v>
      </c>
      <c r="P32" s="249" t="s">
        <v>0</v>
      </c>
      <c r="Q32" s="248">
        <v>1</v>
      </c>
      <c r="R32" s="248">
        <v>1</v>
      </c>
      <c r="S32" s="248">
        <v>1</v>
      </c>
      <c r="T32" s="248">
        <v>1</v>
      </c>
      <c r="U32" s="248">
        <v>1</v>
      </c>
      <c r="V32" s="249" t="s">
        <v>52</v>
      </c>
      <c r="W32" s="249" t="s">
        <v>0</v>
      </c>
      <c r="X32" s="248">
        <v>1</v>
      </c>
      <c r="Y32" s="248">
        <v>1</v>
      </c>
      <c r="Z32" s="248">
        <v>1</v>
      </c>
      <c r="AA32" s="248">
        <v>1</v>
      </c>
      <c r="AB32" s="248">
        <v>1</v>
      </c>
      <c r="AC32" s="249" t="s">
        <v>52</v>
      </c>
      <c r="AD32" s="249" t="s">
        <v>0</v>
      </c>
      <c r="AE32" s="248">
        <v>1</v>
      </c>
      <c r="AF32" s="248">
        <v>1</v>
      </c>
      <c r="AG32" s="248">
        <v>1</v>
      </c>
      <c r="AH32" s="248">
        <v>1</v>
      </c>
      <c r="AI32" s="249" t="s">
        <v>53</v>
      </c>
      <c r="AJ32" s="249" t="s">
        <v>52</v>
      </c>
      <c r="AK32" s="249" t="s">
        <v>0</v>
      </c>
      <c r="AL32" s="249" t="s">
        <v>53</v>
      </c>
      <c r="AM32" s="248">
        <v>1</v>
      </c>
      <c r="AN32" s="252">
        <v>1</v>
      </c>
      <c r="AO32" s="73">
        <v>0</v>
      </c>
      <c r="AP32" s="74">
        <f t="shared" si="9"/>
        <v>0</v>
      </c>
      <c r="AQ32" s="74">
        <v>0</v>
      </c>
      <c r="AR32" s="63">
        <f t="shared" si="38"/>
        <v>0</v>
      </c>
      <c r="AS32" s="330" t="s">
        <v>133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>
      <c r="A33" s="23">
        <f t="shared" si="23"/>
        <v>1</v>
      </c>
      <c r="B33" s="24">
        <f t="shared" si="24"/>
        <v>0</v>
      </c>
      <c r="C33" s="25">
        <f t="shared" si="25"/>
        <v>17</v>
      </c>
      <c r="D33" s="24">
        <f t="shared" si="26"/>
        <v>0</v>
      </c>
      <c r="E33" s="26">
        <f t="shared" si="27"/>
        <v>2</v>
      </c>
      <c r="F33" s="26">
        <f t="shared" si="28"/>
        <v>4</v>
      </c>
      <c r="G33" s="26">
        <f t="shared" si="29"/>
        <v>4</v>
      </c>
      <c r="H33" s="26">
        <f t="shared" si="30"/>
        <v>2</v>
      </c>
      <c r="I33" s="27">
        <f t="shared" si="35"/>
        <v>30</v>
      </c>
      <c r="J33" s="301" t="s">
        <v>22</v>
      </c>
      <c r="K33" s="269" t="s">
        <v>40</v>
      </c>
      <c r="L33" s="270" t="s">
        <v>40</v>
      </c>
      <c r="M33" s="270" t="s">
        <v>40</v>
      </c>
      <c r="N33" s="270" t="s">
        <v>40</v>
      </c>
      <c r="O33" s="272" t="s">
        <v>52</v>
      </c>
      <c r="P33" s="272" t="s">
        <v>0</v>
      </c>
      <c r="Q33" s="270" t="s">
        <v>40</v>
      </c>
      <c r="R33" s="270" t="s">
        <v>40</v>
      </c>
      <c r="S33" s="270" t="s">
        <v>0</v>
      </c>
      <c r="T33" s="270" t="s">
        <v>40</v>
      </c>
      <c r="U33" s="270" t="s">
        <v>40</v>
      </c>
      <c r="V33" s="270" t="s">
        <v>40</v>
      </c>
      <c r="W33" s="270" t="s">
        <v>40</v>
      </c>
      <c r="X33" s="270" t="s">
        <v>40</v>
      </c>
      <c r="Y33" s="270" t="s">
        <v>52</v>
      </c>
      <c r="Z33" s="271" t="s">
        <v>0</v>
      </c>
      <c r="AA33" s="270" t="s">
        <v>40</v>
      </c>
      <c r="AB33" s="270" t="s">
        <v>40</v>
      </c>
      <c r="AC33" s="270" t="s">
        <v>40</v>
      </c>
      <c r="AD33" s="270" t="s">
        <v>40</v>
      </c>
      <c r="AE33" s="271" t="s">
        <v>156</v>
      </c>
      <c r="AF33" s="270" t="s">
        <v>36</v>
      </c>
      <c r="AG33" s="271" t="s">
        <v>52</v>
      </c>
      <c r="AH33" s="270" t="s">
        <v>53</v>
      </c>
      <c r="AI33" s="272" t="s">
        <v>53</v>
      </c>
      <c r="AJ33" s="271" t="s">
        <v>1</v>
      </c>
      <c r="AK33" s="271" t="s">
        <v>1</v>
      </c>
      <c r="AL33" s="272" t="s">
        <v>52</v>
      </c>
      <c r="AM33" s="270" t="s">
        <v>40</v>
      </c>
      <c r="AN33" s="270" t="s">
        <v>40</v>
      </c>
      <c r="AO33" s="293">
        <v>0</v>
      </c>
      <c r="AP33" s="36">
        <f t="shared" si="9"/>
        <v>0</v>
      </c>
      <c r="AQ33" s="36">
        <v>0</v>
      </c>
      <c r="AR33" s="26">
        <f t="shared" si="36"/>
        <v>0</v>
      </c>
      <c r="AS33" s="328" t="s">
        <v>126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38">
        <f t="shared" si="23"/>
        <v>1</v>
      </c>
      <c r="B34" s="39">
        <f t="shared" si="24"/>
        <v>16</v>
      </c>
      <c r="C34" s="40">
        <f t="shared" si="25"/>
        <v>2</v>
      </c>
      <c r="D34" s="39">
        <f t="shared" si="26"/>
        <v>0</v>
      </c>
      <c r="E34" s="41">
        <f t="shared" si="27"/>
        <v>1</v>
      </c>
      <c r="F34" s="41">
        <f t="shared" si="28"/>
        <v>4</v>
      </c>
      <c r="G34" s="41">
        <f t="shared" si="29"/>
        <v>4</v>
      </c>
      <c r="H34" s="41">
        <f t="shared" si="30"/>
        <v>2</v>
      </c>
      <c r="I34" s="42">
        <f t="shared" si="35"/>
        <v>30</v>
      </c>
      <c r="J34" s="193" t="s">
        <v>23</v>
      </c>
      <c r="K34" s="245" t="s">
        <v>38</v>
      </c>
      <c r="L34" s="238" t="s">
        <v>38</v>
      </c>
      <c r="M34" s="238" t="s">
        <v>38</v>
      </c>
      <c r="N34" s="238" t="s">
        <v>52</v>
      </c>
      <c r="O34" s="238" t="s">
        <v>36</v>
      </c>
      <c r="P34" s="238" t="s">
        <v>38</v>
      </c>
      <c r="Q34" s="238" t="s">
        <v>0</v>
      </c>
      <c r="R34" s="238" t="s">
        <v>38</v>
      </c>
      <c r="S34" s="238" t="s">
        <v>38</v>
      </c>
      <c r="T34" s="238" t="s">
        <v>38</v>
      </c>
      <c r="U34" s="238" t="s">
        <v>38</v>
      </c>
      <c r="V34" s="239" t="s">
        <v>52</v>
      </c>
      <c r="W34" s="239" t="s">
        <v>53</v>
      </c>
      <c r="X34" s="238" t="s">
        <v>53</v>
      </c>
      <c r="Y34" s="238" t="s">
        <v>0</v>
      </c>
      <c r="Z34" s="238" t="s">
        <v>38</v>
      </c>
      <c r="AA34" s="238" t="s">
        <v>38</v>
      </c>
      <c r="AB34" s="238" t="s">
        <v>38</v>
      </c>
      <c r="AC34" s="239" t="s">
        <v>52</v>
      </c>
      <c r="AD34" s="239" t="s">
        <v>0</v>
      </c>
      <c r="AE34" s="238" t="s">
        <v>40</v>
      </c>
      <c r="AF34" s="238" t="s">
        <v>40</v>
      </c>
      <c r="AG34" s="238" t="s">
        <v>52</v>
      </c>
      <c r="AH34" s="234" t="s">
        <v>1</v>
      </c>
      <c r="AI34" s="238" t="s">
        <v>38</v>
      </c>
      <c r="AJ34" s="238" t="s">
        <v>38</v>
      </c>
      <c r="AK34" s="238" t="s">
        <v>38</v>
      </c>
      <c r="AL34" s="238" t="s">
        <v>38</v>
      </c>
      <c r="AM34" s="238" t="s">
        <v>0</v>
      </c>
      <c r="AN34" s="241" t="s">
        <v>38</v>
      </c>
      <c r="AO34" s="175">
        <v>0</v>
      </c>
      <c r="AP34" s="46">
        <f t="shared" si="9"/>
        <v>0</v>
      </c>
      <c r="AQ34" s="46">
        <v>0</v>
      </c>
      <c r="AR34" s="41">
        <f t="shared" si="36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5" s="50" customFormat="1" ht="27.75" customHeight="1">
      <c r="A35" s="38">
        <f t="shared" si="23"/>
        <v>0</v>
      </c>
      <c r="B35" s="39">
        <f t="shared" si="24"/>
        <v>20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4</v>
      </c>
      <c r="G35" s="41">
        <f t="shared" si="29"/>
        <v>4</v>
      </c>
      <c r="H35" s="41">
        <f t="shared" si="30"/>
        <v>2</v>
      </c>
      <c r="I35" s="42">
        <f t="shared" si="35"/>
        <v>30</v>
      </c>
      <c r="J35" s="193" t="s">
        <v>24</v>
      </c>
      <c r="K35" s="245" t="s">
        <v>0</v>
      </c>
      <c r="L35" s="238" t="s">
        <v>38</v>
      </c>
      <c r="M35" s="238" t="s">
        <v>38</v>
      </c>
      <c r="N35" s="238" t="s">
        <v>38</v>
      </c>
      <c r="O35" s="239" t="s">
        <v>52</v>
      </c>
      <c r="P35" s="239" t="s">
        <v>0</v>
      </c>
      <c r="Q35" s="238" t="s">
        <v>38</v>
      </c>
      <c r="R35" s="238" t="s">
        <v>38</v>
      </c>
      <c r="S35" s="238" t="s">
        <v>38</v>
      </c>
      <c r="T35" s="238" t="s">
        <v>38</v>
      </c>
      <c r="U35" s="271" t="s">
        <v>52</v>
      </c>
      <c r="V35" s="238" t="s">
        <v>38</v>
      </c>
      <c r="W35" s="238" t="s">
        <v>38</v>
      </c>
      <c r="X35" s="238" t="s">
        <v>38</v>
      </c>
      <c r="Y35" s="238" t="s">
        <v>38</v>
      </c>
      <c r="Z35" s="238" t="s">
        <v>0</v>
      </c>
      <c r="AA35" s="238" t="s">
        <v>38</v>
      </c>
      <c r="AB35" s="238" t="s">
        <v>38</v>
      </c>
      <c r="AC35" s="239" t="s">
        <v>52</v>
      </c>
      <c r="AD35" s="239" t="s">
        <v>53</v>
      </c>
      <c r="AE35" s="238" t="s">
        <v>53</v>
      </c>
      <c r="AF35" s="238" t="s">
        <v>38</v>
      </c>
      <c r="AG35" s="238" t="s">
        <v>38</v>
      </c>
      <c r="AH35" s="271" t="s">
        <v>52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41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36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23"/>
        <v>0</v>
      </c>
      <c r="B36" s="39">
        <f t="shared" si="24"/>
        <v>16</v>
      </c>
      <c r="C36" s="40">
        <f t="shared" si="25"/>
        <v>2</v>
      </c>
      <c r="D36" s="39">
        <f t="shared" si="26"/>
        <v>0</v>
      </c>
      <c r="E36" s="41">
        <f t="shared" si="27"/>
        <v>2</v>
      </c>
      <c r="F36" s="41">
        <f t="shared" si="28"/>
        <v>4</v>
      </c>
      <c r="G36" s="41">
        <f t="shared" si="29"/>
        <v>4</v>
      </c>
      <c r="H36" s="41">
        <f t="shared" si="30"/>
        <v>2</v>
      </c>
      <c r="I36" s="42">
        <f t="shared" si="35"/>
        <v>30</v>
      </c>
      <c r="J36" s="214" t="s">
        <v>25</v>
      </c>
      <c r="K36" s="245" t="s">
        <v>38</v>
      </c>
      <c r="L36" s="238" t="s">
        <v>0</v>
      </c>
      <c r="M36" s="234" t="s">
        <v>1</v>
      </c>
      <c r="N36" s="238" t="s">
        <v>38</v>
      </c>
      <c r="O36" s="238" t="s">
        <v>26</v>
      </c>
      <c r="P36" s="238" t="s">
        <v>38</v>
      </c>
      <c r="Q36" s="238" t="s">
        <v>0</v>
      </c>
      <c r="R36" s="238" t="s">
        <v>40</v>
      </c>
      <c r="S36" s="238" t="s">
        <v>40</v>
      </c>
      <c r="T36" s="234" t="s">
        <v>52</v>
      </c>
      <c r="U36" s="238" t="s">
        <v>38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52</v>
      </c>
      <c r="AB36" s="238" t="s">
        <v>53</v>
      </c>
      <c r="AC36" s="238" t="s">
        <v>26</v>
      </c>
      <c r="AD36" s="238" t="s">
        <v>38</v>
      </c>
      <c r="AE36" s="238" t="s">
        <v>38</v>
      </c>
      <c r="AF36" s="238" t="s">
        <v>52</v>
      </c>
      <c r="AG36" s="234" t="s">
        <v>1</v>
      </c>
      <c r="AH36" s="238" t="s">
        <v>53</v>
      </c>
      <c r="AI36" s="238" t="s">
        <v>38</v>
      </c>
      <c r="AJ36" s="238" t="s">
        <v>26</v>
      </c>
      <c r="AK36" s="238" t="s">
        <v>38</v>
      </c>
      <c r="AL36" s="238" t="s">
        <v>38</v>
      </c>
      <c r="AM36" s="234" t="s">
        <v>52</v>
      </c>
      <c r="AN36" s="241" t="s">
        <v>0</v>
      </c>
      <c r="AO36" s="175">
        <v>0</v>
      </c>
      <c r="AP36" s="46">
        <f t="shared" si="9"/>
        <v>0</v>
      </c>
      <c r="AQ36" s="46">
        <v>0</v>
      </c>
      <c r="AR36" s="41">
        <f t="shared" si="36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23"/>
        <v>7</v>
      </c>
      <c r="B37" s="39">
        <f t="shared" si="24"/>
        <v>0</v>
      </c>
      <c r="C37" s="40">
        <f t="shared" si="25"/>
        <v>9</v>
      </c>
      <c r="D37" s="39">
        <f t="shared" si="26"/>
        <v>2</v>
      </c>
      <c r="E37" s="41">
        <f t="shared" si="27"/>
        <v>2</v>
      </c>
      <c r="F37" s="41">
        <f t="shared" si="28"/>
        <v>4</v>
      </c>
      <c r="G37" s="41">
        <f t="shared" si="29"/>
        <v>4</v>
      </c>
      <c r="H37" s="41">
        <f t="shared" si="30"/>
        <v>2</v>
      </c>
      <c r="I37" s="42">
        <f t="shared" si="35"/>
        <v>30</v>
      </c>
      <c r="J37" s="193" t="s">
        <v>27</v>
      </c>
      <c r="K37" s="245" t="s">
        <v>52</v>
      </c>
      <c r="L37" s="238" t="s">
        <v>36</v>
      </c>
      <c r="M37" s="238" t="s">
        <v>36</v>
      </c>
      <c r="N37" s="238" t="s">
        <v>36</v>
      </c>
      <c r="O37" s="238" t="s">
        <v>36</v>
      </c>
      <c r="P37" s="238" t="s">
        <v>36</v>
      </c>
      <c r="Q37" s="238" t="s">
        <v>0</v>
      </c>
      <c r="R37" s="238" t="s">
        <v>40</v>
      </c>
      <c r="S37" s="238" t="s">
        <v>40</v>
      </c>
      <c r="T37" s="238" t="s">
        <v>40</v>
      </c>
      <c r="U37" s="238" t="s">
        <v>40</v>
      </c>
      <c r="V37" s="238" t="s">
        <v>52</v>
      </c>
      <c r="W37" s="238" t="s">
        <v>36</v>
      </c>
      <c r="X37" s="238" t="s">
        <v>36</v>
      </c>
      <c r="Y37" s="242" t="s">
        <v>3</v>
      </c>
      <c r="Z37" s="271" t="s">
        <v>52</v>
      </c>
      <c r="AA37" s="234" t="s">
        <v>1</v>
      </c>
      <c r="AB37" s="234" t="s">
        <v>1</v>
      </c>
      <c r="AC37" s="239" t="s">
        <v>53</v>
      </c>
      <c r="AD37" s="239" t="s">
        <v>53</v>
      </c>
      <c r="AE37" s="271" t="s">
        <v>0</v>
      </c>
      <c r="AF37" s="242" t="s">
        <v>3</v>
      </c>
      <c r="AG37" s="238" t="s">
        <v>52</v>
      </c>
      <c r="AH37" s="238" t="s">
        <v>40</v>
      </c>
      <c r="AI37" s="238" t="s">
        <v>40</v>
      </c>
      <c r="AJ37" s="238" t="s">
        <v>40</v>
      </c>
      <c r="AK37" s="238" t="s">
        <v>40</v>
      </c>
      <c r="AL37" s="238" t="s">
        <v>40</v>
      </c>
      <c r="AM37" s="238" t="s">
        <v>0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36"/>
        <v>0</v>
      </c>
      <c r="AS37" s="329" t="s">
        <v>128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ht="25.5" customHeight="1">
      <c r="A38" s="38">
        <f t="shared" si="23"/>
        <v>0</v>
      </c>
      <c r="B38" s="39">
        <f t="shared" si="24"/>
        <v>0</v>
      </c>
      <c r="C38" s="40">
        <f t="shared" si="25"/>
        <v>17</v>
      </c>
      <c r="D38" s="39">
        <f t="shared" si="26"/>
        <v>2</v>
      </c>
      <c r="E38" s="41">
        <f t="shared" si="27"/>
        <v>1</v>
      </c>
      <c r="F38" s="41">
        <f t="shared" si="28"/>
        <v>4</v>
      </c>
      <c r="G38" s="41">
        <f t="shared" si="29"/>
        <v>4</v>
      </c>
      <c r="H38" s="41">
        <f t="shared" si="30"/>
        <v>2</v>
      </c>
      <c r="I38" s="42">
        <f t="shared" si="35"/>
        <v>30</v>
      </c>
      <c r="J38" s="193" t="s">
        <v>57</v>
      </c>
      <c r="K38" s="245" t="s">
        <v>40</v>
      </c>
      <c r="L38" s="238" t="s">
        <v>52</v>
      </c>
      <c r="M38" s="238" t="s">
        <v>40</v>
      </c>
      <c r="N38" s="238" t="s">
        <v>40</v>
      </c>
      <c r="O38" s="238" t="s">
        <v>40</v>
      </c>
      <c r="P38" s="238" t="s">
        <v>40</v>
      </c>
      <c r="Q38" s="238" t="s">
        <v>40</v>
      </c>
      <c r="R38" s="238" t="s">
        <v>0</v>
      </c>
      <c r="S38" s="271" t="s">
        <v>1</v>
      </c>
      <c r="T38" s="238" t="s">
        <v>3</v>
      </c>
      <c r="U38" s="393" t="s">
        <v>3</v>
      </c>
      <c r="V38" s="239" t="s">
        <v>53</v>
      </c>
      <c r="W38" s="239" t="s">
        <v>53</v>
      </c>
      <c r="X38" s="271" t="s">
        <v>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9" t="s">
        <v>52</v>
      </c>
      <c r="AD38" s="239" t="s">
        <v>0</v>
      </c>
      <c r="AE38" s="238" t="s">
        <v>40</v>
      </c>
      <c r="AF38" s="238" t="s">
        <v>40</v>
      </c>
      <c r="AG38" s="238" t="s">
        <v>40</v>
      </c>
      <c r="AH38" s="238" t="s">
        <v>40</v>
      </c>
      <c r="AI38" s="271" t="s">
        <v>52</v>
      </c>
      <c r="AJ38" s="238" t="s">
        <v>40</v>
      </c>
      <c r="AK38" s="238" t="s">
        <v>40</v>
      </c>
      <c r="AL38" s="234" t="s">
        <v>0</v>
      </c>
      <c r="AM38" s="238" t="s">
        <v>40</v>
      </c>
      <c r="AN38" s="241" t="s">
        <v>40</v>
      </c>
      <c r="AO38" s="175">
        <v>0</v>
      </c>
      <c r="AP38" s="46">
        <f t="shared" si="9"/>
        <v>0</v>
      </c>
      <c r="AQ38" s="46">
        <v>0</v>
      </c>
      <c r="AR38" s="41">
        <f t="shared" si="36"/>
        <v>0</v>
      </c>
      <c r="AS38" s="329" t="s">
        <v>128</v>
      </c>
    </row>
    <row r="39" spans="1:225" ht="25.5" customHeight="1" thickBot="1">
      <c r="A39" s="54">
        <f t="shared" si="23"/>
        <v>0</v>
      </c>
      <c r="B39" s="55">
        <f t="shared" si="24"/>
        <v>0</v>
      </c>
      <c r="C39" s="56">
        <f t="shared" si="25"/>
        <v>5</v>
      </c>
      <c r="D39" s="55">
        <f t="shared" si="26"/>
        <v>13</v>
      </c>
      <c r="E39" s="17">
        <f t="shared" si="27"/>
        <v>2</v>
      </c>
      <c r="F39" s="17">
        <f t="shared" si="28"/>
        <v>5</v>
      </c>
      <c r="G39" s="17">
        <f t="shared" si="29"/>
        <v>3</v>
      </c>
      <c r="H39" s="17">
        <f t="shared" si="30"/>
        <v>2</v>
      </c>
      <c r="I39" s="57">
        <f t="shared" si="35"/>
        <v>30</v>
      </c>
      <c r="J39" s="215" t="s">
        <v>28</v>
      </c>
      <c r="K39" s="247" t="s">
        <v>52</v>
      </c>
      <c r="L39" s="394" t="s">
        <v>3</v>
      </c>
      <c r="M39" s="394" t="s">
        <v>3</v>
      </c>
      <c r="N39" s="394" t="s">
        <v>3</v>
      </c>
      <c r="O39" s="249" t="s">
        <v>52</v>
      </c>
      <c r="P39" s="249" t="s">
        <v>0</v>
      </c>
      <c r="Q39" s="394" t="s">
        <v>3</v>
      </c>
      <c r="R39" s="394" t="s">
        <v>3</v>
      </c>
      <c r="S39" s="394" t="s">
        <v>3</v>
      </c>
      <c r="T39" s="394" t="s">
        <v>3</v>
      </c>
      <c r="U39" s="248" t="s">
        <v>0</v>
      </c>
      <c r="V39" s="248" t="s">
        <v>40</v>
      </c>
      <c r="W39" s="248" t="s">
        <v>40</v>
      </c>
      <c r="X39" s="248" t="s">
        <v>40</v>
      </c>
      <c r="Y39" s="248" t="s">
        <v>40</v>
      </c>
      <c r="Z39" s="248" t="s">
        <v>40</v>
      </c>
      <c r="AA39" s="249" t="s">
        <v>0</v>
      </c>
      <c r="AB39" s="421" t="s">
        <v>1</v>
      </c>
      <c r="AC39" s="421" t="s">
        <v>1</v>
      </c>
      <c r="AD39" s="249" t="s">
        <v>0</v>
      </c>
      <c r="AE39" s="248" t="s">
        <v>3</v>
      </c>
      <c r="AF39" s="418" t="s">
        <v>3</v>
      </c>
      <c r="AG39" s="418" t="s">
        <v>3</v>
      </c>
      <c r="AH39" s="418" t="s">
        <v>3</v>
      </c>
      <c r="AI39" s="418" t="s">
        <v>53</v>
      </c>
      <c r="AJ39" s="418" t="s">
        <v>52</v>
      </c>
      <c r="AK39" s="418" t="s">
        <v>0</v>
      </c>
      <c r="AL39" s="418" t="s">
        <v>53</v>
      </c>
      <c r="AM39" s="418" t="s">
        <v>3</v>
      </c>
      <c r="AN39" s="419" t="s">
        <v>3</v>
      </c>
      <c r="AO39" s="286">
        <v>0</v>
      </c>
      <c r="AP39" s="74">
        <f t="shared" si="9"/>
        <v>0</v>
      </c>
      <c r="AQ39" s="74">
        <v>0</v>
      </c>
      <c r="AR39" s="63">
        <f t="shared" si="36"/>
        <v>0</v>
      </c>
      <c r="AS39" s="330" t="s">
        <v>128</v>
      </c>
    </row>
    <row r="40" spans="1:225" s="50" customFormat="1" ht="24.75" customHeight="1">
      <c r="A40" s="23">
        <f t="shared" si="23"/>
        <v>2</v>
      </c>
      <c r="B40" s="24">
        <f t="shared" si="24"/>
        <v>4</v>
      </c>
      <c r="C40" s="25">
        <f t="shared" si="25"/>
        <v>10</v>
      </c>
      <c r="D40" s="24">
        <f t="shared" si="26"/>
        <v>4</v>
      </c>
      <c r="E40" s="26">
        <f t="shared" si="27"/>
        <v>0</v>
      </c>
      <c r="F40" s="26">
        <f t="shared" si="28"/>
        <v>4</v>
      </c>
      <c r="G40" s="26">
        <f t="shared" si="29"/>
        <v>4</v>
      </c>
      <c r="H40" s="26">
        <f t="shared" si="30"/>
        <v>2</v>
      </c>
      <c r="I40" s="176">
        <f>SUM(A40:H40)</f>
        <v>30</v>
      </c>
      <c r="J40" s="66" t="s">
        <v>142</v>
      </c>
      <c r="K40" s="28" t="s">
        <v>54</v>
      </c>
      <c r="L40" s="29" t="s">
        <v>3</v>
      </c>
      <c r="M40" s="29" t="s">
        <v>3</v>
      </c>
      <c r="N40" s="29" t="s">
        <v>52</v>
      </c>
      <c r="O40" s="29" t="s">
        <v>55</v>
      </c>
      <c r="P40" s="29" t="s">
        <v>55</v>
      </c>
      <c r="Q40" s="29" t="s">
        <v>55</v>
      </c>
      <c r="R40" s="29" t="s">
        <v>55</v>
      </c>
      <c r="S40" s="29" t="s">
        <v>0</v>
      </c>
      <c r="T40" s="29" t="s">
        <v>56</v>
      </c>
      <c r="U40" s="29" t="s">
        <v>56</v>
      </c>
      <c r="V40" s="31" t="s">
        <v>52</v>
      </c>
      <c r="W40" s="31" t="s">
        <v>53</v>
      </c>
      <c r="X40" s="29" t="s">
        <v>53</v>
      </c>
      <c r="Y40" s="29" t="s">
        <v>52</v>
      </c>
      <c r="Z40" s="29" t="s">
        <v>55</v>
      </c>
      <c r="AA40" s="29" t="s">
        <v>55</v>
      </c>
      <c r="AB40" s="29" t="s">
        <v>55</v>
      </c>
      <c r="AC40" s="29" t="s">
        <v>55</v>
      </c>
      <c r="AD40" s="29" t="s">
        <v>55</v>
      </c>
      <c r="AE40" s="29" t="s">
        <v>55</v>
      </c>
      <c r="AF40" s="29" t="s">
        <v>0</v>
      </c>
      <c r="AG40" s="29" t="s">
        <v>3</v>
      </c>
      <c r="AH40" s="29" t="s">
        <v>3</v>
      </c>
      <c r="AI40" s="29" t="s">
        <v>54</v>
      </c>
      <c r="AJ40" s="31" t="s">
        <v>52</v>
      </c>
      <c r="AK40" s="31" t="s">
        <v>0</v>
      </c>
      <c r="AL40" s="29" t="s">
        <v>56</v>
      </c>
      <c r="AM40" s="29" t="s">
        <v>56</v>
      </c>
      <c r="AN40" s="34" t="s">
        <v>0</v>
      </c>
      <c r="AO40" s="430">
        <v>0</v>
      </c>
      <c r="AP40" s="167">
        <f t="shared" si="9"/>
        <v>0</v>
      </c>
      <c r="AQ40" s="167">
        <v>0</v>
      </c>
      <c r="AR40" s="331">
        <f t="shared" si="36"/>
        <v>0</v>
      </c>
      <c r="AS40" s="332" t="s">
        <v>126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0" customFormat="1" ht="24.75" customHeight="1">
      <c r="A41" s="38">
        <f t="shared" ref="A41:A42" si="39">COUNTIF(K41:AN41,1)+COUNTIF(K41:AN41,"早")+COUNTIF(K41:AN41,"M1")+COUNTIF(K41:AN41,"T早")+COUNTIF(K41:AN41,"日")</f>
        <v>6</v>
      </c>
      <c r="B41" s="39">
        <f t="shared" ref="B41:B42" si="40">COUNTIF(K41:AN41,2)+COUNTIF(K41:AN41,"中")+COUNTIF(K41:AN41,"M2")+COUNTIF(K41:AN41,"T中")+COUNTIF(K41:AN41,"小夜")</f>
        <v>11</v>
      </c>
      <c r="C41" s="40">
        <f t="shared" ref="C41:C42" si="41">COUNTIF(K41:AN41,3)+COUNTIF(K41:AN41,"晚")+COUNTIF(K41:AN41,"大夜")</f>
        <v>0</v>
      </c>
      <c r="D41" s="39">
        <f t="shared" ref="D41:D42" si="42">COUNTIF(K41:AN41,"N")+COUNTIF(K41:AN41,"N8")</f>
        <v>3</v>
      </c>
      <c r="E41" s="41">
        <f t="shared" ref="E41:E42" si="43">COUNTIF(K41:AN41,"S")</f>
        <v>0</v>
      </c>
      <c r="F41" s="41">
        <f t="shared" ref="F41:F42" si="44">COUNTIF(K41:AN41,"X")</f>
        <v>4</v>
      </c>
      <c r="G41" s="41">
        <f t="shared" ref="G41:G42" si="45">COUNTIF(K41:AN41,"Y")</f>
        <v>4</v>
      </c>
      <c r="H41" s="41">
        <f t="shared" ref="H41:H42" si="46">COUNTIF(K41:AN41,"Z")</f>
        <v>2</v>
      </c>
      <c r="I41" s="177">
        <f t="shared" ref="I41:I42" si="47">SUM(A41:H41)</f>
        <v>30</v>
      </c>
      <c r="J41" s="67" t="s">
        <v>29</v>
      </c>
      <c r="K41" s="49" t="s">
        <v>3</v>
      </c>
      <c r="L41" s="30" t="s">
        <v>54</v>
      </c>
      <c r="M41" s="30" t="s">
        <v>56</v>
      </c>
      <c r="N41" s="30" t="s">
        <v>56</v>
      </c>
      <c r="O41" s="44" t="s">
        <v>52</v>
      </c>
      <c r="P41" s="44" t="s">
        <v>0</v>
      </c>
      <c r="Q41" s="30" t="s">
        <v>56</v>
      </c>
      <c r="R41" s="30" t="s">
        <v>56</v>
      </c>
      <c r="S41" s="30" t="s">
        <v>56</v>
      </c>
      <c r="T41" s="30" t="s">
        <v>52</v>
      </c>
      <c r="U41" s="30" t="s">
        <v>3</v>
      </c>
      <c r="V41" s="30" t="s">
        <v>54</v>
      </c>
      <c r="W41" s="30" t="s">
        <v>54</v>
      </c>
      <c r="X41" s="30" t="s">
        <v>54</v>
      </c>
      <c r="Y41" s="30" t="s">
        <v>54</v>
      </c>
      <c r="Z41" s="30" t="s">
        <v>54</v>
      </c>
      <c r="AA41" s="30" t="s">
        <v>52</v>
      </c>
      <c r="AB41" s="30" t="s">
        <v>53</v>
      </c>
      <c r="AC41" s="44" t="s">
        <v>53</v>
      </c>
      <c r="AD41" s="44" t="s">
        <v>0</v>
      </c>
      <c r="AE41" s="30" t="s">
        <v>56</v>
      </c>
      <c r="AF41" s="316" t="s">
        <v>0</v>
      </c>
      <c r="AG41" s="30" t="s">
        <v>52</v>
      </c>
      <c r="AH41" s="30" t="s">
        <v>56</v>
      </c>
      <c r="AI41" s="30" t="s">
        <v>56</v>
      </c>
      <c r="AJ41" s="30" t="s">
        <v>56</v>
      </c>
      <c r="AK41" s="30" t="s">
        <v>56</v>
      </c>
      <c r="AL41" s="30" t="s">
        <v>0</v>
      </c>
      <c r="AM41" s="30" t="s">
        <v>3</v>
      </c>
      <c r="AN41" s="48" t="s">
        <v>56</v>
      </c>
      <c r="AO41" s="175">
        <v>0</v>
      </c>
      <c r="AP41" s="46">
        <f t="shared" si="9"/>
        <v>0</v>
      </c>
      <c r="AQ41" s="46">
        <v>0</v>
      </c>
      <c r="AR41" s="41">
        <f t="shared" si="36"/>
        <v>0</v>
      </c>
      <c r="AS41" s="329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38">
        <f t="shared" si="39"/>
        <v>5</v>
      </c>
      <c r="B42" s="39">
        <f t="shared" si="40"/>
        <v>5</v>
      </c>
      <c r="C42" s="40">
        <f t="shared" si="41"/>
        <v>4</v>
      </c>
      <c r="D42" s="39">
        <f t="shared" si="42"/>
        <v>3</v>
      </c>
      <c r="E42" s="41">
        <f t="shared" si="43"/>
        <v>3</v>
      </c>
      <c r="F42" s="41">
        <f t="shared" si="44"/>
        <v>4</v>
      </c>
      <c r="G42" s="41">
        <f t="shared" si="45"/>
        <v>4</v>
      </c>
      <c r="H42" s="41">
        <f t="shared" si="46"/>
        <v>2</v>
      </c>
      <c r="I42" s="177">
        <f t="shared" si="47"/>
        <v>30</v>
      </c>
      <c r="J42" s="68" t="s">
        <v>30</v>
      </c>
      <c r="K42" s="49" t="s">
        <v>56</v>
      </c>
      <c r="L42" s="30" t="s">
        <v>52</v>
      </c>
      <c r="M42" s="30" t="s">
        <v>53</v>
      </c>
      <c r="N42" s="30" t="s">
        <v>53</v>
      </c>
      <c r="O42" s="30" t="s">
        <v>56</v>
      </c>
      <c r="P42" s="30" t="s">
        <v>56</v>
      </c>
      <c r="Q42" s="30" t="s">
        <v>0</v>
      </c>
      <c r="R42" s="30" t="s">
        <v>3</v>
      </c>
      <c r="S42" s="30" t="s">
        <v>3</v>
      </c>
      <c r="T42" s="30" t="s">
        <v>3</v>
      </c>
      <c r="U42" s="30" t="s">
        <v>54</v>
      </c>
      <c r="V42" s="44" t="s">
        <v>52</v>
      </c>
      <c r="W42" s="32" t="s">
        <v>1</v>
      </c>
      <c r="X42" s="32" t="s">
        <v>1</v>
      </c>
      <c r="Y42" s="44" t="s">
        <v>0</v>
      </c>
      <c r="Z42" s="30" t="s">
        <v>56</v>
      </c>
      <c r="AA42" s="30" t="s">
        <v>56</v>
      </c>
      <c r="AB42" s="30" t="s">
        <v>52</v>
      </c>
      <c r="AC42" s="30" t="s">
        <v>54</v>
      </c>
      <c r="AD42" s="30" t="s">
        <v>54</v>
      </c>
      <c r="AE42" s="44" t="s">
        <v>0</v>
      </c>
      <c r="AF42" s="30" t="s">
        <v>55</v>
      </c>
      <c r="AG42" s="30" t="s">
        <v>55</v>
      </c>
      <c r="AH42" s="30" t="s">
        <v>55</v>
      </c>
      <c r="AI42" s="30" t="s">
        <v>55</v>
      </c>
      <c r="AJ42" s="44" t="s">
        <v>52</v>
      </c>
      <c r="AK42" s="316" t="s">
        <v>1</v>
      </c>
      <c r="AL42" s="30" t="s">
        <v>0</v>
      </c>
      <c r="AM42" s="30" t="s">
        <v>54</v>
      </c>
      <c r="AN42" s="48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36"/>
        <v>0</v>
      </c>
      <c r="AS42" s="329" t="s">
        <v>126</v>
      </c>
    </row>
    <row r="43" spans="1:225" s="50" customFormat="1" ht="25.5" customHeight="1">
      <c r="A43" s="38">
        <f t="shared" si="23"/>
        <v>5</v>
      </c>
      <c r="B43" s="39">
        <f t="shared" si="24"/>
        <v>2</v>
      </c>
      <c r="C43" s="40">
        <f t="shared" si="25"/>
        <v>9</v>
      </c>
      <c r="D43" s="39">
        <f t="shared" si="26"/>
        <v>3</v>
      </c>
      <c r="E43" s="41">
        <f t="shared" si="27"/>
        <v>1</v>
      </c>
      <c r="F43" s="41">
        <f t="shared" si="28"/>
        <v>4</v>
      </c>
      <c r="G43" s="41">
        <f t="shared" si="29"/>
        <v>4</v>
      </c>
      <c r="H43" s="41">
        <f t="shared" si="30"/>
        <v>2</v>
      </c>
      <c r="I43" s="177">
        <f t="shared" ref="I43:I44" si="48">SUM(A43:H43)</f>
        <v>30</v>
      </c>
      <c r="J43" s="68" t="s">
        <v>31</v>
      </c>
      <c r="K43" s="49" t="s">
        <v>55</v>
      </c>
      <c r="L43" s="30" t="s">
        <v>55</v>
      </c>
      <c r="M43" s="30" t="s">
        <v>55</v>
      </c>
      <c r="N43" s="30" t="s">
        <v>55</v>
      </c>
      <c r="O43" s="44" t="s">
        <v>52</v>
      </c>
      <c r="P43" s="44" t="s">
        <v>0</v>
      </c>
      <c r="Q43" s="30" t="s">
        <v>3</v>
      </c>
      <c r="R43" s="30" t="s">
        <v>54</v>
      </c>
      <c r="S43" s="30" t="s">
        <v>54</v>
      </c>
      <c r="T43" s="30" t="s">
        <v>52</v>
      </c>
      <c r="U43" s="30" t="s">
        <v>55</v>
      </c>
      <c r="V43" s="30" t="s">
        <v>55</v>
      </c>
      <c r="W43" s="30" t="s">
        <v>55</v>
      </c>
      <c r="X43" s="30" t="s">
        <v>55</v>
      </c>
      <c r="Y43" s="30" t="s">
        <v>55</v>
      </c>
      <c r="Z43" s="32" t="s">
        <v>1</v>
      </c>
      <c r="AA43" s="30" t="s">
        <v>52</v>
      </c>
      <c r="AB43" s="30" t="s">
        <v>53</v>
      </c>
      <c r="AC43" s="44" t="s">
        <v>53</v>
      </c>
      <c r="AD43" s="44" t="s">
        <v>0</v>
      </c>
      <c r="AE43" s="30" t="s">
        <v>3</v>
      </c>
      <c r="AF43" s="30" t="s">
        <v>56</v>
      </c>
      <c r="AG43" s="30" t="s">
        <v>56</v>
      </c>
      <c r="AH43" s="30" t="s">
        <v>52</v>
      </c>
      <c r="AI43" s="30" t="s">
        <v>0</v>
      </c>
      <c r="AJ43" s="30" t="s">
        <v>54</v>
      </c>
      <c r="AK43" s="30" t="s">
        <v>54</v>
      </c>
      <c r="AL43" s="30" t="s">
        <v>54</v>
      </c>
      <c r="AM43" s="30" t="s">
        <v>3</v>
      </c>
      <c r="AN43" s="48" t="s">
        <v>0</v>
      </c>
      <c r="AO43" s="175">
        <v>0</v>
      </c>
      <c r="AP43" s="46">
        <f t="shared" si="9"/>
        <v>0</v>
      </c>
      <c r="AQ43" s="46">
        <v>0</v>
      </c>
      <c r="AR43" s="41">
        <f t="shared" si="36"/>
        <v>0</v>
      </c>
      <c r="AS43" s="329" t="s">
        <v>128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s="50" customFormat="1" ht="25.5" customHeight="1">
      <c r="A44" s="38">
        <f t="shared" si="23"/>
        <v>8</v>
      </c>
      <c r="B44" s="39">
        <f t="shared" si="24"/>
        <v>3</v>
      </c>
      <c r="C44" s="40">
        <f t="shared" si="25"/>
        <v>2</v>
      </c>
      <c r="D44" s="39">
        <f t="shared" si="26"/>
        <v>4</v>
      </c>
      <c r="E44" s="41">
        <f t="shared" si="27"/>
        <v>3</v>
      </c>
      <c r="F44" s="41">
        <f t="shared" si="28"/>
        <v>4</v>
      </c>
      <c r="G44" s="41">
        <f t="shared" si="29"/>
        <v>4</v>
      </c>
      <c r="H44" s="41">
        <f t="shared" si="30"/>
        <v>2</v>
      </c>
      <c r="I44" s="177">
        <f t="shared" si="48"/>
        <v>30</v>
      </c>
      <c r="J44" s="68" t="s">
        <v>32</v>
      </c>
      <c r="K44" s="326" t="s">
        <v>0</v>
      </c>
      <c r="L44" s="30" t="s">
        <v>52</v>
      </c>
      <c r="M44" s="30" t="s">
        <v>54</v>
      </c>
      <c r="N44" s="30" t="s">
        <v>54</v>
      </c>
      <c r="O44" s="30" t="s">
        <v>54</v>
      </c>
      <c r="P44" s="30" t="s">
        <v>54</v>
      </c>
      <c r="Q44" s="30" t="s">
        <v>54</v>
      </c>
      <c r="R44" s="30" t="s">
        <v>0</v>
      </c>
      <c r="S44" s="53" t="s">
        <v>3</v>
      </c>
      <c r="T44" s="30" t="s">
        <v>54</v>
      </c>
      <c r="U44" s="32" t="s">
        <v>1</v>
      </c>
      <c r="V44" s="44" t="s">
        <v>52</v>
      </c>
      <c r="W44" s="44" t="s">
        <v>53</v>
      </c>
      <c r="X44" s="32" t="s">
        <v>1</v>
      </c>
      <c r="Y44" s="32" t="s">
        <v>0</v>
      </c>
      <c r="Z44" s="30" t="s">
        <v>3</v>
      </c>
      <c r="AA44" s="30" t="s">
        <v>54</v>
      </c>
      <c r="AB44" s="30" t="s">
        <v>56</v>
      </c>
      <c r="AC44" s="30" t="s">
        <v>56</v>
      </c>
      <c r="AD44" s="30" t="s">
        <v>56</v>
      </c>
      <c r="AE44" s="30" t="s">
        <v>52</v>
      </c>
      <c r="AF44" s="30" t="s">
        <v>3</v>
      </c>
      <c r="AG44" s="53" t="s">
        <v>3</v>
      </c>
      <c r="AH44" s="30" t="s">
        <v>54</v>
      </c>
      <c r="AI44" s="32" t="s">
        <v>1</v>
      </c>
      <c r="AJ44" s="44" t="s">
        <v>53</v>
      </c>
      <c r="AK44" s="44" t="s">
        <v>0</v>
      </c>
      <c r="AL44" s="316" t="s">
        <v>52</v>
      </c>
      <c r="AM44" s="30" t="s">
        <v>55</v>
      </c>
      <c r="AN44" s="48" t="s">
        <v>55</v>
      </c>
      <c r="AO44" s="175">
        <v>0</v>
      </c>
      <c r="AP44" s="46">
        <f t="shared" si="9"/>
        <v>0</v>
      </c>
      <c r="AQ44" s="46">
        <v>0</v>
      </c>
      <c r="AR44" s="41">
        <f t="shared" si="36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 thickBot="1">
      <c r="A45" s="69">
        <f t="shared" ref="A45" si="49">COUNTIF(K45:AN45,1)+COUNTIF(K45:AN45,"早")+COUNTIF(K45:AN45,"M1")+COUNTIF(K45:AN45,"T早")+COUNTIF(K45:AN45,"日")</f>
        <v>4</v>
      </c>
      <c r="B45" s="70">
        <f t="shared" ref="B45" si="50">COUNTIF(K45:AN45,2)+COUNTIF(K45:AN45,"中")+COUNTIF(K45:AN45,"M2")+COUNTIF(K45:AN45,"T中")+COUNTIF(K45:AN45,"小夜")</f>
        <v>5</v>
      </c>
      <c r="C45" s="71">
        <f t="shared" ref="C45" si="51">COUNTIF(K45:AN45,3)+COUNTIF(K45:AN45,"晚")+COUNTIF(K45:AN45,"大夜")</f>
        <v>5</v>
      </c>
      <c r="D45" s="70">
        <f t="shared" ref="D45" si="52">COUNTIF(K45:AN45,"N")+COUNTIF(K45:AN45,"N8")</f>
        <v>4</v>
      </c>
      <c r="E45" s="63">
        <f t="shared" ref="E45" si="53">COUNTIF(K45:AN45,"S")</f>
        <v>2</v>
      </c>
      <c r="F45" s="63">
        <f t="shared" ref="F45" si="54">COUNTIF(K45:AN45,"X")</f>
        <v>4</v>
      </c>
      <c r="G45" s="63">
        <f t="shared" ref="G45" si="55">COUNTIF(K45:AN45,"Y")</f>
        <v>4</v>
      </c>
      <c r="H45" s="63">
        <f t="shared" ref="H45" si="56">COUNTIF(K45:AN45,"Z")</f>
        <v>2</v>
      </c>
      <c r="I45" s="178">
        <f t="shared" ref="I45" si="57">SUM(A45:H45)</f>
        <v>30</v>
      </c>
      <c r="J45" s="72" t="s">
        <v>33</v>
      </c>
      <c r="K45" s="58" t="s">
        <v>0</v>
      </c>
      <c r="L45" s="60" t="s">
        <v>56</v>
      </c>
      <c r="M45" s="59" t="s">
        <v>52</v>
      </c>
      <c r="N45" s="60" t="s">
        <v>3</v>
      </c>
      <c r="O45" s="59" t="s">
        <v>53</v>
      </c>
      <c r="P45" s="52" t="s">
        <v>1</v>
      </c>
      <c r="Q45" s="52" t="s">
        <v>1</v>
      </c>
      <c r="R45" s="423" t="s">
        <v>0</v>
      </c>
      <c r="S45" s="337" t="s">
        <v>55</v>
      </c>
      <c r="T45" s="337" t="s">
        <v>55</v>
      </c>
      <c r="U45" s="337" t="s">
        <v>52</v>
      </c>
      <c r="V45" s="337" t="s">
        <v>56</v>
      </c>
      <c r="W45" s="337" t="s">
        <v>56</v>
      </c>
      <c r="X45" s="337" t="s">
        <v>56</v>
      </c>
      <c r="Y45" s="337" t="s">
        <v>56</v>
      </c>
      <c r="Z45" s="337" t="s">
        <v>52</v>
      </c>
      <c r="AA45" s="337" t="s">
        <v>3</v>
      </c>
      <c r="AB45" s="337" t="s">
        <v>54</v>
      </c>
      <c r="AC45" s="424" t="s">
        <v>53</v>
      </c>
      <c r="AD45" s="424" t="s">
        <v>0</v>
      </c>
      <c r="AE45" s="337" t="s">
        <v>54</v>
      </c>
      <c r="AF45" s="337" t="s">
        <v>54</v>
      </c>
      <c r="AG45" s="337" t="s">
        <v>54</v>
      </c>
      <c r="AH45" s="337" t="s">
        <v>3</v>
      </c>
      <c r="AI45" s="337" t="s">
        <v>52</v>
      </c>
      <c r="AJ45" s="337" t="s">
        <v>55</v>
      </c>
      <c r="AK45" s="60" t="s">
        <v>55</v>
      </c>
      <c r="AL45" s="60" t="s">
        <v>55</v>
      </c>
      <c r="AM45" s="60" t="s">
        <v>0</v>
      </c>
      <c r="AN45" s="61" t="s">
        <v>3</v>
      </c>
      <c r="AO45" s="286">
        <v>0</v>
      </c>
      <c r="AP45" s="74">
        <f t="shared" si="9"/>
        <v>0</v>
      </c>
      <c r="AQ45" s="74">
        <v>0</v>
      </c>
      <c r="AR45" s="63">
        <f t="shared" si="36"/>
        <v>0</v>
      </c>
      <c r="AS45" s="330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77" customFormat="1" ht="18" customHeight="1" thickBot="1">
      <c r="A46" s="75"/>
      <c r="B46" s="75"/>
      <c r="C46" s="75"/>
      <c r="D46" s="75"/>
      <c r="E46" s="76"/>
      <c r="I46" s="75"/>
      <c r="J46" s="436">
        <v>1</v>
      </c>
      <c r="K46" s="431" cm="2">
        <f t="array" ref="K46">SUMPRODUCT(COUNTIF(K4:K45,{"1";"M1"}))</f>
        <v>5</v>
      </c>
      <c r="L46" s="402" cm="2">
        <f t="array" ref="L46">SUMPRODUCT(COUNTIF(L4:L45,{"1";"M1"}))</f>
        <v>5</v>
      </c>
      <c r="M46" s="402" cm="2">
        <f t="array" ref="M46">SUMPRODUCT(COUNTIF(M4:M45,{"1";"M1"}))</f>
        <v>5</v>
      </c>
      <c r="N46" s="402" cm="2">
        <f t="array" ref="N46">SUMPRODUCT(COUNTIF(N4:N45,{"1";"M1"}))</f>
        <v>5</v>
      </c>
      <c r="O46" s="402" cm="2">
        <f t="array" ref="O46">SUMPRODUCT(COUNTIF(O4:O45,{"1";"M1"}))</f>
        <v>3</v>
      </c>
      <c r="P46" s="402" cm="2">
        <f t="array" ref="P46">SUMPRODUCT(COUNTIF(P4:P45,{"1";"M1"}))</f>
        <v>3</v>
      </c>
      <c r="Q46" s="402" cm="2">
        <f t="array" ref="Q46">SUMPRODUCT(COUNTIF(Q4:Q45,{"1";"M1"}))</f>
        <v>5</v>
      </c>
      <c r="R46" s="402" cm="2">
        <f t="array" ref="R46">SUMPRODUCT(COUNTIF(R4:R45,{"1";"M1"}))</f>
        <v>5</v>
      </c>
      <c r="S46" s="402" cm="2">
        <f t="array" ref="S46">SUMPRODUCT(COUNTIF(S4:S45,{"1";"M1"}))</f>
        <v>5</v>
      </c>
      <c r="T46" s="402" cm="2">
        <f t="array" ref="T46">SUMPRODUCT(COUNTIF(T4:T45,{"1";"M1"}))</f>
        <v>5</v>
      </c>
      <c r="U46" s="402" cm="2">
        <f t="array" ref="U46">SUMPRODUCT(COUNTIF(U4:U45,{"1";"M1"}))</f>
        <v>5</v>
      </c>
      <c r="V46" s="402" cm="2">
        <f t="array" ref="V46">SUMPRODUCT(COUNTIF(V4:V45,{"1";"M1"}))</f>
        <v>3</v>
      </c>
      <c r="W46" s="402" cm="2">
        <f t="array" ref="W46">SUMPRODUCT(COUNTIF(W4:W45,{"1";"M1"}))</f>
        <v>3</v>
      </c>
      <c r="X46" s="402" cm="2">
        <f t="array" ref="X46">SUMPRODUCT(COUNTIF(X4:X45,{"1";"M1"}))</f>
        <v>5</v>
      </c>
      <c r="Y46" s="402" cm="2">
        <f t="array" ref="Y46">SUMPRODUCT(COUNTIF(Y4:Y45,{"1";"M1"}))</f>
        <v>5</v>
      </c>
      <c r="Z46" s="402" cm="2">
        <f t="array" ref="Z46">SUMPRODUCT(COUNTIF(Z4:Z45,{"1";"M1"}))</f>
        <v>5</v>
      </c>
      <c r="AA46" s="402" cm="2">
        <f t="array" ref="AA46">SUMPRODUCT(COUNTIF(AA4:AA45,{"1";"M1"}))</f>
        <v>5</v>
      </c>
      <c r="AB46" s="402" cm="2">
        <f t="array" ref="AB46">SUMPRODUCT(COUNTIF(AB4:AB45,{"1";"M1"}))</f>
        <v>5</v>
      </c>
      <c r="AC46" s="402" cm="2">
        <f t="array" ref="AC46">SUMPRODUCT(COUNTIF(AC4:AC45,{"1";"M1"}))</f>
        <v>3</v>
      </c>
      <c r="AD46" s="402" cm="2">
        <f t="array" ref="AD46">SUMPRODUCT(COUNTIF(AD4:AD45,{"1";"M1"}))</f>
        <v>3</v>
      </c>
      <c r="AE46" s="402" cm="2">
        <f t="array" ref="AE46">SUMPRODUCT(COUNTIF(AE4:AE45,{"1";"M1"}))</f>
        <v>5</v>
      </c>
      <c r="AF46" s="402" cm="2">
        <f t="array" ref="AF46">SUMPRODUCT(COUNTIF(AF4:AF45,{"1";"M1"}))</f>
        <v>5</v>
      </c>
      <c r="AG46" s="402" cm="2">
        <f t="array" ref="AG46">SUMPRODUCT(COUNTIF(AG4:AG45,{"1";"M1"}))</f>
        <v>5</v>
      </c>
      <c r="AH46" s="402" cm="2">
        <f t="array" ref="AH46">SUMPRODUCT(COUNTIF(AH4:AH45,{"1";"M1"}))</f>
        <v>5</v>
      </c>
      <c r="AI46" s="402" cm="2">
        <f t="array" ref="AI46">SUMPRODUCT(COUNTIF(AI4:AI45,{"1";"M1"}))</f>
        <v>3</v>
      </c>
      <c r="AJ46" s="402" cm="2">
        <f t="array" ref="AJ46">SUMPRODUCT(COUNTIF(AJ4:AJ45,{"1";"M1"}))</f>
        <v>3</v>
      </c>
      <c r="AK46" s="402" cm="2">
        <f t="array" ref="AK46">SUMPRODUCT(COUNTIF(AK4:AK45,{"1";"M1"}))</f>
        <v>3</v>
      </c>
      <c r="AL46" s="402" cm="2">
        <f t="array" ref="AL46">SUMPRODUCT(COUNTIF(AL4:AL45,{"1";"M1"}))</f>
        <v>3</v>
      </c>
      <c r="AM46" s="402" cm="2">
        <f t="array" ref="AM46">SUMPRODUCT(COUNTIF(AM4:AM45,{"1";"M1"}))</f>
        <v>5</v>
      </c>
      <c r="AN46" s="402" cm="2">
        <f t="array" ref="AN46">SUMPRODUCT(COUNTIF(AN4:AN45,{"1";"M1"}))</f>
        <v>5</v>
      </c>
      <c r="AP46" s="50"/>
      <c r="AQ46" s="6"/>
      <c r="AR46" s="75"/>
      <c r="AS46" s="79"/>
      <c r="AT46" s="79"/>
      <c r="AW46" s="6"/>
      <c r="AX46" s="6"/>
      <c r="AY46" s="6"/>
    </row>
    <row r="47" spans="1:225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32" cm="2">
        <f t="array" ref="K47">SUMPRODUCT(COUNTIF(K4:K45,{"2";"M2"}))</f>
        <v>3</v>
      </c>
      <c r="L47" s="405" cm="2">
        <f t="array" ref="L47">SUMPRODUCT(COUNTIF(L4:L45,{"2";"M2"}))</f>
        <v>3</v>
      </c>
      <c r="M47" s="405" cm="2">
        <f t="array" ref="M47">SUMPRODUCT(COUNTIF(M4:M45,{"2";"M2"}))</f>
        <v>3</v>
      </c>
      <c r="N47" s="405" cm="2">
        <f t="array" ref="N47">SUMPRODUCT(COUNTIF(N4:N45,{"2";"M2"}))</f>
        <v>3</v>
      </c>
      <c r="O47" s="405" cm="2">
        <f t="array" ref="O47">SUMPRODUCT(COUNTIF(O4:O45,{"2";"M2"}))</f>
        <v>3</v>
      </c>
      <c r="P47" s="405" cm="2">
        <f t="array" ref="P47">SUMPRODUCT(COUNTIF(P4:P45,{"2";"M2"}))</f>
        <v>3</v>
      </c>
      <c r="Q47" s="405" cm="2">
        <f t="array" ref="Q47">SUMPRODUCT(COUNTIF(Q4:Q45,{"2";"M2"}))</f>
        <v>3</v>
      </c>
      <c r="R47" s="405" cm="2">
        <f t="array" ref="R47">SUMPRODUCT(COUNTIF(R4:R45,{"2";"M2"}))</f>
        <v>3</v>
      </c>
      <c r="S47" s="405" cm="2">
        <f t="array" ref="S47">SUMPRODUCT(COUNTIF(S4:S45,{"2";"M2"}))</f>
        <v>3</v>
      </c>
      <c r="T47" s="405" cm="2">
        <f t="array" ref="T47">SUMPRODUCT(COUNTIF(T4:T45,{"2";"M2"}))</f>
        <v>3</v>
      </c>
      <c r="U47" s="405" cm="2">
        <f t="array" ref="U47">SUMPRODUCT(COUNTIF(U4:U45,{"2";"M2"}))</f>
        <v>3</v>
      </c>
      <c r="V47" s="405" cm="2">
        <f t="array" ref="V47">SUMPRODUCT(COUNTIF(V4:V45,{"2";"M2"}))</f>
        <v>3</v>
      </c>
      <c r="W47" s="405" cm="2">
        <f t="array" ref="W47">SUMPRODUCT(COUNTIF(W4:W45,{"2";"M2"}))</f>
        <v>3</v>
      </c>
      <c r="X47" s="405" cm="2">
        <f t="array" ref="X47">SUMPRODUCT(COUNTIF(X4:X45,{"2";"M2"}))</f>
        <v>3</v>
      </c>
      <c r="Y47" s="405" cm="2">
        <f t="array" ref="Y47">SUMPRODUCT(COUNTIF(Y4:Y45,{"2";"M2"}))</f>
        <v>3</v>
      </c>
      <c r="Z47" s="405" cm="2">
        <f t="array" ref="Z47">SUMPRODUCT(COUNTIF(Z4:Z45,{"2";"M2"}))</f>
        <v>3</v>
      </c>
      <c r="AA47" s="405" cm="2">
        <f t="array" ref="AA47">SUMPRODUCT(COUNTIF(AA4:AA45,{"2";"M2"}))</f>
        <v>3</v>
      </c>
      <c r="AB47" s="405" cm="2">
        <f t="array" ref="AB47">SUMPRODUCT(COUNTIF(AB4:AB45,{"2";"M2"}))</f>
        <v>3</v>
      </c>
      <c r="AC47" s="405" cm="2">
        <f t="array" ref="AC47">SUMPRODUCT(COUNTIF(AC4:AC45,{"2";"M2"}))</f>
        <v>3</v>
      </c>
      <c r="AD47" s="405" cm="2">
        <f t="array" ref="AD47">SUMPRODUCT(COUNTIF(AD4:AD45,{"2";"M2"}))</f>
        <v>3</v>
      </c>
      <c r="AE47" s="405" cm="2">
        <f t="array" ref="AE47">SUMPRODUCT(COUNTIF(AE4:AE45,{"2";"M2"}))</f>
        <v>3</v>
      </c>
      <c r="AF47" s="405" cm="2">
        <f t="array" ref="AF47">SUMPRODUCT(COUNTIF(AF4:AF45,{"2";"M2"}))</f>
        <v>3</v>
      </c>
      <c r="AG47" s="405" cm="2">
        <f t="array" ref="AG47">SUMPRODUCT(COUNTIF(AG4:AG45,{"2";"M2"}))</f>
        <v>3</v>
      </c>
      <c r="AH47" s="405" cm="2">
        <f t="array" ref="AH47">SUMPRODUCT(COUNTIF(AH4:AH45,{"2";"M2"}))</f>
        <v>3</v>
      </c>
      <c r="AI47" s="405" cm="2">
        <f t="array" ref="AI47">SUMPRODUCT(COUNTIF(AI4:AI45,{"2";"M2"}))</f>
        <v>3</v>
      </c>
      <c r="AJ47" s="405" cm="2">
        <f t="array" ref="AJ47">SUMPRODUCT(COUNTIF(AJ4:AJ45,{"2";"M2"}))</f>
        <v>3</v>
      </c>
      <c r="AK47" s="405" cm="2">
        <f t="array" ref="AK47">SUMPRODUCT(COUNTIF(AK4:AK45,{"2";"M2"}))</f>
        <v>3</v>
      </c>
      <c r="AL47" s="405" cm="2">
        <f t="array" ref="AL47">SUMPRODUCT(COUNTIF(AL4:AL45,{"2";"M2"}))</f>
        <v>3</v>
      </c>
      <c r="AM47" s="405" cm="2">
        <f t="array" ref="AM47">SUMPRODUCT(COUNTIF(AM4:AM45,{"2";"M2"}))</f>
        <v>3</v>
      </c>
      <c r="AN47" s="405" cm="2">
        <f t="array" ref="AN47">SUMPRODUCT(COUNTIF(AN4:AN45,{"2";"M2"}))</f>
        <v>3</v>
      </c>
      <c r="AP47" s="50"/>
      <c r="AQ47" s="6" t="s">
        <v>34</v>
      </c>
      <c r="AR47" s="75" t="s">
        <v>35</v>
      </c>
      <c r="AS47" s="84"/>
      <c r="AT47" s="84"/>
    </row>
    <row r="48" spans="1:225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33">
        <f t="shared" ref="K48:AN48" si="58">COUNTIF(K4:K45,3)</f>
        <v>3</v>
      </c>
      <c r="L48" s="408">
        <f t="shared" si="58"/>
        <v>3</v>
      </c>
      <c r="M48" s="408">
        <f t="shared" si="58"/>
        <v>3</v>
      </c>
      <c r="N48" s="408">
        <f t="shared" si="58"/>
        <v>3</v>
      </c>
      <c r="O48" s="408">
        <f t="shared" si="58"/>
        <v>2</v>
      </c>
      <c r="P48" s="408">
        <f t="shared" si="58"/>
        <v>2</v>
      </c>
      <c r="Q48" s="408">
        <f t="shared" si="58"/>
        <v>3</v>
      </c>
      <c r="R48" s="408">
        <f t="shared" si="58"/>
        <v>3</v>
      </c>
      <c r="S48" s="408">
        <f t="shared" si="58"/>
        <v>3</v>
      </c>
      <c r="T48" s="408">
        <f t="shared" si="58"/>
        <v>3</v>
      </c>
      <c r="U48" s="408">
        <f t="shared" si="58"/>
        <v>3</v>
      </c>
      <c r="V48" s="408">
        <f t="shared" si="58"/>
        <v>2</v>
      </c>
      <c r="W48" s="408">
        <f t="shared" si="58"/>
        <v>2</v>
      </c>
      <c r="X48" s="408">
        <f t="shared" si="58"/>
        <v>3</v>
      </c>
      <c r="Y48" s="408">
        <f t="shared" si="58"/>
        <v>3</v>
      </c>
      <c r="Z48" s="408">
        <f t="shared" si="58"/>
        <v>3</v>
      </c>
      <c r="AA48" s="408">
        <f t="shared" si="58"/>
        <v>3</v>
      </c>
      <c r="AB48" s="408">
        <f t="shared" si="58"/>
        <v>3</v>
      </c>
      <c r="AC48" s="408">
        <f t="shared" si="58"/>
        <v>2</v>
      </c>
      <c r="AD48" s="408">
        <f t="shared" si="58"/>
        <v>2</v>
      </c>
      <c r="AE48" s="408">
        <f t="shared" si="58"/>
        <v>3</v>
      </c>
      <c r="AF48" s="408">
        <f t="shared" si="58"/>
        <v>3</v>
      </c>
      <c r="AG48" s="408">
        <f t="shared" si="58"/>
        <v>3</v>
      </c>
      <c r="AH48" s="408">
        <f t="shared" si="58"/>
        <v>3</v>
      </c>
      <c r="AI48" s="408">
        <f t="shared" si="58"/>
        <v>2</v>
      </c>
      <c r="AJ48" s="408">
        <f t="shared" si="58"/>
        <v>2</v>
      </c>
      <c r="AK48" s="408">
        <f t="shared" si="58"/>
        <v>2</v>
      </c>
      <c r="AL48" s="408">
        <f t="shared" si="58"/>
        <v>2</v>
      </c>
      <c r="AM48" s="408">
        <f t="shared" si="58"/>
        <v>3</v>
      </c>
      <c r="AN48" s="408">
        <f t="shared" si="58"/>
        <v>3</v>
      </c>
      <c r="AP48" s="75" t="s">
        <v>109</v>
      </c>
      <c r="AQ48" s="75">
        <f>36*30</f>
        <v>1080</v>
      </c>
      <c r="AR48" s="75">
        <f>6*30</f>
        <v>180</v>
      </c>
      <c r="AS48" s="84"/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34" cm="2">
        <f t="array" ref="K49">SUMPRODUCT(COUNTIF(K4:K45,{"早";"T早"}))</f>
        <v>5</v>
      </c>
      <c r="L49" s="411" cm="2">
        <f t="array" ref="L49">SUMPRODUCT(COUNTIF(L4:L45,{"早";"T早"}))</f>
        <v>5</v>
      </c>
      <c r="M49" s="411" cm="2">
        <f t="array" ref="M49">SUMPRODUCT(COUNTIF(M4:M45,{"早";"T早"}))</f>
        <v>5</v>
      </c>
      <c r="N49" s="411" cm="2">
        <f t="array" ref="N49">SUMPRODUCT(COUNTIF(N4:N45,{"早";"T早"}))</f>
        <v>5</v>
      </c>
      <c r="O49" s="411" cm="2">
        <f t="array" ref="O49">SUMPRODUCT(COUNTIF(O4:O45,{"早";"T早"}))</f>
        <v>3</v>
      </c>
      <c r="P49" s="411" cm="2">
        <f t="array" ref="P49">SUMPRODUCT(COUNTIF(P4:P45,{"早";"T早"}))</f>
        <v>3</v>
      </c>
      <c r="Q49" s="411" cm="2">
        <f t="array" ref="Q49">SUMPRODUCT(COUNTIF(Q4:Q45,{"早";"T早"}))</f>
        <v>5</v>
      </c>
      <c r="R49" s="411" cm="2">
        <f t="array" ref="R49">SUMPRODUCT(COUNTIF(R4:R45,{"早";"T早"}))</f>
        <v>5</v>
      </c>
      <c r="S49" s="411" cm="2">
        <f t="array" ref="S49">SUMPRODUCT(COUNTIF(S4:S45,{"早";"T早"}))</f>
        <v>5</v>
      </c>
      <c r="T49" s="411" cm="2">
        <f t="array" ref="T49">SUMPRODUCT(COUNTIF(T4:T45,{"早";"T早"}))</f>
        <v>5</v>
      </c>
      <c r="U49" s="411" cm="2">
        <f t="array" ref="U49">SUMPRODUCT(COUNTIF(U4:U45,{"早";"T早"}))</f>
        <v>5</v>
      </c>
      <c r="V49" s="411" cm="2">
        <f t="array" ref="V49">SUMPRODUCT(COUNTIF(V4:V45,{"早";"T早"}))</f>
        <v>3</v>
      </c>
      <c r="W49" s="411" cm="2">
        <f t="array" ref="W49">SUMPRODUCT(COUNTIF(W4:W45,{"早";"T早"}))</f>
        <v>3</v>
      </c>
      <c r="X49" s="411" cm="2">
        <f t="array" ref="X49">SUMPRODUCT(COUNTIF(X4:X45,{"早";"T早"}))</f>
        <v>5</v>
      </c>
      <c r="Y49" s="411" cm="2">
        <f t="array" ref="Y49">SUMPRODUCT(COUNTIF(Y4:Y45,{"早";"T早"}))</f>
        <v>5</v>
      </c>
      <c r="Z49" s="411" cm="2">
        <f t="array" ref="Z49">SUMPRODUCT(COUNTIF(Z4:Z45,{"早";"T早"}))</f>
        <v>5</v>
      </c>
      <c r="AA49" s="411" cm="2">
        <f t="array" ref="AA49">SUMPRODUCT(COUNTIF(AA4:AA45,{"早";"T早"}))</f>
        <v>5</v>
      </c>
      <c r="AB49" s="411" cm="2">
        <f t="array" ref="AB49">SUMPRODUCT(COUNTIF(AB4:AB45,{"早";"T早"}))</f>
        <v>5</v>
      </c>
      <c r="AC49" s="411" cm="2">
        <f t="array" ref="AC49">SUMPRODUCT(COUNTIF(AC4:AC45,{"早";"T早"}))</f>
        <v>3</v>
      </c>
      <c r="AD49" s="411" cm="2">
        <f t="array" ref="AD49">SUMPRODUCT(COUNTIF(AD4:AD45,{"早";"T早"}))</f>
        <v>3</v>
      </c>
      <c r="AE49" s="411" cm="2">
        <f t="array" ref="AE49">SUMPRODUCT(COUNTIF(AE4:AE45,{"早";"T早"}))</f>
        <v>5</v>
      </c>
      <c r="AF49" s="411" cm="2">
        <f t="array" ref="AF49">SUMPRODUCT(COUNTIF(AF4:AF45,{"早";"T早"}))</f>
        <v>5</v>
      </c>
      <c r="AG49" s="411" cm="2">
        <f t="array" ref="AG49">SUMPRODUCT(COUNTIF(AG4:AG45,{"早";"T早"}))</f>
        <v>5</v>
      </c>
      <c r="AH49" s="411" cm="2">
        <f t="array" ref="AH49">SUMPRODUCT(COUNTIF(AH4:AH45,{"早";"T早"}))</f>
        <v>5</v>
      </c>
      <c r="AI49" s="411" cm="2">
        <f t="array" ref="AI49">SUMPRODUCT(COUNTIF(AI4:AI45,{"早";"T早"}))</f>
        <v>3</v>
      </c>
      <c r="AJ49" s="411" cm="2">
        <f t="array" ref="AJ49">SUMPRODUCT(COUNTIF(AJ4:AJ45,{"早";"T早"}))</f>
        <v>3</v>
      </c>
      <c r="AK49" s="411" cm="2">
        <f t="array" ref="AK49">SUMPRODUCT(COUNTIF(AK4:AK45,{"早";"T早"}))</f>
        <v>3</v>
      </c>
      <c r="AL49" s="411" cm="2">
        <f t="array" ref="AL49">SUMPRODUCT(COUNTIF(AL4:AL45,{"早";"T早"}))</f>
        <v>3</v>
      </c>
      <c r="AM49" s="411" cm="2">
        <f t="array" ref="AM49">SUMPRODUCT(COUNTIF(AM4:AM45,{"早";"T早"}))</f>
        <v>5</v>
      </c>
      <c r="AN49" s="411" cm="2">
        <f t="array" ref="AN49">SUMPRODUCT(COUNTIF(AN4:AN45,{"早";"T早"}))</f>
        <v>5</v>
      </c>
      <c r="AP49" s="87" t="s">
        <v>37</v>
      </c>
      <c r="AQ49" s="75">
        <f>22*(30-I1)</f>
        <v>440</v>
      </c>
      <c r="AR49" s="75">
        <f>3*(30-I1)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35" cm="2">
        <f t="array" ref="K50">SUMPRODUCT(COUNTIF(K4:K45,{"中";"T中"}))</f>
        <v>3</v>
      </c>
      <c r="L50" s="414" cm="2">
        <f t="array" ref="L50">SUMPRODUCT(COUNTIF(L4:L45,{"中";"T中"}))</f>
        <v>3</v>
      </c>
      <c r="M50" s="414" cm="2">
        <f t="array" ref="M50">SUMPRODUCT(COUNTIF(M4:M45,{"中";"T中"}))</f>
        <v>3</v>
      </c>
      <c r="N50" s="414" cm="2">
        <f t="array" ref="N50">SUMPRODUCT(COUNTIF(N4:N45,{"中";"T中"}))</f>
        <v>3</v>
      </c>
      <c r="O50" s="414" cm="2">
        <f t="array" ref="O50">SUMPRODUCT(COUNTIF(O4:O45,{"中";"T中"}))</f>
        <v>3</v>
      </c>
      <c r="P50" s="414" cm="2">
        <f t="array" ref="P50">SUMPRODUCT(COUNTIF(P4:P45,{"中";"T中"}))</f>
        <v>3</v>
      </c>
      <c r="Q50" s="414" cm="2">
        <f t="array" ref="Q50">SUMPRODUCT(COUNTIF(Q4:Q45,{"中";"T中"}))</f>
        <v>3</v>
      </c>
      <c r="R50" s="414" cm="2">
        <f t="array" ref="R50">SUMPRODUCT(COUNTIF(R4:R45,{"中";"T中"}))</f>
        <v>3</v>
      </c>
      <c r="S50" s="414" cm="2">
        <f t="array" ref="S50">SUMPRODUCT(COUNTIF(S4:S45,{"中";"T中"}))</f>
        <v>3</v>
      </c>
      <c r="T50" s="414" cm="2">
        <f t="array" ref="T50">SUMPRODUCT(COUNTIF(T4:T45,{"中";"T中"}))</f>
        <v>3</v>
      </c>
      <c r="U50" s="414" cm="2">
        <f t="array" ref="U50">SUMPRODUCT(COUNTIF(U4:U45,{"中";"T中"}))</f>
        <v>3</v>
      </c>
      <c r="V50" s="414" cm="2">
        <f t="array" ref="V50">SUMPRODUCT(COUNTIF(V4:V45,{"中";"T中"}))</f>
        <v>3</v>
      </c>
      <c r="W50" s="414" cm="2">
        <f t="array" ref="W50">SUMPRODUCT(COUNTIF(W4:W45,{"中";"T中"}))</f>
        <v>3</v>
      </c>
      <c r="X50" s="414" cm="2">
        <f t="array" ref="X50">SUMPRODUCT(COUNTIF(X4:X45,{"中";"T中"}))</f>
        <v>3</v>
      </c>
      <c r="Y50" s="414" cm="2">
        <f t="array" ref="Y50">SUMPRODUCT(COUNTIF(Y4:Y45,{"中";"T中"}))</f>
        <v>3</v>
      </c>
      <c r="Z50" s="414" cm="2">
        <f t="array" ref="Z50">SUMPRODUCT(COUNTIF(Z4:Z45,{"中";"T中"}))</f>
        <v>3</v>
      </c>
      <c r="AA50" s="414" cm="2">
        <f t="array" ref="AA50">SUMPRODUCT(COUNTIF(AA4:AA45,{"中";"T中"}))</f>
        <v>3</v>
      </c>
      <c r="AB50" s="414" cm="2">
        <f t="array" ref="AB50">SUMPRODUCT(COUNTIF(AB4:AB45,{"中";"T中"}))</f>
        <v>3</v>
      </c>
      <c r="AC50" s="414" cm="2">
        <f t="array" ref="AC50">SUMPRODUCT(COUNTIF(AC4:AC45,{"中";"T中"}))</f>
        <v>3</v>
      </c>
      <c r="AD50" s="414" cm="2">
        <f t="array" ref="AD50">SUMPRODUCT(COUNTIF(AD4:AD45,{"中";"T中"}))</f>
        <v>3</v>
      </c>
      <c r="AE50" s="414" cm="2">
        <f t="array" ref="AE50">SUMPRODUCT(COUNTIF(AE4:AE45,{"中";"T中"}))</f>
        <v>3</v>
      </c>
      <c r="AF50" s="414" cm="2">
        <f t="array" ref="AF50">SUMPRODUCT(COUNTIF(AF4:AF45,{"中";"T中"}))</f>
        <v>3</v>
      </c>
      <c r="AG50" s="414" cm="2">
        <f t="array" ref="AG50">SUMPRODUCT(COUNTIF(AG4:AG45,{"中";"T中"}))</f>
        <v>3</v>
      </c>
      <c r="AH50" s="414" cm="2">
        <f t="array" ref="AH50">SUMPRODUCT(COUNTIF(AH4:AH45,{"中";"T中"}))</f>
        <v>3</v>
      </c>
      <c r="AI50" s="414" cm="2">
        <f t="array" ref="AI50">SUMPRODUCT(COUNTIF(AI4:AI45,{"中";"T中"}))</f>
        <v>3</v>
      </c>
      <c r="AJ50" s="414" cm="2">
        <f t="array" ref="AJ50">SUMPRODUCT(COUNTIF(AJ4:AJ45,{"中";"T中"}))</f>
        <v>3</v>
      </c>
      <c r="AK50" s="414" cm="2">
        <f t="array" ref="AK50">SUMPRODUCT(COUNTIF(AK4:AK45,{"中";"T中"}))</f>
        <v>3</v>
      </c>
      <c r="AL50" s="414" cm="2">
        <f t="array" ref="AL50">SUMPRODUCT(COUNTIF(AL4:AL45,{"中";"T中"}))</f>
        <v>3</v>
      </c>
      <c r="AM50" s="414" cm="2">
        <f t="array" ref="AM50">SUMPRODUCT(COUNTIF(AM4:AM45,{"中";"T中"}))</f>
        <v>3</v>
      </c>
      <c r="AN50" s="414" cm="2">
        <f t="array" ref="AN50">SUMPRODUCT(COUNTIF(AN4:AN45,{"中";"T中"}))</f>
        <v>3</v>
      </c>
      <c r="AP50" s="87" t="s">
        <v>39</v>
      </c>
      <c r="AQ50" s="75">
        <f>16*I1</f>
        <v>160</v>
      </c>
      <c r="AR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33">
        <f t="shared" ref="K51:AN51" si="59">COUNTIF(K4:K45,"晚")</f>
        <v>3</v>
      </c>
      <c r="L51" s="408">
        <f t="shared" si="59"/>
        <v>3</v>
      </c>
      <c r="M51" s="408">
        <f t="shared" si="59"/>
        <v>3</v>
      </c>
      <c r="N51" s="408">
        <f t="shared" si="59"/>
        <v>3</v>
      </c>
      <c r="O51" s="408">
        <f t="shared" si="59"/>
        <v>2</v>
      </c>
      <c r="P51" s="408">
        <f t="shared" si="59"/>
        <v>2</v>
      </c>
      <c r="Q51" s="408">
        <f t="shared" si="59"/>
        <v>3</v>
      </c>
      <c r="R51" s="408">
        <f t="shared" si="59"/>
        <v>3</v>
      </c>
      <c r="S51" s="408">
        <f t="shared" si="59"/>
        <v>3</v>
      </c>
      <c r="T51" s="408">
        <f t="shared" si="59"/>
        <v>3</v>
      </c>
      <c r="U51" s="408">
        <f t="shared" si="59"/>
        <v>3</v>
      </c>
      <c r="V51" s="408">
        <f t="shared" si="59"/>
        <v>2</v>
      </c>
      <c r="W51" s="408">
        <f t="shared" si="59"/>
        <v>2</v>
      </c>
      <c r="X51" s="408">
        <f t="shared" si="59"/>
        <v>3</v>
      </c>
      <c r="Y51" s="408">
        <f t="shared" si="59"/>
        <v>3</v>
      </c>
      <c r="Z51" s="408">
        <f t="shared" si="59"/>
        <v>3</v>
      </c>
      <c r="AA51" s="408">
        <f t="shared" si="59"/>
        <v>3</v>
      </c>
      <c r="AB51" s="408">
        <f t="shared" si="59"/>
        <v>3</v>
      </c>
      <c r="AC51" s="408">
        <f t="shared" si="59"/>
        <v>2</v>
      </c>
      <c r="AD51" s="408">
        <f t="shared" si="59"/>
        <v>2</v>
      </c>
      <c r="AE51" s="408">
        <f t="shared" si="59"/>
        <v>3</v>
      </c>
      <c r="AF51" s="408">
        <f t="shared" si="59"/>
        <v>3</v>
      </c>
      <c r="AG51" s="408">
        <f t="shared" si="59"/>
        <v>3</v>
      </c>
      <c r="AH51" s="408">
        <f t="shared" si="59"/>
        <v>3</v>
      </c>
      <c r="AI51" s="408">
        <f t="shared" si="59"/>
        <v>2</v>
      </c>
      <c r="AJ51" s="408">
        <f t="shared" si="59"/>
        <v>2</v>
      </c>
      <c r="AK51" s="408">
        <f t="shared" si="59"/>
        <v>2</v>
      </c>
      <c r="AL51" s="408">
        <f t="shared" si="59"/>
        <v>2</v>
      </c>
      <c r="AM51" s="408">
        <f t="shared" si="59"/>
        <v>3</v>
      </c>
      <c r="AN51" s="408">
        <f t="shared" si="59"/>
        <v>3</v>
      </c>
      <c r="AP51" s="75" t="s">
        <v>0</v>
      </c>
      <c r="AQ51" s="91">
        <f>36*I1</f>
        <v>360</v>
      </c>
      <c r="AR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34">
        <f t="shared" ref="K52:AN52" si="60">COUNTIF(K4:K45,"日")</f>
        <v>1</v>
      </c>
      <c r="L52" s="411">
        <f t="shared" si="60"/>
        <v>1</v>
      </c>
      <c r="M52" s="411">
        <f t="shared" si="60"/>
        <v>1</v>
      </c>
      <c r="N52" s="411">
        <f t="shared" si="60"/>
        <v>1</v>
      </c>
      <c r="O52" s="411">
        <f t="shared" si="60"/>
        <v>1</v>
      </c>
      <c r="P52" s="411">
        <f t="shared" si="60"/>
        <v>1</v>
      </c>
      <c r="Q52" s="411">
        <f t="shared" si="60"/>
        <v>1</v>
      </c>
      <c r="R52" s="411">
        <f t="shared" si="60"/>
        <v>1</v>
      </c>
      <c r="S52" s="411">
        <f t="shared" si="60"/>
        <v>1</v>
      </c>
      <c r="T52" s="411">
        <f t="shared" si="60"/>
        <v>1</v>
      </c>
      <c r="U52" s="411">
        <f t="shared" si="60"/>
        <v>1</v>
      </c>
      <c r="V52" s="411">
        <f t="shared" si="60"/>
        <v>1</v>
      </c>
      <c r="W52" s="411">
        <f t="shared" si="60"/>
        <v>1</v>
      </c>
      <c r="X52" s="411">
        <f t="shared" si="60"/>
        <v>1</v>
      </c>
      <c r="Y52" s="411">
        <f t="shared" si="60"/>
        <v>1</v>
      </c>
      <c r="Z52" s="411">
        <f t="shared" si="60"/>
        <v>1</v>
      </c>
      <c r="AA52" s="411">
        <f t="shared" si="60"/>
        <v>1</v>
      </c>
      <c r="AB52" s="411">
        <f t="shared" si="60"/>
        <v>1</v>
      </c>
      <c r="AC52" s="411">
        <f t="shared" si="60"/>
        <v>1</v>
      </c>
      <c r="AD52" s="411">
        <f t="shared" si="60"/>
        <v>1</v>
      </c>
      <c r="AE52" s="411">
        <f t="shared" si="60"/>
        <v>1</v>
      </c>
      <c r="AF52" s="411">
        <f t="shared" si="60"/>
        <v>1</v>
      </c>
      <c r="AG52" s="411">
        <f t="shared" si="60"/>
        <v>1</v>
      </c>
      <c r="AH52" s="411">
        <f t="shared" si="60"/>
        <v>1</v>
      </c>
      <c r="AI52" s="411">
        <f t="shared" si="60"/>
        <v>1</v>
      </c>
      <c r="AJ52" s="411">
        <f t="shared" si="60"/>
        <v>1</v>
      </c>
      <c r="AK52" s="411">
        <f t="shared" si="60"/>
        <v>1</v>
      </c>
      <c r="AL52" s="411">
        <f t="shared" si="60"/>
        <v>1</v>
      </c>
      <c r="AM52" s="411">
        <f t="shared" si="60"/>
        <v>1</v>
      </c>
      <c r="AN52" s="411">
        <f t="shared" si="60"/>
        <v>1</v>
      </c>
      <c r="AP52" s="50" t="s">
        <v>104</v>
      </c>
      <c r="AQ52" s="91" cm="1">
        <f t="array" ref="AQ52">SUMPRODUCT(COUNTIF(K4:AN39,{"N";"N8"}))</f>
        <v>71</v>
      </c>
      <c r="AR52" s="91" cm="1">
        <f t="array" ref="AR52">SUMPRODUCT(COUNTIF(K40:AN45,{"N";"N8"}))</f>
        <v>21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35">
        <f t="shared" ref="K53:AN53" si="61">COUNTIF(K4:K45,"小夜")</f>
        <v>1</v>
      </c>
      <c r="L53" s="414">
        <f t="shared" si="61"/>
        <v>1</v>
      </c>
      <c r="M53" s="414">
        <f t="shared" si="61"/>
        <v>1</v>
      </c>
      <c r="N53" s="414">
        <f t="shared" si="61"/>
        <v>1</v>
      </c>
      <c r="O53" s="414">
        <f t="shared" si="61"/>
        <v>1</v>
      </c>
      <c r="P53" s="414">
        <f t="shared" si="61"/>
        <v>1</v>
      </c>
      <c r="Q53" s="414">
        <f t="shared" si="61"/>
        <v>1</v>
      </c>
      <c r="R53" s="414">
        <f t="shared" si="61"/>
        <v>1</v>
      </c>
      <c r="S53" s="414">
        <f t="shared" si="61"/>
        <v>1</v>
      </c>
      <c r="T53" s="414">
        <f t="shared" si="61"/>
        <v>1</v>
      </c>
      <c r="U53" s="414">
        <f t="shared" si="61"/>
        <v>1</v>
      </c>
      <c r="V53" s="414">
        <f t="shared" si="61"/>
        <v>1</v>
      </c>
      <c r="W53" s="414">
        <f t="shared" si="61"/>
        <v>1</v>
      </c>
      <c r="X53" s="414">
        <f t="shared" si="61"/>
        <v>1</v>
      </c>
      <c r="Y53" s="414">
        <f t="shared" si="61"/>
        <v>1</v>
      </c>
      <c r="Z53" s="414">
        <f t="shared" si="61"/>
        <v>1</v>
      </c>
      <c r="AA53" s="414">
        <f t="shared" si="61"/>
        <v>1</v>
      </c>
      <c r="AB53" s="414">
        <f t="shared" si="61"/>
        <v>1</v>
      </c>
      <c r="AC53" s="414">
        <f t="shared" si="61"/>
        <v>1</v>
      </c>
      <c r="AD53" s="414">
        <f t="shared" si="61"/>
        <v>1</v>
      </c>
      <c r="AE53" s="414">
        <f t="shared" si="61"/>
        <v>1</v>
      </c>
      <c r="AF53" s="414">
        <f t="shared" si="61"/>
        <v>1</v>
      </c>
      <c r="AG53" s="414">
        <f t="shared" si="61"/>
        <v>1</v>
      </c>
      <c r="AH53" s="414">
        <f t="shared" si="61"/>
        <v>1</v>
      </c>
      <c r="AI53" s="414">
        <f t="shared" si="61"/>
        <v>1</v>
      </c>
      <c r="AJ53" s="414">
        <f t="shared" si="61"/>
        <v>1</v>
      </c>
      <c r="AK53" s="414">
        <f t="shared" si="61"/>
        <v>1</v>
      </c>
      <c r="AL53" s="414">
        <f t="shared" si="61"/>
        <v>1</v>
      </c>
      <c r="AM53" s="414">
        <f t="shared" si="61"/>
        <v>1</v>
      </c>
      <c r="AN53" s="414">
        <f t="shared" si="61"/>
        <v>1</v>
      </c>
      <c r="AP53" s="50" t="s">
        <v>105</v>
      </c>
      <c r="AQ53" s="92">
        <f>SUMPRODUCT(COUNTIF(K4:AN39,{"S"}))</f>
        <v>49</v>
      </c>
      <c r="AR53" s="75" cm="2">
        <f t="array" ref="AR53">SUMPRODUCT(COUNTIF(K40:AN45,{"S"}))</f>
        <v>9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33">
        <f t="shared" ref="K54:AN54" si="62">COUNTIF(K7:K48,"大夜")</f>
        <v>1</v>
      </c>
      <c r="L54" s="408">
        <f t="shared" si="62"/>
        <v>1</v>
      </c>
      <c r="M54" s="408">
        <f t="shared" si="62"/>
        <v>1</v>
      </c>
      <c r="N54" s="408">
        <f t="shared" si="62"/>
        <v>1</v>
      </c>
      <c r="O54" s="408">
        <f t="shared" si="62"/>
        <v>1</v>
      </c>
      <c r="P54" s="408">
        <f t="shared" si="62"/>
        <v>1</v>
      </c>
      <c r="Q54" s="408">
        <f t="shared" si="62"/>
        <v>1</v>
      </c>
      <c r="R54" s="408">
        <f t="shared" si="62"/>
        <v>1</v>
      </c>
      <c r="S54" s="408">
        <f t="shared" si="62"/>
        <v>1</v>
      </c>
      <c r="T54" s="408">
        <f t="shared" si="62"/>
        <v>1</v>
      </c>
      <c r="U54" s="408">
        <f t="shared" si="62"/>
        <v>1</v>
      </c>
      <c r="V54" s="408">
        <f t="shared" si="62"/>
        <v>1</v>
      </c>
      <c r="W54" s="408">
        <f t="shared" si="62"/>
        <v>1</v>
      </c>
      <c r="X54" s="408">
        <f t="shared" si="62"/>
        <v>1</v>
      </c>
      <c r="Y54" s="408">
        <f t="shared" si="62"/>
        <v>1</v>
      </c>
      <c r="Z54" s="408">
        <f t="shared" si="62"/>
        <v>1</v>
      </c>
      <c r="AA54" s="408">
        <f t="shared" si="62"/>
        <v>1</v>
      </c>
      <c r="AB54" s="408">
        <f t="shared" si="62"/>
        <v>1</v>
      </c>
      <c r="AC54" s="408">
        <f t="shared" si="62"/>
        <v>1</v>
      </c>
      <c r="AD54" s="408">
        <f t="shared" si="62"/>
        <v>1</v>
      </c>
      <c r="AE54" s="408">
        <f t="shared" si="62"/>
        <v>1</v>
      </c>
      <c r="AF54" s="408">
        <f t="shared" si="62"/>
        <v>1</v>
      </c>
      <c r="AG54" s="408">
        <f t="shared" si="62"/>
        <v>1</v>
      </c>
      <c r="AH54" s="408">
        <f t="shared" si="62"/>
        <v>1</v>
      </c>
      <c r="AI54" s="408">
        <f t="shared" si="62"/>
        <v>1</v>
      </c>
      <c r="AJ54" s="408">
        <f t="shared" si="62"/>
        <v>1</v>
      </c>
      <c r="AK54" s="408">
        <f t="shared" si="62"/>
        <v>1</v>
      </c>
      <c r="AL54" s="408">
        <f t="shared" si="62"/>
        <v>1</v>
      </c>
      <c r="AM54" s="408">
        <f t="shared" si="62"/>
        <v>1</v>
      </c>
      <c r="AN54" s="408">
        <f t="shared" si="62"/>
        <v>1</v>
      </c>
      <c r="AP54" s="93" t="s">
        <v>145</v>
      </c>
      <c r="AQ54" s="75">
        <v>0</v>
      </c>
      <c r="AR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N55" si="63">COUNTIF(K4:K45,"N")+COUNTIF(K4:K45,"N8")</f>
        <v>2</v>
      </c>
      <c r="L55" s="96">
        <f t="shared" si="63"/>
        <v>7</v>
      </c>
      <c r="M55" s="96">
        <f t="shared" si="63"/>
        <v>6</v>
      </c>
      <c r="N55" s="96">
        <f t="shared" si="63"/>
        <v>5</v>
      </c>
      <c r="O55" s="96">
        <f t="shared" si="63"/>
        <v>0</v>
      </c>
      <c r="P55" s="96">
        <f t="shared" si="63"/>
        <v>0</v>
      </c>
      <c r="Q55" s="96">
        <f t="shared" si="63"/>
        <v>3</v>
      </c>
      <c r="R55" s="96">
        <f t="shared" si="63"/>
        <v>3</v>
      </c>
      <c r="S55" s="96">
        <f t="shared" si="63"/>
        <v>7</v>
      </c>
      <c r="T55" s="96">
        <f t="shared" si="63"/>
        <v>8</v>
      </c>
      <c r="U55" s="96">
        <f t="shared" si="63"/>
        <v>3</v>
      </c>
      <c r="V55" s="96">
        <f t="shared" si="63"/>
        <v>0</v>
      </c>
      <c r="W55" s="96">
        <f t="shared" si="63"/>
        <v>0</v>
      </c>
      <c r="X55" s="96">
        <f t="shared" si="63"/>
        <v>2</v>
      </c>
      <c r="Y55" s="96">
        <f t="shared" si="63"/>
        <v>5</v>
      </c>
      <c r="Z55" s="96">
        <f t="shared" si="63"/>
        <v>3</v>
      </c>
      <c r="AA55" s="96">
        <f t="shared" si="63"/>
        <v>3</v>
      </c>
      <c r="AB55" s="96">
        <f t="shared" si="63"/>
        <v>1</v>
      </c>
      <c r="AC55" s="96">
        <f t="shared" si="63"/>
        <v>0</v>
      </c>
      <c r="AD55" s="96">
        <f t="shared" si="63"/>
        <v>0</v>
      </c>
      <c r="AE55" s="96">
        <f t="shared" si="63"/>
        <v>3</v>
      </c>
      <c r="AF55" s="96">
        <f t="shared" si="63"/>
        <v>7</v>
      </c>
      <c r="AG55" s="96">
        <f t="shared" si="63"/>
        <v>8</v>
      </c>
      <c r="AH55" s="96">
        <f t="shared" si="63"/>
        <v>5</v>
      </c>
      <c r="AI55" s="96">
        <f t="shared" si="63"/>
        <v>0</v>
      </c>
      <c r="AJ55" s="96">
        <f t="shared" si="63"/>
        <v>0</v>
      </c>
      <c r="AK55" s="96">
        <f t="shared" si="63"/>
        <v>0</v>
      </c>
      <c r="AL55" s="96">
        <f t="shared" si="63"/>
        <v>0</v>
      </c>
      <c r="AM55" s="97">
        <f t="shared" si="63"/>
        <v>5</v>
      </c>
      <c r="AN55" s="99">
        <f t="shared" si="63"/>
        <v>6</v>
      </c>
      <c r="AP55" s="100" t="s">
        <v>42</v>
      </c>
      <c r="AQ55" s="101">
        <v>0</v>
      </c>
      <c r="AR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N56" si="64">COUNTIF(K4:K45,"X")+COUNTIF(K4:K45,"Y")+COUNTIF(K4:K45,"Z")</f>
        <v>13</v>
      </c>
      <c r="L56" s="24">
        <f t="shared" si="64"/>
        <v>8</v>
      </c>
      <c r="M56" s="24">
        <f t="shared" si="64"/>
        <v>8</v>
      </c>
      <c r="N56" s="24">
        <f t="shared" si="64"/>
        <v>9</v>
      </c>
      <c r="O56" s="24">
        <f t="shared" si="64"/>
        <v>21</v>
      </c>
      <c r="P56" s="24">
        <f t="shared" si="64"/>
        <v>20</v>
      </c>
      <c r="Q56" s="24">
        <f t="shared" si="64"/>
        <v>9</v>
      </c>
      <c r="R56" s="24">
        <f t="shared" si="64"/>
        <v>13</v>
      </c>
      <c r="S56" s="24">
        <f t="shared" si="64"/>
        <v>8</v>
      </c>
      <c r="T56" s="24">
        <f t="shared" si="64"/>
        <v>7</v>
      </c>
      <c r="U56" s="24">
        <f t="shared" si="64"/>
        <v>10</v>
      </c>
      <c r="V56" s="24">
        <f t="shared" si="64"/>
        <v>22</v>
      </c>
      <c r="W56" s="24">
        <f t="shared" si="64"/>
        <v>22</v>
      </c>
      <c r="X56" s="24">
        <f t="shared" si="64"/>
        <v>12</v>
      </c>
      <c r="Y56" s="24">
        <f t="shared" si="64"/>
        <v>12</v>
      </c>
      <c r="Z56" s="24">
        <f t="shared" si="64"/>
        <v>12</v>
      </c>
      <c r="AA56" s="24">
        <f t="shared" si="64"/>
        <v>12</v>
      </c>
      <c r="AB56" s="24">
        <f t="shared" si="64"/>
        <v>13</v>
      </c>
      <c r="AC56" s="24">
        <f t="shared" si="64"/>
        <v>22</v>
      </c>
      <c r="AD56" s="24">
        <f t="shared" si="64"/>
        <v>23</v>
      </c>
      <c r="AE56" s="24">
        <f t="shared" si="64"/>
        <v>13</v>
      </c>
      <c r="AF56" s="24">
        <f t="shared" si="64"/>
        <v>10</v>
      </c>
      <c r="AG56" s="24">
        <f t="shared" si="64"/>
        <v>8</v>
      </c>
      <c r="AH56" s="24">
        <f t="shared" si="64"/>
        <v>11</v>
      </c>
      <c r="AI56" s="24">
        <f t="shared" si="64"/>
        <v>19</v>
      </c>
      <c r="AJ56" s="24">
        <f t="shared" si="64"/>
        <v>21</v>
      </c>
      <c r="AK56" s="24">
        <f t="shared" si="64"/>
        <v>18</v>
      </c>
      <c r="AL56" s="24">
        <f t="shared" si="64"/>
        <v>22</v>
      </c>
      <c r="AM56" s="24">
        <f t="shared" si="64"/>
        <v>12</v>
      </c>
      <c r="AN56" s="102">
        <f t="shared" si="64"/>
        <v>10</v>
      </c>
      <c r="AP56" s="100" t="s">
        <v>146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N57" si="65">COUNTIF(K4:K45,"S")</f>
        <v>2</v>
      </c>
      <c r="L57" s="39">
        <f t="shared" si="65"/>
        <v>2</v>
      </c>
      <c r="M57" s="39">
        <f t="shared" si="65"/>
        <v>3</v>
      </c>
      <c r="N57" s="39">
        <f t="shared" si="65"/>
        <v>3</v>
      </c>
      <c r="O57" s="39">
        <f t="shared" si="65"/>
        <v>2</v>
      </c>
      <c r="P57" s="39">
        <f t="shared" si="65"/>
        <v>3</v>
      </c>
      <c r="Q57" s="39">
        <f t="shared" si="65"/>
        <v>5</v>
      </c>
      <c r="R57" s="39">
        <f t="shared" si="65"/>
        <v>1</v>
      </c>
      <c r="S57" s="39">
        <f t="shared" si="65"/>
        <v>2</v>
      </c>
      <c r="T57" s="39">
        <f t="shared" si="65"/>
        <v>2</v>
      </c>
      <c r="U57" s="39">
        <f t="shared" si="65"/>
        <v>4</v>
      </c>
      <c r="V57" s="39">
        <f t="shared" si="65"/>
        <v>1</v>
      </c>
      <c r="W57" s="39">
        <f t="shared" si="65"/>
        <v>1</v>
      </c>
      <c r="X57" s="39">
        <f t="shared" si="65"/>
        <v>3</v>
      </c>
      <c r="Y57" s="39">
        <f t="shared" si="65"/>
        <v>0</v>
      </c>
      <c r="Z57" s="39">
        <f t="shared" si="65"/>
        <v>2</v>
      </c>
      <c r="AA57" s="39">
        <f t="shared" si="65"/>
        <v>2</v>
      </c>
      <c r="AB57" s="39">
        <f t="shared" si="65"/>
        <v>3</v>
      </c>
      <c r="AC57" s="39">
        <f t="shared" si="65"/>
        <v>1</v>
      </c>
      <c r="AD57" s="39">
        <f t="shared" si="65"/>
        <v>0</v>
      </c>
      <c r="AE57" s="39">
        <f t="shared" si="65"/>
        <v>1</v>
      </c>
      <c r="AF57" s="39">
        <f t="shared" si="65"/>
        <v>0</v>
      </c>
      <c r="AG57" s="39">
        <f t="shared" si="65"/>
        <v>1</v>
      </c>
      <c r="AH57" s="39">
        <f t="shared" si="65"/>
        <v>1</v>
      </c>
      <c r="AI57" s="39">
        <f t="shared" si="65"/>
        <v>4</v>
      </c>
      <c r="AJ57" s="39">
        <f t="shared" si="65"/>
        <v>2</v>
      </c>
      <c r="AK57" s="39">
        <f t="shared" si="65"/>
        <v>5</v>
      </c>
      <c r="AL57" s="39">
        <f t="shared" si="65"/>
        <v>1</v>
      </c>
      <c r="AM57" s="39">
        <f t="shared" si="65"/>
        <v>0</v>
      </c>
      <c r="AN57" s="83">
        <f t="shared" si="65"/>
        <v>1</v>
      </c>
      <c r="AP57" s="107" t="s">
        <v>46</v>
      </c>
      <c r="AQ57" s="105">
        <f>AQ48-AQ49-AQ51-AQ52-AQ53-AQ54+AQ55+AQ56-AQ50</f>
        <v>0</v>
      </c>
      <c r="AR57" s="105">
        <f>AR48-AR49-AR51-AR52-AR53-AR54+AR55+AR56-AR50</f>
        <v>0</v>
      </c>
      <c r="AS57" s="6"/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N58" si="66">COUNTIF(K4:K45,"T")</f>
        <v>0</v>
      </c>
      <c r="L58" s="39">
        <f t="shared" si="66"/>
        <v>0</v>
      </c>
      <c r="M58" s="39">
        <f t="shared" si="66"/>
        <v>0</v>
      </c>
      <c r="N58" s="39">
        <f t="shared" si="66"/>
        <v>0</v>
      </c>
      <c r="O58" s="39">
        <f t="shared" si="66"/>
        <v>0</v>
      </c>
      <c r="P58" s="39">
        <f t="shared" si="66"/>
        <v>0</v>
      </c>
      <c r="Q58" s="39">
        <f t="shared" si="66"/>
        <v>0</v>
      </c>
      <c r="R58" s="39">
        <f t="shared" si="66"/>
        <v>0</v>
      </c>
      <c r="S58" s="39">
        <f t="shared" si="66"/>
        <v>0</v>
      </c>
      <c r="T58" s="39">
        <f t="shared" si="66"/>
        <v>0</v>
      </c>
      <c r="U58" s="39">
        <f t="shared" si="66"/>
        <v>0</v>
      </c>
      <c r="V58" s="39">
        <f t="shared" si="66"/>
        <v>0</v>
      </c>
      <c r="W58" s="39">
        <f t="shared" si="66"/>
        <v>0</v>
      </c>
      <c r="X58" s="39">
        <f t="shared" si="66"/>
        <v>0</v>
      </c>
      <c r="Y58" s="39">
        <f t="shared" si="66"/>
        <v>0</v>
      </c>
      <c r="Z58" s="39">
        <f t="shared" si="66"/>
        <v>0</v>
      </c>
      <c r="AA58" s="39">
        <f t="shared" si="66"/>
        <v>0</v>
      </c>
      <c r="AB58" s="39">
        <f t="shared" si="66"/>
        <v>0</v>
      </c>
      <c r="AC58" s="39">
        <f t="shared" si="66"/>
        <v>0</v>
      </c>
      <c r="AD58" s="39">
        <f t="shared" si="66"/>
        <v>0</v>
      </c>
      <c r="AE58" s="39">
        <f t="shared" si="66"/>
        <v>0</v>
      </c>
      <c r="AF58" s="39">
        <f t="shared" si="66"/>
        <v>0</v>
      </c>
      <c r="AG58" s="39">
        <f t="shared" si="66"/>
        <v>0</v>
      </c>
      <c r="AH58" s="39">
        <f t="shared" si="66"/>
        <v>0</v>
      </c>
      <c r="AI58" s="39">
        <f t="shared" si="66"/>
        <v>0</v>
      </c>
      <c r="AJ58" s="39">
        <f t="shared" si="66"/>
        <v>0</v>
      </c>
      <c r="AK58" s="39">
        <f t="shared" si="66"/>
        <v>0</v>
      </c>
      <c r="AL58" s="39">
        <f t="shared" si="66"/>
        <v>0</v>
      </c>
      <c r="AM58" s="39">
        <f t="shared" si="66"/>
        <v>0</v>
      </c>
      <c r="AN58" s="83">
        <f t="shared" si="66"/>
        <v>0</v>
      </c>
      <c r="AO58" s="77"/>
      <c r="AQ58" s="50"/>
      <c r="AR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N59" si="67">SUM(L46:L58)</f>
        <v>42</v>
      </c>
      <c r="M59" s="109">
        <f t="shared" si="67"/>
        <v>42</v>
      </c>
      <c r="N59" s="109">
        <f t="shared" si="67"/>
        <v>42</v>
      </c>
      <c r="O59" s="109">
        <f t="shared" si="67"/>
        <v>42</v>
      </c>
      <c r="P59" s="109">
        <f t="shared" si="67"/>
        <v>42</v>
      </c>
      <c r="Q59" s="109">
        <f t="shared" si="67"/>
        <v>42</v>
      </c>
      <c r="R59" s="109">
        <f t="shared" si="67"/>
        <v>42</v>
      </c>
      <c r="S59" s="109">
        <f t="shared" si="67"/>
        <v>42</v>
      </c>
      <c r="T59" s="109">
        <f t="shared" si="67"/>
        <v>42</v>
      </c>
      <c r="U59" s="109">
        <f t="shared" si="67"/>
        <v>42</v>
      </c>
      <c r="V59" s="109">
        <f t="shared" si="67"/>
        <v>42</v>
      </c>
      <c r="W59" s="109">
        <f t="shared" si="67"/>
        <v>42</v>
      </c>
      <c r="X59" s="109">
        <f t="shared" si="67"/>
        <v>42</v>
      </c>
      <c r="Y59" s="109">
        <f t="shared" si="67"/>
        <v>42</v>
      </c>
      <c r="Z59" s="109">
        <f t="shared" si="67"/>
        <v>42</v>
      </c>
      <c r="AA59" s="109">
        <f t="shared" si="67"/>
        <v>42</v>
      </c>
      <c r="AB59" s="109">
        <f t="shared" si="67"/>
        <v>42</v>
      </c>
      <c r="AC59" s="109">
        <f t="shared" si="67"/>
        <v>42</v>
      </c>
      <c r="AD59" s="109">
        <f t="shared" si="67"/>
        <v>42</v>
      </c>
      <c r="AE59" s="109">
        <f t="shared" si="67"/>
        <v>42</v>
      </c>
      <c r="AF59" s="109">
        <f t="shared" si="67"/>
        <v>42</v>
      </c>
      <c r="AG59" s="109">
        <f t="shared" si="67"/>
        <v>42</v>
      </c>
      <c r="AH59" s="109">
        <f t="shared" si="67"/>
        <v>42</v>
      </c>
      <c r="AI59" s="109">
        <f t="shared" si="67"/>
        <v>42</v>
      </c>
      <c r="AJ59" s="109">
        <f t="shared" si="67"/>
        <v>42</v>
      </c>
      <c r="AK59" s="109">
        <f t="shared" si="67"/>
        <v>42</v>
      </c>
      <c r="AL59" s="109">
        <f t="shared" si="67"/>
        <v>42</v>
      </c>
      <c r="AM59" s="109">
        <f t="shared" si="67"/>
        <v>42</v>
      </c>
      <c r="AN59" s="110">
        <f t="shared" si="67"/>
        <v>42</v>
      </c>
      <c r="AP59" s="7"/>
      <c r="AQ59" s="6"/>
      <c r="AR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42-K55-K56-K57-25</f>
        <v>0</v>
      </c>
      <c r="L60" s="113">
        <f t="shared" ref="L60:N60" si="68">42-L55-L56-L57-25</f>
        <v>0</v>
      </c>
      <c r="M60" s="113">
        <f t="shared" si="68"/>
        <v>0</v>
      </c>
      <c r="N60" s="113">
        <f t="shared" si="68"/>
        <v>0</v>
      </c>
      <c r="O60" s="113">
        <f>42-O55-O56-O57-19</f>
        <v>0</v>
      </c>
      <c r="P60" s="113">
        <f>42-P55-P56-P57-19</f>
        <v>0</v>
      </c>
      <c r="Q60" s="113">
        <f>42-Q55-Q56-Q57-25</f>
        <v>0</v>
      </c>
      <c r="R60" s="113">
        <f t="shared" ref="R60:U60" si="69">42-R55-R56-R57-25</f>
        <v>0</v>
      </c>
      <c r="S60" s="113">
        <f t="shared" si="69"/>
        <v>0</v>
      </c>
      <c r="T60" s="113">
        <f t="shared" si="69"/>
        <v>0</v>
      </c>
      <c r="U60" s="113">
        <f t="shared" si="69"/>
        <v>0</v>
      </c>
      <c r="V60" s="113">
        <f>42-V55-V56-V57-19</f>
        <v>0</v>
      </c>
      <c r="W60" s="113">
        <f>42-W55-W56-W57-19</f>
        <v>0</v>
      </c>
      <c r="X60" s="113">
        <f>42-X55-X56-X57-25</f>
        <v>0</v>
      </c>
      <c r="Y60" s="113">
        <f t="shared" ref="Y60:AB60" si="70">42-Y55-Y56-Y57-25</f>
        <v>0</v>
      </c>
      <c r="Z60" s="113">
        <f t="shared" si="70"/>
        <v>0</v>
      </c>
      <c r="AA60" s="113">
        <f t="shared" si="70"/>
        <v>0</v>
      </c>
      <c r="AB60" s="113">
        <f t="shared" si="70"/>
        <v>0</v>
      </c>
      <c r="AC60" s="113">
        <f>42-AC55-AC56-AC57-19</f>
        <v>0</v>
      </c>
      <c r="AD60" s="113">
        <f>42-AD55-AD56-AD57-19</f>
        <v>0</v>
      </c>
      <c r="AE60" s="113">
        <f t="shared" ref="AE60:AH60" si="71">42-AE55-AE56-AE57-25</f>
        <v>0</v>
      </c>
      <c r="AF60" s="113">
        <f t="shared" si="71"/>
        <v>0</v>
      </c>
      <c r="AG60" s="113">
        <f t="shared" si="71"/>
        <v>0</v>
      </c>
      <c r="AH60" s="113">
        <f t="shared" si="71"/>
        <v>0</v>
      </c>
      <c r="AI60" s="113">
        <f>42-AI55-AI56-AI57-19</f>
        <v>0</v>
      </c>
      <c r="AJ60" s="113">
        <f>42-AJ55-AJ56-AJ57-19</f>
        <v>0</v>
      </c>
      <c r="AK60" s="113">
        <f>42-AK55-AK56-AK57-19</f>
        <v>0</v>
      </c>
      <c r="AL60" s="113">
        <f>42-AL55-AL56-AL57-19</f>
        <v>0</v>
      </c>
      <c r="AM60" s="113">
        <f t="shared" ref="AM60:AN60" si="72">42-AM55-AM56-AM57-25</f>
        <v>0</v>
      </c>
      <c r="AN60" s="113">
        <f t="shared" si="72"/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99" cm="1">
        <f t="array" ref="K63">SUMPRODUCT(COUNTIF(K4:K18,{"1";"M1"}))</f>
        <v>2</v>
      </c>
      <c r="L63" s="230" cm="1">
        <f t="array" ref="L63">SUMPRODUCT(COUNTIF(L4:L18,{"1";"M1"}))</f>
        <v>1</v>
      </c>
      <c r="M63" s="230" cm="1">
        <f t="array" ref="M63">SUMPRODUCT(COUNTIF(M4:M18,{"1";"M1"}))</f>
        <v>3</v>
      </c>
      <c r="N63" s="230" cm="1">
        <f t="array" ref="N63">SUMPRODUCT(COUNTIF(N4:N18,{"1";"M1"}))</f>
        <v>1</v>
      </c>
      <c r="O63" s="231" cm="1">
        <f t="array" ref="O63">SUMPRODUCT(COUNTIF(O4:O18,{"1";"M1"}))</f>
        <v>2</v>
      </c>
      <c r="P63" s="231" cm="1">
        <f t="array" ref="P63">SUMPRODUCT(COUNTIF(P4:P18,{"1";"M1"}))</f>
        <v>2</v>
      </c>
      <c r="Q63" s="230" cm="1">
        <f t="array" ref="Q63">SUMPRODUCT(COUNTIF(Q4:Q18,{"1";"M1"}))</f>
        <v>2</v>
      </c>
      <c r="R63" s="230" cm="1">
        <f t="array" ref="R63">SUMPRODUCT(COUNTIF(R4:R18,{"1";"M1"}))</f>
        <v>2</v>
      </c>
      <c r="S63" s="230" cm="1">
        <f t="array" ref="S63">SUMPRODUCT(COUNTIF(S4:S18,{"1";"M1"}))</f>
        <v>1</v>
      </c>
      <c r="T63" s="230" cm="1">
        <f t="array" ref="T63">SUMPRODUCT(COUNTIF(T4:T18,{"1";"M1"}))</f>
        <v>3</v>
      </c>
      <c r="U63" s="230" cm="1">
        <f t="array" ref="U63">SUMPRODUCT(COUNTIF(U4:U18,{"1";"M1"}))</f>
        <v>1</v>
      </c>
      <c r="V63" s="231" cm="1">
        <f t="array" ref="V63">SUMPRODUCT(COUNTIF(V4:V18,{"1";"M1"}))</f>
        <v>0</v>
      </c>
      <c r="W63" s="231" cm="1">
        <f t="array" ref="W63">SUMPRODUCT(COUNTIF(W4:W18,{"1";"M1"}))</f>
        <v>2</v>
      </c>
      <c r="X63" s="230" cm="1">
        <f t="array" ref="X63">SUMPRODUCT(COUNTIF(X4:X18,{"1";"M1"}))</f>
        <v>2</v>
      </c>
      <c r="Y63" s="230" cm="1">
        <f t="array" ref="Y63">SUMPRODUCT(COUNTIF(Y4:Y18,{"1";"M1"}))</f>
        <v>3</v>
      </c>
      <c r="Z63" s="230" cm="1">
        <f t="array" ref="Z63">SUMPRODUCT(COUNTIF(Z4:Z18,{"1";"M1"}))</f>
        <v>2</v>
      </c>
      <c r="AA63" s="230" cm="1">
        <f t="array" ref="AA63">SUMPRODUCT(COUNTIF(AA4:AA18,{"1";"M1"}))</f>
        <v>2</v>
      </c>
      <c r="AB63" s="230" cm="1">
        <f t="array" ref="AB63">SUMPRODUCT(COUNTIF(AB4:AB18,{"1";"M1"}))</f>
        <v>2</v>
      </c>
      <c r="AC63" s="231" cm="1">
        <f t="array" ref="AC63">SUMPRODUCT(COUNTIF(AC4:AC18,{"1";"M1"}))</f>
        <v>3</v>
      </c>
      <c r="AD63" s="231" cm="1">
        <f t="array" ref="AD63">SUMPRODUCT(COUNTIF(AD4:AD18,{"1";"M1"}))</f>
        <v>2</v>
      </c>
      <c r="AE63" s="230" cm="1">
        <f t="array" ref="AE63">SUMPRODUCT(COUNTIF(AE4:AE18,{"1";"M1"}))</f>
        <v>1</v>
      </c>
      <c r="AF63" s="230" cm="1">
        <f t="array" ref="AF63">SUMPRODUCT(COUNTIF(AF4:AF18,{"1";"M1"}))</f>
        <v>2</v>
      </c>
      <c r="AG63" s="230" cm="1">
        <f t="array" ref="AG63">SUMPRODUCT(COUNTIF(AG4:AG18,{"1";"M1"}))</f>
        <v>2</v>
      </c>
      <c r="AH63" s="230" cm="1">
        <f t="array" ref="AH63">SUMPRODUCT(COUNTIF(AH4:AH18,{"1";"M1"}))</f>
        <v>2</v>
      </c>
      <c r="AI63" s="231" cm="1">
        <f t="array" ref="AI63">SUMPRODUCT(COUNTIF(AI4:AI18,{"1";"M1"}))</f>
        <v>0</v>
      </c>
      <c r="AJ63" s="231" cm="1">
        <f t="array" ref="AJ63">SUMPRODUCT(COUNTIF(AJ4:AJ18,{"1";"M1"}))</f>
        <v>1</v>
      </c>
      <c r="AK63" s="231" cm="1">
        <f t="array" ref="AK63">SUMPRODUCT(COUNTIF(AK4:AK18,{"1";"M1"}))</f>
        <v>1</v>
      </c>
      <c r="AL63" s="231" cm="1">
        <f t="array" ref="AL63">SUMPRODUCT(COUNTIF(AL4:AL18,{"1";"M1"}))</f>
        <v>0</v>
      </c>
      <c r="AM63" s="230" cm="1">
        <f t="array" ref="AM63">SUMPRODUCT(COUNTIF(AM4:AM18,{"1";"M1"}))</f>
        <v>3</v>
      </c>
      <c r="AN63" s="230" cm="1">
        <f t="array" ref="AN63">SUMPRODUCT(COUNTIF(AN4:AN18,{"1";"M1"}))</f>
        <v>3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</sheetData>
  <autoFilter ref="AS3:AS58" xr:uid="{00000000-0009-0000-0000-000008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N45">
    <cfRule type="expression" dxfId="38" priority="1">
      <formula>OR(K4="晚", K4=3, K4="大夜")</formula>
    </cfRule>
    <cfRule type="expression" dxfId="37" priority="2">
      <formula>OR(K4="T中", K4="中", K4=2, K4="小夜")</formula>
    </cfRule>
    <cfRule type="expression" dxfId="36" priority="5">
      <formula>OR(K4="T早", K4="早", K4="M1", K4=1, K4="日")</formula>
    </cfRule>
    <cfRule type="expression" dxfId="35" priority="6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N46">
    <cfRule type="cellIs" dxfId="34" priority="67" operator="greaterThan">
      <formula>5</formula>
    </cfRule>
  </conditionalFormatting>
  <conditionalFormatting sqref="K46:AN54">
    <cfRule type="cellIs" dxfId="33" priority="69" operator="equal">
      <formula>5</formula>
    </cfRule>
    <cfRule type="cellIs" dxfId="32" priority="70" operator="equal">
      <formula>4</formula>
    </cfRule>
    <cfRule type="cellIs" dxfId="31" priority="71" operator="equal">
      <formula>3</formula>
    </cfRule>
    <cfRule type="cellIs" dxfId="30" priority="72" operator="equal">
      <formula>2</formula>
    </cfRule>
    <cfRule type="cellIs" dxfId="29" priority="73" operator="equal">
      <formula>1</formula>
    </cfRule>
  </conditionalFormatting>
  <conditionalFormatting sqref="K52:AN54">
    <cfRule type="cellIs" dxfId="28" priority="74" operator="equal">
      <formula>"T中"</formula>
    </cfRule>
  </conditionalFormatting>
  <conditionalFormatting sqref="AO24">
    <cfRule type="cellIs" dxfId="27" priority="94" operator="equal">
      <formula>"T中"</formula>
    </cfRule>
    <cfRule type="cellIs" dxfId="26" priority="95" operator="equal">
      <formula>"中"</formula>
    </cfRule>
    <cfRule type="cellIs" dxfId="25" priority="96" operator="equal">
      <formula>"M2"</formula>
    </cfRule>
    <cfRule type="cellIs" dxfId="24" priority="97" operator="equal">
      <formula>2</formula>
    </cfRule>
    <cfRule type="cellIs" dxfId="23" priority="98" operator="equal">
      <formula>"日"</formula>
    </cfRule>
    <cfRule type="cellIs" dxfId="22" priority="99" operator="equal">
      <formula>"T早"</formula>
    </cfRule>
    <cfRule type="cellIs" dxfId="21" priority="100" operator="equal">
      <formula>"早"</formula>
    </cfRule>
    <cfRule type="cellIs" dxfId="20" priority="101" operator="equal">
      <formula>"M1"</formula>
    </cfRule>
    <cfRule type="cellIs" dxfId="19" priority="102" operator="equal">
      <formula>1</formula>
    </cfRule>
    <cfRule type="cellIs" dxfId="18" priority="90" operator="equal">
      <formula>"大夜"</formula>
    </cfRule>
    <cfRule type="cellIs" dxfId="17" priority="91" operator="equal">
      <formula>"晚"</formula>
    </cfRule>
    <cfRule type="cellIs" dxfId="16" priority="92" operator="equal">
      <formula>3</formula>
    </cfRule>
    <cfRule type="cellIs" dxfId="15" priority="93" operator="equal">
      <formula>"小夜"</formula>
    </cfRule>
  </conditionalFormatting>
  <conditionalFormatting sqref="AO31:AO32">
    <cfRule type="cellIs" dxfId="14" priority="75" operator="equal">
      <formula>"大夜"</formula>
    </cfRule>
    <cfRule type="cellIs" dxfId="13" priority="76" operator="equal">
      <formula>"晚"</formula>
    </cfRule>
    <cfRule type="cellIs" dxfId="12" priority="77" operator="equal">
      <formula>3</formula>
    </cfRule>
    <cfRule type="cellIs" dxfId="11" priority="78" operator="equal">
      <formula>"小夜"</formula>
    </cfRule>
    <cfRule type="cellIs" dxfId="10" priority="79" operator="equal">
      <formula>"T中"</formula>
    </cfRule>
    <cfRule type="cellIs" dxfId="9" priority="80" operator="equal">
      <formula>"中"</formula>
    </cfRule>
    <cfRule type="cellIs" dxfId="8" priority="81" operator="equal">
      <formula>"M2"</formula>
    </cfRule>
    <cfRule type="cellIs" dxfId="7" priority="82" operator="equal">
      <formula>2</formula>
    </cfRule>
    <cfRule type="cellIs" dxfId="6" priority="84" operator="equal">
      <formula>"T早"</formula>
    </cfRule>
    <cfRule type="cellIs" dxfId="5" priority="85" operator="equal">
      <formula>"早"</formula>
    </cfRule>
    <cfRule type="cellIs" dxfId="4" priority="86" operator="equal">
      <formula>"M1"</formula>
    </cfRule>
    <cfRule type="cellIs" dxfId="3" priority="87" operator="equal">
      <formula>1</formula>
    </cfRule>
    <cfRule type="cellIs" dxfId="2" priority="83" operator="equal">
      <formula>"日"</formula>
    </cfRule>
  </conditionalFormatting>
  <conditionalFormatting sqref="AR4:AR45">
    <cfRule type="cellIs" dxfId="1" priority="88" operator="equal">
      <formula>-2</formula>
    </cfRule>
    <cfRule type="cellIs" dxfId="0" priority="8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2026-08-21T09:03:58Z</dcterms:modified>
</cp:coreProperties>
</file>