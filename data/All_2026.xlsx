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6D65EC1-A639-4AA9-ADA0-FBA6EBE04C31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<sst xmlns="http://schemas.openxmlformats.org/spreadsheetml/2006/main" count="11605" uniqueCount="179">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</sst>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</cellXfs>
  <cellStyles count="2">
    <cellStyle name="一般" xfId="0" builtinId="0"/>
    <cellStyle name="一般 2" xfId="1" xr:uid="{49B4DAFB-6DB6-4F0B-A98F-E68CAA2AC64E}"/>
  </cellStyles>
  <dxfs count="377"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"TPKC剩餘人力："&amp;AR59&amp;" / NK剩餘人力："&amp;AS59&amp;" /  N班人力："&amp;AR53</f>
        <v>TPKC剩餘人力：0 / NK剩餘人力：0 /  N班人力：92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60</v>
      </c>
      <c r="E2" s="489" t="s">
        <v>61</v>
      </c>
      <c r="F2" s="8" t="s">
        <v>62</v>
      </c>
      <c r="G2" s="8" t="s">
        <v>63</v>
      </c>
      <c r="H2" s="8" t="s">
        <v>64</v>
      </c>
      <c r="I2" s="479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74</v>
      </c>
      <c r="G3" s="15" t="s">
        <v>75</v>
      </c>
      <c r="H3" s="16" t="s">
        <v>76</v>
      </c>
      <c r="I3" s="480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376" priority="1" operator="equal">
      <formula>"大夜"</formula>
    </cfRule>
    <cfRule type="cellIs" dxfId="375" priority="2" operator="equal">
      <formula>"晚"</formula>
    </cfRule>
    <cfRule type="cellIs" dxfId="374" priority="3" operator="equal">
      <formula>3</formula>
    </cfRule>
    <cfRule type="cellIs" dxfId="373" priority="4" operator="equal">
      <formula>"小夜"</formula>
    </cfRule>
    <cfRule type="cellIs" dxfId="372" priority="5" operator="equal">
      <formula>"T中"</formula>
    </cfRule>
    <cfRule type="cellIs" dxfId="371" priority="6" operator="equal">
      <formula>"中"</formula>
    </cfRule>
    <cfRule type="cellIs" dxfId="370" priority="7" operator="equal">
      <formula>2</formula>
    </cfRule>
    <cfRule type="cellIs" dxfId="369" priority="8" operator="equal">
      <formula>"日"</formula>
    </cfRule>
    <cfRule type="cellIs" dxfId="368" priority="9" operator="equal">
      <formula>"T早"</formula>
    </cfRule>
    <cfRule type="cellIs" dxfId="367" priority="10" operator="equal">
      <formula>"早"</formula>
    </cfRule>
    <cfRule type="cellIs" dxfId="366" priority="11" operator="equal">
      <formula>"M1"</formula>
    </cfRule>
    <cfRule type="cellIs" dxfId="365" priority="12" operator="equal">
      <formula>1</formula>
    </cfRule>
    <cfRule type="expression" dxfId="364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3" priority="4256" operator="equal">
      <formula>5</formula>
    </cfRule>
    <cfRule type="cellIs" dxfId="362" priority="4257" operator="equal">
      <formula>4</formula>
    </cfRule>
    <cfRule type="cellIs" dxfId="361" priority="4258" operator="equal">
      <formula>3</formula>
    </cfRule>
    <cfRule type="cellIs" dxfId="360" priority="4259" operator="equal">
      <formula>2</formula>
    </cfRule>
    <cfRule type="cellIs" dxfId="359" priority="4260" operator="equal">
      <formula>1</formula>
    </cfRule>
  </conditionalFormatting>
  <conditionalFormatting sqref="K53:AO55">
    <cfRule type="cellIs" dxfId="358" priority="4261" operator="equal">
      <formula>"T中"</formula>
    </cfRule>
  </conditionalFormatting>
  <conditionalFormatting sqref="AP25">
    <cfRule type="cellIs" dxfId="357" priority="4564" operator="equal">
      <formula>"大夜"</formula>
    </cfRule>
    <cfRule type="cellIs" dxfId="356" priority="4565" operator="equal">
      <formula>"晚"</formula>
    </cfRule>
    <cfRule type="cellIs" dxfId="355" priority="4566" operator="equal">
      <formula>3</formula>
    </cfRule>
    <cfRule type="cellIs" dxfId="354" priority="4567" operator="equal">
      <formula>"小夜"</formula>
    </cfRule>
    <cfRule type="cellIs" dxfId="353" priority="4568" operator="equal">
      <formula>"T中"</formula>
    </cfRule>
    <cfRule type="cellIs" dxfId="352" priority="4569" operator="equal">
      <formula>"中"</formula>
    </cfRule>
    <cfRule type="cellIs" dxfId="351" priority="4570" operator="equal">
      <formula>"M2"</formula>
    </cfRule>
    <cfRule type="cellIs" dxfId="350" priority="4571" operator="equal">
      <formula>2</formula>
    </cfRule>
    <cfRule type="cellIs" dxfId="349" priority="4572" operator="equal">
      <formula>"日"</formula>
    </cfRule>
    <cfRule type="cellIs" dxfId="348" priority="4573" operator="equal">
      <formula>"T早"</formula>
    </cfRule>
    <cfRule type="cellIs" dxfId="347" priority="4574" operator="equal">
      <formula>"早"</formula>
    </cfRule>
    <cfRule type="cellIs" dxfId="346" priority="4575" operator="equal">
      <formula>"M1"</formula>
    </cfRule>
    <cfRule type="cellIs" dxfId="345" priority="4576" operator="equal">
      <formula>1</formula>
    </cfRule>
  </conditionalFormatting>
  <conditionalFormatting sqref="AS4:AS46">
    <cfRule type="cellIs" dxfId="344" priority="4562" operator="equal">
      <formula>-2</formula>
    </cfRule>
    <cfRule type="cellIs" dxfId="343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74" t="str">
        <f>"TPKC剩餘人力："&amp;AO59&amp;" / NK剩餘人力："&amp;AP59&amp;" /  N班人力："&amp;AO54</f>
        <v>TPKC剩餘人力：0 / NK剩餘人力：0 /  N班人力：32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183"/>
      <c r="AO1" s="6"/>
      <c r="AP1" s="7"/>
    </row>
    <row r="2" spans="1:223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2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1" priority="1">
      <formula>OR(K4=3, K4="晚",  K4="大夜")</formula>
    </cfRule>
    <cfRule type="expression" dxfId="340" priority="2">
      <formula>OR(K4="M2", K4=2, K4="中", K4="T中", K4="小夜")</formula>
    </cfRule>
    <cfRule type="expression" dxfId="339" priority="4">
      <formula>OR(K4="M1", K4=1, K4="早", K4="T早", K4="日")</formula>
    </cfRule>
  </conditionalFormatting>
  <conditionalFormatting sqref="K47:AL55">
    <cfRule type="cellIs" dxfId="338" priority="214" operator="equal">
      <formula>5</formula>
    </cfRule>
    <cfRule type="cellIs" dxfId="337" priority="215" operator="equal">
      <formula>4</formula>
    </cfRule>
    <cfRule type="cellIs" dxfId="336" priority="216" operator="equal">
      <formula>3</formula>
    </cfRule>
    <cfRule type="cellIs" dxfId="335" priority="217" operator="equal">
      <formula>2</formula>
    </cfRule>
    <cfRule type="cellIs" dxfId="334" priority="218" operator="equal">
      <formula>1</formula>
    </cfRule>
  </conditionalFormatting>
  <conditionalFormatting sqref="K53:AL55">
    <cfRule type="cellIs" dxfId="333" priority="219" operator="equal">
      <formula>"T中"</formula>
    </cfRule>
  </conditionalFormatting>
  <conditionalFormatting sqref="AM25">
    <cfRule type="cellIs" dxfId="332" priority="228" operator="equal">
      <formula>"大夜"</formula>
    </cfRule>
    <cfRule type="cellIs" dxfId="331" priority="229" operator="equal">
      <formula>"晚"</formula>
    </cfRule>
    <cfRule type="cellIs" dxfId="330" priority="230" operator="equal">
      <formula>3</formula>
    </cfRule>
    <cfRule type="cellIs" dxfId="329" priority="231" operator="equal">
      <formula>"小夜"</formula>
    </cfRule>
    <cfRule type="cellIs" dxfId="328" priority="232" operator="equal">
      <formula>"T中"</formula>
    </cfRule>
    <cfRule type="cellIs" dxfId="327" priority="233" operator="equal">
      <formula>"中"</formula>
    </cfRule>
    <cfRule type="cellIs" dxfId="326" priority="234" operator="equal">
      <formula>"M2"</formula>
    </cfRule>
    <cfRule type="cellIs" dxfId="325" priority="235" operator="equal">
      <formula>2</formula>
    </cfRule>
    <cfRule type="cellIs" dxfId="324" priority="236" operator="equal">
      <formula>"日"</formula>
    </cfRule>
    <cfRule type="cellIs" dxfId="323" priority="237" operator="equal">
      <formula>"T早"</formula>
    </cfRule>
    <cfRule type="cellIs" dxfId="322" priority="238" operator="equal">
      <formula>"早"</formula>
    </cfRule>
    <cfRule type="cellIs" dxfId="321" priority="239" operator="equal">
      <formula>"M1"</formula>
    </cfRule>
    <cfRule type="cellIs" dxfId="320" priority="240" operator="equal">
      <formula>1</formula>
    </cfRule>
  </conditionalFormatting>
  <conditionalFormatting sqref="AP4:AP46">
    <cfRule type="cellIs" dxfId="319" priority="226" operator="equal">
      <formula>-2</formula>
    </cfRule>
    <cfRule type="cellIs" dxfId="318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"TPKC剩餘人力："&amp;AR58&amp;" / NK剩餘人力："&amp;AS58&amp;" /  N班人力："&amp;AR53</f>
        <v>TPKC剩餘人力：2 / NK剩餘人力：0 /  N班人力：114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317" priority="1">
      <formula>OR(K4=3, K4="晚",  K4="大夜")</formula>
    </cfRule>
    <cfRule type="expression" dxfId="316" priority="2">
      <formula>OR(K4="M2", K4=2, K4="中", K4="T中", K4="小夜")</formula>
    </cfRule>
    <cfRule type="expression" dxfId="315" priority="3">
      <formula>OR(K4="M1", K4=1, K4="早", K4="T早", K4="日")</formula>
    </cfRule>
    <cfRule type="expression" dxfId="31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3" priority="202" operator="equal">
      <formula>5</formula>
    </cfRule>
    <cfRule type="cellIs" dxfId="312" priority="203" operator="equal">
      <formula>4</formula>
    </cfRule>
    <cfRule type="cellIs" dxfId="311" priority="204" operator="equal">
      <formula>3</formula>
    </cfRule>
    <cfRule type="cellIs" dxfId="310" priority="205" operator="equal">
      <formula>2</formula>
    </cfRule>
    <cfRule type="cellIs" dxfId="309" priority="206" operator="equal">
      <formula>1</formula>
    </cfRule>
  </conditionalFormatting>
  <conditionalFormatting sqref="K53:AO55">
    <cfRule type="cellIs" dxfId="308" priority="207" operator="equal">
      <formula>"T中"</formula>
    </cfRule>
  </conditionalFormatting>
  <conditionalFormatting sqref="AP25">
    <cfRule type="cellIs" dxfId="307" priority="210" operator="equal">
      <formula>"大夜"</formula>
    </cfRule>
    <cfRule type="cellIs" dxfId="306" priority="211" operator="equal">
      <formula>"晚"</formula>
    </cfRule>
    <cfRule type="cellIs" dxfId="305" priority="212" operator="equal">
      <formula>3</formula>
    </cfRule>
    <cfRule type="cellIs" dxfId="304" priority="213" operator="equal">
      <formula>"小夜"</formula>
    </cfRule>
    <cfRule type="cellIs" dxfId="303" priority="214" operator="equal">
      <formula>"T中"</formula>
    </cfRule>
    <cfRule type="cellIs" dxfId="302" priority="215" operator="equal">
      <formula>"中"</formula>
    </cfRule>
    <cfRule type="cellIs" dxfId="301" priority="216" operator="equal">
      <formula>"M2"</formula>
    </cfRule>
    <cfRule type="cellIs" dxfId="300" priority="217" operator="equal">
      <formula>2</formula>
    </cfRule>
    <cfRule type="cellIs" dxfId="299" priority="218" operator="equal">
      <formula>"日"</formula>
    </cfRule>
    <cfRule type="cellIs" dxfId="298" priority="219" operator="equal">
      <formula>"T早"</formula>
    </cfRule>
    <cfRule type="cellIs" dxfId="297" priority="220" operator="equal">
      <formula>"早"</formula>
    </cfRule>
    <cfRule type="cellIs" dxfId="296" priority="221" operator="equal">
      <formula>"M1"</formula>
    </cfRule>
    <cfRule type="cellIs" dxfId="295" priority="222" operator="equal">
      <formula>1</formula>
    </cfRule>
  </conditionalFormatting>
  <conditionalFormatting sqref="AS4:AS46">
    <cfRule type="cellIs" dxfId="294" priority="208" operator="equal">
      <formula>-2</formula>
    </cfRule>
    <cfRule type="cellIs" dxfId="293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"TPKC剩餘人力："&amp;AQ58&amp;" / NK剩餘人力："&amp;AR58&amp;" /  N班人力："&amp;AQ53</f>
        <v>TPKC剩餘人力：0 / NK剩餘人力：0 /  N班人力：76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292" priority="65">
      <formula>OR(K4="T中", K4="中", K4=2, K4="小夜")</formula>
    </cfRule>
    <cfRule type="expression" dxfId="291" priority="66">
      <formula>OR(K4="T早", K4="早", K4="M1", K4=1, K4="日")</formula>
    </cfRule>
  </conditionalFormatting>
  <conditionalFormatting sqref="K4:AN46">
    <cfRule type="expression" dxfId="290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89" priority="4">
      <formula>OR(K4="晚", K4=3, K4="大夜")</formula>
    </cfRule>
  </conditionalFormatting>
  <conditionalFormatting sqref="K47:AN55">
    <cfRule type="cellIs" dxfId="288" priority="71" operator="equal">
      <formula>5</formula>
    </cfRule>
    <cfRule type="cellIs" dxfId="287" priority="72" operator="equal">
      <formula>4</formula>
    </cfRule>
    <cfRule type="cellIs" dxfId="286" priority="73" operator="equal">
      <formula>3</formula>
    </cfRule>
    <cfRule type="cellIs" dxfId="285" priority="74" operator="equal">
      <formula>2</formula>
    </cfRule>
    <cfRule type="cellIs" dxfId="284" priority="75" operator="equal">
      <formula>1</formula>
    </cfRule>
  </conditionalFormatting>
  <conditionalFormatting sqref="K53:AN55">
    <cfRule type="cellIs" dxfId="283" priority="76" operator="equal">
      <formula>"T中"</formula>
    </cfRule>
  </conditionalFormatting>
  <conditionalFormatting sqref="AM8:AN8">
    <cfRule type="expression" dxfId="282" priority="2">
      <formula>OR(AM8="T中", AM8="中", AM8=2, AM8="小夜")</formula>
    </cfRule>
    <cfRule type="expression" dxfId="281" priority="3">
      <formula>OR(AM8="T早", AM8="早", AM8="M1", AM8=1, AM8="日")</formula>
    </cfRule>
  </conditionalFormatting>
  <conditionalFormatting sqref="AO25">
    <cfRule type="cellIs" dxfId="280" priority="83" operator="equal">
      <formula>"大夜"</formula>
    </cfRule>
    <cfRule type="cellIs" dxfId="279" priority="84" operator="equal">
      <formula>"晚"</formula>
    </cfRule>
    <cfRule type="cellIs" dxfId="278" priority="85" operator="equal">
      <formula>3</formula>
    </cfRule>
    <cfRule type="cellIs" dxfId="277" priority="86" operator="equal">
      <formula>"小夜"</formula>
    </cfRule>
    <cfRule type="cellIs" dxfId="276" priority="87" operator="equal">
      <formula>"T中"</formula>
    </cfRule>
    <cfRule type="cellIs" dxfId="275" priority="88" operator="equal">
      <formula>"中"</formula>
    </cfRule>
    <cfRule type="cellIs" dxfId="274" priority="89" operator="equal">
      <formula>"M2"</formula>
    </cfRule>
    <cfRule type="cellIs" dxfId="273" priority="90" operator="equal">
      <formula>2</formula>
    </cfRule>
    <cfRule type="cellIs" dxfId="272" priority="91" operator="equal">
      <formula>"日"</formula>
    </cfRule>
    <cfRule type="cellIs" dxfId="271" priority="92" operator="equal">
      <formula>"T早"</formula>
    </cfRule>
    <cfRule type="cellIs" dxfId="270" priority="93" operator="equal">
      <formula>"早"</formula>
    </cfRule>
    <cfRule type="cellIs" dxfId="269" priority="94" operator="equal">
      <formula>"M1"</formula>
    </cfRule>
    <cfRule type="cellIs" dxfId="268" priority="95" operator="equal">
      <formula>1</formula>
    </cfRule>
  </conditionalFormatting>
  <conditionalFormatting sqref="AR4:AR46">
    <cfRule type="cellIs" dxfId="267" priority="81" operator="equal">
      <formula>-2</formula>
    </cfRule>
    <cfRule type="cellIs" dxfId="266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"TPKC剩餘人力："&amp;AR57&amp;" / NK剩餘人力："&amp;AS57&amp;" /  N班人力："&amp;AR52</f>
        <v>TPKC剩餘人力：0 / NK剩餘人力：0 /  N班人力：79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265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4" priority="6">
      <formula>OR(K4="T中", K4="中", K4=2, K4="小夜")</formula>
    </cfRule>
    <cfRule type="expression" dxfId="263" priority="7">
      <formula>OR(K4="T早", K4="早", K4="M1", K4=1, K4="日")</formula>
    </cfRule>
    <cfRule type="expression" dxfId="262" priority="8">
      <formula>OR(K4="晚", K4=3, K4="大夜")</formula>
    </cfRule>
  </conditionalFormatting>
  <conditionalFormatting sqref="K46:AO54">
    <cfRule type="cellIs" dxfId="261" priority="727" operator="equal">
      <formula>5</formula>
    </cfRule>
    <cfRule type="cellIs" dxfId="260" priority="728" operator="equal">
      <formula>4</formula>
    </cfRule>
    <cfRule type="cellIs" dxfId="259" priority="729" operator="equal">
      <formula>3</formula>
    </cfRule>
    <cfRule type="cellIs" dxfId="258" priority="730" operator="equal">
      <formula>2</formula>
    </cfRule>
    <cfRule type="cellIs" dxfId="257" priority="731" operator="equal">
      <formula>1</formula>
    </cfRule>
  </conditionalFormatting>
  <conditionalFormatting sqref="K52:AO54">
    <cfRule type="cellIs" dxfId="256" priority="732" operator="equal">
      <formula>"T中"</formula>
    </cfRule>
  </conditionalFormatting>
  <conditionalFormatting sqref="AP25">
    <cfRule type="cellIs" dxfId="255" priority="735" operator="equal">
      <formula>"大夜"</formula>
    </cfRule>
    <cfRule type="cellIs" dxfId="254" priority="736" operator="equal">
      <formula>"晚"</formula>
    </cfRule>
    <cfRule type="cellIs" dxfId="253" priority="737" operator="equal">
      <formula>3</formula>
    </cfRule>
    <cfRule type="cellIs" dxfId="252" priority="738" operator="equal">
      <formula>"小夜"</formula>
    </cfRule>
    <cfRule type="cellIs" dxfId="251" priority="739" operator="equal">
      <formula>"T中"</formula>
    </cfRule>
    <cfRule type="cellIs" dxfId="250" priority="740" operator="equal">
      <formula>"中"</formula>
    </cfRule>
    <cfRule type="cellIs" dxfId="249" priority="741" operator="equal">
      <formula>"M2"</formula>
    </cfRule>
    <cfRule type="cellIs" dxfId="248" priority="742" operator="equal">
      <formula>2</formula>
    </cfRule>
    <cfRule type="cellIs" dxfId="247" priority="743" operator="equal">
      <formula>"日"</formula>
    </cfRule>
    <cfRule type="cellIs" dxfId="246" priority="744" operator="equal">
      <formula>"T早"</formula>
    </cfRule>
    <cfRule type="cellIs" dxfId="245" priority="745" operator="equal">
      <formula>"早"</formula>
    </cfRule>
    <cfRule type="cellIs" dxfId="244" priority="746" operator="equal">
      <formula>"M1"</formula>
    </cfRule>
    <cfRule type="cellIs" dxfId="243" priority="747" operator="equal">
      <formula>1</formula>
    </cfRule>
  </conditionalFormatting>
  <conditionalFormatting sqref="AS4:AS45">
    <cfRule type="cellIs" dxfId="242" priority="733" operator="equal">
      <formula>-2</formula>
    </cfRule>
    <cfRule type="cellIs" dxfId="241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"TPKC剩餘人力："&amp;AQ56&amp;" / NK剩餘人力："&amp;AR56&amp;" /  N班人力："&amp;AQ51</f>
        <v>TPKC剩餘人力：-2 / NK剩餘人力：0 /  N班人力：100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1" t="s">
        <v>48</v>
      </c>
      <c r="AV2" s="472"/>
      <c r="AW2" s="473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240" priority="17">
      <formula>OR(K4="晚", K4=3, K4="大夜")</formula>
    </cfRule>
  </conditionalFormatting>
  <conditionalFormatting sqref="K4:AN6 K7:AL7 K8:AN35 K36:AO36 K37:AN37 K38 M38:Y38 AB38:AH38 AJ38:AN38 K39:AN44">
    <cfRule type="expression" dxfId="239" priority="32">
      <formula>OR(K4="T中", K4="中", K4=2, K4="小夜")</formula>
    </cfRule>
    <cfRule type="expression" dxfId="238" priority="33">
      <formula>OR(K4="T早", K4="早", K4="M1", K4=1, K4="日")</formula>
    </cfRule>
  </conditionalFormatting>
  <conditionalFormatting sqref="K37:AN44 K4:AN6 K7:AL7 K8:AN35 K36:AO36">
    <cfRule type="expression" dxfId="237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6" priority="52" operator="equal">
      <formula>5</formula>
    </cfRule>
    <cfRule type="cellIs" dxfId="235" priority="53" operator="equal">
      <formula>4</formula>
    </cfRule>
    <cfRule type="cellIs" dxfId="234" priority="54" operator="equal">
      <formula>3</formula>
    </cfRule>
    <cfRule type="cellIs" dxfId="233" priority="55" operator="equal">
      <formula>2</formula>
    </cfRule>
    <cfRule type="cellIs" dxfId="232" priority="56" operator="equal">
      <formula>1</formula>
    </cfRule>
  </conditionalFormatting>
  <conditionalFormatting sqref="K51:AN53">
    <cfRule type="cellIs" dxfId="231" priority="57" operator="equal">
      <formula>"T中"</formula>
    </cfRule>
  </conditionalFormatting>
  <conditionalFormatting sqref="L38">
    <cfRule type="expression" dxfId="230" priority="15">
      <formula>OR(L38="T中", L38="中", L38=2, L38="小夜")</formula>
    </cfRule>
    <cfRule type="expression" dxfId="229" priority="16">
      <formula>OR(L38="T早", L38="早", L38="M1", L38=1, L38="日")</formula>
    </cfRule>
  </conditionalFormatting>
  <conditionalFormatting sqref="T38">
    <cfRule type="expression" dxfId="228" priority="7">
      <formula>OR(T38="T中", T38="中", T38=2, T38="小夜")</formula>
    </cfRule>
    <cfRule type="expression" dxfId="227" priority="8">
      <formula>OR(T38="T早", T38="早", T38="M1", T38=1, T38="日")</formula>
    </cfRule>
    <cfRule type="expression" dxfId="226" priority="9">
      <formula>OR(T38="晚", T38=3, T38="大夜")</formula>
    </cfRule>
  </conditionalFormatting>
  <conditionalFormatting sqref="V38">
    <cfRule type="expression" dxfId="225" priority="11">
      <formula>OR(V38="T中", V38="中", V38=2, V38="小夜")</formula>
    </cfRule>
    <cfRule type="expression" dxfId="224" priority="12">
      <formula>OR(V38="T早", V38="早", V38="M1", V38=1, V38="日")</formula>
    </cfRule>
    <cfRule type="expression" dxfId="223" priority="13">
      <formula>OR(V38="晚", V38=3, V38="大夜")</formula>
    </cfRule>
  </conditionalFormatting>
  <conditionalFormatting sqref="W38:AA38">
    <cfRule type="expression" dxfId="222" priority="21">
      <formula>OR(W38="晚", W38=3, W38="大夜")</formula>
    </cfRule>
  </conditionalFormatting>
  <conditionalFormatting sqref="Y38">
    <cfRule type="expression" dxfId="221" priority="6">
      <formula>OR(Y38="晚", Y38=3, Y38="大夜")</formula>
    </cfRule>
  </conditionalFormatting>
  <conditionalFormatting sqref="Z38:AA38">
    <cfRule type="expression" dxfId="220" priority="19">
      <formula>OR(Z38="T中", Z38="中", Z38=2, Z38="小夜")</formula>
    </cfRule>
    <cfRule type="expression" dxfId="219" priority="20">
      <formula>OR(Z38="T早", Z38="早", Z38="M1", Z38=1, Z38="日")</formula>
    </cfRule>
  </conditionalFormatting>
  <conditionalFormatting sqref="AB38:AN38">
    <cfRule type="expression" dxfId="218" priority="25">
      <formula>OR(AB38="晚", AB38=3, AB38="大夜")</formula>
    </cfRule>
  </conditionalFormatting>
  <conditionalFormatting sqref="AI38:AJ38">
    <cfRule type="expression" dxfId="217" priority="23">
      <formula>OR(AI38="T中", AI38="中", AI38=2, AI38="小夜")</formula>
    </cfRule>
    <cfRule type="expression" dxfId="216" priority="24">
      <formula>OR(AI38="T早", AI38="早", AI38="M1", AI38=1, AI38="日")</formula>
    </cfRule>
  </conditionalFormatting>
  <conditionalFormatting sqref="AJ38">
    <cfRule type="expression" dxfId="215" priority="1">
      <formula>OR(AJ38="晚", AJ38=3, AJ38="大夜")</formula>
    </cfRule>
  </conditionalFormatting>
  <conditionalFormatting sqref="AO24">
    <cfRule type="cellIs" dxfId="214" priority="60" operator="equal">
      <formula>"大夜"</formula>
    </cfRule>
    <cfRule type="cellIs" dxfId="213" priority="61" operator="equal">
      <formula>"晚"</formula>
    </cfRule>
    <cfRule type="cellIs" dxfId="212" priority="62" operator="equal">
      <formula>3</formula>
    </cfRule>
    <cfRule type="cellIs" dxfId="211" priority="63" operator="equal">
      <formula>"小夜"</formula>
    </cfRule>
    <cfRule type="cellIs" dxfId="210" priority="64" operator="equal">
      <formula>"T中"</formula>
    </cfRule>
    <cfRule type="cellIs" dxfId="209" priority="65" operator="equal">
      <formula>"中"</formula>
    </cfRule>
    <cfRule type="cellIs" dxfId="208" priority="66" operator="equal">
      <formula>"M2"</formula>
    </cfRule>
    <cfRule type="cellIs" dxfId="207" priority="67" operator="equal">
      <formula>2</formula>
    </cfRule>
    <cfRule type="cellIs" dxfId="206" priority="68" operator="equal">
      <formula>"日"</formula>
    </cfRule>
    <cfRule type="cellIs" dxfId="205" priority="69" operator="equal">
      <formula>"T早"</formula>
    </cfRule>
    <cfRule type="cellIs" dxfId="204" priority="70" operator="equal">
      <formula>"早"</formula>
    </cfRule>
    <cfRule type="cellIs" dxfId="203" priority="71" operator="equal">
      <formula>"M1"</formula>
    </cfRule>
    <cfRule type="cellIs" dxfId="202" priority="72" operator="equal">
      <formula>1</formula>
    </cfRule>
  </conditionalFormatting>
  <conditionalFormatting sqref="AR4:AR44">
    <cfRule type="cellIs" dxfId="201" priority="58" operator="equal">
      <formula>-2</formula>
    </cfRule>
    <cfRule type="cellIs" dxfId="200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74" t="str">
        <f>"TPKC剩餘人力："&amp;AS56&amp;" / NK剩餘人力："&amp;AT56&amp;" /  N班人力："&amp;AS51</f>
        <v>TPKC剩餘人力：5 / NK剩餘人力：2 /  N班人力：115</v>
      </c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5"/>
      <c r="AJ1" s="476"/>
      <c r="AK1" s="475"/>
      <c r="AL1" s="475"/>
      <c r="AM1" s="477"/>
      <c r="AN1" s="478"/>
      <c r="AO1" s="478"/>
      <c r="AP1" s="5"/>
      <c r="AS1" s="6"/>
      <c r="AT1" s="7"/>
    </row>
    <row r="2" spans="1:227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489" t="s">
        <v>163</v>
      </c>
      <c r="G2" s="8" t="s">
        <v>106</v>
      </c>
      <c r="H2" s="8" t="s">
        <v>107</v>
      </c>
      <c r="I2" s="8" t="s">
        <v>108</v>
      </c>
      <c r="J2" s="479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1" t="s">
        <v>48</v>
      </c>
      <c r="AX2" s="472"/>
      <c r="AY2" s="473"/>
    </row>
    <row r="3" spans="1:227" ht="24.6" customHeight="1" thickBot="1">
      <c r="A3" s="484"/>
      <c r="B3" s="486"/>
      <c r="C3" s="486"/>
      <c r="D3" s="488"/>
      <c r="E3" s="490"/>
      <c r="F3" s="490"/>
      <c r="G3" s="15" t="s">
        <v>118</v>
      </c>
      <c r="H3" s="15" t="s">
        <v>119</v>
      </c>
      <c r="I3" s="16" t="s">
        <v>120</v>
      </c>
      <c r="J3" s="480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199" priority="15">
      <formula>"OR(K4=""T中"", K4=""中"", K4=2, K4=""小夜"")"</formula>
    </cfRule>
    <cfRule type="expression" dxfId="198" priority="16">
      <formula>OR(L4="T早", L4="早", L4="M1", L4=1, L4="日")</formula>
    </cfRule>
    <cfRule type="expression" dxfId="197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6" priority="14">
      <formula>OR(L4="晚", L4=3, L4="大夜")</formula>
    </cfRule>
  </conditionalFormatting>
  <conditionalFormatting sqref="L45:AP53">
    <cfRule type="cellIs" dxfId="195" priority="1246" operator="equal">
      <formula>3</formula>
    </cfRule>
    <cfRule type="cellIs" dxfId="194" priority="1244" operator="equal">
      <formula>5</formula>
    </cfRule>
    <cfRule type="cellIs" dxfId="193" priority="1245" operator="equal">
      <formula>4</formula>
    </cfRule>
    <cfRule type="cellIs" dxfId="192" priority="1248" operator="equal">
      <formula>1</formula>
    </cfRule>
    <cfRule type="cellIs" dxfId="191" priority="1247" operator="equal">
      <formula>2</formula>
    </cfRule>
  </conditionalFormatting>
  <conditionalFormatting sqref="L51:AP53">
    <cfRule type="cellIs" dxfId="190" priority="1249" operator="equal">
      <formula>"T中"</formula>
    </cfRule>
  </conditionalFormatting>
  <conditionalFormatting sqref="U4:U10 U12:U38">
    <cfRule type="expression" dxfId="189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8" priority="10">
      <formula>OR(U4="晚", U4=3, U4="大夜")</formula>
    </cfRule>
    <cfRule type="expression" dxfId="187" priority="11">
      <formula>"OR(K4=""T中"", K4=""中"", K4=2, K4=""小夜"")"</formula>
    </cfRule>
    <cfRule type="expression" dxfId="186" priority="12">
      <formula>OR(U4="T早", U4="早", U4="M1", U4=1, U4="日")</formula>
    </cfRule>
  </conditionalFormatting>
  <conditionalFormatting sqref="U11">
    <cfRule type="expression" dxfId="185" priority="2">
      <formula>OR(U11="晚", U11=3, U11="大夜")</formula>
    </cfRule>
    <cfRule type="expression" dxfId="184" priority="3">
      <formula>"OR(K4=""T中"", K4=""中"", K4=2, K4=""小夜"")"</formula>
    </cfRule>
    <cfRule type="expression" dxfId="183" priority="4">
      <formula>OR(U11="T早", U11="早", U11="M1", U11=1, U11="日")</formula>
    </cfRule>
    <cfRule type="expression" dxfId="182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1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0" priority="8">
      <formula>OR(U41="T早", U41="早", U41="M1", U41=1, U41="日")</formula>
    </cfRule>
    <cfRule type="expression" dxfId="179" priority="7">
      <formula>"OR(K4=""T中"", K4=""中"", K4=2, K4=""小夜"")"</formula>
    </cfRule>
    <cfRule type="expression" dxfId="178" priority="6">
      <formula>OR(U41="晚", U41=3, U41="大夜")</formula>
    </cfRule>
  </conditionalFormatting>
  <conditionalFormatting sqref="AQ24">
    <cfRule type="cellIs" dxfId="177" priority="1252" operator="equal">
      <formula>"大夜"</formula>
    </cfRule>
    <cfRule type="cellIs" dxfId="176" priority="1253" operator="equal">
      <formula>"晚"</formula>
    </cfRule>
    <cfRule type="cellIs" dxfId="175" priority="1254" operator="equal">
      <formula>3</formula>
    </cfRule>
    <cfRule type="cellIs" dxfId="174" priority="1255" operator="equal">
      <formula>"小夜"</formula>
    </cfRule>
    <cfRule type="cellIs" dxfId="173" priority="1256" operator="equal">
      <formula>"T中"</formula>
    </cfRule>
    <cfRule type="cellIs" dxfId="172" priority="1257" operator="equal">
      <formula>"中"</formula>
    </cfRule>
    <cfRule type="cellIs" dxfId="171" priority="1258" operator="equal">
      <formula>"M2"</formula>
    </cfRule>
    <cfRule type="cellIs" dxfId="170" priority="1259" operator="equal">
      <formula>2</formula>
    </cfRule>
    <cfRule type="cellIs" dxfId="169" priority="1260" operator="equal">
      <formula>"日"</formula>
    </cfRule>
    <cfRule type="cellIs" dxfId="168" priority="1261" operator="equal">
      <formula>"T早"</formula>
    </cfRule>
    <cfRule type="cellIs" dxfId="167" priority="1262" operator="equal">
      <formula>"早"</formula>
    </cfRule>
    <cfRule type="cellIs" dxfId="166" priority="1263" operator="equal">
      <formula>"M1"</formula>
    </cfRule>
    <cfRule type="cellIs" dxfId="165" priority="1264" operator="equal">
      <formula>1</formula>
    </cfRule>
  </conditionalFormatting>
  <conditionalFormatting sqref="AT4:AT44">
    <cfRule type="cellIs" dxfId="164" priority="1250" operator="equal">
      <formula>-2</formula>
    </cfRule>
    <cfRule type="cellIs" dxfId="163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"TPKC剩餘人力："&amp;AR57&amp;" / NK剩餘人力："&amp;AS57&amp;" /  N班人力："&amp;AR52</f>
        <v>TPKC剩餘人力：-1 / NK剩餘人力：0 /  N班人力：62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62" priority="1">
      <formula>OR(K4="晚", K4=3, K4="大夜")</formula>
    </cfRule>
    <cfRule type="expression" dxfId="161" priority="2">
      <formula>OR(K4="T中", K4="中", K4=2, K4="小夜")</formula>
    </cfRule>
    <cfRule type="expression" dxfId="160" priority="3">
      <formula>OR(K4="T早", K4="早", K4="M1", K4=1, K4="日")</formula>
    </cfRule>
    <cfRule type="expression" dxfId="159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8" priority="12" operator="greaterThan">
      <formula>5</formula>
    </cfRule>
  </conditionalFormatting>
  <conditionalFormatting sqref="K46:AO54">
    <cfRule type="cellIs" dxfId="157" priority="1110" operator="equal">
      <formula>5</formula>
    </cfRule>
    <cfRule type="cellIs" dxfId="156" priority="1111" operator="equal">
      <formula>4</formula>
    </cfRule>
    <cfRule type="cellIs" dxfId="155" priority="1112" operator="equal">
      <formula>3</formula>
    </cfRule>
    <cfRule type="cellIs" dxfId="154" priority="1113" operator="equal">
      <formula>2</formula>
    </cfRule>
    <cfRule type="cellIs" dxfId="153" priority="1114" operator="equal">
      <formula>1</formula>
    </cfRule>
  </conditionalFormatting>
  <conditionalFormatting sqref="K52:AO54">
    <cfRule type="cellIs" dxfId="152" priority="1115" operator="equal">
      <formula>"T中"</formula>
    </cfRule>
  </conditionalFormatting>
  <conditionalFormatting sqref="AP24">
    <cfRule type="cellIs" dxfId="151" priority="1157" operator="equal">
      <formula>"T中"</formula>
    </cfRule>
    <cfRule type="cellIs" dxfId="150" priority="1158" operator="equal">
      <formula>"中"</formula>
    </cfRule>
    <cfRule type="cellIs" dxfId="149" priority="1159" operator="equal">
      <formula>"M2"</formula>
    </cfRule>
    <cfRule type="cellIs" dxfId="148" priority="1160" operator="equal">
      <formula>2</formula>
    </cfRule>
    <cfRule type="cellIs" dxfId="147" priority="1161" operator="equal">
      <formula>"日"</formula>
    </cfRule>
    <cfRule type="cellIs" dxfId="146" priority="1162" operator="equal">
      <formula>"T早"</formula>
    </cfRule>
    <cfRule type="cellIs" dxfId="145" priority="1163" operator="equal">
      <formula>"早"</formula>
    </cfRule>
    <cfRule type="cellIs" dxfId="144" priority="1164" operator="equal">
      <formula>"M1"</formula>
    </cfRule>
    <cfRule type="cellIs" dxfId="143" priority="1165" operator="equal">
      <formula>1</formula>
    </cfRule>
    <cfRule type="cellIs" dxfId="142" priority="1153" operator="equal">
      <formula>"大夜"</formula>
    </cfRule>
    <cfRule type="cellIs" dxfId="141" priority="1154" operator="equal">
      <formula>"晚"</formula>
    </cfRule>
    <cfRule type="cellIs" dxfId="140" priority="1155" operator="equal">
      <formula>3</formula>
    </cfRule>
    <cfRule type="cellIs" dxfId="139" priority="1156" operator="equal">
      <formula>"小夜"</formula>
    </cfRule>
  </conditionalFormatting>
  <conditionalFormatting sqref="AP31:AP32">
    <cfRule type="cellIs" dxfId="138" priority="1138" operator="equal">
      <formula>"大夜"</formula>
    </cfRule>
    <cfRule type="cellIs" dxfId="137" priority="1139" operator="equal">
      <formula>"晚"</formula>
    </cfRule>
    <cfRule type="cellIs" dxfId="136" priority="1140" operator="equal">
      <formula>3</formula>
    </cfRule>
    <cfRule type="cellIs" dxfId="135" priority="1141" operator="equal">
      <formula>"小夜"</formula>
    </cfRule>
    <cfRule type="cellIs" dxfId="134" priority="1142" operator="equal">
      <formula>"T中"</formula>
    </cfRule>
    <cfRule type="cellIs" dxfId="133" priority="1143" operator="equal">
      <formula>"中"</formula>
    </cfRule>
    <cfRule type="cellIs" dxfId="132" priority="1144" operator="equal">
      <formula>"M2"</formula>
    </cfRule>
    <cfRule type="cellIs" dxfId="131" priority="1145" operator="equal">
      <formula>2</formula>
    </cfRule>
    <cfRule type="cellIs" dxfId="130" priority="1147" operator="equal">
      <formula>"T早"</formula>
    </cfRule>
    <cfRule type="cellIs" dxfId="129" priority="1148" operator="equal">
      <formula>"早"</formula>
    </cfRule>
    <cfRule type="cellIs" dxfId="128" priority="1149" operator="equal">
      <formula>"M1"</formula>
    </cfRule>
    <cfRule type="cellIs" dxfId="127" priority="1150" operator="equal">
      <formula>1</formula>
    </cfRule>
    <cfRule type="cellIs" dxfId="126" priority="1146" operator="equal">
      <formula>"日"</formula>
    </cfRule>
  </conditionalFormatting>
  <conditionalFormatting sqref="AS4:AS45">
    <cfRule type="cellIs" dxfId="125" priority="1151" operator="equal">
      <formula>-2</formula>
    </cfRule>
    <cfRule type="cellIs" dxfId="124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0" t="str">
        <f>"TPKC剩餘人力："&amp;AQ58&amp;" / NK剩餘人力："&amp;AR58&amp;" /  N班人力："&amp;AQ53</f>
        <v>TPKC剩餘人力：-1 / NK剩餘人力：0 /  N班人力：71</v>
      </c>
      <c r="L1" s="501"/>
      <c r="M1" s="501"/>
      <c r="N1" s="501"/>
      <c r="O1" s="501"/>
      <c r="P1" s="501"/>
      <c r="Q1" s="501"/>
      <c r="R1" s="501"/>
      <c r="S1" s="501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2"/>
      <c r="AJ1" s="502"/>
      <c r="AK1" s="502"/>
      <c r="AL1" s="503"/>
      <c r="AM1" s="503"/>
      <c r="AN1" s="503"/>
      <c r="AQ1" s="6"/>
      <c r="AR1" s="7"/>
    </row>
    <row r="2" spans="1:225" ht="23.25" customHeight="1" thickBot="1">
      <c r="A2" s="507">
        <v>1</v>
      </c>
      <c r="B2" s="509">
        <v>2</v>
      </c>
      <c r="C2" s="509">
        <v>3</v>
      </c>
      <c r="D2" s="511" t="s">
        <v>104</v>
      </c>
      <c r="E2" s="513" t="s">
        <v>105</v>
      </c>
      <c r="F2" s="8" t="s">
        <v>106</v>
      </c>
      <c r="G2" s="8" t="s">
        <v>107</v>
      </c>
      <c r="H2" s="8" t="s">
        <v>108</v>
      </c>
      <c r="I2" s="504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1" t="s">
        <v>48</v>
      </c>
      <c r="AW2" s="472"/>
      <c r="AX2" s="473"/>
    </row>
    <row r="3" spans="1:225" ht="24.6" customHeight="1" thickBot="1">
      <c r="A3" s="508"/>
      <c r="B3" s="510"/>
      <c r="C3" s="510"/>
      <c r="D3" s="512"/>
      <c r="E3" s="514"/>
      <c r="F3" s="15" t="s">
        <v>118</v>
      </c>
      <c r="G3" s="15" t="s">
        <v>119</v>
      </c>
      <c r="H3" s="16" t="s">
        <v>120</v>
      </c>
      <c r="I3" s="505"/>
      <c r="J3" s="506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6">
    <cfRule type="expression" dxfId="123" priority="1">
      <formula>OR(K4="晚", K4=3, K4="大夜")</formula>
    </cfRule>
    <cfRule type="expression" dxfId="122" priority="2">
      <formula>OR(K4="T中", K4="中", K4=2, K4="小夜")</formula>
    </cfRule>
    <cfRule type="expression" dxfId="121" priority="3">
      <formula>OR(K4="T早", K4="早", K4="M1", K4=1, K4="日")</formula>
    </cfRule>
    <cfRule type="expression" dxfId="12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19" priority="5" operator="greaterThan">
      <formula>5</formula>
    </cfRule>
  </conditionalFormatting>
  <conditionalFormatting sqref="K47:AN55">
    <cfRule type="cellIs" dxfId="118" priority="6" operator="equal">
      <formula>5</formula>
    </cfRule>
    <cfRule type="cellIs" dxfId="117" priority="7" operator="equal">
      <formula>4</formula>
    </cfRule>
    <cfRule type="cellIs" dxfId="116" priority="8" operator="equal">
      <formula>3</formula>
    </cfRule>
    <cfRule type="cellIs" dxfId="115" priority="9" operator="equal">
      <formula>2</formula>
    </cfRule>
    <cfRule type="cellIs" dxfId="114" priority="10" operator="equal">
      <formula>1</formula>
    </cfRule>
  </conditionalFormatting>
  <conditionalFormatting sqref="K53:AN55">
    <cfRule type="cellIs" dxfId="113" priority="11" operator="equal">
      <formula>"T中"</formula>
    </cfRule>
  </conditionalFormatting>
  <conditionalFormatting sqref="AO23">
    <cfRule type="cellIs" dxfId="112" priority="31" operator="equal">
      <formula>"T中"</formula>
    </cfRule>
    <cfRule type="cellIs" dxfId="111" priority="32" operator="equal">
      <formula>"中"</formula>
    </cfRule>
    <cfRule type="cellIs" dxfId="110" priority="33" operator="equal">
      <formula>"M2"</formula>
    </cfRule>
    <cfRule type="cellIs" dxfId="109" priority="34" operator="equal">
      <formula>2</formula>
    </cfRule>
    <cfRule type="cellIs" dxfId="108" priority="35" operator="equal">
      <formula>"日"</formula>
    </cfRule>
    <cfRule type="cellIs" dxfId="107" priority="36" operator="equal">
      <formula>"T早"</formula>
    </cfRule>
    <cfRule type="cellIs" dxfId="106" priority="37" operator="equal">
      <formula>"早"</formula>
    </cfRule>
    <cfRule type="cellIs" dxfId="105" priority="38" operator="equal">
      <formula>"M1"</formula>
    </cfRule>
    <cfRule type="cellIs" dxfId="104" priority="39" operator="equal">
      <formula>1</formula>
    </cfRule>
    <cfRule type="cellIs" dxfId="103" priority="27" operator="equal">
      <formula>"大夜"</formula>
    </cfRule>
    <cfRule type="cellIs" dxfId="102" priority="28" operator="equal">
      <formula>"晚"</formula>
    </cfRule>
    <cfRule type="cellIs" dxfId="101" priority="29" operator="equal">
      <formula>3</formula>
    </cfRule>
    <cfRule type="cellIs" dxfId="100" priority="30" operator="equal">
      <formula>"小夜"</formula>
    </cfRule>
  </conditionalFormatting>
  <conditionalFormatting sqref="AO30:AO33">
    <cfRule type="cellIs" dxfId="99" priority="12" operator="equal">
      <formula>"大夜"</formula>
    </cfRule>
    <cfRule type="cellIs" dxfId="98" priority="13" operator="equal">
      <formula>"晚"</formula>
    </cfRule>
    <cfRule type="cellIs" dxfId="97" priority="14" operator="equal">
      <formula>3</formula>
    </cfRule>
    <cfRule type="cellIs" dxfId="96" priority="15" operator="equal">
      <formula>"小夜"</formula>
    </cfRule>
    <cfRule type="cellIs" dxfId="95" priority="16" operator="equal">
      <formula>"T中"</formula>
    </cfRule>
    <cfRule type="cellIs" dxfId="94" priority="17" operator="equal">
      <formula>"中"</formula>
    </cfRule>
    <cfRule type="cellIs" dxfId="93" priority="18" operator="equal">
      <formula>"M2"</formula>
    </cfRule>
    <cfRule type="cellIs" dxfId="92" priority="19" operator="equal">
      <formula>2</formula>
    </cfRule>
    <cfRule type="cellIs" dxfId="91" priority="21" operator="equal">
      <formula>"T早"</formula>
    </cfRule>
    <cfRule type="cellIs" dxfId="90" priority="22" operator="equal">
      <formula>"早"</formula>
    </cfRule>
    <cfRule type="cellIs" dxfId="89" priority="23" operator="equal">
      <formula>"M1"</formula>
    </cfRule>
    <cfRule type="cellIs" dxfId="88" priority="24" operator="equal">
      <formula>1</formula>
    </cfRule>
    <cfRule type="cellIs" dxfId="87" priority="20" operator="equal">
      <formula>"日"</formula>
    </cfRule>
  </conditionalFormatting>
  <conditionalFormatting sqref="AR4:AR46">
    <cfRule type="cellIs" dxfId="86" priority="25" operator="equal">
      <formula>-2</formula>
    </cfRule>
    <cfRule type="cellIs" dxfId="85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G8" sqref="AG8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"TPKC剩餘人力："&amp;AR58&amp;" / NK剩餘人力："&amp;AS58&amp;" /  N班人力："&amp;AR53</f>
        <v>TPKC剩餘人力：3 / NK剩餘人力：0 /  N班人力：60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81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82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12</v>
      </c>
      <c r="B6" s="39">
        <f t="shared" si="2"/>
        <v>1</v>
      </c>
      <c r="C6" s="40">
        <f t="shared" si="3"/>
        <v>0</v>
      </c>
      <c r="D6" s="39">
        <f t="shared" si="4"/>
        <v>6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52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2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6" t="s">
        <v>155</v>
      </c>
      <c r="AG8" s="234" t="s">
        <v>1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13</v>
      </c>
      <c r="B17" s="55">
        <f t="shared" si="2"/>
        <v>3</v>
      </c>
      <c r="C17" s="56">
        <f t="shared" si="3"/>
        <v>0</v>
      </c>
      <c r="D17" s="55">
        <f t="shared" si="4"/>
        <v>1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38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3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238" t="s">
        <v>3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4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60</v>
      </c>
      <c r="AS53" s="91" cm="1">
        <f t="array" ref="AS53">SUMPRODUCT(COUNTIF(K41:AO46,{"N";"N8"}))</f>
        <v>18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40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4</v>
      </c>
      <c r="AD56" s="96">
        <f t="shared" si="30"/>
        <v>3</v>
      </c>
      <c r="AE56" s="96">
        <f t="shared" si="30"/>
        <v>2</v>
      </c>
      <c r="AF56" s="96">
        <f t="shared" si="30"/>
        <v>2</v>
      </c>
      <c r="AG56" s="96">
        <f t="shared" si="30"/>
        <v>2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15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18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1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4</v>
      </c>
      <c r="AH58" s="39">
        <f t="shared" si="32"/>
        <v>2</v>
      </c>
      <c r="AI58" s="39">
        <f t="shared" si="32"/>
        <v>0</v>
      </c>
      <c r="AJ58" s="39">
        <f t="shared" si="32"/>
        <v>6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9">
    <cfRule type="expression" dxfId="84" priority="27">
      <formula>OR(K9="T早", K9="早", K9="M1", K9=1, K9="日")</formula>
    </cfRule>
  </conditionalFormatting>
  <conditionalFormatting sqref="K10:Q10 K11:AO44 K4:AO9">
    <cfRule type="expression" dxfId="83" priority="30">
      <formula>OR(K4="T早", K4="早", K4="M1", K4=1, K4="日")</formula>
    </cfRule>
  </conditionalFormatting>
  <conditionalFormatting sqref="K45:Q45 K46:AO46">
    <cfRule type="expression" dxfId="82" priority="56">
      <formula>OR(K45="T早", K45="早", K45="M1", K45=1, K45="日")</formula>
    </cfRule>
  </conditionalFormatting>
  <conditionalFormatting sqref="K10:P10 R10:V10 X10 Z10:AO10 K11:AO17 K4:AO9">
    <cfRule type="expression" dxfId="81" priority="42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0" priority="41">
      <formula>OR(K4="晚", K4=3, K4="大夜")</formula>
    </cfRule>
  </conditionalFormatting>
  <conditionalFormatting sqref="K18:AO44 X44:X45 K45:P45 R45:V45 Z45:AO45 K46:AO46">
    <cfRule type="expression" dxfId="79" priority="77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78" priority="76">
      <formula>OR(K18="晚", K18=3, K18="大夜")</formula>
    </cfRule>
  </conditionalFormatting>
  <conditionalFormatting sqref="K47:AO47">
    <cfRule type="cellIs" dxfId="77" priority="362" operator="greaterThan">
      <formula>5</formula>
    </cfRule>
  </conditionalFormatting>
  <conditionalFormatting sqref="K47:AO55">
    <cfRule type="cellIs" dxfId="76" priority="366" operator="equal">
      <formula>2</formula>
    </cfRule>
    <cfRule type="cellIs" dxfId="75" priority="365" operator="equal">
      <formula>3</formula>
    </cfRule>
    <cfRule type="cellIs" dxfId="74" priority="367" operator="equal">
      <formula>1</formula>
    </cfRule>
    <cfRule type="cellIs" dxfId="73" priority="364" operator="equal">
      <formula>4</formula>
    </cfRule>
    <cfRule type="cellIs" dxfId="72" priority="363" operator="equal">
      <formula>5</formula>
    </cfRule>
  </conditionalFormatting>
  <conditionalFormatting sqref="K53:AO55">
    <cfRule type="cellIs" dxfId="71" priority="368" operator="equal">
      <formula>"T中"</formula>
    </cfRule>
  </conditionalFormatting>
  <conditionalFormatting sqref="L45">
    <cfRule type="expression" dxfId="70" priority="20">
      <formula>OR(L45="T早", L45="早", L45="M1", L45=1, L45="日")</formula>
    </cfRule>
  </conditionalFormatting>
  <conditionalFormatting sqref="P31">
    <cfRule type="expression" dxfId="69" priority="6">
      <formula>OR(P31="晚", P31=3, P31="大夜")</formula>
    </cfRule>
    <cfRule type="expression" dxfId="68" priority="7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7" priority="31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6" priority="28">
      <formula>OR(P10="晚", P10=3, P10="大夜")</formula>
    </cfRule>
    <cfRule type="expression" dxfId="65" priority="29">
      <formula>OR(P10="T中", P10="中", P10=2, P10="小夜")</formula>
    </cfRule>
  </conditionalFormatting>
  <conditionalFormatting sqref="P45:Q45">
    <cfRule type="expression" dxfId="64" priority="50">
      <formula>OR(P45="晚", P45=3, P45="大夜")</formula>
    </cfRule>
    <cfRule type="expression" dxfId="63" priority="51">
      <formula>OR(P45="T中", P45="中", P45=2, P45="小夜")</formula>
    </cfRule>
    <cfRule type="expression" dxfId="62" priority="53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1" priority="34">
      <formula>OR(R10="T早", R10="早", R10="M1", R10=1, R10="日")</formula>
    </cfRule>
  </conditionalFormatting>
  <conditionalFormatting sqref="R45:W45">
    <cfRule type="expression" dxfId="60" priority="64">
      <formula>OR(R45="T早", R45="早", R45="M1", R45=1, R45="日")</formula>
    </cfRule>
  </conditionalFormatting>
  <conditionalFormatting sqref="W10">
    <cfRule type="expression" dxfId="59" priority="33">
      <formula>OR(W10="T中", W10="中", W10=2, W10="小夜")</formula>
    </cfRule>
    <cfRule type="expression" dxfId="58" priority="35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57" priority="32">
      <formula>OR(W10="晚", W10=3, W10="大夜")</formula>
    </cfRule>
  </conditionalFormatting>
  <conditionalFormatting sqref="W45">
    <cfRule type="expression" dxfId="56" priority="65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5" priority="62">
      <formula>OR(W45="晚", W45=3, W45="大夜")</formula>
    </cfRule>
    <cfRule type="expression" dxfId="54" priority="63">
      <formula>OR(W45="T中", W45="中", W45=2, W45="小夜")</formula>
    </cfRule>
  </conditionalFormatting>
  <conditionalFormatting sqref="X10 Z10:AO10 R10:V10 K10:P10 K11:AO44 K4:AO9">
    <cfRule type="expression" dxfId="53" priority="40">
      <formula>OR(K4="T中", K4="中", K4=2, K4="小夜")</formula>
    </cfRule>
  </conditionalFormatting>
  <conditionalFormatting sqref="X44:X45 Z45:AO45 R45:V45 K45:P45 K46:AO46">
    <cfRule type="expression" dxfId="52" priority="75">
      <formula>OR(K44="T中", K44="中", K44=2, K44="小夜")</formula>
    </cfRule>
  </conditionalFormatting>
  <conditionalFormatting sqref="X45">
    <cfRule type="expression" dxfId="51" priority="45">
      <formula>OR(X45="T早", X45="早", X45="M1", X45=1, X45="日")</formula>
    </cfRule>
  </conditionalFormatting>
  <conditionalFormatting sqref="X10:AO10">
    <cfRule type="expression" dxfId="50" priority="38">
      <formula>OR(X10="T早", X10="早", X10="M1", X10=1, X10="日")</formula>
    </cfRule>
  </conditionalFormatting>
  <conditionalFormatting sqref="X45:AO45">
    <cfRule type="expression" dxfId="49" priority="68">
      <formula>OR(X45="T早", X45="早", X45="M1", X45=1, X45="日")</formula>
    </cfRule>
  </conditionalFormatting>
  <conditionalFormatting sqref="Y10">
    <cfRule type="expression" dxfId="48" priority="36">
      <formula>OR(Y10="晚", Y10=3, Y10="大夜")</formula>
    </cfRule>
    <cfRule type="expression" dxfId="47" priority="37">
      <formula>OR(Y10="T中", Y10="中", Y10=2, Y10="小夜")</formula>
    </cfRule>
    <cfRule type="expression" dxfId="46" priority="39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5" priority="66">
      <formula>OR(Y45="晚", Y45=3, Y45="大夜")</formula>
    </cfRule>
    <cfRule type="expression" dxfId="44" priority="69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3" priority="67">
      <formula>OR(Y45="T中", Y45="中", Y45=2, Y45="小夜")</formula>
    </cfRule>
  </conditionalFormatting>
  <conditionalFormatting sqref="AA10">
    <cfRule type="expression" dxfId="42" priority="19">
      <formula>OR(AA10="T早", AA10="早", AA10="M1", AA10=1, AA10="日")</formula>
    </cfRule>
  </conditionalFormatting>
  <conditionalFormatting sqref="AA20">
    <cfRule type="expression" dxfId="41" priority="17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40" priority="16">
      <formula>OR(AA20="晚", AA20=3, AA20="大夜")</formula>
    </cfRule>
  </conditionalFormatting>
  <conditionalFormatting sqref="AE10:AF10">
    <cfRule type="expression" dxfId="39" priority="22">
      <formula>OR(AE10="T早", AE10="早", AE10="M1", AE10=1, AE10="日")</formula>
    </cfRule>
  </conditionalFormatting>
  <conditionalFormatting sqref="AG10:AG11">
    <cfRule type="expression" dxfId="38" priority="24">
      <formula>OR(AG10="T早", AG10="早", AG10="M1", AG10=1, AG10="日")</formula>
    </cfRule>
  </conditionalFormatting>
  <conditionalFormatting sqref="AH10">
    <cfRule type="expression" dxfId="37" priority="18">
      <formula>OR(AH10="T早", AH10="早", AH10="M1", AH10=1, AH10="日")</formula>
    </cfRule>
  </conditionalFormatting>
  <conditionalFormatting sqref="AM6:AN6">
    <cfRule type="expression" dxfId="36" priority="3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5" priority="2">
      <formula>OR(AM6="晚", AM6=3, AM6="大夜")</formula>
    </cfRule>
  </conditionalFormatting>
  <conditionalFormatting sqref="AN8">
    <cfRule type="expression" dxfId="34" priority="15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3" priority="14">
      <formula>OR(AN8="晚", AN8=3, AN8="大夜")</formula>
    </cfRule>
  </conditionalFormatting>
  <conditionalFormatting sqref="AN30:AN31">
    <cfRule type="expression" dxfId="32" priority="11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31" priority="10">
      <formula>OR(AN30="晚", AN30=3, AN30="大夜")</formula>
    </cfRule>
  </conditionalFormatting>
  <conditionalFormatting sqref="AN42">
    <cfRule type="expression" dxfId="30" priority="9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29" priority="8">
      <formula>OR(AN42="晚", AN42=3, AN42="大夜")</formula>
    </cfRule>
  </conditionalFormatting>
  <conditionalFormatting sqref="AP23">
    <cfRule type="cellIs" dxfId="28" priority="386" operator="equal">
      <formula>3</formula>
    </cfRule>
    <cfRule type="cellIs" dxfId="27" priority="384" operator="equal">
      <formula>"大夜"</formula>
    </cfRule>
    <cfRule type="cellIs" dxfId="26" priority="385" operator="equal">
      <formula>"晚"</formula>
    </cfRule>
    <cfRule type="cellIs" dxfId="25" priority="396" operator="equal">
      <formula>1</formula>
    </cfRule>
    <cfRule type="cellIs" dxfId="24" priority="387" operator="equal">
      <formula>"小夜"</formula>
    </cfRule>
    <cfRule type="cellIs" dxfId="23" priority="388" operator="equal">
      <formula>"T中"</formula>
    </cfRule>
    <cfRule type="cellIs" dxfId="22" priority="389" operator="equal">
      <formula>"中"</formula>
    </cfRule>
    <cfRule type="cellIs" dxfId="21" priority="390" operator="equal">
      <formula>"M2"</formula>
    </cfRule>
    <cfRule type="cellIs" dxfId="20" priority="391" operator="equal">
      <formula>2</formula>
    </cfRule>
    <cfRule type="cellIs" dxfId="19" priority="392" operator="equal">
      <formula>"日"</formula>
    </cfRule>
    <cfRule type="cellIs" dxfId="18" priority="393" operator="equal">
      <formula>"T早"</formula>
    </cfRule>
    <cfRule type="cellIs" dxfId="17" priority="394" operator="equal">
      <formula>"早"</formula>
    </cfRule>
    <cfRule type="cellIs" dxfId="16" priority="395" operator="equal">
      <formula>"M1"</formula>
    </cfRule>
  </conditionalFormatting>
  <conditionalFormatting sqref="AP30:AP34">
    <cfRule type="cellIs" dxfId="15" priority="369" operator="equal">
      <formula>"大夜"</formula>
    </cfRule>
    <cfRule type="cellIs" dxfId="14" priority="370" operator="equal">
      <formula>"晚"</formula>
    </cfRule>
    <cfRule type="cellIs" dxfId="13" priority="371" operator="equal">
      <formula>3</formula>
    </cfRule>
    <cfRule type="cellIs" dxfId="12" priority="372" operator="equal">
      <formula>"小夜"</formula>
    </cfRule>
    <cfRule type="cellIs" dxfId="11" priority="373" operator="equal">
      <formula>"T中"</formula>
    </cfRule>
    <cfRule type="cellIs" dxfId="10" priority="374" operator="equal">
      <formula>"中"</formula>
    </cfRule>
    <cfRule type="cellIs" dxfId="9" priority="375" operator="equal">
      <formula>"M2"</formula>
    </cfRule>
    <cfRule type="cellIs" dxfId="8" priority="377" operator="equal">
      <formula>"日"</formula>
    </cfRule>
    <cfRule type="cellIs" dxfId="7" priority="378" operator="equal">
      <formula>"T早"</formula>
    </cfRule>
    <cfRule type="cellIs" dxfId="6" priority="379" operator="equal">
      <formula>"早"</formula>
    </cfRule>
    <cfRule type="cellIs" dxfId="5" priority="380" operator="equal">
      <formula>"M1"</formula>
    </cfRule>
    <cfRule type="cellIs" dxfId="4" priority="381" operator="equal">
      <formula>1</formula>
    </cfRule>
    <cfRule type="cellIs" dxfId="3" priority="376" operator="equal">
      <formula>2</formula>
    </cfRule>
  </conditionalFormatting>
  <conditionalFormatting sqref="AS4:AS46">
    <cfRule type="cellIs" dxfId="2" priority="383" operator="equal">
      <formula>-1</formula>
    </cfRule>
    <cfRule type="cellIs" dxfId="1" priority="382" operator="equal">
      <formula>-2</formula>
    </cfRule>
  </conditionalFormatting>
  <conditionalFormatting sqref="AG8">
    <cfRule type="expression" dxfId="0" priority="1">
      <formula>OR(AG8="T早", AG8="早", AG8="M1", AG8=1, AG8="日")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2026-10-15T08:50:26Z</dcterms:modified>
</cp:coreProperties>
</file>