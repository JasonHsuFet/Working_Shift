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DC0A34AF-2DD3-4322-B986-2BE1552281B4}" xr6:coauthVersionLast="47" xr6:coauthVersionMax="47" xr10:uidLastSave="{00000000-0000-0000-0000-000000000000}"/>
  <bookViews>
    <workbookView xWindow="57480" yWindow="-120" windowWidth="29040" windowHeight="15840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O6" authorId="2" shapeId="0" xr:uid="{A27AE71A-67F8-4F03-B0A2-F9785A466DA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P6" authorId="1" shapeId="0" xr:uid="{D479EF6D-69D6-42C4-A0EB-92ACCDC7C54D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8" authorId="2" shapeId="0" xr:uid="{6C0DBC8E-D062-4585-85ED-C49EF433334C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E12" authorId="2" shapeId="0" xr:uid="{AA7E69B8-9E2D-4F0D-A3BD-0661760D8245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AH20" authorId="2" shapeId="0" xr:uid="{4C2765DA-5ED8-4C94-B1B0-9B19898E8E51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AN30" authorId="2" shapeId="0" xr:uid="{4763C82D-EE28-44EF-B796-07BCFFA857A3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AN31" authorId="2" shapeId="0" xr:uid="{90BE55B9-72CF-4C41-B241-AAA952C3604B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7EDBCC7B-EE94-418E-AC6F-3E8F47C83E5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8645ECEE-9812-416D-A25D-7B803EE1A828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5DFB3BA6-CC7E-4F2C-A1C2-CBB2261DC4F8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113D1ADB-ADD2-4423-A811-5F3B3F0DBE28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B03002B1-B22A-44CE-924B-D91BFEA1DF6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BB57279F-CE3C-4515-95E4-50EC0DD1FE2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B37AC8BD-804F-4748-8132-684F526E446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2" authorId="2" shapeId="0" xr:uid="{18F2C43D-30C7-4293-B7E2-459427EB2552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<sst xmlns="http://schemas.openxmlformats.org/spreadsheetml/2006/main" count="11597" uniqueCount="179">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</sst>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5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</cellXfs>
  <cellStyles count="2">
    <cellStyle name="一般" xfId="0" builtinId="0"/>
    <cellStyle name="一般 2" xfId="1" xr:uid="{49B4DAFB-6DB6-4F0B-A98F-E68CAA2AC64E}"/>
  </cellStyles>
  <dxfs count="374"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89996032593768116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"TPKC剩餘人力："&amp;AR59&amp;" / NK剩餘人力："&amp;AS59&amp;" /  N班人力："&amp;AR53</f>
        <v>TPKC剩餘人力：0 / NK剩餘人力：0 /  N班人力：92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60</v>
      </c>
      <c r="E2" s="489" t="s">
        <v>61</v>
      </c>
      <c r="F2" s="8" t="s">
        <v>62</v>
      </c>
      <c r="G2" s="8" t="s">
        <v>63</v>
      </c>
      <c r="H2" s="8" t="s">
        <v>64</v>
      </c>
      <c r="I2" s="479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84"/>
      <c r="B3" s="486"/>
      <c r="C3" s="486"/>
      <c r="D3" s="488"/>
      <c r="E3" s="490"/>
      <c r="F3" s="15" t="s">
        <v>74</v>
      </c>
      <c r="G3" s="15" t="s">
        <v>75</v>
      </c>
      <c r="H3" s="16" t="s">
        <v>76</v>
      </c>
      <c r="I3" s="480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373" priority="1" operator="equal">
      <formula>"大夜"</formula>
    </cfRule>
    <cfRule type="cellIs" dxfId="372" priority="2" operator="equal">
      <formula>"晚"</formula>
    </cfRule>
    <cfRule type="cellIs" dxfId="371" priority="3" operator="equal">
      <formula>3</formula>
    </cfRule>
    <cfRule type="cellIs" dxfId="370" priority="4" operator="equal">
      <formula>"小夜"</formula>
    </cfRule>
    <cfRule type="cellIs" dxfId="369" priority="5" operator="equal">
      <formula>"T中"</formula>
    </cfRule>
    <cfRule type="cellIs" dxfId="368" priority="6" operator="equal">
      <formula>"中"</formula>
    </cfRule>
    <cfRule type="cellIs" dxfId="367" priority="7" operator="equal">
      <formula>2</formula>
    </cfRule>
    <cfRule type="cellIs" dxfId="366" priority="8" operator="equal">
      <formula>"日"</formula>
    </cfRule>
    <cfRule type="cellIs" dxfId="365" priority="9" operator="equal">
      <formula>"T早"</formula>
    </cfRule>
    <cfRule type="cellIs" dxfId="364" priority="10" operator="equal">
      <formula>"早"</formula>
    </cfRule>
    <cfRule type="cellIs" dxfId="363" priority="11" operator="equal">
      <formula>"M1"</formula>
    </cfRule>
    <cfRule type="cellIs" dxfId="362" priority="12" operator="equal">
      <formula>1</formula>
    </cfRule>
    <cfRule type="expression" dxfId="361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60" priority="4256" operator="equal">
      <formula>5</formula>
    </cfRule>
    <cfRule type="cellIs" dxfId="359" priority="4257" operator="equal">
      <formula>4</formula>
    </cfRule>
    <cfRule type="cellIs" dxfId="358" priority="4258" operator="equal">
      <formula>3</formula>
    </cfRule>
    <cfRule type="cellIs" dxfId="357" priority="4259" operator="equal">
      <formula>2</formula>
    </cfRule>
    <cfRule type="cellIs" dxfId="356" priority="4260" operator="equal">
      <formula>1</formula>
    </cfRule>
  </conditionalFormatting>
  <conditionalFormatting sqref="K53:AO55">
    <cfRule type="cellIs" dxfId="355" priority="4261" operator="equal">
      <formula>"T中"</formula>
    </cfRule>
  </conditionalFormatting>
  <conditionalFormatting sqref="AP25">
    <cfRule type="cellIs" dxfId="354" priority="4564" operator="equal">
      <formula>"大夜"</formula>
    </cfRule>
    <cfRule type="cellIs" dxfId="353" priority="4565" operator="equal">
      <formula>"晚"</formula>
    </cfRule>
    <cfRule type="cellIs" dxfId="352" priority="4566" operator="equal">
      <formula>3</formula>
    </cfRule>
    <cfRule type="cellIs" dxfId="351" priority="4567" operator="equal">
      <formula>"小夜"</formula>
    </cfRule>
    <cfRule type="cellIs" dxfId="350" priority="4568" operator="equal">
      <formula>"T中"</formula>
    </cfRule>
    <cfRule type="cellIs" dxfId="349" priority="4569" operator="equal">
      <formula>"中"</formula>
    </cfRule>
    <cfRule type="cellIs" dxfId="348" priority="4570" operator="equal">
      <formula>"M2"</formula>
    </cfRule>
    <cfRule type="cellIs" dxfId="347" priority="4571" operator="equal">
      <formula>2</formula>
    </cfRule>
    <cfRule type="cellIs" dxfId="346" priority="4572" operator="equal">
      <formula>"日"</formula>
    </cfRule>
    <cfRule type="cellIs" dxfId="345" priority="4573" operator="equal">
      <formula>"T早"</formula>
    </cfRule>
    <cfRule type="cellIs" dxfId="344" priority="4574" operator="equal">
      <formula>"早"</formula>
    </cfRule>
    <cfRule type="cellIs" dxfId="343" priority="4575" operator="equal">
      <formula>"M1"</formula>
    </cfRule>
    <cfRule type="cellIs" dxfId="342" priority="4576" operator="equal">
      <formula>1</formula>
    </cfRule>
  </conditionalFormatting>
  <conditionalFormatting sqref="AS4:AS46">
    <cfRule type="cellIs" dxfId="341" priority="4562" operator="equal">
      <formula>-2</formula>
    </cfRule>
    <cfRule type="cellIs" dxfId="340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74" t="str">
        <f>"TPKC剩餘人力："&amp;AO59&amp;" / NK剩餘人力："&amp;AP59&amp;" /  N班人力："&amp;AO54</f>
        <v>TPKC剩餘人力：0 / NK剩餘人力：0 /  N班人力：32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183"/>
      <c r="AO1" s="6"/>
      <c r="AP1" s="7"/>
    </row>
    <row r="2" spans="1:223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3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38" priority="1">
      <formula>OR(K4=3, K4="晚",  K4="大夜")</formula>
    </cfRule>
    <cfRule type="expression" dxfId="337" priority="2">
      <formula>OR(K4="M2", K4=2, K4="中", K4="T中", K4="小夜")</formula>
    </cfRule>
    <cfRule type="expression" dxfId="336" priority="4">
      <formula>OR(K4="M1", K4=1, K4="早", K4="T早", K4="日")</formula>
    </cfRule>
  </conditionalFormatting>
  <conditionalFormatting sqref="K47:AL55">
    <cfRule type="cellIs" dxfId="335" priority="214" operator="equal">
      <formula>5</formula>
    </cfRule>
    <cfRule type="cellIs" dxfId="334" priority="215" operator="equal">
      <formula>4</formula>
    </cfRule>
    <cfRule type="cellIs" dxfId="333" priority="216" operator="equal">
      <formula>3</formula>
    </cfRule>
    <cfRule type="cellIs" dxfId="332" priority="217" operator="equal">
      <formula>2</formula>
    </cfRule>
    <cfRule type="cellIs" dxfId="331" priority="218" operator="equal">
      <formula>1</formula>
    </cfRule>
  </conditionalFormatting>
  <conditionalFormatting sqref="K53:AL55">
    <cfRule type="cellIs" dxfId="330" priority="219" operator="equal">
      <formula>"T中"</formula>
    </cfRule>
  </conditionalFormatting>
  <conditionalFormatting sqref="AM25">
    <cfRule type="cellIs" dxfId="329" priority="228" operator="equal">
      <formula>"大夜"</formula>
    </cfRule>
    <cfRule type="cellIs" dxfId="328" priority="229" operator="equal">
      <formula>"晚"</formula>
    </cfRule>
    <cfRule type="cellIs" dxfId="327" priority="230" operator="equal">
      <formula>3</formula>
    </cfRule>
    <cfRule type="cellIs" dxfId="326" priority="231" operator="equal">
      <formula>"小夜"</formula>
    </cfRule>
    <cfRule type="cellIs" dxfId="325" priority="232" operator="equal">
      <formula>"T中"</formula>
    </cfRule>
    <cfRule type="cellIs" dxfId="324" priority="233" operator="equal">
      <formula>"中"</formula>
    </cfRule>
    <cfRule type="cellIs" dxfId="323" priority="234" operator="equal">
      <formula>"M2"</formula>
    </cfRule>
    <cfRule type="cellIs" dxfId="322" priority="235" operator="equal">
      <formula>2</formula>
    </cfRule>
    <cfRule type="cellIs" dxfId="321" priority="236" operator="equal">
      <formula>"日"</formula>
    </cfRule>
    <cfRule type="cellIs" dxfId="320" priority="237" operator="equal">
      <formula>"T早"</formula>
    </cfRule>
    <cfRule type="cellIs" dxfId="319" priority="238" operator="equal">
      <formula>"早"</formula>
    </cfRule>
    <cfRule type="cellIs" dxfId="318" priority="239" operator="equal">
      <formula>"M1"</formula>
    </cfRule>
    <cfRule type="cellIs" dxfId="317" priority="240" operator="equal">
      <formula>1</formula>
    </cfRule>
  </conditionalFormatting>
  <conditionalFormatting sqref="AP4:AP46">
    <cfRule type="cellIs" dxfId="316" priority="226" operator="equal">
      <formula>-2</formula>
    </cfRule>
    <cfRule type="cellIs" dxfId="315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74" t="str">
        <f>"TPKC剩餘人力："&amp;AR58&amp;" / NK剩餘人力："&amp;AS58&amp;" /  N班人力："&amp;AR53</f>
        <v>TPKC剩餘人力：2 / NK剩餘人力：0 /  N班人力：114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314" priority="1">
      <formula>OR(K4=3, K4="晚",  K4="大夜")</formula>
    </cfRule>
    <cfRule type="expression" dxfId="313" priority="2">
      <formula>OR(K4="M2", K4=2, K4="中", K4="T中", K4="小夜")</formula>
    </cfRule>
    <cfRule type="expression" dxfId="312" priority="3">
      <formula>OR(K4="M1", K4=1, K4="早", K4="T早", K4="日")</formula>
    </cfRule>
    <cfRule type="expression" dxfId="311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10" priority="202" operator="equal">
      <formula>5</formula>
    </cfRule>
    <cfRule type="cellIs" dxfId="309" priority="203" operator="equal">
      <formula>4</formula>
    </cfRule>
    <cfRule type="cellIs" dxfId="308" priority="204" operator="equal">
      <formula>3</formula>
    </cfRule>
    <cfRule type="cellIs" dxfId="307" priority="205" operator="equal">
      <formula>2</formula>
    </cfRule>
    <cfRule type="cellIs" dxfId="306" priority="206" operator="equal">
      <formula>1</formula>
    </cfRule>
  </conditionalFormatting>
  <conditionalFormatting sqref="K53:AO55">
    <cfRule type="cellIs" dxfId="305" priority="207" operator="equal">
      <formula>"T中"</formula>
    </cfRule>
  </conditionalFormatting>
  <conditionalFormatting sqref="AP25">
    <cfRule type="cellIs" dxfId="304" priority="210" operator="equal">
      <formula>"大夜"</formula>
    </cfRule>
    <cfRule type="cellIs" dxfId="303" priority="211" operator="equal">
      <formula>"晚"</formula>
    </cfRule>
    <cfRule type="cellIs" dxfId="302" priority="212" operator="equal">
      <formula>3</formula>
    </cfRule>
    <cfRule type="cellIs" dxfId="301" priority="213" operator="equal">
      <formula>"小夜"</formula>
    </cfRule>
    <cfRule type="cellIs" dxfId="300" priority="214" operator="equal">
      <formula>"T中"</formula>
    </cfRule>
    <cfRule type="cellIs" dxfId="299" priority="215" operator="equal">
      <formula>"中"</formula>
    </cfRule>
    <cfRule type="cellIs" dxfId="298" priority="216" operator="equal">
      <formula>"M2"</formula>
    </cfRule>
    <cfRule type="cellIs" dxfId="297" priority="217" operator="equal">
      <formula>2</formula>
    </cfRule>
    <cfRule type="cellIs" dxfId="296" priority="218" operator="equal">
      <formula>"日"</formula>
    </cfRule>
    <cfRule type="cellIs" dxfId="295" priority="219" operator="equal">
      <formula>"T早"</formula>
    </cfRule>
    <cfRule type="cellIs" dxfId="294" priority="220" operator="equal">
      <formula>"早"</formula>
    </cfRule>
    <cfRule type="cellIs" dxfId="293" priority="221" operator="equal">
      <formula>"M1"</formula>
    </cfRule>
    <cfRule type="cellIs" dxfId="292" priority="222" operator="equal">
      <formula>1</formula>
    </cfRule>
  </conditionalFormatting>
  <conditionalFormatting sqref="AS4:AS46">
    <cfRule type="cellIs" dxfId="291" priority="208" operator="equal">
      <formula>-2</formula>
    </cfRule>
    <cfRule type="cellIs" dxfId="290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"TPKC剩餘人力："&amp;AQ58&amp;" / NK剩餘人力："&amp;AR58&amp;" /  N班人力："&amp;AQ53</f>
        <v>TPKC剩餘人力：0 / NK剩餘人力：0 /  N班人力：76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Q1" s="6"/>
      <c r="AR1" s="7"/>
    </row>
    <row r="2" spans="1:224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289" priority="65">
      <formula>OR(K4="T中", K4="中", K4=2, K4="小夜")</formula>
    </cfRule>
    <cfRule type="expression" dxfId="288" priority="66">
      <formula>OR(K4="T早", K4="早", K4="M1", K4=1, K4="日")</formula>
    </cfRule>
  </conditionalFormatting>
  <conditionalFormatting sqref="K4:AN46">
    <cfRule type="expression" dxfId="287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86" priority="4">
      <formula>OR(K4="晚", K4=3, K4="大夜")</formula>
    </cfRule>
  </conditionalFormatting>
  <conditionalFormatting sqref="K47:AN55">
    <cfRule type="cellIs" dxfId="285" priority="71" operator="equal">
      <formula>5</formula>
    </cfRule>
    <cfRule type="cellIs" dxfId="284" priority="72" operator="equal">
      <formula>4</formula>
    </cfRule>
    <cfRule type="cellIs" dxfId="283" priority="73" operator="equal">
      <formula>3</formula>
    </cfRule>
    <cfRule type="cellIs" dxfId="282" priority="74" operator="equal">
      <formula>2</formula>
    </cfRule>
    <cfRule type="cellIs" dxfId="281" priority="75" operator="equal">
      <formula>1</formula>
    </cfRule>
  </conditionalFormatting>
  <conditionalFormatting sqref="K53:AN55">
    <cfRule type="cellIs" dxfId="280" priority="76" operator="equal">
      <formula>"T中"</formula>
    </cfRule>
  </conditionalFormatting>
  <conditionalFormatting sqref="AM8:AN8">
    <cfRule type="expression" dxfId="279" priority="2">
      <formula>OR(AM8="T中", AM8="中", AM8=2, AM8="小夜")</formula>
    </cfRule>
    <cfRule type="expression" dxfId="278" priority="3">
      <formula>OR(AM8="T早", AM8="早", AM8="M1", AM8=1, AM8="日")</formula>
    </cfRule>
  </conditionalFormatting>
  <conditionalFormatting sqref="AO25">
    <cfRule type="cellIs" dxfId="277" priority="83" operator="equal">
      <formula>"大夜"</formula>
    </cfRule>
    <cfRule type="cellIs" dxfId="276" priority="84" operator="equal">
      <formula>"晚"</formula>
    </cfRule>
    <cfRule type="cellIs" dxfId="275" priority="85" operator="equal">
      <formula>3</formula>
    </cfRule>
    <cfRule type="cellIs" dxfId="274" priority="86" operator="equal">
      <formula>"小夜"</formula>
    </cfRule>
    <cfRule type="cellIs" dxfId="273" priority="87" operator="equal">
      <formula>"T中"</formula>
    </cfRule>
    <cfRule type="cellIs" dxfId="272" priority="88" operator="equal">
      <formula>"中"</formula>
    </cfRule>
    <cfRule type="cellIs" dxfId="271" priority="89" operator="equal">
      <formula>"M2"</formula>
    </cfRule>
    <cfRule type="cellIs" dxfId="270" priority="90" operator="equal">
      <formula>2</formula>
    </cfRule>
    <cfRule type="cellIs" dxfId="269" priority="91" operator="equal">
      <formula>"日"</formula>
    </cfRule>
    <cfRule type="cellIs" dxfId="268" priority="92" operator="equal">
      <formula>"T早"</formula>
    </cfRule>
    <cfRule type="cellIs" dxfId="267" priority="93" operator="equal">
      <formula>"早"</formula>
    </cfRule>
    <cfRule type="cellIs" dxfId="266" priority="94" operator="equal">
      <formula>"M1"</formula>
    </cfRule>
    <cfRule type="cellIs" dxfId="265" priority="95" operator="equal">
      <formula>1</formula>
    </cfRule>
  </conditionalFormatting>
  <conditionalFormatting sqref="AR4:AR46">
    <cfRule type="cellIs" dxfId="264" priority="81" operator="equal">
      <formula>-2</formula>
    </cfRule>
    <cfRule type="cellIs" dxfId="263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74" t="str">
        <f>"TPKC剩餘人力："&amp;AR57&amp;" / NK剩餘人力："&amp;AS57&amp;" /  N班人力："&amp;AR52</f>
        <v>TPKC剩餘人力：0 / NK剩餘人力：0 /  N班人力：79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262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61" priority="6">
      <formula>OR(K4="T中", K4="中", K4=2, K4="小夜")</formula>
    </cfRule>
    <cfRule type="expression" dxfId="260" priority="7">
      <formula>OR(K4="T早", K4="早", K4="M1", K4=1, K4="日")</formula>
    </cfRule>
    <cfRule type="expression" dxfId="259" priority="8">
      <formula>OR(K4="晚", K4=3, K4="大夜")</formula>
    </cfRule>
  </conditionalFormatting>
  <conditionalFormatting sqref="K46:AO54">
    <cfRule type="cellIs" dxfId="258" priority="727" operator="equal">
      <formula>5</formula>
    </cfRule>
    <cfRule type="cellIs" dxfId="257" priority="728" operator="equal">
      <formula>4</formula>
    </cfRule>
    <cfRule type="cellIs" dxfId="256" priority="729" operator="equal">
      <formula>3</formula>
    </cfRule>
    <cfRule type="cellIs" dxfId="255" priority="730" operator="equal">
      <formula>2</formula>
    </cfRule>
    <cfRule type="cellIs" dxfId="254" priority="731" operator="equal">
      <formula>1</formula>
    </cfRule>
  </conditionalFormatting>
  <conditionalFormatting sqref="K52:AO54">
    <cfRule type="cellIs" dxfId="253" priority="732" operator="equal">
      <formula>"T中"</formula>
    </cfRule>
  </conditionalFormatting>
  <conditionalFormatting sqref="AP25">
    <cfRule type="cellIs" dxfId="252" priority="735" operator="equal">
      <formula>"大夜"</formula>
    </cfRule>
    <cfRule type="cellIs" dxfId="251" priority="736" operator="equal">
      <formula>"晚"</formula>
    </cfRule>
    <cfRule type="cellIs" dxfId="250" priority="737" operator="equal">
      <formula>3</formula>
    </cfRule>
    <cfRule type="cellIs" dxfId="249" priority="738" operator="equal">
      <formula>"小夜"</formula>
    </cfRule>
    <cfRule type="cellIs" dxfId="248" priority="739" operator="equal">
      <formula>"T中"</formula>
    </cfRule>
    <cfRule type="cellIs" dxfId="247" priority="740" operator="equal">
      <formula>"中"</formula>
    </cfRule>
    <cfRule type="cellIs" dxfId="246" priority="741" operator="equal">
      <formula>"M2"</formula>
    </cfRule>
    <cfRule type="cellIs" dxfId="245" priority="742" operator="equal">
      <formula>2</formula>
    </cfRule>
    <cfRule type="cellIs" dxfId="244" priority="743" operator="equal">
      <formula>"日"</formula>
    </cfRule>
    <cfRule type="cellIs" dxfId="243" priority="744" operator="equal">
      <formula>"T早"</formula>
    </cfRule>
    <cfRule type="cellIs" dxfId="242" priority="745" operator="equal">
      <formula>"早"</formula>
    </cfRule>
    <cfRule type="cellIs" dxfId="241" priority="746" operator="equal">
      <formula>"M1"</formula>
    </cfRule>
    <cfRule type="cellIs" dxfId="240" priority="747" operator="equal">
      <formula>1</formula>
    </cfRule>
  </conditionalFormatting>
  <conditionalFormatting sqref="AS4:AS45">
    <cfRule type="cellIs" dxfId="239" priority="733" operator="equal">
      <formula>-2</formula>
    </cfRule>
    <cfRule type="cellIs" dxfId="238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74" t="str">
        <f>"TPKC剩餘人力："&amp;AQ56&amp;" / NK剩餘人力："&amp;AR56&amp;" /  N班人力："&amp;AQ51</f>
        <v>TPKC剩餘人力：-2 / NK剩餘人力：0 /  N班人力：100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Q1" s="6"/>
      <c r="AR1" s="7"/>
    </row>
    <row r="2" spans="1:224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1" t="s">
        <v>48</v>
      </c>
      <c r="AV2" s="472"/>
      <c r="AW2" s="473"/>
    </row>
    <row r="3" spans="1:224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38:V38 K4:AN6 K7:AL7 K8:AN35 K36:AO36 K37:AN37 K39:AN44">
    <cfRule type="expression" dxfId="237" priority="17">
      <formula>OR(K4="晚", K4=3, K4="大夜")</formula>
    </cfRule>
  </conditionalFormatting>
  <conditionalFormatting sqref="K4:AN6 K7:AL7 K8:AN35 K36:AO36 K37:AN37 K38 M38:Y38 AB38:AH38 AJ38:AN38 K39:AN44">
    <cfRule type="expression" dxfId="236" priority="32">
      <formula>OR(K4="T中", K4="中", K4=2, K4="小夜")</formula>
    </cfRule>
    <cfRule type="expression" dxfId="235" priority="33">
      <formula>OR(K4="T早", K4="早", K4="M1", K4=1, K4="日")</formula>
    </cfRule>
  </conditionalFormatting>
  <conditionalFormatting sqref="K37:AN44 K4:AN6 K7:AL7 K8:AN35 K36:AO36">
    <cfRule type="expression" dxfId="234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33" priority="52" operator="equal">
      <formula>5</formula>
    </cfRule>
    <cfRule type="cellIs" dxfId="232" priority="53" operator="equal">
      <formula>4</formula>
    </cfRule>
    <cfRule type="cellIs" dxfId="231" priority="54" operator="equal">
      <formula>3</formula>
    </cfRule>
    <cfRule type="cellIs" dxfId="230" priority="55" operator="equal">
      <formula>2</formula>
    </cfRule>
    <cfRule type="cellIs" dxfId="229" priority="56" operator="equal">
      <formula>1</formula>
    </cfRule>
  </conditionalFormatting>
  <conditionalFormatting sqref="K51:AN53">
    <cfRule type="cellIs" dxfId="228" priority="57" operator="equal">
      <formula>"T中"</formula>
    </cfRule>
  </conditionalFormatting>
  <conditionalFormatting sqref="L38">
    <cfRule type="expression" dxfId="227" priority="15">
      <formula>OR(L38="T中", L38="中", L38=2, L38="小夜")</formula>
    </cfRule>
    <cfRule type="expression" dxfId="226" priority="16">
      <formula>OR(L38="T早", L38="早", L38="M1", L38=1, L38="日")</formula>
    </cfRule>
  </conditionalFormatting>
  <conditionalFormatting sqref="T38">
    <cfRule type="expression" dxfId="225" priority="7">
      <formula>OR(T38="T中", T38="中", T38=2, T38="小夜")</formula>
    </cfRule>
    <cfRule type="expression" dxfId="224" priority="8">
      <formula>OR(T38="T早", T38="早", T38="M1", T38=1, T38="日")</formula>
    </cfRule>
    <cfRule type="expression" dxfId="223" priority="9">
      <formula>OR(T38="晚", T38=3, T38="大夜")</formula>
    </cfRule>
  </conditionalFormatting>
  <conditionalFormatting sqref="V38">
    <cfRule type="expression" dxfId="222" priority="11">
      <formula>OR(V38="T中", V38="中", V38=2, V38="小夜")</formula>
    </cfRule>
    <cfRule type="expression" dxfId="221" priority="12">
      <formula>OR(V38="T早", V38="早", V38="M1", V38=1, V38="日")</formula>
    </cfRule>
    <cfRule type="expression" dxfId="220" priority="13">
      <formula>OR(V38="晚", V38=3, V38="大夜")</formula>
    </cfRule>
  </conditionalFormatting>
  <conditionalFormatting sqref="W38:AA38">
    <cfRule type="expression" dxfId="219" priority="21">
      <formula>OR(W38="晚", W38=3, W38="大夜")</formula>
    </cfRule>
  </conditionalFormatting>
  <conditionalFormatting sqref="Y38">
    <cfRule type="expression" dxfId="218" priority="6">
      <formula>OR(Y38="晚", Y38=3, Y38="大夜")</formula>
    </cfRule>
  </conditionalFormatting>
  <conditionalFormatting sqref="Z38:AA38">
    <cfRule type="expression" dxfId="217" priority="19">
      <formula>OR(Z38="T中", Z38="中", Z38=2, Z38="小夜")</formula>
    </cfRule>
    <cfRule type="expression" dxfId="216" priority="20">
      <formula>OR(Z38="T早", Z38="早", Z38="M1", Z38=1, Z38="日")</formula>
    </cfRule>
  </conditionalFormatting>
  <conditionalFormatting sqref="AB38:AN38">
    <cfRule type="expression" dxfId="215" priority="25">
      <formula>OR(AB38="晚", AB38=3, AB38="大夜")</formula>
    </cfRule>
  </conditionalFormatting>
  <conditionalFormatting sqref="AI38:AJ38">
    <cfRule type="expression" dxfId="214" priority="23">
      <formula>OR(AI38="T中", AI38="中", AI38=2, AI38="小夜")</formula>
    </cfRule>
    <cfRule type="expression" dxfId="213" priority="24">
      <formula>OR(AI38="T早", AI38="早", AI38="M1", AI38=1, AI38="日")</formula>
    </cfRule>
  </conditionalFormatting>
  <conditionalFormatting sqref="AJ38">
    <cfRule type="expression" dxfId="212" priority="1">
      <formula>OR(AJ38="晚", AJ38=3, AJ38="大夜")</formula>
    </cfRule>
  </conditionalFormatting>
  <conditionalFormatting sqref="AO24">
    <cfRule type="cellIs" dxfId="211" priority="60" operator="equal">
      <formula>"大夜"</formula>
    </cfRule>
    <cfRule type="cellIs" dxfId="210" priority="61" operator="equal">
      <formula>"晚"</formula>
    </cfRule>
    <cfRule type="cellIs" dxfId="209" priority="62" operator="equal">
      <formula>3</formula>
    </cfRule>
    <cfRule type="cellIs" dxfId="208" priority="63" operator="equal">
      <formula>"小夜"</formula>
    </cfRule>
    <cfRule type="cellIs" dxfId="207" priority="64" operator="equal">
      <formula>"T中"</formula>
    </cfRule>
    <cfRule type="cellIs" dxfId="206" priority="65" operator="equal">
      <formula>"中"</formula>
    </cfRule>
    <cfRule type="cellIs" dxfId="205" priority="66" operator="equal">
      <formula>"M2"</formula>
    </cfRule>
    <cfRule type="cellIs" dxfId="204" priority="67" operator="equal">
      <formula>2</formula>
    </cfRule>
    <cfRule type="cellIs" dxfId="203" priority="68" operator="equal">
      <formula>"日"</formula>
    </cfRule>
    <cfRule type="cellIs" dxfId="202" priority="69" operator="equal">
      <formula>"T早"</formula>
    </cfRule>
    <cfRule type="cellIs" dxfId="201" priority="70" operator="equal">
      <formula>"早"</formula>
    </cfRule>
    <cfRule type="cellIs" dxfId="200" priority="71" operator="equal">
      <formula>"M1"</formula>
    </cfRule>
    <cfRule type="cellIs" dxfId="199" priority="72" operator="equal">
      <formula>1</formula>
    </cfRule>
  </conditionalFormatting>
  <conditionalFormatting sqref="AR4:AR44">
    <cfRule type="cellIs" dxfId="198" priority="58" operator="equal">
      <formula>-2</formula>
    </cfRule>
    <cfRule type="cellIs" dxfId="197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74" t="str">
        <f>"TPKC剩餘人力："&amp;AS56&amp;" / NK剩餘人力："&amp;AT56&amp;" /  N班人力："&amp;AS51</f>
        <v>TPKC剩餘人力：5 / NK剩餘人力：2 /  N班人力：115</v>
      </c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5"/>
      <c r="AJ1" s="476"/>
      <c r="AK1" s="475"/>
      <c r="AL1" s="475"/>
      <c r="AM1" s="477"/>
      <c r="AN1" s="478"/>
      <c r="AO1" s="478"/>
      <c r="AP1" s="5"/>
      <c r="AS1" s="6"/>
      <c r="AT1" s="7"/>
    </row>
    <row r="2" spans="1:227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489" t="s">
        <v>163</v>
      </c>
      <c r="G2" s="8" t="s">
        <v>106</v>
      </c>
      <c r="H2" s="8" t="s">
        <v>107</v>
      </c>
      <c r="I2" s="8" t="s">
        <v>108</v>
      </c>
      <c r="J2" s="479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1" t="s">
        <v>48</v>
      </c>
      <c r="AX2" s="472"/>
      <c r="AY2" s="473"/>
    </row>
    <row r="3" spans="1:227" ht="24.6" customHeight="1" thickBot="1">
      <c r="A3" s="484"/>
      <c r="B3" s="486"/>
      <c r="C3" s="486"/>
      <c r="D3" s="488"/>
      <c r="E3" s="490"/>
      <c r="F3" s="490"/>
      <c r="G3" s="15" t="s">
        <v>118</v>
      </c>
      <c r="H3" s="15" t="s">
        <v>119</v>
      </c>
      <c r="I3" s="16" t="s">
        <v>120</v>
      </c>
      <c r="J3" s="480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A2:A3"/>
    <mergeCell ref="B2:B3"/>
    <mergeCell ref="C2:C3"/>
    <mergeCell ref="D2:D3"/>
    <mergeCell ref="E2:E3"/>
    <mergeCell ref="F2:F3"/>
    <mergeCell ref="AW2:AY2"/>
    <mergeCell ref="L1:AI1"/>
    <mergeCell ref="AJ1:AL1"/>
    <mergeCell ref="AM1:AO1"/>
    <mergeCell ref="J2:J3"/>
    <mergeCell ref="K2:K3"/>
  </mergeCells>
  <conditionalFormatting sqref="L4:T38 V4:AP38 L39:AP40 L41:T41 V41:AP41 L42:AP44">
    <cfRule type="expression" dxfId="196" priority="15">
      <formula>"OR(K4=""T中"", K4=""中"", K4=2, K4=""小夜"")"</formula>
    </cfRule>
    <cfRule type="expression" dxfId="195" priority="16">
      <formula>OR(L4="T早", L4="早", L4="M1", L4=1, L4="日")</formula>
    </cfRule>
    <cfRule type="expression" dxfId="194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93" priority="14">
      <formula>OR(L4="晚", L4=3, L4="大夜")</formula>
    </cfRule>
  </conditionalFormatting>
  <conditionalFormatting sqref="L45:AP53">
    <cfRule type="cellIs" dxfId="192" priority="1246" operator="equal">
      <formula>3</formula>
    </cfRule>
    <cfRule type="cellIs" dxfId="191" priority="1244" operator="equal">
      <formula>5</formula>
    </cfRule>
    <cfRule type="cellIs" dxfId="190" priority="1245" operator="equal">
      <formula>4</formula>
    </cfRule>
    <cfRule type="cellIs" dxfId="189" priority="1248" operator="equal">
      <formula>1</formula>
    </cfRule>
    <cfRule type="cellIs" dxfId="188" priority="1247" operator="equal">
      <formula>2</formula>
    </cfRule>
  </conditionalFormatting>
  <conditionalFormatting sqref="L51:AP53">
    <cfRule type="cellIs" dxfId="187" priority="1249" operator="equal">
      <formula>"T中"</formula>
    </cfRule>
  </conditionalFormatting>
  <conditionalFormatting sqref="U4:U10 U12:U38">
    <cfRule type="expression" dxfId="186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85" priority="10">
      <formula>OR(U4="晚", U4=3, U4="大夜")</formula>
    </cfRule>
    <cfRule type="expression" dxfId="184" priority="11">
      <formula>"OR(K4=""T中"", K4=""中"", K4=2, K4=""小夜"")"</formula>
    </cfRule>
    <cfRule type="expression" dxfId="183" priority="12">
      <formula>OR(U4="T早", U4="早", U4="M1", U4=1, U4="日")</formula>
    </cfRule>
  </conditionalFormatting>
  <conditionalFormatting sqref="U11">
    <cfRule type="expression" dxfId="182" priority="2">
      <formula>OR(U11="晚", U11=3, U11="大夜")</formula>
    </cfRule>
    <cfRule type="expression" dxfId="181" priority="3">
      <formula>"OR(K4=""T中"", K4=""中"", K4=2, K4=""小夜"")"</formula>
    </cfRule>
    <cfRule type="expression" dxfId="180" priority="4">
      <formula>OR(U11="T早", U11="早", U11="M1", U11=1, U11="日")</formula>
    </cfRule>
    <cfRule type="expression" dxfId="179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78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77" priority="8">
      <formula>OR(U41="T早", U41="早", U41="M1", U41=1, U41="日")</formula>
    </cfRule>
    <cfRule type="expression" dxfId="176" priority="7">
      <formula>"OR(K4=""T中"", K4=""中"", K4=2, K4=""小夜"")"</formula>
    </cfRule>
    <cfRule type="expression" dxfId="175" priority="6">
      <formula>OR(U41="晚", U41=3, U41="大夜")</formula>
    </cfRule>
  </conditionalFormatting>
  <conditionalFormatting sqref="AQ24">
    <cfRule type="cellIs" dxfId="174" priority="1252" operator="equal">
      <formula>"大夜"</formula>
    </cfRule>
    <cfRule type="cellIs" dxfId="173" priority="1253" operator="equal">
      <formula>"晚"</formula>
    </cfRule>
    <cfRule type="cellIs" dxfId="172" priority="1254" operator="equal">
      <formula>3</formula>
    </cfRule>
    <cfRule type="cellIs" dxfId="171" priority="1255" operator="equal">
      <formula>"小夜"</formula>
    </cfRule>
    <cfRule type="cellIs" dxfId="170" priority="1256" operator="equal">
      <formula>"T中"</formula>
    </cfRule>
    <cfRule type="cellIs" dxfId="169" priority="1257" operator="equal">
      <formula>"中"</formula>
    </cfRule>
    <cfRule type="cellIs" dxfId="168" priority="1258" operator="equal">
      <formula>"M2"</formula>
    </cfRule>
    <cfRule type="cellIs" dxfId="167" priority="1259" operator="equal">
      <formula>2</formula>
    </cfRule>
    <cfRule type="cellIs" dxfId="166" priority="1260" operator="equal">
      <formula>"日"</formula>
    </cfRule>
    <cfRule type="cellIs" dxfId="165" priority="1261" operator="equal">
      <formula>"T早"</formula>
    </cfRule>
    <cfRule type="cellIs" dxfId="164" priority="1262" operator="equal">
      <formula>"早"</formula>
    </cfRule>
    <cfRule type="cellIs" dxfId="163" priority="1263" operator="equal">
      <formula>"M1"</formula>
    </cfRule>
    <cfRule type="cellIs" dxfId="162" priority="1264" operator="equal">
      <formula>1</formula>
    </cfRule>
  </conditionalFormatting>
  <conditionalFormatting sqref="AT4:AT44">
    <cfRule type="cellIs" dxfId="161" priority="1250" operator="equal">
      <formula>-2</formula>
    </cfRule>
    <cfRule type="cellIs" dxfId="160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"TPKC剩餘人力："&amp;AR57&amp;" / NK剩餘人力："&amp;AS57&amp;" /  N班人力："&amp;AR52</f>
        <v>TPKC剩餘人力：-1 / NK剩餘人力：0 /  N班人力：62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159" priority="1">
      <formula>OR(K4="晚", K4=3, K4="大夜")</formula>
    </cfRule>
    <cfRule type="expression" dxfId="158" priority="2">
      <formula>OR(K4="T中", K4="中", K4=2, K4="小夜")</formula>
    </cfRule>
    <cfRule type="expression" dxfId="157" priority="3">
      <formula>OR(K4="T早", K4="早", K4="M1", K4=1, K4="日")</formula>
    </cfRule>
    <cfRule type="expression" dxfId="156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55" priority="12" operator="greaterThan">
      <formula>5</formula>
    </cfRule>
  </conditionalFormatting>
  <conditionalFormatting sqref="K46:AO54">
    <cfRule type="cellIs" dxfId="154" priority="1110" operator="equal">
      <formula>5</formula>
    </cfRule>
    <cfRule type="cellIs" dxfId="153" priority="1111" operator="equal">
      <formula>4</formula>
    </cfRule>
    <cfRule type="cellIs" dxfId="152" priority="1112" operator="equal">
      <formula>3</formula>
    </cfRule>
    <cfRule type="cellIs" dxfId="151" priority="1113" operator="equal">
      <formula>2</formula>
    </cfRule>
    <cfRule type="cellIs" dxfId="150" priority="1114" operator="equal">
      <formula>1</formula>
    </cfRule>
  </conditionalFormatting>
  <conditionalFormatting sqref="K52:AO54">
    <cfRule type="cellIs" dxfId="149" priority="1115" operator="equal">
      <formula>"T中"</formula>
    </cfRule>
  </conditionalFormatting>
  <conditionalFormatting sqref="AP24">
    <cfRule type="cellIs" dxfId="148" priority="1157" operator="equal">
      <formula>"T中"</formula>
    </cfRule>
    <cfRule type="cellIs" dxfId="147" priority="1158" operator="equal">
      <formula>"中"</formula>
    </cfRule>
    <cfRule type="cellIs" dxfId="146" priority="1159" operator="equal">
      <formula>"M2"</formula>
    </cfRule>
    <cfRule type="cellIs" dxfId="145" priority="1160" operator="equal">
      <formula>2</formula>
    </cfRule>
    <cfRule type="cellIs" dxfId="144" priority="1161" operator="equal">
      <formula>"日"</formula>
    </cfRule>
    <cfRule type="cellIs" dxfId="143" priority="1162" operator="equal">
      <formula>"T早"</formula>
    </cfRule>
    <cfRule type="cellIs" dxfId="142" priority="1163" operator="equal">
      <formula>"早"</formula>
    </cfRule>
    <cfRule type="cellIs" dxfId="141" priority="1164" operator="equal">
      <formula>"M1"</formula>
    </cfRule>
    <cfRule type="cellIs" dxfId="140" priority="1165" operator="equal">
      <formula>1</formula>
    </cfRule>
    <cfRule type="cellIs" dxfId="139" priority="1153" operator="equal">
      <formula>"大夜"</formula>
    </cfRule>
    <cfRule type="cellIs" dxfId="138" priority="1154" operator="equal">
      <formula>"晚"</formula>
    </cfRule>
    <cfRule type="cellIs" dxfId="137" priority="1155" operator="equal">
      <formula>3</formula>
    </cfRule>
    <cfRule type="cellIs" dxfId="136" priority="1156" operator="equal">
      <formula>"小夜"</formula>
    </cfRule>
  </conditionalFormatting>
  <conditionalFormatting sqref="AP31:AP32">
    <cfRule type="cellIs" dxfId="135" priority="1138" operator="equal">
      <formula>"大夜"</formula>
    </cfRule>
    <cfRule type="cellIs" dxfId="134" priority="1139" operator="equal">
      <formula>"晚"</formula>
    </cfRule>
    <cfRule type="cellIs" dxfId="133" priority="1140" operator="equal">
      <formula>3</formula>
    </cfRule>
    <cfRule type="cellIs" dxfId="132" priority="1141" operator="equal">
      <formula>"小夜"</formula>
    </cfRule>
    <cfRule type="cellIs" dxfId="131" priority="1142" operator="equal">
      <formula>"T中"</formula>
    </cfRule>
    <cfRule type="cellIs" dxfId="130" priority="1143" operator="equal">
      <formula>"中"</formula>
    </cfRule>
    <cfRule type="cellIs" dxfId="129" priority="1144" operator="equal">
      <formula>"M2"</formula>
    </cfRule>
    <cfRule type="cellIs" dxfId="128" priority="1145" operator="equal">
      <formula>2</formula>
    </cfRule>
    <cfRule type="cellIs" dxfId="127" priority="1147" operator="equal">
      <formula>"T早"</formula>
    </cfRule>
    <cfRule type="cellIs" dxfId="126" priority="1148" operator="equal">
      <formula>"早"</formula>
    </cfRule>
    <cfRule type="cellIs" dxfId="125" priority="1149" operator="equal">
      <formula>"M1"</formula>
    </cfRule>
    <cfRule type="cellIs" dxfId="124" priority="1150" operator="equal">
      <formula>1</formula>
    </cfRule>
    <cfRule type="cellIs" dxfId="123" priority="1146" operator="equal">
      <formula>"日"</formula>
    </cfRule>
  </conditionalFormatting>
  <conditionalFormatting sqref="AS4:AS45">
    <cfRule type="cellIs" dxfId="122" priority="1151" operator="equal">
      <formula>-2</formula>
    </cfRule>
    <cfRule type="cellIs" dxfId="121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N10" sqref="N10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0" t="str">
        <f>"TPKC剩餘人力："&amp;AQ58&amp;" / NK剩餘人力："&amp;AR58&amp;" /  N班人力："&amp;AQ53</f>
        <v>TPKC剩餘人力：-1 / NK剩餘人力：0 /  N班人力：71</v>
      </c>
      <c r="L1" s="501"/>
      <c r="M1" s="501"/>
      <c r="N1" s="501"/>
      <c r="O1" s="501"/>
      <c r="P1" s="501"/>
      <c r="Q1" s="501"/>
      <c r="R1" s="501"/>
      <c r="S1" s="501"/>
      <c r="T1" s="501"/>
      <c r="U1" s="501"/>
      <c r="V1" s="501"/>
      <c r="W1" s="501"/>
      <c r="X1" s="501"/>
      <c r="Y1" s="501"/>
      <c r="Z1" s="501"/>
      <c r="AA1" s="501"/>
      <c r="AB1" s="501"/>
      <c r="AC1" s="501"/>
      <c r="AD1" s="501"/>
      <c r="AE1" s="501"/>
      <c r="AF1" s="501"/>
      <c r="AG1" s="501"/>
      <c r="AH1" s="501"/>
      <c r="AI1" s="502"/>
      <c r="AJ1" s="502"/>
      <c r="AK1" s="502"/>
      <c r="AL1" s="503"/>
      <c r="AM1" s="503"/>
      <c r="AN1" s="503"/>
      <c r="AQ1" s="6"/>
      <c r="AR1" s="7"/>
    </row>
    <row r="2" spans="1:225" ht="23.25" customHeight="1" thickBot="1">
      <c r="A2" s="507">
        <v>1</v>
      </c>
      <c r="B2" s="509">
        <v>2</v>
      </c>
      <c r="C2" s="509">
        <v>3</v>
      </c>
      <c r="D2" s="511" t="s">
        <v>104</v>
      </c>
      <c r="E2" s="513" t="s">
        <v>105</v>
      </c>
      <c r="F2" s="8" t="s">
        <v>106</v>
      </c>
      <c r="G2" s="8" t="s">
        <v>107</v>
      </c>
      <c r="H2" s="8" t="s">
        <v>108</v>
      </c>
      <c r="I2" s="504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1" t="s">
        <v>48</v>
      </c>
      <c r="AW2" s="472"/>
      <c r="AX2" s="473"/>
    </row>
    <row r="3" spans="1:225" ht="24.6" customHeight="1" thickBot="1">
      <c r="A3" s="508"/>
      <c r="B3" s="510"/>
      <c r="C3" s="510"/>
      <c r="D3" s="512"/>
      <c r="E3" s="514"/>
      <c r="F3" s="15" t="s">
        <v>118</v>
      </c>
      <c r="G3" s="15" t="s">
        <v>119</v>
      </c>
      <c r="H3" s="16" t="s">
        <v>120</v>
      </c>
      <c r="I3" s="505"/>
      <c r="J3" s="506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N46">
    <cfRule type="expression" dxfId="120" priority="1">
      <formula>OR(K4="晚", K4=3, K4="大夜")</formula>
    </cfRule>
    <cfRule type="expression" dxfId="119" priority="2">
      <formula>OR(K4="T中", K4="中", K4=2, K4="小夜")</formula>
    </cfRule>
    <cfRule type="expression" dxfId="118" priority="3">
      <formula>OR(K4="T早", K4="早", K4="M1", K4=1, K4="日")</formula>
    </cfRule>
    <cfRule type="expression" dxfId="117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16" priority="5" operator="greaterThan">
      <formula>5</formula>
    </cfRule>
  </conditionalFormatting>
  <conditionalFormatting sqref="K47:AN55">
    <cfRule type="cellIs" dxfId="115" priority="6" operator="equal">
      <formula>5</formula>
    </cfRule>
    <cfRule type="cellIs" dxfId="114" priority="7" operator="equal">
      <formula>4</formula>
    </cfRule>
    <cfRule type="cellIs" dxfId="113" priority="8" operator="equal">
      <formula>3</formula>
    </cfRule>
    <cfRule type="cellIs" dxfId="112" priority="9" operator="equal">
      <formula>2</formula>
    </cfRule>
    <cfRule type="cellIs" dxfId="111" priority="10" operator="equal">
      <formula>1</formula>
    </cfRule>
  </conditionalFormatting>
  <conditionalFormatting sqref="K53:AN55">
    <cfRule type="cellIs" dxfId="110" priority="11" operator="equal">
      <formula>"T中"</formula>
    </cfRule>
  </conditionalFormatting>
  <conditionalFormatting sqref="AO23">
    <cfRule type="cellIs" dxfId="109" priority="31" operator="equal">
      <formula>"T中"</formula>
    </cfRule>
    <cfRule type="cellIs" dxfId="108" priority="32" operator="equal">
      <formula>"中"</formula>
    </cfRule>
    <cfRule type="cellIs" dxfId="107" priority="33" operator="equal">
      <formula>"M2"</formula>
    </cfRule>
    <cfRule type="cellIs" dxfId="106" priority="34" operator="equal">
      <formula>2</formula>
    </cfRule>
    <cfRule type="cellIs" dxfId="105" priority="35" operator="equal">
      <formula>"日"</formula>
    </cfRule>
    <cfRule type="cellIs" dxfId="104" priority="36" operator="equal">
      <formula>"T早"</formula>
    </cfRule>
    <cfRule type="cellIs" dxfId="103" priority="37" operator="equal">
      <formula>"早"</formula>
    </cfRule>
    <cfRule type="cellIs" dxfId="102" priority="38" operator="equal">
      <formula>"M1"</formula>
    </cfRule>
    <cfRule type="cellIs" dxfId="101" priority="39" operator="equal">
      <formula>1</formula>
    </cfRule>
    <cfRule type="cellIs" dxfId="100" priority="27" operator="equal">
      <formula>"大夜"</formula>
    </cfRule>
    <cfRule type="cellIs" dxfId="99" priority="28" operator="equal">
      <formula>"晚"</formula>
    </cfRule>
    <cfRule type="cellIs" dxfId="98" priority="29" operator="equal">
      <formula>3</formula>
    </cfRule>
    <cfRule type="cellIs" dxfId="97" priority="30" operator="equal">
      <formula>"小夜"</formula>
    </cfRule>
  </conditionalFormatting>
  <conditionalFormatting sqref="AO30:AO33">
    <cfRule type="cellIs" dxfId="96" priority="12" operator="equal">
      <formula>"大夜"</formula>
    </cfRule>
    <cfRule type="cellIs" dxfId="95" priority="13" operator="equal">
      <formula>"晚"</formula>
    </cfRule>
    <cfRule type="cellIs" dxfId="94" priority="14" operator="equal">
      <formula>3</formula>
    </cfRule>
    <cfRule type="cellIs" dxfId="93" priority="15" operator="equal">
      <formula>"小夜"</formula>
    </cfRule>
    <cfRule type="cellIs" dxfId="92" priority="16" operator="equal">
      <formula>"T中"</formula>
    </cfRule>
    <cfRule type="cellIs" dxfId="91" priority="17" operator="equal">
      <formula>"中"</formula>
    </cfRule>
    <cfRule type="cellIs" dxfId="90" priority="18" operator="equal">
      <formula>"M2"</formula>
    </cfRule>
    <cfRule type="cellIs" dxfId="89" priority="19" operator="equal">
      <formula>2</formula>
    </cfRule>
    <cfRule type="cellIs" dxfId="88" priority="21" operator="equal">
      <formula>"T早"</formula>
    </cfRule>
    <cfRule type="cellIs" dxfId="87" priority="22" operator="equal">
      <formula>"早"</formula>
    </cfRule>
    <cfRule type="cellIs" dxfId="86" priority="23" operator="equal">
      <formula>"M1"</formula>
    </cfRule>
    <cfRule type="cellIs" dxfId="85" priority="24" operator="equal">
      <formula>1</formula>
    </cfRule>
    <cfRule type="cellIs" dxfId="84" priority="20" operator="equal">
      <formula>"日"</formula>
    </cfRule>
  </conditionalFormatting>
  <conditionalFormatting sqref="AR4:AR46">
    <cfRule type="cellIs" dxfId="83" priority="25" operator="equal">
      <formula>-2</formula>
    </cfRule>
    <cfRule type="cellIs" dxfId="82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H39" sqref="AH39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74" t="str">
        <f>"TPKC剩餘人力："&amp;AR58&amp;" / NK剩餘人力："&amp;AS58&amp;" /  N班人力："&amp;AR53</f>
        <v>TPKC剩餘人力：-5 / NK剩餘人力：0 /  N班人力：70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81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82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4" t="s">
        <v>1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6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1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5</v>
      </c>
      <c r="H5" s="41">
        <f t="shared" ref="H5:H46" si="8">COUNTIF(K5:AO5,"Z")</f>
        <v>2</v>
      </c>
      <c r="I5" s="177">
        <f t="shared" ref="I5:I46" si="9">SUM(A5:H5)</f>
        <v>31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</v>
      </c>
      <c r="AG5" s="234" t="s">
        <v>52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0</v>
      </c>
      <c r="AR5" s="46">
        <v>0</v>
      </c>
      <c r="AS5" s="41">
        <f t="shared" ref="AS5:AS10" si="10">SUM(AP5:AR5)</f>
        <v>0</v>
      </c>
      <c r="AT5" s="329" t="s">
        <v>126</v>
      </c>
    </row>
    <row r="6" spans="1:226" ht="25.5" customHeight="1">
      <c r="A6" s="38">
        <f t="shared" si="1"/>
        <v>9</v>
      </c>
      <c r="B6" s="39">
        <f t="shared" si="2"/>
        <v>1</v>
      </c>
      <c r="C6" s="40">
        <f t="shared" si="3"/>
        <v>0</v>
      </c>
      <c r="D6" s="39">
        <f t="shared" si="4"/>
        <v>9</v>
      </c>
      <c r="E6" s="41">
        <f t="shared" si="5"/>
        <v>1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42" t="s">
        <v>3</v>
      </c>
      <c r="P6" s="393" t="s">
        <v>3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3</v>
      </c>
      <c r="Y6" s="242" t="s">
        <v>3</v>
      </c>
      <c r="Z6" s="238" t="s">
        <v>36</v>
      </c>
      <c r="AA6" s="259">
        <v>1</v>
      </c>
      <c r="AB6" s="238" t="s">
        <v>0</v>
      </c>
      <c r="AC6" s="242" t="s">
        <v>3</v>
      </c>
      <c r="AD6" s="242" t="s">
        <v>3</v>
      </c>
      <c r="AE6" s="238" t="s">
        <v>36</v>
      </c>
      <c r="AF6" s="238" t="s">
        <v>36</v>
      </c>
      <c r="AG6" s="259" t="s">
        <v>38</v>
      </c>
      <c r="AH6" s="239" t="s">
        <v>52</v>
      </c>
      <c r="AI6" s="239" t="s">
        <v>0</v>
      </c>
      <c r="AJ6" s="234" t="s">
        <v>1</v>
      </c>
      <c r="AK6" s="238" t="s">
        <v>53</v>
      </c>
      <c r="AL6" s="238" t="s">
        <v>53</v>
      </c>
      <c r="AM6" s="238" t="s">
        <v>52</v>
      </c>
      <c r="AN6" s="238" t="s">
        <v>52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38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16</v>
      </c>
      <c r="B8" s="39">
        <f t="shared" si="2"/>
        <v>0</v>
      </c>
      <c r="C8" s="40">
        <f t="shared" si="3"/>
        <v>1</v>
      </c>
      <c r="D8" s="39">
        <f t="shared" si="4"/>
        <v>2</v>
      </c>
      <c r="E8" s="41">
        <f t="shared" si="5"/>
        <v>1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31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52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36</v>
      </c>
      <c r="AE8" s="238" t="s">
        <v>36</v>
      </c>
      <c r="AF8" s="256" t="s">
        <v>155</v>
      </c>
      <c r="AG8" s="242" t="s">
        <v>3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>
        <v>1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9</v>
      </c>
      <c r="B10" s="39">
        <f t="shared" si="2"/>
        <v>3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39" t="s">
        <v>52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8" t="s">
        <v>36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18</v>
      </c>
      <c r="B11" s="39">
        <f t="shared" si="2"/>
        <v>1</v>
      </c>
      <c r="C11" s="40">
        <f t="shared" si="3"/>
        <v>0</v>
      </c>
      <c r="D11" s="39">
        <f t="shared" si="4"/>
        <v>0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36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42" t="s">
        <v>3</v>
      </c>
      <c r="AF12" s="238" t="s">
        <v>52</v>
      </c>
      <c r="AG12" s="256" t="s">
        <v>176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4</v>
      </c>
      <c r="G13" s="41">
        <f t="shared" si="7"/>
        <v>5</v>
      </c>
      <c r="H13" s="41">
        <f t="shared" si="8"/>
        <v>2</v>
      </c>
      <c r="I13" s="177">
        <f t="shared" si="9"/>
        <v>31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0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0</v>
      </c>
      <c r="AR13" s="46">
        <v>0</v>
      </c>
      <c r="AS13" s="41">
        <f t="shared" si="12"/>
        <v>0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9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2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4" t="s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2</v>
      </c>
      <c r="I15" s="177">
        <f t="shared" si="9"/>
        <v>31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>
        <v>1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53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0</v>
      </c>
      <c r="AR15" s="46">
        <v>0</v>
      </c>
      <c r="AS15" s="41">
        <f t="shared" si="12"/>
        <v>0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7</v>
      </c>
      <c r="B16" s="39">
        <f t="shared" si="2"/>
        <v>9</v>
      </c>
      <c r="C16" s="40">
        <f t="shared" si="3"/>
        <v>0</v>
      </c>
      <c r="D16" s="39">
        <f t="shared" si="4"/>
        <v>2</v>
      </c>
      <c r="E16" s="41">
        <f t="shared" si="5"/>
        <v>2</v>
      </c>
      <c r="F16" s="41">
        <f t="shared" si="6"/>
        <v>4</v>
      </c>
      <c r="G16" s="41">
        <f t="shared" si="7"/>
        <v>5</v>
      </c>
      <c r="H16" s="41">
        <f t="shared" si="8"/>
        <v>2</v>
      </c>
      <c r="I16" s="177">
        <f t="shared" si="9"/>
        <v>31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</v>
      </c>
      <c r="AE16" s="259" t="s">
        <v>36</v>
      </c>
      <c r="AF16" s="259" t="s">
        <v>38</v>
      </c>
      <c r="AG16" s="238" t="s">
        <v>52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0</v>
      </c>
      <c r="AR16" s="46">
        <v>0</v>
      </c>
      <c r="AS16" s="41">
        <f>SUM(AP16:AR16)</f>
        <v>0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15</v>
      </c>
      <c r="B17" s="55">
        <f t="shared" si="2"/>
        <v>1</v>
      </c>
      <c r="C17" s="56">
        <f t="shared" si="3"/>
        <v>0</v>
      </c>
      <c r="D17" s="55">
        <f t="shared" si="4"/>
        <v>1</v>
      </c>
      <c r="E17" s="17">
        <f t="shared" si="5"/>
        <v>3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31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 t="s">
        <v>36</v>
      </c>
      <c r="AB17" s="439" t="s">
        <v>36</v>
      </c>
      <c r="AC17" s="161" t="s">
        <v>1</v>
      </c>
      <c r="AD17" s="464" t="s">
        <v>36</v>
      </c>
      <c r="AE17" s="238" t="s">
        <v>3</v>
      </c>
      <c r="AF17" s="160" t="s">
        <v>52</v>
      </c>
      <c r="AG17" s="444" t="s">
        <v>1</v>
      </c>
      <c r="AH17" s="443" t="s">
        <v>53</v>
      </c>
      <c r="AI17" s="443" t="s">
        <v>53</v>
      </c>
      <c r="AJ17" s="444" t="s">
        <v>0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6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31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59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5</v>
      </c>
      <c r="B20" s="39">
        <f t="shared" si="2"/>
        <v>6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2</v>
      </c>
      <c r="I20" s="42">
        <f t="shared" si="9"/>
        <v>31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8">
        <v>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53</v>
      </c>
      <c r="AH20" s="239" t="s">
        <v>52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0</v>
      </c>
      <c r="AR20" s="46">
        <v>0</v>
      </c>
      <c r="AS20" s="41">
        <f t="shared" si="14"/>
        <v>0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9</v>
      </c>
      <c r="B23" s="39">
        <f t="shared" si="2"/>
        <v>0</v>
      </c>
      <c r="C23" s="40">
        <f t="shared" si="3"/>
        <v>0</v>
      </c>
      <c r="D23" s="39">
        <f t="shared" si="4"/>
        <v>10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 t="s">
        <v>3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>
        <v>1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2</v>
      </c>
      <c r="I24" s="42">
        <f t="shared" si="9"/>
        <v>31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53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0</v>
      </c>
      <c r="AR24" s="46">
        <v>0</v>
      </c>
      <c r="AS24" s="41">
        <f t="shared" si="14"/>
        <v>0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5</v>
      </c>
      <c r="H25" s="41">
        <f t="shared" si="8"/>
        <v>2</v>
      </c>
      <c r="I25" s="42">
        <f t="shared" si="9"/>
        <v>31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52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0</v>
      </c>
      <c r="AR25" s="46">
        <v>0</v>
      </c>
      <c r="AS25" s="41">
        <f t="shared" si="14"/>
        <v>0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5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0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8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3</v>
      </c>
      <c r="B29" s="39">
        <f t="shared" si="2"/>
        <v>13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5</v>
      </c>
      <c r="H29" s="41">
        <f t="shared" si="8"/>
        <v>2</v>
      </c>
      <c r="I29" s="42">
        <f t="shared" si="9"/>
        <v>31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52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 t="shared" si="0"/>
        <v>0</v>
      </c>
      <c r="AR29" s="46">
        <v>0</v>
      </c>
      <c r="AS29" s="41">
        <f t="shared" ref="AS29:AS32" si="15">SUM(AP29:AR29)</f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19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1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31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>
        <v>1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4" t="s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19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1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31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8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>
        <v>1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4" t="s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7</v>
      </c>
      <c r="B32" s="39">
        <f t="shared" ref="B32:B33" si="17">COUNTIF(K32:AO32,2)+COUNTIF(K32:AO32,"中")+COUNTIF(K32:AO32,"M2")+COUNTIF(K32:AO32,"T中")+COUNTIF(K32:AO32,"小夜")</f>
        <v>13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2</v>
      </c>
      <c r="AB32" s="238">
        <v>2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6</v>
      </c>
      <c r="B34" s="70">
        <f>COUNTIF(K34:AO34,2)+COUNTIF(K34:AO34,"中")+COUNTIF(K34:AO34,"M2")+COUNTIF(K34:AO34,"T中")+COUNTIF(K34:AO34,"小夜")</f>
        <v>3</v>
      </c>
      <c r="C34" s="71">
        <f>COUNTIF(K34:AO34,3)+COUNTIF(K34:AO34,"晚")+COUNTIF(K34:AO34,"大夜")</f>
        <v>2</v>
      </c>
      <c r="D34" s="70">
        <f>COUNTIF(K34:AO34,"N")+COUNTIF(K34:AO34,"N8")</f>
        <v>9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31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>
        <v>1</v>
      </c>
      <c r="R34" s="394">
        <v>1</v>
      </c>
      <c r="S34" s="249" t="s">
        <v>53</v>
      </c>
      <c r="T34" s="249" t="s">
        <v>52</v>
      </c>
      <c r="U34" s="249" t="s">
        <v>0</v>
      </c>
      <c r="V34" s="394" t="s">
        <v>3</v>
      </c>
      <c r="W34" s="394" t="s">
        <v>3</v>
      </c>
      <c r="X34" s="394" t="s">
        <v>3</v>
      </c>
      <c r="Y34" s="394" t="s">
        <v>3</v>
      </c>
      <c r="Z34" s="394" t="s">
        <v>3</v>
      </c>
      <c r="AA34" s="249" t="s">
        <v>52</v>
      </c>
      <c r="AB34" s="249" t="s">
        <v>0</v>
      </c>
      <c r="AC34" s="242">
        <v>3</v>
      </c>
      <c r="AD34" s="242">
        <v>3</v>
      </c>
      <c r="AE34" s="242">
        <v>2</v>
      </c>
      <c r="AF34" s="242">
        <v>2</v>
      </c>
      <c r="AG34" s="242">
        <v>2</v>
      </c>
      <c r="AH34" s="249" t="s">
        <v>52</v>
      </c>
      <c r="AI34" s="249" t="s">
        <v>53</v>
      </c>
      <c r="AJ34" s="249" t="s">
        <v>0</v>
      </c>
      <c r="AK34" s="394">
        <v>1</v>
      </c>
      <c r="AL34" s="394">
        <v>1</v>
      </c>
      <c r="AM34" s="238">
        <v>1</v>
      </c>
      <c r="AN34" s="238">
        <v>1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4</v>
      </c>
      <c r="G37" s="41">
        <f t="shared" si="7"/>
        <v>5</v>
      </c>
      <c r="H37" s="41">
        <f t="shared" si="8"/>
        <v>2</v>
      </c>
      <c r="I37" s="177">
        <f t="shared" si="9"/>
        <v>31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0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0</v>
      </c>
      <c r="AR37" s="46">
        <v>0</v>
      </c>
      <c r="AS37" s="41">
        <f t="shared" si="14"/>
        <v>0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5</v>
      </c>
      <c r="H40" s="63">
        <f>COUNTIF(K40:AO40,"Z")</f>
        <v>2</v>
      </c>
      <c r="I40" s="178">
        <f t="shared" si="9"/>
        <v>31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52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0</v>
      </c>
      <c r="AR40" s="74">
        <v>0</v>
      </c>
      <c r="AS40" s="63">
        <f t="shared" si="14"/>
        <v>0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4</v>
      </c>
      <c r="E42" s="41">
        <f t="shared" si="5"/>
        <v>1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31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4" t="s">
        <v>1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3</v>
      </c>
      <c r="E43" s="41">
        <f t="shared" si="5"/>
        <v>3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31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238" t="s">
        <v>3</v>
      </c>
      <c r="AD43" s="238" t="s">
        <v>0</v>
      </c>
      <c r="AE43" s="238" t="s">
        <v>52</v>
      </c>
      <c r="AF43" s="238" t="s">
        <v>53</v>
      </c>
      <c r="AG43" s="32" t="s">
        <v>1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5</v>
      </c>
      <c r="C45" s="40">
        <f t="shared" si="3"/>
        <v>4</v>
      </c>
      <c r="D45" s="39">
        <f t="shared" si="4"/>
        <v>6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3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7</v>
      </c>
      <c r="C46" s="71">
        <f t="shared" si="3"/>
        <v>4</v>
      </c>
      <c r="D46" s="70">
        <f t="shared" si="4"/>
        <v>2</v>
      </c>
      <c r="E46" s="63">
        <f t="shared" si="5"/>
        <v>2</v>
      </c>
      <c r="F46" s="63">
        <f t="shared" si="6"/>
        <v>4</v>
      </c>
      <c r="G46" s="63">
        <f t="shared" si="7"/>
        <v>5</v>
      </c>
      <c r="H46" s="63">
        <f t="shared" si="8"/>
        <v>2</v>
      </c>
      <c r="I46" s="178">
        <f t="shared" si="9"/>
        <v>31</v>
      </c>
      <c r="J46" s="380" t="s">
        <v>33</v>
      </c>
      <c r="K46" s="247" t="s">
        <v>0</v>
      </c>
      <c r="L46" s="238" t="s">
        <v>56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52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248" t="s">
        <v>0</v>
      </c>
      <c r="AO46" s="248" t="s">
        <v>56</v>
      </c>
      <c r="AP46" s="73">
        <v>0</v>
      </c>
      <c r="AQ46" s="74">
        <f t="shared" si="0"/>
        <v>0</v>
      </c>
      <c r="AR46" s="74">
        <v>0</v>
      </c>
      <c r="AS46" s="63">
        <f t="shared" si="14"/>
        <v>0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5</v>
      </c>
      <c r="P47" s="465" cm="2">
        <f t="array" ref="P47">SUMPRODUCT(COUNTIF(P4:P46,{"1";"M1"}))</f>
        <v>5</v>
      </c>
      <c r="Q47" s="465" cm="2">
        <f t="array" ref="Q47">SUMPRODUCT(COUNTIF(Q4:Q46,{"1";"M1"}))</f>
        <v>6</v>
      </c>
      <c r="R47" s="465" cm="2">
        <f t="array" ref="R47">SUMPRODUCT(COUNTIF(R4:R46,{"1";"M1"}))</f>
        <v>6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5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6</v>
      </c>
      <c r="AL47" s="465" cm="2">
        <f t="array" ref="AL47">SUMPRODUCT(COUNTIF(AL4:AL46,{"1";"M1"}))</f>
        <v>6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4</v>
      </c>
      <c r="AF48" s="405" cm="2">
        <f t="array" ref="AF48">SUMPRODUCT(COUNTIF(AF4:AF46,{"2";"M2"}))</f>
        <v>4</v>
      </c>
      <c r="AG48" s="405" cm="2">
        <f t="array" ref="AG48">SUMPRODUCT(COUNTIF(AG4:AG46,{"2";"M2"}))</f>
        <v>4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4</v>
      </c>
      <c r="AD49" s="408">
        <f t="shared" si="25"/>
        <v>4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5</v>
      </c>
      <c r="W50" s="411" cm="2">
        <f t="array" ref="W50">SUMPRODUCT(COUNTIF(W4:W46,{"早";"T早"}))</f>
        <v>5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5</v>
      </c>
      <c r="AL50" s="411" cm="2">
        <f t="array" ref="AL50">SUMPRODUCT(COUNTIF(AL4:AL46,{"早";"T早"}))</f>
        <v>5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3</v>
      </c>
      <c r="AD52" s="408">
        <f t="shared" si="26"/>
        <v>3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70</v>
      </c>
      <c r="AS53" s="91" cm="1">
        <f t="array" ref="AS53">SUMPRODUCT(COUNTIF(K41:AO46,{"N";"N8"}))</f>
        <v>18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38</v>
      </c>
      <c r="AS54" s="75" cm="1">
        <f t="array" ref="AS54">SUMPRODUCT(COUNTIF(K41:AO46,{"S"}))</f>
        <v>9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5</v>
      </c>
      <c r="P56" s="96">
        <f t="shared" si="30"/>
        <v>5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7</v>
      </c>
      <c r="X56" s="96">
        <f t="shared" si="30"/>
        <v>6</v>
      </c>
      <c r="Y56" s="96">
        <f t="shared" si="30"/>
        <v>7</v>
      </c>
      <c r="Z56" s="96">
        <f t="shared" si="30"/>
        <v>3</v>
      </c>
      <c r="AA56" s="96">
        <f t="shared" si="30"/>
        <v>0</v>
      </c>
      <c r="AB56" s="96">
        <f t="shared" si="30"/>
        <v>0</v>
      </c>
      <c r="AC56" s="96">
        <f t="shared" si="30"/>
        <v>4</v>
      </c>
      <c r="AD56" s="96">
        <f t="shared" si="30"/>
        <v>4</v>
      </c>
      <c r="AE56" s="96">
        <f t="shared" si="30"/>
        <v>3</v>
      </c>
      <c r="AF56" s="96">
        <f t="shared" si="30"/>
        <v>2</v>
      </c>
      <c r="AG56" s="96">
        <f t="shared" si="30"/>
        <v>3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0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10</v>
      </c>
      <c r="W57" s="24">
        <f t="shared" si="31"/>
        <v>9</v>
      </c>
      <c r="X57" s="24">
        <f t="shared" si="31"/>
        <v>11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11</v>
      </c>
      <c r="AD57" s="24">
        <f t="shared" si="31"/>
        <v>12</v>
      </c>
      <c r="AE57" s="24">
        <f t="shared" si="31"/>
        <v>14</v>
      </c>
      <c r="AF57" s="24">
        <f t="shared" si="31"/>
        <v>15</v>
      </c>
      <c r="AG57" s="24">
        <f t="shared" si="31"/>
        <v>11</v>
      </c>
      <c r="AH57" s="24">
        <f t="shared" si="31"/>
        <v>22</v>
      </c>
      <c r="AI57" s="24">
        <f t="shared" si="31"/>
        <v>24</v>
      </c>
      <c r="AJ57" s="24">
        <f t="shared" si="31"/>
        <v>19</v>
      </c>
      <c r="AK57" s="24">
        <f t="shared" si="31"/>
        <v>9</v>
      </c>
      <c r="AL57" s="24">
        <f t="shared" si="31"/>
        <v>10</v>
      </c>
      <c r="AM57" s="24">
        <f t="shared" si="31"/>
        <v>13</v>
      </c>
      <c r="AN57" s="102">
        <f t="shared" si="31"/>
        <v>15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1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2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3</v>
      </c>
      <c r="AH58" s="39">
        <f t="shared" si="32"/>
        <v>2</v>
      </c>
      <c r="AI58" s="39">
        <f t="shared" si="32"/>
        <v>0</v>
      </c>
      <c r="AJ58" s="39">
        <f t="shared" si="32"/>
        <v>5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3</v>
      </c>
      <c r="AO58" s="83">
        <f t="shared" si="32"/>
        <v>0</v>
      </c>
      <c r="AQ58" s="107" t="s">
        <v>46</v>
      </c>
      <c r="AR58" s="105">
        <f>AR49-AR50-AR52-AR53-AR54-AR55+AR56+AR57-AR51</f>
        <v>-5</v>
      </c>
      <c r="AS58" s="105">
        <f>AS49-AS50-AS52-AS53-AS54-AS55+AS56+AS57-AS51</f>
        <v>0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0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1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0</v>
      </c>
      <c r="W61" s="113">
        <f>43-W56-W57-W58-25</f>
        <v>0</v>
      </c>
      <c r="X61" s="113">
        <f>43-X56-X57-X58-25</f>
        <v>0</v>
      </c>
      <c r="Y61" s="113">
        <f>43-Y56-Y57-Y58-25</f>
        <v>0</v>
      </c>
      <c r="Z61" s="113">
        <f>43-Z56-Z57-Z58-25</f>
        <v>0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0</v>
      </c>
      <c r="AN61" s="113">
        <f>43-AN56-AN57-AN58-25</f>
        <v>0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2</v>
      </c>
      <c r="P64" s="230" cm="1">
        <f t="array" ref="P64">SUMPRODUCT(COUNTIF(P4:P17,{"1";"M1"}))</f>
        <v>1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2</v>
      </c>
      <c r="AB64" s="231" cm="1">
        <f t="array" ref="AB64">SUMPRODUCT(COUNTIF(AB4:AB17,{"1";"M1"}))</f>
        <v>2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0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1</v>
      </c>
      <c r="AN64" s="230" cm="1">
        <f t="array" ref="AN64">SUMPRODUCT(COUNTIF(AN4:AN17,{"1";"M1"}))</f>
        <v>2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9">
    <cfRule type="expression" dxfId="81" priority="20">
      <formula>OR(K9="T早", K9="早", K9="M1", K9=1, K9="日")</formula>
    </cfRule>
  </conditionalFormatting>
  <conditionalFormatting sqref="K10:Q10 K4:AO9 K11:AO44">
    <cfRule type="expression" dxfId="80" priority="23">
      <formula>OR(K4="T早", K4="早", K4="M1", K4=1, K4="日")</formula>
    </cfRule>
  </conditionalFormatting>
  <conditionalFormatting sqref="K45:Q45 K46:AO46">
    <cfRule type="expression" dxfId="79" priority="49">
      <formula>OR(K45="T早", K45="早", K45="M1", K45=1, K45="日")</formula>
    </cfRule>
  </conditionalFormatting>
  <conditionalFormatting sqref="K4:AO9 K10:P10 R10:V10 X10 Z10:AO10 K11:AO17">
    <cfRule type="expression" dxfId="78" priority="34">
      <formula>OR(K4="晚", K4=3, K4="大夜")</formula>
    </cfRule>
    <cfRule type="expression" dxfId="77" priority="3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X44:X45 K45:P45 R45:V45 Z45:AO45 K46:AO46 K18:AO44">
    <cfRule type="expression" dxfId="76" priority="70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  <cfRule type="expression" dxfId="75" priority="69">
      <formula>OR(K18="晚", K18=3, K18="大夜")</formula>
    </cfRule>
  </conditionalFormatting>
  <conditionalFormatting sqref="K47:AO47">
    <cfRule type="cellIs" dxfId="74" priority="355" operator="greaterThan">
      <formula>5</formula>
    </cfRule>
  </conditionalFormatting>
  <conditionalFormatting sqref="K47:AO55">
    <cfRule type="cellIs" dxfId="73" priority="357" operator="equal">
      <formula>4</formula>
    </cfRule>
    <cfRule type="cellIs" dxfId="72" priority="356" operator="equal">
      <formula>5</formula>
    </cfRule>
    <cfRule type="cellIs" dxfId="71" priority="360" operator="equal">
      <formula>1</formula>
    </cfRule>
    <cfRule type="cellIs" dxfId="70" priority="359" operator="equal">
      <formula>2</formula>
    </cfRule>
    <cfRule type="cellIs" dxfId="69" priority="358" operator="equal">
      <formula>3</formula>
    </cfRule>
  </conditionalFormatting>
  <conditionalFormatting sqref="K53:AO55">
    <cfRule type="cellIs" dxfId="68" priority="361" operator="equal">
      <formula>"T中"</formula>
    </cfRule>
  </conditionalFormatting>
  <conditionalFormatting sqref="L45">
    <cfRule type="expression" dxfId="67" priority="13">
      <formula>OR(L45="T早", L45="早", L45="M1", L45=1, L45="日")</formula>
    </cfRule>
  </conditionalFormatting>
  <conditionalFormatting sqref="P10:Q10">
    <cfRule type="expression" dxfId="66" priority="22">
      <formula>OR(P10="T中", P10="中", P10=2, P10="小夜")</formula>
    </cfRule>
    <cfRule type="expression" dxfId="65" priority="21">
      <formula>OR(P10="晚", P10=3, P10="大夜")</formula>
    </cfRule>
    <cfRule type="expression" dxfId="64" priority="24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</conditionalFormatting>
  <conditionalFormatting sqref="P45:Q45">
    <cfRule type="expression" dxfId="63" priority="43">
      <formula>OR(P45="晚", P45=3, P45="大夜")</formula>
    </cfRule>
    <cfRule type="expression" dxfId="62" priority="44">
      <formula>OR(P45="T中", P45="中", P45=2, P45="小夜")</formula>
    </cfRule>
    <cfRule type="expression" dxfId="61" priority="46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</conditionalFormatting>
  <conditionalFormatting sqref="R10:W10">
    <cfRule type="expression" dxfId="60" priority="27">
      <formula>OR(R10="T早", R10="早", R10="M1", R10=1, R10="日")</formula>
    </cfRule>
  </conditionalFormatting>
  <conditionalFormatting sqref="R45:W45">
    <cfRule type="expression" dxfId="59" priority="57">
      <formula>OR(R45="T早", R45="早", R45="M1", R45=1, R45="日")</formula>
    </cfRule>
  </conditionalFormatting>
  <conditionalFormatting sqref="W10">
    <cfRule type="expression" dxfId="58" priority="25">
      <formula>OR(W10="晚", W10=3, W10="大夜")</formula>
    </cfRule>
    <cfRule type="expression" dxfId="57" priority="26">
      <formula>OR(W10="T中", W10="中", W10=2, W10="小夜")</formula>
    </cfRule>
    <cfRule type="expression" dxfId="56" priority="28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</conditionalFormatting>
  <conditionalFormatting sqref="W45">
    <cfRule type="expression" dxfId="55" priority="55">
      <formula>OR(W45="晚", W45=3, W45="大夜")</formula>
    </cfRule>
    <cfRule type="expression" dxfId="54" priority="56">
      <formula>OR(W45="T中", W45="中", W45=2, W45="小夜")</formula>
    </cfRule>
    <cfRule type="expression" dxfId="53" priority="58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</conditionalFormatting>
  <conditionalFormatting sqref="X10 Z10:AO10 R10:V10 K10:P10 K4:AO9 K11:AO44">
    <cfRule type="expression" dxfId="52" priority="33">
      <formula>OR(K4="T中", K4="中", K4=2, K4="小夜")</formula>
    </cfRule>
  </conditionalFormatting>
  <conditionalFormatting sqref="X44:X45 Z45:AO45 R45:V45 K45:P45 K46:AO46">
    <cfRule type="expression" dxfId="51" priority="68">
      <formula>OR(K44="T中", K44="中", K44=2, K44="小夜")</formula>
    </cfRule>
  </conditionalFormatting>
  <conditionalFormatting sqref="X45">
    <cfRule type="expression" dxfId="50" priority="38">
      <formula>OR(X45="T早", X45="早", X45="M1", X45=1, X45="日")</formula>
    </cfRule>
  </conditionalFormatting>
  <conditionalFormatting sqref="X10:AO10">
    <cfRule type="expression" dxfId="49" priority="31">
      <formula>OR(X10="T早", X10="早", X10="M1", X10=1, X10="日")</formula>
    </cfRule>
  </conditionalFormatting>
  <conditionalFormatting sqref="X45:AO45">
    <cfRule type="expression" dxfId="48" priority="61">
      <formula>OR(X45="T早", X45="早", X45="M1", X45=1, X45="日")</formula>
    </cfRule>
  </conditionalFormatting>
  <conditionalFormatting sqref="Y10">
    <cfRule type="expression" dxfId="47" priority="32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  <cfRule type="expression" dxfId="46" priority="30">
      <formula>OR(Y10="T中", Y10="中", Y10=2, Y10="小夜")</formula>
    </cfRule>
    <cfRule type="expression" dxfId="45" priority="29">
      <formula>OR(Y10="晚", Y10=3, Y10="大夜")</formula>
    </cfRule>
  </conditionalFormatting>
  <conditionalFormatting sqref="Y45">
    <cfRule type="expression" dxfId="44" priority="62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43" priority="60">
      <formula>OR(Y45="T中", Y45="中", Y45=2, Y45="小夜")</formula>
    </cfRule>
    <cfRule type="expression" dxfId="42" priority="59">
      <formula>OR(Y45="晚", Y45=3, Y45="大夜")</formula>
    </cfRule>
  </conditionalFormatting>
  <conditionalFormatting sqref="AA10">
    <cfRule type="expression" dxfId="41" priority="12">
      <formula>OR(AA10="T早", AA10="早", AA10="M1", AA10=1, AA10="日")</formula>
    </cfRule>
  </conditionalFormatting>
  <conditionalFormatting sqref="AA20">
    <cfRule type="expression" dxfId="40" priority="10">
      <formula>OR(     SUM(COUNTIF(AA20:AG20, 上班代號)) &gt; 6,     AND(COLUMN()&gt;11, OR(         AND(SUM(COUNTIF(OFFSET(AA20,0,-1), 中班組)), SUM(COUNTIF(AA20, 早班組), COUNTIF(AA20, 晚班組))),         AND(SUM(COUNTIF(OFFSET(AA20,0,-1), 早班組)), SUM(COUNTIF(AA20, 晚班組)))     )) )</formula>
    </cfRule>
    <cfRule type="expression" dxfId="39" priority="9">
      <formula>OR(AA20="晚", AA20=3, AA20="大夜")</formula>
    </cfRule>
  </conditionalFormatting>
  <conditionalFormatting sqref="AE10:AF10">
    <cfRule type="expression" dxfId="38" priority="15">
      <formula>OR(AE10="T早", AE10="早", AE10="M1", AE10=1, AE10="日")</formula>
    </cfRule>
  </conditionalFormatting>
  <conditionalFormatting sqref="AG10:AG11">
    <cfRule type="expression" dxfId="37" priority="17">
      <formula>OR(AG10="T早", AG10="早", AG10="M1", AG10=1, AG10="日")</formula>
    </cfRule>
  </conditionalFormatting>
  <conditionalFormatting sqref="AH10">
    <cfRule type="expression" dxfId="36" priority="11">
      <formula>OR(AH10="T早", AH10="早", AH10="M1", AH10=1, AH10="日")</formula>
    </cfRule>
  </conditionalFormatting>
  <conditionalFormatting sqref="AP23">
    <cfRule type="cellIs" dxfId="35" priority="380" operator="equal">
      <formula>"小夜"</formula>
    </cfRule>
    <cfRule type="cellIs" dxfId="34" priority="377" operator="equal">
      <formula>"大夜"</formula>
    </cfRule>
    <cfRule type="cellIs" dxfId="33" priority="378" operator="equal">
      <formula>"晚"</formula>
    </cfRule>
    <cfRule type="cellIs" dxfId="32" priority="379" operator="equal">
      <formula>3</formula>
    </cfRule>
    <cfRule type="cellIs" dxfId="31" priority="389" operator="equal">
      <formula>1</formula>
    </cfRule>
    <cfRule type="cellIs" dxfId="30" priority="381" operator="equal">
      <formula>"T中"</formula>
    </cfRule>
    <cfRule type="cellIs" dxfId="29" priority="382" operator="equal">
      <formula>"中"</formula>
    </cfRule>
    <cfRule type="cellIs" dxfId="28" priority="383" operator="equal">
      <formula>"M2"</formula>
    </cfRule>
    <cfRule type="cellIs" dxfId="27" priority="384" operator="equal">
      <formula>2</formula>
    </cfRule>
    <cfRule type="cellIs" dxfId="26" priority="385" operator="equal">
      <formula>"日"</formula>
    </cfRule>
    <cfRule type="cellIs" dxfId="25" priority="386" operator="equal">
      <formula>"T早"</formula>
    </cfRule>
    <cfRule type="cellIs" dxfId="24" priority="387" operator="equal">
      <formula>"早"</formula>
    </cfRule>
    <cfRule type="cellIs" dxfId="23" priority="388" operator="equal">
      <formula>"M1"</formula>
    </cfRule>
  </conditionalFormatting>
  <conditionalFormatting sqref="AP30:AP34">
    <cfRule type="cellIs" dxfId="22" priority="363" operator="equal">
      <formula>"晚"</formula>
    </cfRule>
    <cfRule type="cellIs" dxfId="21" priority="364" operator="equal">
      <formula>3</formula>
    </cfRule>
    <cfRule type="cellIs" dxfId="20" priority="365" operator="equal">
      <formula>"小夜"</formula>
    </cfRule>
    <cfRule type="cellIs" dxfId="19" priority="366" operator="equal">
      <formula>"T中"</formula>
    </cfRule>
    <cfRule type="cellIs" dxfId="18" priority="367" operator="equal">
      <formula>"中"</formula>
    </cfRule>
    <cfRule type="cellIs" dxfId="17" priority="368" operator="equal">
      <formula>"M2"</formula>
    </cfRule>
    <cfRule type="cellIs" dxfId="16" priority="369" operator="equal">
      <formula>2</formula>
    </cfRule>
    <cfRule type="cellIs" dxfId="15" priority="370" operator="equal">
      <formula>"日"</formula>
    </cfRule>
    <cfRule type="cellIs" dxfId="14" priority="362" operator="equal">
      <formula>"大夜"</formula>
    </cfRule>
    <cfRule type="cellIs" dxfId="13" priority="372" operator="equal">
      <formula>"早"</formula>
    </cfRule>
    <cfRule type="cellIs" dxfId="12" priority="373" operator="equal">
      <formula>"M1"</formula>
    </cfRule>
    <cfRule type="cellIs" dxfId="11" priority="374" operator="equal">
      <formula>1</formula>
    </cfRule>
    <cfRule type="cellIs" dxfId="10" priority="371" operator="equal">
      <formula>"T早"</formula>
    </cfRule>
  </conditionalFormatting>
  <conditionalFormatting sqref="AS4:AS46">
    <cfRule type="cellIs" dxfId="9" priority="376" operator="equal">
      <formula>-1</formula>
    </cfRule>
    <cfRule type="cellIs" dxfId="8" priority="375" operator="equal">
      <formula>-2</formula>
    </cfRule>
  </conditionalFormatting>
  <conditionalFormatting sqref="AN8">
    <cfRule type="expression" dxfId="6" priority="7">
      <formula>OR(AN8="晚", AN8=3, AN8="大夜")</formula>
    </cfRule>
    <cfRule type="expression" dxfId="7" priority="8">
      <formula>OR(     SUM(COUNTIF(AN8:AT8, 上班代號)) &gt; 6,     AND(COLUMN()&gt;11, OR(         AND(SUM(COUNTIF(OFFSET(AN8,0,-1), 中班組)), SUM(COUNTIF(AN8, 早班組), COUNTIF(AN8, 晚班組))),         AND(SUM(COUNTIF(OFFSET(AN8,0,-1), 早班組)), SUM(COUNTIF(AN8, 晚班組)))     )) )</formula>
    </cfRule>
  </conditionalFormatting>
  <conditionalFormatting sqref="AN30">
    <cfRule type="expression" dxfId="5" priority="5">
      <formula>OR(AN30="晚", AN30=3, AN30="大夜")</formula>
    </cfRule>
    <cfRule type="expression" dxfId="4" priority="6">
      <formula>OR(     SUM(COUNTIF(AN30:AT30, 上班代號)) &gt; 6,     AND(COLUMN()&gt;11, OR(         AND(SUM(COUNTIF(OFFSET(AN30,0,-1), 中班組)), SUM(COUNTIF(AN30, 早班組), COUNTIF(AN30, 晚班組))),         AND(SUM(COUNTIF(OFFSET(AN30,0,-1), 早班組)), SUM(COUNTIF(AN30, 晚班組)))     )) )</formula>
    </cfRule>
  </conditionalFormatting>
  <conditionalFormatting sqref="AN31">
    <cfRule type="expression" dxfId="3" priority="3">
      <formula>OR(AN31="晚", AN31=3, AN31="大夜")</formula>
    </cfRule>
    <cfRule type="expression" dxfId="2" priority="4">
      <formula>OR(     SUM(COUNTIF(AN31:AT31, 上班代號)) &gt; 6,     AND(COLUMN()&gt;11, OR(         AND(SUM(COUNTIF(OFFSET(AN31,0,-1), 中班組)), SUM(COUNTIF(AN31, 早班組), COUNTIF(AN31, 晚班組))),         AND(SUM(COUNTIF(OFFSET(AN31,0,-1), 早班組)), SUM(COUNTIF(AN31, 晚班組)))     )) )</formula>
    </cfRule>
  </conditionalFormatting>
  <conditionalFormatting sqref="AN42">
    <cfRule type="expression" dxfId="1" priority="1">
      <formula>OR(AN42="晚", AN42=3, AN42="大夜")</formula>
    </cfRule>
    <cfRule type="expression" dxfId="0" priority="2">
      <formula>OR(     SUM(COUNTIF(AN42:AT42, 上班代號)) &gt; 6,     AND(COLUMN()&gt;11, OR(         AND(SUM(COUNTIF(OFFSET(AN42,0,-1), 中班組)), SUM(COUNTIF(AN42, 早班組), COUNTIF(AN42, 晚班組))),         AND(SUM(COUNTIF(OFFSET(AN42,0,-1), 早班組)), SUM(COUNTIF(AN42, 晚班組)))     )) )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2026-10-05T00:44:54Z</dcterms:modified>
</cp:coreProperties>
</file>