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fileSharing userName="Jason Hsu" algorithmName="SHA-512" hashValue="KoWwmeO39a0OIQ9mZczHUQZGHgwvlKlpllWNEPNjYyrvtG5srqLIlQ/Iz0BmO+PyLWgZgQzFVHkN62Pxs5U+qg==" saltValue="eisOqC2qZF6RIbQpvtqzjQ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X:\NOC\N-NOC\Nop\NOC Bulletin Board\班表\2026\"/>
    </mc:Choice>
  </mc:AlternateContent>
  <xr:revisionPtr revIDLastSave="0" documentId="13_ncr:10001_{602E227B-722E-40B5-9799-E48E6B8D0434}" xr6:coauthVersionLast="47" xr6:coauthVersionMax="47" xr10:uidLastSave="{00000000-0000-0000-0000-000000000000}"/>
  <bookViews>
    <workbookView xWindow="-108" yWindow="-108" windowWidth="23256" windowHeight="12576" activeTab="9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  <sheet name="06" sheetId="22" r:id="rId6"/>
    <sheet name="07" sheetId="24" r:id="rId7"/>
    <sheet name="08" sheetId="25" r:id="rId8"/>
    <sheet name="09" sheetId="26" r:id="rId9"/>
    <sheet name="10" sheetId="27" r:id="rId10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_xlnm._FilterDatabase" localSheetId="5" hidden="1">'06'!$AS$3:$AS$57</definedName>
    <definedName name="_xlnm._FilterDatabase" localSheetId="6" hidden="1">'07'!$AU$3:$AU$57</definedName>
    <definedName name="_xlnm._FilterDatabase" localSheetId="7" hidden="1">'08'!$AT$3:$AT$58</definedName>
    <definedName name="_xlnm._FilterDatabase" localSheetId="8" hidden="1">'09'!$AS$3:$AS$58</definedName>
    <definedName name="_xlnm._FilterDatabase" localSheetId="9" hidden="1">'10'!$AT$3:$AT$59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193AF6A_49E3_4D31_9568_282E6153E034_.wvu.FilterData" localSheetId="5" hidden="1">'06'!$AS$3:$AS$56</definedName>
    <definedName name="Z_0193AF6A_49E3_4D31_9568_282E6153E034_.wvu.FilterData" localSheetId="6" hidden="1">'07'!$AU$3:$AU$56</definedName>
    <definedName name="Z_0193AF6A_49E3_4D31_9568_282E6153E034_.wvu.FilterData" localSheetId="7" hidden="1">'08'!$AT$3:$AT$57</definedName>
    <definedName name="Z_0193AF6A_49E3_4D31_9568_282E6153E034_.wvu.FilterData" localSheetId="8" hidden="1">'09'!$AS$3:$AS$57</definedName>
    <definedName name="Z_0193AF6A_49E3_4D31_9568_282E6153E034_.wvu.FilterData" localSheetId="9" hidden="1">'10'!$AT$3:$AT$58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2770421_92C3_4ED7_B512_3E51D9DCA530_.wvu.FilterData" localSheetId="5" hidden="1">'06'!$AS$3:$AS$56</definedName>
    <definedName name="Z_02770421_92C3_4ED7_B512_3E51D9DCA530_.wvu.FilterData" localSheetId="6" hidden="1">'07'!$AU$3:$AU$56</definedName>
    <definedName name="Z_02770421_92C3_4ED7_B512_3E51D9DCA530_.wvu.FilterData" localSheetId="7" hidden="1">'08'!$AT$3:$AT$57</definedName>
    <definedName name="Z_02770421_92C3_4ED7_B512_3E51D9DCA530_.wvu.FilterData" localSheetId="8" hidden="1">'09'!$AS$3:$AS$57</definedName>
    <definedName name="Z_02770421_92C3_4ED7_B512_3E51D9DCA530_.wvu.FilterData" localSheetId="9" hidden="1">'10'!$AT$3:$AT$58</definedName>
    <definedName name="Z_03880C30_E311_4DE4_96DE_9B46BB6A8D37_.wvu.FilterData" localSheetId="8" hidden="1">'09'!$AS$3:$AS$58</definedName>
    <definedName name="Z_03880C30_E311_4DE4_96DE_9B46BB6A8D37_.wvu.FilterData" localSheetId="9" hidden="1">'10'!$AT$3:$AT$59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8B73DA_F200_4CD0_8707_7A846A0AB94E_.wvu.FilterData" localSheetId="5" hidden="1">'06'!$AS$3:$AS$56</definedName>
    <definedName name="Z_048B73DA_F200_4CD0_8707_7A846A0AB94E_.wvu.FilterData" localSheetId="6" hidden="1">'07'!$AU$3:$AU$56</definedName>
    <definedName name="Z_048B73DA_F200_4CD0_8707_7A846A0AB94E_.wvu.FilterData" localSheetId="7" hidden="1">'08'!$AT$3:$AT$57</definedName>
    <definedName name="Z_048B73DA_F200_4CD0_8707_7A846A0AB94E_.wvu.FilterData" localSheetId="8" hidden="1">'09'!$AS$3:$AS$57</definedName>
    <definedName name="Z_048B73DA_F200_4CD0_8707_7A846A0AB94E_.wvu.FilterData" localSheetId="9" hidden="1">'10'!$AT$3:$AT$58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4F71D9F_FBA6_4517_BBAE_F6B2874EE750_.wvu.FilterData" localSheetId="5" hidden="1">'06'!$AS$3:$AS$56</definedName>
    <definedName name="Z_04F71D9F_FBA6_4517_BBAE_F6B2874EE750_.wvu.FilterData" localSheetId="6" hidden="1">'07'!$AU$3:$AU$56</definedName>
    <definedName name="Z_04F71D9F_FBA6_4517_BBAE_F6B2874EE750_.wvu.FilterData" localSheetId="7" hidden="1">'08'!$AT$3:$AT$57</definedName>
    <definedName name="Z_04F71D9F_FBA6_4517_BBAE_F6B2874EE750_.wvu.FilterData" localSheetId="8" hidden="1">'09'!$AS$3:$AS$57</definedName>
    <definedName name="Z_04F71D9F_FBA6_4517_BBAE_F6B2874EE750_.wvu.FilterData" localSheetId="9" hidden="1">'10'!$AT$3:$AT$58</definedName>
    <definedName name="Z_059717F9_D6C9_4BE4_978E_49A8843BFBD3_.wvu.FilterData" localSheetId="9" hidden="1">'10'!$AT$3:$AT$59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5FF6774_A583_4D74_83A4_182FC20AE392_.wvu.FilterData" localSheetId="5" hidden="1">'06'!$AS$3:$AS$56</definedName>
    <definedName name="Z_05FF6774_A583_4D74_83A4_182FC20AE392_.wvu.FilterData" localSheetId="6" hidden="1">'07'!$AU$3:$AU$56</definedName>
    <definedName name="Z_05FF6774_A583_4D74_83A4_182FC20AE392_.wvu.FilterData" localSheetId="7" hidden="1">'08'!$AT$3:$AT$57</definedName>
    <definedName name="Z_05FF6774_A583_4D74_83A4_182FC20AE392_.wvu.FilterData" localSheetId="8" hidden="1">'09'!$AS$3:$AS$57</definedName>
    <definedName name="Z_05FF6774_A583_4D74_83A4_182FC20AE392_.wvu.FilterData" localSheetId="9" hidden="1">'10'!$AT$3:$AT$58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8B9F4D_1726_4BB5_9877_77AA86853FFD_.wvu.FilterData" localSheetId="5" hidden="1">'06'!$AS$3:$AS$56</definedName>
    <definedName name="Z_068B9F4D_1726_4BB5_9877_77AA86853FFD_.wvu.FilterData" localSheetId="6" hidden="1">'07'!$AU$3:$AU$56</definedName>
    <definedName name="Z_068B9F4D_1726_4BB5_9877_77AA86853FFD_.wvu.FilterData" localSheetId="7" hidden="1">'08'!$AT$3:$AT$57</definedName>
    <definedName name="Z_068B9F4D_1726_4BB5_9877_77AA86853FFD_.wvu.FilterData" localSheetId="8" hidden="1">'09'!$AS$3:$AS$57</definedName>
    <definedName name="Z_068B9F4D_1726_4BB5_9877_77AA86853FFD_.wvu.FilterData" localSheetId="9" hidden="1">'10'!$AT$3:$AT$58</definedName>
    <definedName name="Z_069903C1_BC0B_4B52_910D_571A847FCAA9_.wvu.FilterData" localSheetId="9" hidden="1">'10'!$AT$3:$AT$59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D3CF99_85F0_472E_A186_7FB7D4C4014A_.wvu.FilterData" localSheetId="5" hidden="1">'06'!$AS$3:$AS$56</definedName>
    <definedName name="Z_06D3CF99_85F0_472E_A186_7FB7D4C4014A_.wvu.FilterData" localSheetId="6" hidden="1">'07'!$AU$3:$AU$56</definedName>
    <definedName name="Z_06D3CF99_85F0_472E_A186_7FB7D4C4014A_.wvu.FilterData" localSheetId="7" hidden="1">'08'!$AT$3:$AT$57</definedName>
    <definedName name="Z_06D3CF99_85F0_472E_A186_7FB7D4C4014A_.wvu.FilterData" localSheetId="8" hidden="1">'09'!$AS$3:$AS$57</definedName>
    <definedName name="Z_06D3CF99_85F0_472E_A186_7FB7D4C4014A_.wvu.FilterData" localSheetId="9" hidden="1">'10'!$AT$3:$AT$58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6ECBD3B_21FC_48C5_8489_C1CCD7ECBB2D_.wvu.FilterData" localSheetId="5" hidden="1">'06'!$AS$3:$AS$57</definedName>
    <definedName name="Z_06ECBD3B_21FC_48C5_8489_C1CCD7ECBB2D_.wvu.FilterData" localSheetId="6" hidden="1">'07'!$AU$3:$AU$57</definedName>
    <definedName name="Z_06ECBD3B_21FC_48C5_8489_C1CCD7ECBB2D_.wvu.FilterData" localSheetId="7" hidden="1">'08'!$AT$3:$AT$58</definedName>
    <definedName name="Z_06ECBD3B_21FC_48C5_8489_C1CCD7ECBB2D_.wvu.FilterData" localSheetId="8" hidden="1">'09'!$AS$3:$AS$58</definedName>
    <definedName name="Z_06ECBD3B_21FC_48C5_8489_C1CCD7ECBB2D_.wvu.FilterData" localSheetId="9" hidden="1">'10'!$AT$3:$AT$59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7E9AA7F_F37F_4A62_B7D7_BC481D5697FB_.wvu.FilterData" localSheetId="5" hidden="1">'06'!$AS$3:$AS$56</definedName>
    <definedName name="Z_07E9AA7F_F37F_4A62_B7D7_BC481D5697FB_.wvu.FilterData" localSheetId="6" hidden="1">'07'!$AU$3:$AU$56</definedName>
    <definedName name="Z_07E9AA7F_F37F_4A62_B7D7_BC481D5697FB_.wvu.FilterData" localSheetId="7" hidden="1">'08'!$AT$3:$AT$57</definedName>
    <definedName name="Z_07E9AA7F_F37F_4A62_B7D7_BC481D5697FB_.wvu.FilterData" localSheetId="8" hidden="1">'09'!$AS$3:$AS$57</definedName>
    <definedName name="Z_07E9AA7F_F37F_4A62_B7D7_BC481D5697FB_.wvu.FilterData" localSheetId="9" hidden="1">'10'!$AT$3:$AT$58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41CD3C_0806_4FBE_ADFF_B14D59A791A0_.wvu.FilterData" localSheetId="5" hidden="1">'06'!$AS$3:$AS$56</definedName>
    <definedName name="Z_0841CD3C_0806_4FBE_ADFF_B14D59A791A0_.wvu.FilterData" localSheetId="6" hidden="1">'07'!$AU$3:$AU$56</definedName>
    <definedName name="Z_0841CD3C_0806_4FBE_ADFF_B14D59A791A0_.wvu.FilterData" localSheetId="7" hidden="1">'08'!$AT$3:$AT$57</definedName>
    <definedName name="Z_0841CD3C_0806_4FBE_ADFF_B14D59A791A0_.wvu.FilterData" localSheetId="8" hidden="1">'09'!$AS$3:$AS$57</definedName>
    <definedName name="Z_0841CD3C_0806_4FBE_ADFF_B14D59A791A0_.wvu.FilterData" localSheetId="9" hidden="1">'10'!$AT$3:$AT$58</definedName>
    <definedName name="Z_087F5BBA_2FC6_451C_8546_CC8AEEDCC5FF_.wvu.FilterData" localSheetId="1" hidden="1">'02'!$AQ$3:$AQ$60</definedName>
    <definedName name="Z_08BA108C_0276_45BE_A479_104722547319_.wvu.FilterData" localSheetId="8" hidden="1">'09'!$AS$3:$AS$58</definedName>
    <definedName name="Z_08BA108C_0276_45BE_A479_104722547319_.wvu.FilterData" localSheetId="9" hidden="1">'10'!$AT$3:$AT$59</definedName>
    <definedName name="Z_091B01D9_DABD_47D7_86A7_3FA7991A8E2B_.wvu.FilterData" localSheetId="9" hidden="1">'10'!$AT$3:$AT$59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A64602A_34CB_4214_A4FA_296DB7F8DABC_.wvu.FilterData" localSheetId="5" hidden="1">'06'!$AS$3:$AS$56</definedName>
    <definedName name="Z_0A64602A_34CB_4214_A4FA_296DB7F8DABC_.wvu.FilterData" localSheetId="6" hidden="1">'07'!$AU$3:$AU$56</definedName>
    <definedName name="Z_0A64602A_34CB_4214_A4FA_296DB7F8DABC_.wvu.FilterData" localSheetId="7" hidden="1">'08'!$AT$3:$AT$57</definedName>
    <definedName name="Z_0A64602A_34CB_4214_A4FA_296DB7F8DABC_.wvu.FilterData" localSheetId="8" hidden="1">'09'!$AS$3:$AS$57</definedName>
    <definedName name="Z_0A64602A_34CB_4214_A4FA_296DB7F8DABC_.wvu.FilterData" localSheetId="9" hidden="1">'10'!$AT$3:$AT$58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B2ED034_BD86_4B9C_B874_0E9B9BC0A6B1_.wvu.FilterData" localSheetId="5" hidden="1">'06'!$AS$3:$AS$56</definedName>
    <definedName name="Z_0B2ED034_BD86_4B9C_B874_0E9B9BC0A6B1_.wvu.FilterData" localSheetId="6" hidden="1">'07'!$AU$3:$AU$56</definedName>
    <definedName name="Z_0B2ED034_BD86_4B9C_B874_0E9B9BC0A6B1_.wvu.FilterData" localSheetId="7" hidden="1">'08'!$AT$3:$AT$57</definedName>
    <definedName name="Z_0B2ED034_BD86_4B9C_B874_0E9B9BC0A6B1_.wvu.FilterData" localSheetId="8" hidden="1">'09'!$AS$3:$AS$57</definedName>
    <definedName name="Z_0B2ED034_BD86_4B9C_B874_0E9B9BC0A6B1_.wvu.FilterData" localSheetId="9" hidden="1">'10'!$AT$3:$AT$58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0D05488C_177A_430D_9495_56BB7C61E609_.wvu.FilterData" localSheetId="5" hidden="1">'06'!$AS$3:$AS$56</definedName>
    <definedName name="Z_0D05488C_177A_430D_9495_56BB7C61E609_.wvu.FilterData" localSheetId="6" hidden="1">'07'!$AU$3:$AU$56</definedName>
    <definedName name="Z_0D05488C_177A_430D_9495_56BB7C61E609_.wvu.FilterData" localSheetId="7" hidden="1">'08'!$AT$3:$AT$57</definedName>
    <definedName name="Z_0D05488C_177A_430D_9495_56BB7C61E609_.wvu.FilterData" localSheetId="8" hidden="1">'09'!$AS$3:$AS$57</definedName>
    <definedName name="Z_0D05488C_177A_430D_9495_56BB7C61E609_.wvu.FilterData" localSheetId="9" hidden="1">'10'!$AT$3:$AT$58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0226A8_7CF3_4126_BE8F_69AD3FBA225A_.wvu.FilterData" localSheetId="5" hidden="1">'06'!$AS$3:$AS$56</definedName>
    <definedName name="Z_110226A8_7CF3_4126_BE8F_69AD3FBA225A_.wvu.FilterData" localSheetId="6" hidden="1">'07'!$AU$3:$AU$56</definedName>
    <definedName name="Z_110226A8_7CF3_4126_BE8F_69AD3FBA225A_.wvu.FilterData" localSheetId="7" hidden="1">'08'!$AT$3:$AT$57</definedName>
    <definedName name="Z_110226A8_7CF3_4126_BE8F_69AD3FBA225A_.wvu.FilterData" localSheetId="8" hidden="1">'09'!$AS$3:$AS$57</definedName>
    <definedName name="Z_110226A8_7CF3_4126_BE8F_69AD3FBA225A_.wvu.FilterData" localSheetId="9" hidden="1">'10'!$AT$3:$AT$58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1DAC8CB_BDE3_4078_8235_41705064642A_.wvu.FilterData" localSheetId="5" hidden="1">'06'!$AS$3:$AS$56</definedName>
    <definedName name="Z_11DAC8CB_BDE3_4078_8235_41705064642A_.wvu.FilterData" localSheetId="6" hidden="1">'07'!$AU$3:$AU$56</definedName>
    <definedName name="Z_11DAC8CB_BDE3_4078_8235_41705064642A_.wvu.FilterData" localSheetId="7" hidden="1">'08'!$AT$3:$AT$57</definedName>
    <definedName name="Z_11DAC8CB_BDE3_4078_8235_41705064642A_.wvu.FilterData" localSheetId="8" hidden="1">'09'!$AS$3:$AS$57</definedName>
    <definedName name="Z_11DAC8CB_BDE3_4078_8235_41705064642A_.wvu.FilterData" localSheetId="9" hidden="1">'10'!$AT$3:$AT$58</definedName>
    <definedName name="Z_1244B5B0_212B_4FBF_82F9_F588D1DDBE55_.wvu.FilterData" localSheetId="8" hidden="1">'09'!$AS$3:$AS$58</definedName>
    <definedName name="Z_1244B5B0_212B_4FBF_82F9_F588D1DDBE55_.wvu.FilterData" localSheetId="9" hidden="1">'10'!$AT$3:$AT$59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2FADF21_ECB3_4410_8A80_A282BC18A4FE_.wvu.FilterData" localSheetId="5" hidden="1">'06'!$AS$3:$AS$56</definedName>
    <definedName name="Z_12FADF21_ECB3_4410_8A80_A282BC18A4FE_.wvu.FilterData" localSheetId="6" hidden="1">'07'!$AU$3:$AU$56</definedName>
    <definedName name="Z_12FADF21_ECB3_4410_8A80_A282BC18A4FE_.wvu.FilterData" localSheetId="7" hidden="1">'08'!$AT$3:$AT$57</definedName>
    <definedName name="Z_12FADF21_ECB3_4410_8A80_A282BC18A4FE_.wvu.FilterData" localSheetId="8" hidden="1">'09'!$AS$3:$AS$57</definedName>
    <definedName name="Z_12FADF21_ECB3_4410_8A80_A282BC18A4FE_.wvu.FilterData" localSheetId="9" hidden="1">'10'!$AT$3:$AT$58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32A841_A6FF_4056_82B7_7F28FC68464F_.wvu.FilterData" localSheetId="5" hidden="1">'06'!$AS$3:$AS$57</definedName>
    <definedName name="Z_1332A841_A6FF_4056_82B7_7F28FC68464F_.wvu.FilterData" localSheetId="6" hidden="1">'07'!$AU$3:$AU$57</definedName>
    <definedName name="Z_1332A841_A6FF_4056_82B7_7F28FC68464F_.wvu.FilterData" localSheetId="7" hidden="1">'08'!$AT$3:$AT$58</definedName>
    <definedName name="Z_1332A841_A6FF_4056_82B7_7F28FC68464F_.wvu.FilterData" localSheetId="8" hidden="1">'09'!$AS$3:$AS$58</definedName>
    <definedName name="Z_1332A841_A6FF_4056_82B7_7F28FC68464F_.wvu.FilterData" localSheetId="9" hidden="1">'10'!$AT$3:$AT$59</definedName>
    <definedName name="Z_1346E252_0993_469E_8A4B_D8BA921893C0_.wvu.FilterData" localSheetId="1" hidden="1">'02'!$AQ$3:$AQ$60</definedName>
    <definedName name="Z_1410B5F8_193C_4D90_95CF_DFDC624989D4_.wvu.FilterData" localSheetId="8" hidden="1">'09'!$AS$3:$AS$58</definedName>
    <definedName name="Z_1410B5F8_193C_4D90_95CF_DFDC624989D4_.wvu.FilterData" localSheetId="9" hidden="1">'10'!$AT$3:$AT$59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5AF4F59_9716_4C24_86C4_75437B379A24_.wvu.FilterData" localSheetId="5" hidden="1">'06'!$AS$3:$AS$56</definedName>
    <definedName name="Z_15AF4F59_9716_4C24_86C4_75437B379A24_.wvu.FilterData" localSheetId="6" hidden="1">'07'!$AU$3:$AU$56</definedName>
    <definedName name="Z_15AF4F59_9716_4C24_86C4_75437B379A24_.wvu.FilterData" localSheetId="7" hidden="1">'08'!$AT$3:$AT$57</definedName>
    <definedName name="Z_15AF4F59_9716_4C24_86C4_75437B379A24_.wvu.FilterData" localSheetId="8" hidden="1">'09'!$AS$3:$AS$57</definedName>
    <definedName name="Z_15AF4F59_9716_4C24_86C4_75437B379A24_.wvu.FilterData" localSheetId="9" hidden="1">'10'!$AT$3:$AT$58</definedName>
    <definedName name="Z_15C34905_1601_4E5B_ACB5_480E1D8DEC31_.wvu.FilterData" localSheetId="8" hidden="1">'09'!$AS$3:$AS$58</definedName>
    <definedName name="Z_15C34905_1601_4E5B_ACB5_480E1D8DEC31_.wvu.FilterData" localSheetId="9" hidden="1">'10'!$AT$3:$AT$59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2F0BDB_A8DE_4522_A570_6D9AD2D04E0B_.wvu.FilterData" localSheetId="5" hidden="1">'06'!$AS$3:$AS$56</definedName>
    <definedName name="Z_162F0BDB_A8DE_4522_A570_6D9AD2D04E0B_.wvu.FilterData" localSheetId="6" hidden="1">'07'!$AU$3:$AU$56</definedName>
    <definedName name="Z_162F0BDB_A8DE_4522_A570_6D9AD2D04E0B_.wvu.FilterData" localSheetId="7" hidden="1">'08'!$AT$3:$AT$57</definedName>
    <definedName name="Z_162F0BDB_A8DE_4522_A570_6D9AD2D04E0B_.wvu.FilterData" localSheetId="8" hidden="1">'09'!$AS$3:$AS$57</definedName>
    <definedName name="Z_162F0BDB_A8DE_4522_A570_6D9AD2D04E0B_.wvu.FilterData" localSheetId="9" hidden="1">'10'!$AT$3:$AT$58</definedName>
    <definedName name="Z_168BFD59_C957_46AF_8D1A_F002D5784658_.wvu.FilterData" localSheetId="6" hidden="1">'07'!$AU$3:$AU$57</definedName>
    <definedName name="Z_168BFD59_C957_46AF_8D1A_F002D5784658_.wvu.FilterData" localSheetId="7" hidden="1">'08'!$AT$3:$AT$58</definedName>
    <definedName name="Z_168BFD59_C957_46AF_8D1A_F002D5784658_.wvu.FilterData" localSheetId="8" hidden="1">'09'!$AS$3:$AS$58</definedName>
    <definedName name="Z_168BFD59_C957_46AF_8D1A_F002D5784658_.wvu.FilterData" localSheetId="9" hidden="1">'10'!$AT$3:$AT$59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A04D91_2C99_4533_8BD5_ACF68CA4532E_.wvu.FilterData" localSheetId="5" hidden="1">'06'!$AS$3:$AS$56</definedName>
    <definedName name="Z_16A04D91_2C99_4533_8BD5_ACF68CA4532E_.wvu.FilterData" localSheetId="6" hidden="1">'07'!$AU$3:$AU$56</definedName>
    <definedName name="Z_16A04D91_2C99_4533_8BD5_ACF68CA4532E_.wvu.FilterData" localSheetId="7" hidden="1">'08'!$AT$3:$AT$57</definedName>
    <definedName name="Z_16A04D91_2C99_4533_8BD5_ACF68CA4532E_.wvu.FilterData" localSheetId="8" hidden="1">'09'!$AS$3:$AS$57</definedName>
    <definedName name="Z_16A04D91_2C99_4533_8BD5_ACF68CA4532E_.wvu.FilterData" localSheetId="9" hidden="1">'10'!$AT$3:$AT$58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6D8DC8A_90FD_4AB4_AD47_6C2F7ED73032_.wvu.FilterData" localSheetId="5" hidden="1">'06'!$AS$3:$AS$56</definedName>
    <definedName name="Z_16D8DC8A_90FD_4AB4_AD47_6C2F7ED73032_.wvu.FilterData" localSheetId="6" hidden="1">'07'!$AU$3:$AU$56</definedName>
    <definedName name="Z_16D8DC8A_90FD_4AB4_AD47_6C2F7ED73032_.wvu.FilterData" localSheetId="7" hidden="1">'08'!$AT$3:$AT$57</definedName>
    <definedName name="Z_16D8DC8A_90FD_4AB4_AD47_6C2F7ED73032_.wvu.FilterData" localSheetId="8" hidden="1">'09'!$AS$3:$AS$57</definedName>
    <definedName name="Z_16D8DC8A_90FD_4AB4_AD47_6C2F7ED73032_.wvu.FilterData" localSheetId="9" hidden="1">'10'!$AT$3:$AT$58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774687C_5E19_4D8E_837A_728C898C529E_.wvu.FilterData" localSheetId="5" hidden="1">'06'!$AS$3:$AS$56</definedName>
    <definedName name="Z_1774687C_5E19_4D8E_837A_728C898C529E_.wvu.FilterData" localSheetId="6" hidden="1">'07'!$AU$3:$AU$56</definedName>
    <definedName name="Z_1774687C_5E19_4D8E_837A_728C898C529E_.wvu.FilterData" localSheetId="7" hidden="1">'08'!$AT$3:$AT$57</definedName>
    <definedName name="Z_1774687C_5E19_4D8E_837A_728C898C529E_.wvu.FilterData" localSheetId="8" hidden="1">'09'!$AS$3:$AS$57</definedName>
    <definedName name="Z_1774687C_5E19_4D8E_837A_728C898C529E_.wvu.FilterData" localSheetId="9" hidden="1">'10'!$AT$3:$AT$58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9387AE2_24A3_4769_AAB1_E8FCA7264125_.wvu.FilterData" localSheetId="5" hidden="1">'06'!$AS$3:$AS$57</definedName>
    <definedName name="Z_19387AE2_24A3_4769_AAB1_E8FCA7264125_.wvu.FilterData" localSheetId="6" hidden="1">'07'!$AU$3:$AU$57</definedName>
    <definedName name="Z_19387AE2_24A3_4769_AAB1_E8FCA7264125_.wvu.FilterData" localSheetId="7" hidden="1">'08'!$AT$3:$AT$58</definedName>
    <definedName name="Z_19387AE2_24A3_4769_AAB1_E8FCA7264125_.wvu.FilterData" localSheetId="8" hidden="1">'09'!$AS$3:$AS$58</definedName>
    <definedName name="Z_19387AE2_24A3_4769_AAB1_E8FCA7264125_.wvu.FilterData" localSheetId="9" hidden="1">'10'!$AT$3:$AT$59</definedName>
    <definedName name="Z_19FA40F7_FBE4_4737_8CC4_125404A88ED1_.wvu.FilterData" localSheetId="7" hidden="1">'08'!$AT$3:$AT$58</definedName>
    <definedName name="Z_19FA40F7_FBE4_4737_8CC4_125404A88ED1_.wvu.FilterData" localSheetId="8" hidden="1">'09'!$AS$3:$AS$58</definedName>
    <definedName name="Z_19FA40F7_FBE4_4737_8CC4_125404A88ED1_.wvu.FilterData" localSheetId="9" hidden="1">'10'!$AT$3:$AT$59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B4234AB_18ED_41CF_9CE5_3454AEDE54DC_.wvu.FilterData" localSheetId="5" hidden="1">'06'!$AS$3:$AS$57</definedName>
    <definedName name="Z_1B4234AB_18ED_41CF_9CE5_3454AEDE54DC_.wvu.FilterData" localSheetId="6" hidden="1">'07'!$AU$3:$AU$57</definedName>
    <definedName name="Z_1B4234AB_18ED_41CF_9CE5_3454AEDE54DC_.wvu.FilterData" localSheetId="7" hidden="1">'08'!$AT$3:$AT$58</definedName>
    <definedName name="Z_1B4234AB_18ED_41CF_9CE5_3454AEDE54DC_.wvu.FilterData" localSheetId="8" hidden="1">'09'!$AS$3:$AS$58</definedName>
    <definedName name="Z_1B4234AB_18ED_41CF_9CE5_3454AEDE54DC_.wvu.FilterData" localSheetId="9" hidden="1">'10'!$AT$3:$AT$59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D9BA11F_93D0_4AAC_8DAE_F31661CFBA7A_.wvu.FilterData" localSheetId="5" hidden="1">'06'!$AS$3:$AS$56</definedName>
    <definedName name="Z_1D9BA11F_93D0_4AAC_8DAE_F31661CFBA7A_.wvu.FilterData" localSheetId="6" hidden="1">'07'!$AU$3:$AU$56</definedName>
    <definedName name="Z_1D9BA11F_93D0_4AAC_8DAE_F31661CFBA7A_.wvu.FilterData" localSheetId="7" hidden="1">'08'!$AT$3:$AT$57</definedName>
    <definedName name="Z_1D9BA11F_93D0_4AAC_8DAE_F31661CFBA7A_.wvu.FilterData" localSheetId="8" hidden="1">'09'!$AS$3:$AS$57</definedName>
    <definedName name="Z_1D9BA11F_93D0_4AAC_8DAE_F31661CFBA7A_.wvu.FilterData" localSheetId="9" hidden="1">'10'!$AT$3:$AT$58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8F0E8A_2C15_4923_A9DC_62F142327D49_.wvu.FilterData" localSheetId="5" hidden="1">'06'!$AS$3:$AS$56</definedName>
    <definedName name="Z_1E8F0E8A_2C15_4923_A9DC_62F142327D49_.wvu.FilterData" localSheetId="6" hidden="1">'07'!$AU$3:$AU$56</definedName>
    <definedName name="Z_1E8F0E8A_2C15_4923_A9DC_62F142327D49_.wvu.FilterData" localSheetId="7" hidden="1">'08'!$AT$3:$AT$57</definedName>
    <definedName name="Z_1E8F0E8A_2C15_4923_A9DC_62F142327D49_.wvu.FilterData" localSheetId="8" hidden="1">'09'!$AS$3:$AS$57</definedName>
    <definedName name="Z_1E8F0E8A_2C15_4923_A9DC_62F142327D49_.wvu.FilterData" localSheetId="9" hidden="1">'10'!$AT$3:$AT$58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E9B90D0_B64A_40FB_8DA0_71C64CFB3809_.wvu.FilterData" localSheetId="5" hidden="1">'06'!$AS$3:$AS$56</definedName>
    <definedName name="Z_1E9B90D0_B64A_40FB_8DA0_71C64CFB3809_.wvu.FilterData" localSheetId="6" hidden="1">'07'!$AU$3:$AU$56</definedName>
    <definedName name="Z_1E9B90D0_B64A_40FB_8DA0_71C64CFB3809_.wvu.FilterData" localSheetId="7" hidden="1">'08'!$AT$3:$AT$57</definedName>
    <definedName name="Z_1E9B90D0_B64A_40FB_8DA0_71C64CFB3809_.wvu.FilterData" localSheetId="8" hidden="1">'09'!$AS$3:$AS$57</definedName>
    <definedName name="Z_1E9B90D0_B64A_40FB_8DA0_71C64CFB3809_.wvu.FilterData" localSheetId="9" hidden="1">'10'!$AT$3:$AT$58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1FCD1FDB_37CC_46E1_B1C5_4F66CDB0126A_.wvu.FilterData" localSheetId="5" hidden="1">'06'!$AS$3:$AS$57</definedName>
    <definedName name="Z_1FCD1FDB_37CC_46E1_B1C5_4F66CDB0126A_.wvu.FilterData" localSheetId="6" hidden="1">'07'!$AU$3:$AU$57</definedName>
    <definedName name="Z_1FCD1FDB_37CC_46E1_B1C5_4F66CDB0126A_.wvu.FilterData" localSheetId="7" hidden="1">'08'!$AT$3:$AT$58</definedName>
    <definedName name="Z_1FCD1FDB_37CC_46E1_B1C5_4F66CDB0126A_.wvu.FilterData" localSheetId="8" hidden="1">'09'!$AS$3:$AS$58</definedName>
    <definedName name="Z_1FCD1FDB_37CC_46E1_B1C5_4F66CDB0126A_.wvu.FilterData" localSheetId="9" hidden="1">'10'!$AT$3:$AT$59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25BAE0_0E31_47A3_922F_C08FB1FE7B7E_.wvu.FilterData" localSheetId="5" hidden="1">'06'!$AS$3:$AS$56</definedName>
    <definedName name="Z_2025BAE0_0E31_47A3_922F_C08FB1FE7B7E_.wvu.FilterData" localSheetId="6" hidden="1">'07'!$AU$3:$AU$56</definedName>
    <definedName name="Z_2025BAE0_0E31_47A3_922F_C08FB1FE7B7E_.wvu.FilterData" localSheetId="7" hidden="1">'08'!$AT$3:$AT$57</definedName>
    <definedName name="Z_2025BAE0_0E31_47A3_922F_C08FB1FE7B7E_.wvu.FilterData" localSheetId="8" hidden="1">'09'!$AS$3:$AS$57</definedName>
    <definedName name="Z_2025BAE0_0E31_47A3_922F_C08FB1FE7B7E_.wvu.FilterData" localSheetId="9" hidden="1">'10'!$AT$3:$AT$58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0FEF4CE_2C2F_40FC_8085_3162B84E82A6_.wvu.FilterData" localSheetId="5" hidden="1">'06'!$AS$3:$AS$56</definedName>
    <definedName name="Z_20FEF4CE_2C2F_40FC_8085_3162B84E82A6_.wvu.FilterData" localSheetId="6" hidden="1">'07'!$AU$3:$AU$56</definedName>
    <definedName name="Z_20FEF4CE_2C2F_40FC_8085_3162B84E82A6_.wvu.FilterData" localSheetId="7" hidden="1">'08'!$AT$3:$AT$57</definedName>
    <definedName name="Z_20FEF4CE_2C2F_40FC_8085_3162B84E82A6_.wvu.FilterData" localSheetId="8" hidden="1">'09'!$AS$3:$AS$57</definedName>
    <definedName name="Z_20FEF4CE_2C2F_40FC_8085_3162B84E82A6_.wvu.FilterData" localSheetId="9" hidden="1">'10'!$AT$3:$AT$58</definedName>
    <definedName name="Z_21349BC8_BBD6_4D8B_A4D6_F2FC22CA6576_.wvu.FilterData" localSheetId="5" hidden="1">'06'!$AS$3:$AS$57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15FB331_F4B8_4C73_93D7_C18F158B1D31_.wvu.FilterData" localSheetId="5" hidden="1">'06'!$AS$3:$AS$57</definedName>
    <definedName name="Z_215FB331_F4B8_4C73_93D7_C18F158B1D31_.wvu.FilterData" localSheetId="6" hidden="1">'07'!$AU$3:$AU$57</definedName>
    <definedName name="Z_215FB331_F4B8_4C73_93D7_C18F158B1D31_.wvu.FilterData" localSheetId="7" hidden="1">'08'!$AT$3:$AT$58</definedName>
    <definedName name="Z_215FB331_F4B8_4C73_93D7_C18F158B1D31_.wvu.FilterData" localSheetId="8" hidden="1">'09'!$AS$3:$AS$58</definedName>
    <definedName name="Z_215FB331_F4B8_4C73_93D7_C18F158B1D31_.wvu.FilterData" localSheetId="9" hidden="1">'10'!$AT$3:$AT$59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4ED5ABF_E853_4CF5_890D_C9A1183FB1B7_.wvu.FilterData" localSheetId="5" hidden="1">'06'!$AS$3:$AS$57</definedName>
    <definedName name="Z_24ED5ABF_E853_4CF5_890D_C9A1183FB1B7_.wvu.FilterData" localSheetId="6" hidden="1">'07'!$AU$3:$AU$57</definedName>
    <definedName name="Z_24ED5ABF_E853_4CF5_890D_C9A1183FB1B7_.wvu.FilterData" localSheetId="7" hidden="1">'08'!$AT$3:$AT$58</definedName>
    <definedName name="Z_24ED5ABF_E853_4CF5_890D_C9A1183FB1B7_.wvu.FilterData" localSheetId="8" hidden="1">'09'!$AS$3:$AS$58</definedName>
    <definedName name="Z_24ED5ABF_E853_4CF5_890D_C9A1183FB1B7_.wvu.FilterData" localSheetId="9" hidden="1">'10'!$AT$3:$AT$59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30F85_CD73_4589_B7D2_99E88D9B25B9_.wvu.FilterData" localSheetId="5" hidden="1">'06'!$AS$3:$AS$56</definedName>
    <definedName name="Z_25A30F85_CD73_4589_B7D2_99E88D9B25B9_.wvu.FilterData" localSheetId="6" hidden="1">'07'!$AU$3:$AU$56</definedName>
    <definedName name="Z_25A30F85_CD73_4589_B7D2_99E88D9B25B9_.wvu.FilterData" localSheetId="7" hidden="1">'08'!$AT$3:$AT$57</definedName>
    <definedName name="Z_25A30F85_CD73_4589_B7D2_99E88D9B25B9_.wvu.FilterData" localSheetId="8" hidden="1">'09'!$AS$3:$AS$57</definedName>
    <definedName name="Z_25A30F85_CD73_4589_B7D2_99E88D9B25B9_.wvu.FilterData" localSheetId="9" hidden="1">'10'!$AT$3:$AT$58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5AD20A1_C606_49E1_A479_0FA4B034B4F2_.wvu.FilterData" localSheetId="5" hidden="1">'06'!$AS$3:$AS$57</definedName>
    <definedName name="Z_25AD20A1_C606_49E1_A479_0FA4B034B4F2_.wvu.FilterData" localSheetId="6" hidden="1">'07'!$AU$3:$AU$57</definedName>
    <definedName name="Z_25AD20A1_C606_49E1_A479_0FA4B034B4F2_.wvu.FilterData" localSheetId="7" hidden="1">'08'!$AT$3:$AT$58</definedName>
    <definedName name="Z_25AD20A1_C606_49E1_A479_0FA4B034B4F2_.wvu.FilterData" localSheetId="8" hidden="1">'09'!$AS$3:$AS$58</definedName>
    <definedName name="Z_25AD20A1_C606_49E1_A479_0FA4B034B4F2_.wvu.FilterData" localSheetId="9" hidden="1">'10'!$AT$3:$AT$59</definedName>
    <definedName name="Z_26A536E7_5BE3_4856_8723_7CE1518D2F8B_.wvu.FilterData" localSheetId="6" hidden="1">'07'!$AU$3:$AU$57</definedName>
    <definedName name="Z_26A536E7_5BE3_4856_8723_7CE1518D2F8B_.wvu.FilterData" localSheetId="7" hidden="1">'08'!$AT$3:$AT$58</definedName>
    <definedName name="Z_26A536E7_5BE3_4856_8723_7CE1518D2F8B_.wvu.FilterData" localSheetId="8" hidden="1">'09'!$AS$3:$AS$58</definedName>
    <definedName name="Z_26A536E7_5BE3_4856_8723_7CE1518D2F8B_.wvu.FilterData" localSheetId="9" hidden="1">'10'!$AT$3:$AT$59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6FBF2C7_1446_4208_B073_E5207214085A_.wvu.FilterData" localSheetId="5" hidden="1">'06'!$AS$3:$AS$56</definedName>
    <definedName name="Z_26FBF2C7_1446_4208_B073_E5207214085A_.wvu.FilterData" localSheetId="6" hidden="1">'07'!$AU$3:$AU$56</definedName>
    <definedName name="Z_26FBF2C7_1446_4208_B073_E5207214085A_.wvu.FilterData" localSheetId="7" hidden="1">'08'!$AT$3:$AT$57</definedName>
    <definedName name="Z_26FBF2C7_1446_4208_B073_E5207214085A_.wvu.FilterData" localSheetId="8" hidden="1">'09'!$AS$3:$AS$57</definedName>
    <definedName name="Z_26FBF2C7_1446_4208_B073_E5207214085A_.wvu.FilterData" localSheetId="9" hidden="1">'10'!$AT$3:$AT$58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7C8DD29_AB51_423B_8F68_C2DCE1875097_.wvu.FilterData" localSheetId="5" hidden="1">'06'!$AS$3:$AS$57</definedName>
    <definedName name="Z_27C8DD29_AB51_423B_8F68_C2DCE1875097_.wvu.FilterData" localSheetId="6" hidden="1">'07'!$AU$3:$AU$57</definedName>
    <definedName name="Z_27C8DD29_AB51_423B_8F68_C2DCE1875097_.wvu.FilterData" localSheetId="7" hidden="1">'08'!$AT$3:$AT$58</definedName>
    <definedName name="Z_27C8DD29_AB51_423B_8F68_C2DCE1875097_.wvu.FilterData" localSheetId="8" hidden="1">'09'!$AS$3:$AS$58</definedName>
    <definedName name="Z_27C8DD29_AB51_423B_8F68_C2DCE1875097_.wvu.FilterData" localSheetId="9" hidden="1">'10'!$AT$3:$AT$59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8C44B00_696A_44A0_8605_2CB6C4AC31DB_.wvu.FilterData" localSheetId="5" hidden="1">'06'!$AS$3:$AS$57</definedName>
    <definedName name="Z_28C44B00_696A_44A0_8605_2CB6C4AC31DB_.wvu.FilterData" localSheetId="6" hidden="1">'07'!$AU$3:$AU$57</definedName>
    <definedName name="Z_28C44B00_696A_44A0_8605_2CB6C4AC31DB_.wvu.FilterData" localSheetId="7" hidden="1">'08'!$AT$3:$AT$58</definedName>
    <definedName name="Z_28C44B00_696A_44A0_8605_2CB6C4AC31DB_.wvu.FilterData" localSheetId="8" hidden="1">'09'!$AS$3:$AS$58</definedName>
    <definedName name="Z_28C44B00_696A_44A0_8605_2CB6C4AC31DB_.wvu.FilterData" localSheetId="9" hidden="1">'10'!$AT$3:$AT$59</definedName>
    <definedName name="Z_29DF720A_9CD6_4682_B52F_39944C723977_.wvu.FilterData" localSheetId="9" hidden="1">'10'!$AT$3:$AT$59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A29B745_D387_4E04_9B34_E57A23AC14D9_.wvu.FilterData" localSheetId="5" hidden="1">'06'!$AS$3:$AS$57</definedName>
    <definedName name="Z_2A29B745_D387_4E04_9B34_E57A23AC14D9_.wvu.FilterData" localSheetId="6" hidden="1">'07'!$AU$3:$AU$57</definedName>
    <definedName name="Z_2A29B745_D387_4E04_9B34_E57A23AC14D9_.wvu.FilterData" localSheetId="7" hidden="1">'08'!$AT$3:$AT$58</definedName>
    <definedName name="Z_2A29B745_D387_4E04_9B34_E57A23AC14D9_.wvu.FilterData" localSheetId="8" hidden="1">'09'!$AS$3:$AS$58</definedName>
    <definedName name="Z_2A29B745_D387_4E04_9B34_E57A23AC14D9_.wvu.FilterData" localSheetId="9" hidden="1">'10'!$AT$3:$AT$59</definedName>
    <definedName name="Z_2A803CFC_1238_4860_BC4F_A4B1D52BA5CC_.wvu.FilterData" localSheetId="5" hidden="1">'06'!$AS$3:$AS$57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B9666EB_F086_4648_8B1C_C479BD1040AE_.wvu.FilterData" localSheetId="5" hidden="1">'06'!$AS$3:$AS$57</definedName>
    <definedName name="Z_2B9666EB_F086_4648_8B1C_C479BD1040AE_.wvu.FilterData" localSheetId="6" hidden="1">'07'!$AU$3:$AU$57</definedName>
    <definedName name="Z_2B9666EB_F086_4648_8B1C_C479BD1040AE_.wvu.FilterData" localSheetId="7" hidden="1">'08'!$AT$3:$AT$58</definedName>
    <definedName name="Z_2B9666EB_F086_4648_8B1C_C479BD1040AE_.wvu.FilterData" localSheetId="8" hidden="1">'09'!$AS$3:$AS$58</definedName>
    <definedName name="Z_2B9666EB_F086_4648_8B1C_C479BD1040AE_.wvu.FilterData" localSheetId="9" hidden="1">'10'!$AT$3:$AT$59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4AEE69_0064_4180_990E_C17202408966_.wvu.FilterData" localSheetId="5" hidden="1">'06'!$AS$3:$AS$57</definedName>
    <definedName name="Z_2C4AEE69_0064_4180_990E_C17202408966_.wvu.FilterData" localSheetId="6" hidden="1">'07'!$AU$3:$AU$57</definedName>
    <definedName name="Z_2C4AEE69_0064_4180_990E_C17202408966_.wvu.FilterData" localSheetId="7" hidden="1">'08'!$AT$3:$AT$58</definedName>
    <definedName name="Z_2C4AEE69_0064_4180_990E_C17202408966_.wvu.FilterData" localSheetId="8" hidden="1">'09'!$AS$3:$AS$58</definedName>
    <definedName name="Z_2C4AEE69_0064_4180_990E_C17202408966_.wvu.FilterData" localSheetId="9" hidden="1">'10'!$AT$3:$AT$59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C6CBA2F_0916_41DB_BBE9_60394F863A8C_.wvu.FilterData" localSheetId="5" hidden="1">'06'!$AS$3:$AS$56</definedName>
    <definedName name="Z_2C6CBA2F_0916_41DB_BBE9_60394F863A8C_.wvu.FilterData" localSheetId="6" hidden="1">'07'!$AU$3:$AU$56</definedName>
    <definedName name="Z_2C6CBA2F_0916_41DB_BBE9_60394F863A8C_.wvu.FilterData" localSheetId="7" hidden="1">'08'!$AT$3:$AT$57</definedName>
    <definedName name="Z_2C6CBA2F_0916_41DB_BBE9_60394F863A8C_.wvu.FilterData" localSheetId="8" hidden="1">'09'!$AS$3:$AS$57</definedName>
    <definedName name="Z_2C6CBA2F_0916_41DB_BBE9_60394F863A8C_.wvu.FilterData" localSheetId="9" hidden="1">'10'!$AT$3:$AT$58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D29B0D3_5CF8_4740_95D3_C5593FB28625_.wvu.FilterData" localSheetId="5" hidden="1">'06'!$AS$3:$AS$57</definedName>
    <definedName name="Z_2D29B0D3_5CF8_4740_95D3_C5593FB28625_.wvu.FilterData" localSheetId="6" hidden="1">'07'!$AU$3:$AU$57</definedName>
    <definedName name="Z_2D29B0D3_5CF8_4740_95D3_C5593FB28625_.wvu.FilterData" localSheetId="7" hidden="1">'08'!$AT$3:$AT$58</definedName>
    <definedName name="Z_2D29B0D3_5CF8_4740_95D3_C5593FB28625_.wvu.FilterData" localSheetId="8" hidden="1">'09'!$AS$3:$AS$58</definedName>
    <definedName name="Z_2D29B0D3_5CF8_4740_95D3_C5593FB28625_.wvu.FilterData" localSheetId="9" hidden="1">'10'!$AT$3:$AT$59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8E3422_FD1D_40D9_83F0_DF4EB0C7BD8E_.wvu.FilterData" localSheetId="5" hidden="1">'06'!$AS$3:$AS$57</definedName>
    <definedName name="Z_2E8E3422_FD1D_40D9_83F0_DF4EB0C7BD8E_.wvu.FilterData" localSheetId="6" hidden="1">'07'!$AU$3:$AU$57</definedName>
    <definedName name="Z_2E8E3422_FD1D_40D9_83F0_DF4EB0C7BD8E_.wvu.FilterData" localSheetId="7" hidden="1">'08'!$AT$3:$AT$58</definedName>
    <definedName name="Z_2E8E3422_FD1D_40D9_83F0_DF4EB0C7BD8E_.wvu.FilterData" localSheetId="8" hidden="1">'09'!$AS$3:$AS$58</definedName>
    <definedName name="Z_2E8E3422_FD1D_40D9_83F0_DF4EB0C7BD8E_.wvu.FilterData" localSheetId="9" hidden="1">'10'!$AT$3:$AT$59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ED81BCC_6793_4A28_A933_FBE69690D335_.wvu.FilterData" localSheetId="5" hidden="1">'06'!$AS$3:$AS$57</definedName>
    <definedName name="Z_2ED81BCC_6793_4A28_A933_FBE69690D335_.wvu.FilterData" localSheetId="6" hidden="1">'07'!$AU$3:$AU$57</definedName>
    <definedName name="Z_2ED81BCC_6793_4A28_A933_FBE69690D335_.wvu.FilterData" localSheetId="7" hidden="1">'08'!$AT$3:$AT$58</definedName>
    <definedName name="Z_2ED81BCC_6793_4A28_A933_FBE69690D335_.wvu.FilterData" localSheetId="8" hidden="1">'09'!$AS$3:$AS$58</definedName>
    <definedName name="Z_2ED81BCC_6793_4A28_A933_FBE69690D335_.wvu.FilterData" localSheetId="9" hidden="1">'10'!$AT$3:$AT$59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3AAB35_BB59_4FDB_A90F_8EC461800ECD_.wvu.FilterData" localSheetId="5" hidden="1">'06'!$AS$3:$AS$57</definedName>
    <definedName name="Z_2F3AAB35_BB59_4FDB_A90F_8EC461800ECD_.wvu.FilterData" localSheetId="6" hidden="1">'07'!$AU$3:$AU$57</definedName>
    <definedName name="Z_2F3AAB35_BB59_4FDB_A90F_8EC461800ECD_.wvu.FilterData" localSheetId="7" hidden="1">'08'!$AT$3:$AT$58</definedName>
    <definedName name="Z_2F3AAB35_BB59_4FDB_A90F_8EC461800ECD_.wvu.FilterData" localSheetId="8" hidden="1">'09'!$AS$3:$AS$58</definedName>
    <definedName name="Z_2F3AAB35_BB59_4FDB_A90F_8EC461800ECD_.wvu.FilterData" localSheetId="9" hidden="1">'10'!$AT$3:$AT$59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2FB248F3_F4F7_4123_9E21_62CB9841921D_.wvu.FilterData" localSheetId="5" hidden="1">'06'!$AS$3:$AS$56</definedName>
    <definedName name="Z_2FB248F3_F4F7_4123_9E21_62CB9841921D_.wvu.FilterData" localSheetId="6" hidden="1">'07'!$AU$3:$AU$56</definedName>
    <definedName name="Z_2FB248F3_F4F7_4123_9E21_62CB9841921D_.wvu.FilterData" localSheetId="7" hidden="1">'08'!$AT$3:$AT$57</definedName>
    <definedName name="Z_2FB248F3_F4F7_4123_9E21_62CB9841921D_.wvu.FilterData" localSheetId="8" hidden="1">'09'!$AS$3:$AS$57</definedName>
    <definedName name="Z_2FB248F3_F4F7_4123_9E21_62CB9841921D_.wvu.FilterData" localSheetId="9" hidden="1">'10'!$AT$3:$AT$58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0706BB5_7338_4344_BD99_439355E72F08_.wvu.FilterData" localSheetId="5" hidden="1">'06'!$AS$3:$AS$56</definedName>
    <definedName name="Z_30706BB5_7338_4344_BD99_439355E72F08_.wvu.FilterData" localSheetId="6" hidden="1">'07'!$AU$3:$AU$56</definedName>
    <definedName name="Z_30706BB5_7338_4344_BD99_439355E72F08_.wvu.FilterData" localSheetId="7" hidden="1">'08'!$AT$3:$AT$57</definedName>
    <definedName name="Z_30706BB5_7338_4344_BD99_439355E72F08_.wvu.FilterData" localSheetId="8" hidden="1">'09'!$AS$3:$AS$57</definedName>
    <definedName name="Z_30706BB5_7338_4344_BD99_439355E72F08_.wvu.FilterData" localSheetId="9" hidden="1">'10'!$AT$3:$AT$58</definedName>
    <definedName name="Z_307D3201_5666_425B_B5A1_5E1F02EDE8D4_.wvu.FilterData" localSheetId="6" hidden="1">'07'!$AU$3:$AU$57</definedName>
    <definedName name="Z_307D3201_5666_425B_B5A1_5E1F02EDE8D4_.wvu.FilterData" localSheetId="7" hidden="1">'08'!$AT$3:$AT$58</definedName>
    <definedName name="Z_307D3201_5666_425B_B5A1_5E1F02EDE8D4_.wvu.FilterData" localSheetId="8" hidden="1">'09'!$AS$3:$AS$58</definedName>
    <definedName name="Z_307D3201_5666_425B_B5A1_5E1F02EDE8D4_.wvu.FilterData" localSheetId="9" hidden="1">'10'!$AT$3:$AT$59</definedName>
    <definedName name="Z_30C4E593_CBE6_4671_A3D2_828E477A8888_.wvu.FilterData" localSheetId="5" hidden="1">'06'!$AS$3:$AS$57</definedName>
    <definedName name="Z_30C4E593_CBE6_4671_A3D2_828E477A8888_.wvu.FilterData" localSheetId="6" hidden="1">'07'!$AU$3:$AU$57</definedName>
    <definedName name="Z_30C4E593_CBE6_4671_A3D2_828E477A8888_.wvu.FilterData" localSheetId="7" hidden="1">'08'!$AT$3:$AT$58</definedName>
    <definedName name="Z_30C4E593_CBE6_4671_A3D2_828E477A8888_.wvu.FilterData" localSheetId="8" hidden="1">'09'!$AS$3:$AS$58</definedName>
    <definedName name="Z_30C4E593_CBE6_4671_A3D2_828E477A8888_.wvu.FilterData" localSheetId="9" hidden="1">'10'!$AT$3:$AT$59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57C34D_724D_4888_95A0_74FF121C40EC_.wvu.FilterData" localSheetId="5" hidden="1">'06'!$AS$3:$AS$57</definedName>
    <definedName name="Z_3157C34D_724D_4888_95A0_74FF121C40EC_.wvu.FilterData" localSheetId="6" hidden="1">'07'!$AU$3:$AU$57</definedName>
    <definedName name="Z_3157C34D_724D_4888_95A0_74FF121C40EC_.wvu.FilterData" localSheetId="7" hidden="1">'08'!$AT$3:$AT$58</definedName>
    <definedName name="Z_3157C34D_724D_4888_95A0_74FF121C40EC_.wvu.FilterData" localSheetId="8" hidden="1">'09'!$AS$3:$AS$58</definedName>
    <definedName name="Z_3157C34D_724D_4888_95A0_74FF121C40EC_.wvu.FilterData" localSheetId="9" hidden="1">'10'!$AT$3:$AT$59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22F797F_01E3_4854_9AD1_8929AD426EDE_.wvu.FilterData" localSheetId="5" hidden="1">'06'!$AS$3:$AS$56</definedName>
    <definedName name="Z_322F797F_01E3_4854_9AD1_8929AD426EDE_.wvu.FilterData" localSheetId="6" hidden="1">'07'!$AU$3:$AU$56</definedName>
    <definedName name="Z_322F797F_01E3_4854_9AD1_8929AD426EDE_.wvu.FilterData" localSheetId="7" hidden="1">'08'!$AT$3:$AT$57</definedName>
    <definedName name="Z_322F797F_01E3_4854_9AD1_8929AD426EDE_.wvu.FilterData" localSheetId="8" hidden="1">'09'!$AS$3:$AS$57</definedName>
    <definedName name="Z_322F797F_01E3_4854_9AD1_8929AD426EDE_.wvu.FilterData" localSheetId="9" hidden="1">'10'!$AT$3:$AT$58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45DBDDC_69DA_4A33_BA0D_9165315DBB1D_.wvu.FilterData" localSheetId="5" hidden="1">'06'!$AS$3:$AS$57</definedName>
    <definedName name="Z_345DBDDC_69DA_4A33_BA0D_9165315DBB1D_.wvu.FilterData" localSheetId="6" hidden="1">'07'!$AU$3:$AU$57</definedName>
    <definedName name="Z_345DBDDC_69DA_4A33_BA0D_9165315DBB1D_.wvu.FilterData" localSheetId="7" hidden="1">'08'!$AT$3:$AT$58</definedName>
    <definedName name="Z_345DBDDC_69DA_4A33_BA0D_9165315DBB1D_.wvu.FilterData" localSheetId="8" hidden="1">'09'!$AS$3:$AS$58</definedName>
    <definedName name="Z_345DBDDC_69DA_4A33_BA0D_9165315DBB1D_.wvu.FilterData" localSheetId="9" hidden="1">'10'!$AT$3:$AT$59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5A2938B_7E4B_4058_9F58_C7994E8623C2_.wvu.FilterData" localSheetId="5" hidden="1">'06'!$AS$3:$AS$56</definedName>
    <definedName name="Z_35A2938B_7E4B_4058_9F58_C7994E8623C2_.wvu.FilterData" localSheetId="6" hidden="1">'07'!$AU$3:$AU$56</definedName>
    <definedName name="Z_35A2938B_7E4B_4058_9F58_C7994E8623C2_.wvu.FilterData" localSheetId="7" hidden="1">'08'!$AT$3:$AT$57</definedName>
    <definedName name="Z_35A2938B_7E4B_4058_9F58_C7994E8623C2_.wvu.FilterData" localSheetId="8" hidden="1">'09'!$AS$3:$AS$57</definedName>
    <definedName name="Z_35A2938B_7E4B_4058_9F58_C7994E8623C2_.wvu.FilterData" localSheetId="9" hidden="1">'10'!$AT$3:$AT$58</definedName>
    <definedName name="Z_3749838F_19A4_47A5_B849_4CB73F55BACE_.wvu.FilterData" localSheetId="5" hidden="1">'06'!$AS$3:$AS$57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8987ECC_CBF9_4DB5_BB1D_9518D2B33BB1_.wvu.FilterData" localSheetId="5" hidden="1">'06'!$AS$3:$AS$56</definedName>
    <definedName name="Z_38987ECC_CBF9_4DB5_BB1D_9518D2B33BB1_.wvu.FilterData" localSheetId="6" hidden="1">'07'!$AU$3:$AU$56</definedName>
    <definedName name="Z_38987ECC_CBF9_4DB5_BB1D_9518D2B33BB1_.wvu.FilterData" localSheetId="7" hidden="1">'08'!$AT$3:$AT$57</definedName>
    <definedName name="Z_38987ECC_CBF9_4DB5_BB1D_9518D2B33BB1_.wvu.FilterData" localSheetId="8" hidden="1">'09'!$AS$3:$AS$57</definedName>
    <definedName name="Z_38987ECC_CBF9_4DB5_BB1D_9518D2B33BB1_.wvu.FilterData" localSheetId="9" hidden="1">'10'!$AT$3:$AT$58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A0F40F1_4778_44C3_82CD_C75E878C0915_.wvu.FilterData" localSheetId="5" hidden="1">'06'!$AS$3:$AS$57</definedName>
    <definedName name="Z_3A0F40F1_4778_44C3_82CD_C75E878C0915_.wvu.FilterData" localSheetId="6" hidden="1">'07'!$AU$3:$AU$57</definedName>
    <definedName name="Z_3A0F40F1_4778_44C3_82CD_C75E878C0915_.wvu.FilterData" localSheetId="7" hidden="1">'08'!$AT$3:$AT$58</definedName>
    <definedName name="Z_3A0F40F1_4778_44C3_82CD_C75E878C0915_.wvu.FilterData" localSheetId="8" hidden="1">'09'!$AS$3:$AS$58</definedName>
    <definedName name="Z_3A0F40F1_4778_44C3_82CD_C75E878C0915_.wvu.FilterData" localSheetId="9" hidden="1">'10'!$AT$3:$AT$59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4899FC_BB88_48B3_BCAE_562D415ECFCD_.wvu.FilterData" localSheetId="5" hidden="1">'06'!$AS$3:$AS$56</definedName>
    <definedName name="Z_3B4899FC_BB88_48B3_BCAE_562D415ECFCD_.wvu.FilterData" localSheetId="6" hidden="1">'07'!$AU$3:$AU$56</definedName>
    <definedName name="Z_3B4899FC_BB88_48B3_BCAE_562D415ECFCD_.wvu.FilterData" localSheetId="7" hidden="1">'08'!$AT$3:$AT$57</definedName>
    <definedName name="Z_3B4899FC_BB88_48B3_BCAE_562D415ECFCD_.wvu.FilterData" localSheetId="8" hidden="1">'09'!$AS$3:$AS$57</definedName>
    <definedName name="Z_3B4899FC_BB88_48B3_BCAE_562D415ECFCD_.wvu.FilterData" localSheetId="9" hidden="1">'10'!$AT$3:$AT$58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798E63_BEC2_4EEE_8386_98C3A24A56E3_.wvu.FilterData" localSheetId="5" hidden="1">'06'!$AS$3:$AS$57</definedName>
    <definedName name="Z_3B798E63_BEC2_4EEE_8386_98C3A24A56E3_.wvu.FilterData" localSheetId="6" hidden="1">'07'!$AU$3:$AU$57</definedName>
    <definedName name="Z_3B798E63_BEC2_4EEE_8386_98C3A24A56E3_.wvu.FilterData" localSheetId="7" hidden="1">'08'!$AT$3:$AT$58</definedName>
    <definedName name="Z_3B798E63_BEC2_4EEE_8386_98C3A24A56E3_.wvu.FilterData" localSheetId="8" hidden="1">'09'!$AS$3:$AS$58</definedName>
    <definedName name="Z_3B798E63_BEC2_4EEE_8386_98C3A24A56E3_.wvu.FilterData" localSheetId="9" hidden="1">'10'!$AT$3:$AT$59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BBB4BCC_AE80_4A5A_AF0D_D1186BE11ACA_.wvu.FilterData" localSheetId="5" hidden="1">'06'!$AS$3:$AS$56</definedName>
    <definedName name="Z_3BBB4BCC_AE80_4A5A_AF0D_D1186BE11ACA_.wvu.FilterData" localSheetId="6" hidden="1">'07'!$AU$3:$AU$56</definedName>
    <definedName name="Z_3BBB4BCC_AE80_4A5A_AF0D_D1186BE11ACA_.wvu.FilterData" localSheetId="7" hidden="1">'08'!$AT$3:$AT$57</definedName>
    <definedName name="Z_3BBB4BCC_AE80_4A5A_AF0D_D1186BE11ACA_.wvu.FilterData" localSheetId="8" hidden="1">'09'!$AS$3:$AS$57</definedName>
    <definedName name="Z_3BBB4BCC_AE80_4A5A_AF0D_D1186BE11ACA_.wvu.FilterData" localSheetId="9" hidden="1">'10'!$AT$3:$AT$58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32D79C_3CAB_4639_980A_290988CBF948_.wvu.FilterData" localSheetId="5" hidden="1">'06'!$AS$3:$AS$56</definedName>
    <definedName name="Z_3C32D79C_3CAB_4639_980A_290988CBF948_.wvu.FilterData" localSheetId="6" hidden="1">'07'!$AU$3:$AU$56</definedName>
    <definedName name="Z_3C32D79C_3CAB_4639_980A_290988CBF948_.wvu.FilterData" localSheetId="7" hidden="1">'08'!$AT$3:$AT$57</definedName>
    <definedName name="Z_3C32D79C_3CAB_4639_980A_290988CBF948_.wvu.FilterData" localSheetId="8" hidden="1">'09'!$AS$3:$AS$57</definedName>
    <definedName name="Z_3C32D79C_3CAB_4639_980A_290988CBF948_.wvu.FilterData" localSheetId="9" hidden="1">'10'!$AT$3:$AT$58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89F88B_6F47_4DF0_BE09_2DD8388DC130_.wvu.FilterData" localSheetId="5" hidden="1">'06'!$AS$3:$AS$56</definedName>
    <definedName name="Z_3C89F88B_6F47_4DF0_BE09_2DD8388DC130_.wvu.FilterData" localSheetId="6" hidden="1">'07'!$AU$3:$AU$56</definedName>
    <definedName name="Z_3C89F88B_6F47_4DF0_BE09_2DD8388DC130_.wvu.FilterData" localSheetId="7" hidden="1">'08'!$AT$3:$AT$57</definedName>
    <definedName name="Z_3C89F88B_6F47_4DF0_BE09_2DD8388DC130_.wvu.FilterData" localSheetId="8" hidden="1">'09'!$AS$3:$AS$57</definedName>
    <definedName name="Z_3C89F88B_6F47_4DF0_BE09_2DD8388DC130_.wvu.FilterData" localSheetId="9" hidden="1">'10'!$AT$3:$AT$58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B522C0_C972_4E51_A955_7CC4C7909028_.wvu.FilterData" localSheetId="5" hidden="1">'06'!$AS$3:$AS$56</definedName>
    <definedName name="Z_3CB522C0_C972_4E51_A955_7CC4C7909028_.wvu.FilterData" localSheetId="6" hidden="1">'07'!$AU$3:$AU$56</definedName>
    <definedName name="Z_3CB522C0_C972_4E51_A955_7CC4C7909028_.wvu.FilterData" localSheetId="7" hidden="1">'08'!$AT$3:$AT$57</definedName>
    <definedName name="Z_3CB522C0_C972_4E51_A955_7CC4C7909028_.wvu.FilterData" localSheetId="8" hidden="1">'09'!$AS$3:$AS$57</definedName>
    <definedName name="Z_3CB522C0_C972_4E51_A955_7CC4C7909028_.wvu.FilterData" localSheetId="9" hidden="1">'10'!$AT$3:$AT$58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CFF05F2_6F56_45C3_AF70_9FD109419AFE_.wvu.FilterData" localSheetId="5" hidden="1">'06'!$AS$3:$AS$56</definedName>
    <definedName name="Z_3CFF05F2_6F56_45C3_AF70_9FD109419AFE_.wvu.FilterData" localSheetId="6" hidden="1">'07'!$AU$3:$AU$56</definedName>
    <definedName name="Z_3CFF05F2_6F56_45C3_AF70_9FD109419AFE_.wvu.FilterData" localSheetId="7" hidden="1">'08'!$AT$3:$AT$57</definedName>
    <definedName name="Z_3CFF05F2_6F56_45C3_AF70_9FD109419AFE_.wvu.FilterData" localSheetId="8" hidden="1">'09'!$AS$3:$AS$57</definedName>
    <definedName name="Z_3CFF05F2_6F56_45C3_AF70_9FD109419AFE_.wvu.FilterData" localSheetId="9" hidden="1">'10'!$AT$3:$AT$58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0F4BDB_BCB8_44A5_B11C_42B5E6AA1496_.wvu.FilterData" localSheetId="5" hidden="1">'06'!$AS$3:$AS$57</definedName>
    <definedName name="Z_3D0F4BDB_BCB8_44A5_B11C_42B5E6AA1496_.wvu.FilterData" localSheetId="6" hidden="1">'07'!$AU$3:$AU$57</definedName>
    <definedName name="Z_3D0F4BDB_BCB8_44A5_B11C_42B5E6AA1496_.wvu.FilterData" localSheetId="7" hidden="1">'08'!$AT$3:$AT$58</definedName>
    <definedName name="Z_3D0F4BDB_BCB8_44A5_B11C_42B5E6AA1496_.wvu.FilterData" localSheetId="8" hidden="1">'09'!$AS$3:$AS$58</definedName>
    <definedName name="Z_3D0F4BDB_BCB8_44A5_B11C_42B5E6AA1496_.wvu.FilterData" localSheetId="9" hidden="1">'10'!$AT$3:$AT$59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D385C2B_3EBA_48BD_A6E3_9A29CBBAE79B_.wvu.FilterData" localSheetId="5" hidden="1">'06'!$AS$3:$AS$57</definedName>
    <definedName name="Z_3D385C2B_3EBA_48BD_A6E3_9A29CBBAE79B_.wvu.FilterData" localSheetId="6" hidden="1">'07'!$AU$3:$AU$57</definedName>
    <definedName name="Z_3D385C2B_3EBA_48BD_A6E3_9A29CBBAE79B_.wvu.FilterData" localSheetId="7" hidden="1">'08'!$AT$3:$AT$58</definedName>
    <definedName name="Z_3D385C2B_3EBA_48BD_A6E3_9A29CBBAE79B_.wvu.FilterData" localSheetId="8" hidden="1">'09'!$AS$3:$AS$58</definedName>
    <definedName name="Z_3D385C2B_3EBA_48BD_A6E3_9A29CBBAE79B_.wvu.FilterData" localSheetId="9" hidden="1">'10'!$AT$3:$AT$59</definedName>
    <definedName name="Z_3EBA0225_CD86_43BD_B7A7_C580EB5B0E46_.wvu.FilterData" localSheetId="7" hidden="1">'08'!$AT$3:$AT$58</definedName>
    <definedName name="Z_3EBA0225_CD86_43BD_B7A7_C580EB5B0E46_.wvu.FilterData" localSheetId="8" hidden="1">'09'!$AS$3:$AS$58</definedName>
    <definedName name="Z_3EBA0225_CD86_43BD_B7A7_C580EB5B0E46_.wvu.FilterData" localSheetId="9" hidden="1">'10'!$AT$3:$AT$59</definedName>
    <definedName name="Z_3F095E16_EFE7_4E8C_9FDD_D82226DB3762_.wvu.FilterData" localSheetId="8" hidden="1">'09'!$AS$3:$AS$58</definedName>
    <definedName name="Z_3F095E16_EFE7_4E8C_9FDD_D82226DB3762_.wvu.FilterData" localSheetId="9" hidden="1">'10'!$AT$3:$AT$59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3F833139_7756_401B_889E_49DAB359310A_.wvu.FilterData" localSheetId="5" hidden="1">'06'!$AS$3:$AS$57</definedName>
    <definedName name="Z_3F833139_7756_401B_889E_49DAB359310A_.wvu.FilterData" localSheetId="6" hidden="1">'07'!$AU$3:$AU$57</definedName>
    <definedName name="Z_3F833139_7756_401B_889E_49DAB359310A_.wvu.FilterData" localSheetId="7" hidden="1">'08'!$AT$3:$AT$58</definedName>
    <definedName name="Z_3F833139_7756_401B_889E_49DAB359310A_.wvu.FilterData" localSheetId="8" hidden="1">'09'!$AS$3:$AS$58</definedName>
    <definedName name="Z_3F833139_7756_401B_889E_49DAB359310A_.wvu.FilterData" localSheetId="9" hidden="1">'10'!$AT$3:$AT$59</definedName>
    <definedName name="Z_407A7A5D_9C54_4104_81F8_F342BBAE3576_.wvu.FilterData" localSheetId="3" hidden="1">'04'!$AS$3:$AS$59</definedName>
    <definedName name="Z_40D2AEC7_CC6F_42AC_AA70_3D7841A05829_.wvu.FilterData" localSheetId="5" hidden="1">'06'!$AS$3:$AS$57</definedName>
    <definedName name="Z_40D2AEC7_CC6F_42AC_AA70_3D7841A05829_.wvu.FilterData" localSheetId="6" hidden="1">'07'!$AU$3:$AU$57</definedName>
    <definedName name="Z_40D2AEC7_CC6F_42AC_AA70_3D7841A05829_.wvu.FilterData" localSheetId="7" hidden="1">'08'!$AT$3:$AT$58</definedName>
    <definedName name="Z_40D2AEC7_CC6F_42AC_AA70_3D7841A05829_.wvu.FilterData" localSheetId="8" hidden="1">'09'!$AS$3:$AS$58</definedName>
    <definedName name="Z_40D2AEC7_CC6F_42AC_AA70_3D7841A05829_.wvu.FilterData" localSheetId="9" hidden="1">'10'!$AT$3:$AT$59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1A56384_BC8B_456B_8B83_4B6F62C53BE5_.wvu.FilterData" localSheetId="5" hidden="1">'06'!$AS$3:$AS$57</definedName>
    <definedName name="Z_41A56384_BC8B_456B_8B83_4B6F62C53BE5_.wvu.FilterData" localSheetId="6" hidden="1">'07'!$AU$3:$AU$57</definedName>
    <definedName name="Z_41A56384_BC8B_456B_8B83_4B6F62C53BE5_.wvu.FilterData" localSheetId="7" hidden="1">'08'!$AT$3:$AT$58</definedName>
    <definedName name="Z_41A56384_BC8B_456B_8B83_4B6F62C53BE5_.wvu.FilterData" localSheetId="8" hidden="1">'09'!$AS$3:$AS$58</definedName>
    <definedName name="Z_41A56384_BC8B_456B_8B83_4B6F62C53BE5_.wvu.FilterData" localSheetId="9" hidden="1">'10'!$AT$3:$AT$59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68F8BD_9C98_4A89_AFE7_5DE1F67D8D97_.wvu.FilterData" localSheetId="5" hidden="1">'06'!$AS$3:$AS$56</definedName>
    <definedName name="Z_4268F8BD_9C98_4A89_AFE7_5DE1F67D8D97_.wvu.FilterData" localSheetId="6" hidden="1">'07'!$AU$3:$AU$56</definedName>
    <definedName name="Z_4268F8BD_9C98_4A89_AFE7_5DE1F67D8D97_.wvu.FilterData" localSheetId="7" hidden="1">'08'!$AT$3:$AT$57</definedName>
    <definedName name="Z_4268F8BD_9C98_4A89_AFE7_5DE1F67D8D97_.wvu.FilterData" localSheetId="8" hidden="1">'09'!$AS$3:$AS$57</definedName>
    <definedName name="Z_4268F8BD_9C98_4A89_AFE7_5DE1F67D8D97_.wvu.FilterData" localSheetId="9" hidden="1">'10'!$AT$3:$AT$58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2D55F99_6A98_4D02_96EE_0C4C723ECF87_.wvu.FilterData" localSheetId="5" hidden="1">'06'!$AS$3:$AS$56</definedName>
    <definedName name="Z_42D55F99_6A98_4D02_96EE_0C4C723ECF87_.wvu.FilterData" localSheetId="6" hidden="1">'07'!$AU$3:$AU$56</definedName>
    <definedName name="Z_42D55F99_6A98_4D02_96EE_0C4C723ECF87_.wvu.FilterData" localSheetId="7" hidden="1">'08'!$AT$3:$AT$57</definedName>
    <definedName name="Z_42D55F99_6A98_4D02_96EE_0C4C723ECF87_.wvu.FilterData" localSheetId="8" hidden="1">'09'!$AS$3:$AS$57</definedName>
    <definedName name="Z_42D55F99_6A98_4D02_96EE_0C4C723ECF87_.wvu.FilterData" localSheetId="9" hidden="1">'10'!$AT$3:$AT$58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38E10D4_5086_41D7_BF44_B0060D8B7BAE_.wvu.FilterData" localSheetId="5" hidden="1">'06'!$AS$3:$AS$57</definedName>
    <definedName name="Z_438E10D4_5086_41D7_BF44_B0060D8B7BAE_.wvu.FilterData" localSheetId="6" hidden="1">'07'!$AU$3:$AU$57</definedName>
    <definedName name="Z_438E10D4_5086_41D7_BF44_B0060D8B7BAE_.wvu.FilterData" localSheetId="7" hidden="1">'08'!$AT$3:$AT$58</definedName>
    <definedName name="Z_438E10D4_5086_41D7_BF44_B0060D8B7BAE_.wvu.FilterData" localSheetId="8" hidden="1">'09'!$AS$3:$AS$58</definedName>
    <definedName name="Z_438E10D4_5086_41D7_BF44_B0060D8B7BAE_.wvu.FilterData" localSheetId="9" hidden="1">'10'!$AT$3:$AT$59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30C0FB_476E_4622_A25A_23AC4380CE3A_.wvu.FilterData" localSheetId="5" hidden="1">'06'!$AS$3:$AS$56</definedName>
    <definedName name="Z_4430C0FB_476E_4622_A25A_23AC4380CE3A_.wvu.FilterData" localSheetId="6" hidden="1">'07'!$AU$3:$AU$56</definedName>
    <definedName name="Z_4430C0FB_476E_4622_A25A_23AC4380CE3A_.wvu.FilterData" localSheetId="7" hidden="1">'08'!$AT$3:$AT$57</definedName>
    <definedName name="Z_4430C0FB_476E_4622_A25A_23AC4380CE3A_.wvu.FilterData" localSheetId="8" hidden="1">'09'!$AS$3:$AS$57</definedName>
    <definedName name="Z_4430C0FB_476E_4622_A25A_23AC4380CE3A_.wvu.FilterData" localSheetId="9" hidden="1">'10'!$AT$3:$AT$58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4F3678B_EDD4_4584_8045_136F97F7FE36_.wvu.FilterData" localSheetId="5" hidden="1">'06'!$AS$3:$AS$56</definedName>
    <definedName name="Z_44F3678B_EDD4_4584_8045_136F97F7FE36_.wvu.FilterData" localSheetId="6" hidden="1">'07'!$AU$3:$AU$56</definedName>
    <definedName name="Z_44F3678B_EDD4_4584_8045_136F97F7FE36_.wvu.FilterData" localSheetId="7" hidden="1">'08'!$AT$3:$AT$57</definedName>
    <definedName name="Z_44F3678B_EDD4_4584_8045_136F97F7FE36_.wvu.FilterData" localSheetId="8" hidden="1">'09'!$AS$3:$AS$57</definedName>
    <definedName name="Z_44F3678B_EDD4_4584_8045_136F97F7FE36_.wvu.FilterData" localSheetId="9" hidden="1">'10'!$AT$3:$AT$58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0D513_720B_49D2_AB94_7F0F5A533C78_.wvu.FilterData" localSheetId="5" hidden="1">'06'!$AS$3:$AS$56</definedName>
    <definedName name="Z_4500D513_720B_49D2_AB94_7F0F5A533C78_.wvu.FilterData" localSheetId="6" hidden="1">'07'!$AU$3:$AU$56</definedName>
    <definedName name="Z_4500D513_720B_49D2_AB94_7F0F5A533C78_.wvu.FilterData" localSheetId="7" hidden="1">'08'!$AT$3:$AT$57</definedName>
    <definedName name="Z_4500D513_720B_49D2_AB94_7F0F5A533C78_.wvu.FilterData" localSheetId="8" hidden="1">'09'!$AS$3:$AS$57</definedName>
    <definedName name="Z_4500D513_720B_49D2_AB94_7F0F5A533C78_.wvu.FilterData" localSheetId="9" hidden="1">'10'!$AT$3:$AT$58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0D014A_C15A_4395_A4DD_A233F06280E7_.wvu.FilterData" localSheetId="5" hidden="1">'06'!$AS$3:$AS$57</definedName>
    <definedName name="Z_450D014A_C15A_4395_A4DD_A233F06280E7_.wvu.FilterData" localSheetId="6" hidden="1">'07'!$AU$3:$AU$57</definedName>
    <definedName name="Z_450D014A_C15A_4395_A4DD_A233F06280E7_.wvu.FilterData" localSheetId="7" hidden="1">'08'!$AT$3:$AT$58</definedName>
    <definedName name="Z_450D014A_C15A_4395_A4DD_A233F06280E7_.wvu.FilterData" localSheetId="8" hidden="1">'09'!$AS$3:$AS$58</definedName>
    <definedName name="Z_450D014A_C15A_4395_A4DD_A233F06280E7_.wvu.FilterData" localSheetId="9" hidden="1">'10'!$AT$3:$AT$59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5A8592D_95BB_4D9E_BAB1_DD324AA3840F_.wvu.FilterData" localSheetId="5" hidden="1">'06'!$AS$3:$AS$56</definedName>
    <definedName name="Z_45A8592D_95BB_4D9E_BAB1_DD324AA3840F_.wvu.FilterData" localSheetId="6" hidden="1">'07'!$AU$3:$AU$56</definedName>
    <definedName name="Z_45A8592D_95BB_4D9E_BAB1_DD324AA3840F_.wvu.FilterData" localSheetId="7" hidden="1">'08'!$AT$3:$AT$57</definedName>
    <definedName name="Z_45A8592D_95BB_4D9E_BAB1_DD324AA3840F_.wvu.FilterData" localSheetId="8" hidden="1">'09'!$AS$3:$AS$57</definedName>
    <definedName name="Z_45A8592D_95BB_4D9E_BAB1_DD324AA3840F_.wvu.FilterData" localSheetId="9" hidden="1">'10'!$AT$3:$AT$58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3BA4E7_6529_4E2A_B4D5_F6F43DC4B302_.wvu.FilterData" localSheetId="5" hidden="1">'06'!$AS$3:$AS$56</definedName>
    <definedName name="Z_473BA4E7_6529_4E2A_B4D5_F6F43DC4B302_.wvu.FilterData" localSheetId="6" hidden="1">'07'!$AU$3:$AU$56</definedName>
    <definedName name="Z_473BA4E7_6529_4E2A_B4D5_F6F43DC4B302_.wvu.FilterData" localSheetId="7" hidden="1">'08'!$AT$3:$AT$57</definedName>
    <definedName name="Z_473BA4E7_6529_4E2A_B4D5_F6F43DC4B302_.wvu.FilterData" localSheetId="8" hidden="1">'09'!$AS$3:$AS$57</definedName>
    <definedName name="Z_473BA4E7_6529_4E2A_B4D5_F6F43DC4B302_.wvu.FilterData" localSheetId="9" hidden="1">'10'!$AT$3:$AT$58</definedName>
    <definedName name="Z_47767D7C_DE28_4613_9405_8DBBF50A1476_.wvu.FilterData" localSheetId="9" hidden="1">'10'!$AT$3:$AT$59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36DDE4_DDD3_4F33_A370_8F36EBE7AE5B_.wvu.FilterData" localSheetId="5" hidden="1">'06'!$AS$3:$AS$56</definedName>
    <definedName name="Z_4836DDE4_DDD3_4F33_A370_8F36EBE7AE5B_.wvu.FilterData" localSheetId="6" hidden="1">'07'!$AU$3:$AU$56</definedName>
    <definedName name="Z_4836DDE4_DDD3_4F33_A370_8F36EBE7AE5B_.wvu.FilterData" localSheetId="7" hidden="1">'08'!$AT$3:$AT$57</definedName>
    <definedName name="Z_4836DDE4_DDD3_4F33_A370_8F36EBE7AE5B_.wvu.FilterData" localSheetId="8" hidden="1">'09'!$AS$3:$AS$57</definedName>
    <definedName name="Z_4836DDE4_DDD3_4F33_A370_8F36EBE7AE5B_.wvu.FilterData" localSheetId="9" hidden="1">'10'!$AT$3:$AT$58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BED446_3C8C_4DF6_9CE0_373442EE9167_.wvu.FilterData" localSheetId="5" hidden="1">'06'!$AS$3:$AS$57</definedName>
    <definedName name="Z_48BED446_3C8C_4DF6_9CE0_373442EE9167_.wvu.FilterData" localSheetId="6" hidden="1">'07'!$AU$3:$AU$57</definedName>
    <definedName name="Z_48BED446_3C8C_4DF6_9CE0_373442EE9167_.wvu.FilterData" localSheetId="7" hidden="1">'08'!$AT$3:$AT$58</definedName>
    <definedName name="Z_48BED446_3C8C_4DF6_9CE0_373442EE9167_.wvu.FilterData" localSheetId="8" hidden="1">'09'!$AS$3:$AS$58</definedName>
    <definedName name="Z_48BED446_3C8C_4DF6_9CE0_373442EE9167_.wvu.FilterData" localSheetId="9" hidden="1">'10'!$AT$3:$AT$59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8FEAFE9_020E_4335_82DF_7629FD49497D_.wvu.FilterData" localSheetId="5" hidden="1">'06'!$AS$3:$AS$56</definedName>
    <definedName name="Z_48FEAFE9_020E_4335_82DF_7629FD49497D_.wvu.FilterData" localSheetId="6" hidden="1">'07'!$AU$3:$AU$56</definedName>
    <definedName name="Z_48FEAFE9_020E_4335_82DF_7629FD49497D_.wvu.FilterData" localSheetId="7" hidden="1">'08'!$AT$3:$AT$57</definedName>
    <definedName name="Z_48FEAFE9_020E_4335_82DF_7629FD49497D_.wvu.FilterData" localSheetId="8" hidden="1">'09'!$AS$3:$AS$57</definedName>
    <definedName name="Z_48FEAFE9_020E_4335_82DF_7629FD49497D_.wvu.FilterData" localSheetId="9" hidden="1">'10'!$AT$3:$AT$58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90F1F24_E906_44B1_8714_361368DE52B8_.wvu.FilterData" localSheetId="5" hidden="1">'06'!$AS$3:$AS$57</definedName>
    <definedName name="Z_490F1F24_E906_44B1_8714_361368DE52B8_.wvu.FilterData" localSheetId="6" hidden="1">'07'!$AU$3:$AU$57</definedName>
    <definedName name="Z_490F1F24_E906_44B1_8714_361368DE52B8_.wvu.FilterData" localSheetId="7" hidden="1">'08'!$AT$3:$AT$58</definedName>
    <definedName name="Z_490F1F24_E906_44B1_8714_361368DE52B8_.wvu.FilterData" localSheetId="8" hidden="1">'09'!$AS$3:$AS$58</definedName>
    <definedName name="Z_490F1F24_E906_44B1_8714_361368DE52B8_.wvu.FilterData" localSheetId="9" hidden="1">'10'!$AT$3:$AT$59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71B207_BC1E_44B5_B671_D85059AF3D51_.wvu.FilterData" localSheetId="5" hidden="1">'06'!$AS$3:$AS$57</definedName>
    <definedName name="Z_4B71B207_BC1E_44B5_B671_D85059AF3D51_.wvu.FilterData" localSheetId="6" hidden="1">'07'!$AU$3:$AU$57</definedName>
    <definedName name="Z_4B71B207_BC1E_44B5_B671_D85059AF3D51_.wvu.FilterData" localSheetId="7" hidden="1">'08'!$AT$3:$AT$58</definedName>
    <definedName name="Z_4B71B207_BC1E_44B5_B671_D85059AF3D51_.wvu.FilterData" localSheetId="8" hidden="1">'09'!$AS$3:$AS$58</definedName>
    <definedName name="Z_4B71B207_BC1E_44B5_B671_D85059AF3D51_.wvu.FilterData" localSheetId="9" hidden="1">'10'!$AT$3:$AT$59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CA382D_C491_4853_83A1_8FA88542582A_.wvu.FilterData" localSheetId="5" hidden="1">'06'!$AS$3:$AS$56</definedName>
    <definedName name="Z_4BCA382D_C491_4853_83A1_8FA88542582A_.wvu.FilterData" localSheetId="6" hidden="1">'07'!$AU$3:$AU$56</definedName>
    <definedName name="Z_4BCA382D_C491_4853_83A1_8FA88542582A_.wvu.FilterData" localSheetId="7" hidden="1">'08'!$AT$3:$AT$57</definedName>
    <definedName name="Z_4BCA382D_C491_4853_83A1_8FA88542582A_.wvu.FilterData" localSheetId="8" hidden="1">'09'!$AS$3:$AS$57</definedName>
    <definedName name="Z_4BCA382D_C491_4853_83A1_8FA88542582A_.wvu.FilterData" localSheetId="9" hidden="1">'10'!$AT$3:$AT$58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BD70319_4C96_48CA_A6EE_B8B9BAA962E5_.wvu.FilterData" localSheetId="5" hidden="1">'06'!$AS$3:$AS$56</definedName>
    <definedName name="Z_4BD70319_4C96_48CA_A6EE_B8B9BAA962E5_.wvu.FilterData" localSheetId="6" hidden="1">'07'!$AU$3:$AU$56</definedName>
    <definedName name="Z_4BD70319_4C96_48CA_A6EE_B8B9BAA962E5_.wvu.FilterData" localSheetId="7" hidden="1">'08'!$AT$3:$AT$57</definedName>
    <definedName name="Z_4BD70319_4C96_48CA_A6EE_B8B9BAA962E5_.wvu.FilterData" localSheetId="8" hidden="1">'09'!$AS$3:$AS$57</definedName>
    <definedName name="Z_4BD70319_4C96_48CA_A6EE_B8B9BAA962E5_.wvu.FilterData" localSheetId="9" hidden="1">'10'!$AT$3:$AT$58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4C519D15_1F50_4056_A731_4B27EA6748B6_.wvu.FilterData" localSheetId="5" hidden="1">'06'!$AS$3:$AS$56</definedName>
    <definedName name="Z_4C519D15_1F50_4056_A731_4B27EA6748B6_.wvu.FilterData" localSheetId="6" hidden="1">'07'!$AU$3:$AU$56</definedName>
    <definedName name="Z_4C519D15_1F50_4056_A731_4B27EA6748B6_.wvu.FilterData" localSheetId="7" hidden="1">'08'!$AT$3:$AT$57</definedName>
    <definedName name="Z_4C519D15_1F50_4056_A731_4B27EA6748B6_.wvu.FilterData" localSheetId="8" hidden="1">'09'!$AS$3:$AS$57</definedName>
    <definedName name="Z_4C519D15_1F50_4056_A731_4B27EA6748B6_.wvu.FilterData" localSheetId="9" hidden="1">'10'!$AT$3:$AT$58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0F08BA_8A09_421C_9FA8_D25279EE376C_.wvu.FilterData" localSheetId="5" hidden="1">'06'!$AS$3:$AS$56</definedName>
    <definedName name="Z_500F08BA_8A09_421C_9FA8_D25279EE376C_.wvu.FilterData" localSheetId="6" hidden="1">'07'!$AU$3:$AU$56</definedName>
    <definedName name="Z_500F08BA_8A09_421C_9FA8_D25279EE376C_.wvu.FilterData" localSheetId="7" hidden="1">'08'!$AT$3:$AT$57</definedName>
    <definedName name="Z_500F08BA_8A09_421C_9FA8_D25279EE376C_.wvu.FilterData" localSheetId="8" hidden="1">'09'!$AS$3:$AS$57</definedName>
    <definedName name="Z_500F08BA_8A09_421C_9FA8_D25279EE376C_.wvu.FilterData" localSheetId="9" hidden="1">'10'!$AT$3:$AT$58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234A97_5B64_490F_B463_4B02F38B4B25_.wvu.FilterData" localSheetId="5" hidden="1">'06'!$AS$3:$AS$56</definedName>
    <definedName name="Z_50234A97_5B64_490F_B463_4B02F38B4B25_.wvu.FilterData" localSheetId="6" hidden="1">'07'!$AU$3:$AU$56</definedName>
    <definedName name="Z_50234A97_5B64_490F_B463_4B02F38B4B25_.wvu.FilterData" localSheetId="7" hidden="1">'08'!$AT$3:$AT$57</definedName>
    <definedName name="Z_50234A97_5B64_490F_B463_4B02F38B4B25_.wvu.FilterData" localSheetId="8" hidden="1">'09'!$AS$3:$AS$57</definedName>
    <definedName name="Z_50234A97_5B64_490F_B463_4B02F38B4B25_.wvu.FilterData" localSheetId="9" hidden="1">'10'!$AT$3:$AT$58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08642AB_EF24_4E74_A9B0_E67B953A835C_.wvu.FilterData" localSheetId="5" hidden="1">'06'!$AS$3:$AS$56</definedName>
    <definedName name="Z_508642AB_EF24_4E74_A9B0_E67B953A835C_.wvu.FilterData" localSheetId="6" hidden="1">'07'!$AU$3:$AU$56</definedName>
    <definedName name="Z_508642AB_EF24_4E74_A9B0_E67B953A835C_.wvu.FilterData" localSheetId="7" hidden="1">'08'!$AT$3:$AT$57</definedName>
    <definedName name="Z_508642AB_EF24_4E74_A9B0_E67B953A835C_.wvu.FilterData" localSheetId="8" hidden="1">'09'!$AS$3:$AS$57</definedName>
    <definedName name="Z_508642AB_EF24_4E74_A9B0_E67B953A835C_.wvu.FilterData" localSheetId="9" hidden="1">'10'!$AT$3:$AT$58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25D1B7A_3844_4E11_99DC_E4DB1C9385C8_.wvu.FilterData" localSheetId="5" hidden="1">'06'!$AS$3:$AS$57</definedName>
    <definedName name="Z_525D1B7A_3844_4E11_99DC_E4DB1C9385C8_.wvu.FilterData" localSheetId="6" hidden="1">'07'!$AU$3:$AU$57</definedName>
    <definedName name="Z_525D1B7A_3844_4E11_99DC_E4DB1C9385C8_.wvu.FilterData" localSheetId="7" hidden="1">'08'!$AT$3:$AT$58</definedName>
    <definedName name="Z_525D1B7A_3844_4E11_99DC_E4DB1C9385C8_.wvu.FilterData" localSheetId="8" hidden="1">'09'!$AS$3:$AS$58</definedName>
    <definedName name="Z_525D1B7A_3844_4E11_99DC_E4DB1C9385C8_.wvu.FilterData" localSheetId="9" hidden="1">'10'!$AT$3:$AT$59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384773E_F269_46D0_9CFF_79C25C6641FF_.wvu.FilterData" localSheetId="5" hidden="1">'06'!$AS$3:$AS$57</definedName>
    <definedName name="Z_5384773E_F269_46D0_9CFF_79C25C6641FF_.wvu.FilterData" localSheetId="6" hidden="1">'07'!$AU$3:$AU$57</definedName>
    <definedName name="Z_5384773E_F269_46D0_9CFF_79C25C6641FF_.wvu.FilterData" localSheetId="7" hidden="1">'08'!$AT$3:$AT$58</definedName>
    <definedName name="Z_5384773E_F269_46D0_9CFF_79C25C6641FF_.wvu.FilterData" localSheetId="8" hidden="1">'09'!$AS$3:$AS$58</definedName>
    <definedName name="Z_5384773E_F269_46D0_9CFF_79C25C6641FF_.wvu.FilterData" localSheetId="9" hidden="1">'10'!$AT$3:$AT$59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596EC0_4A22_492D_B0A3_573BC097FDC4_.wvu.FilterData" localSheetId="5" hidden="1">'06'!$AS$3:$AS$56</definedName>
    <definedName name="Z_54596EC0_4A22_492D_B0A3_573BC097FDC4_.wvu.FilterData" localSheetId="6" hidden="1">'07'!$AU$3:$AU$56</definedName>
    <definedName name="Z_54596EC0_4A22_492D_B0A3_573BC097FDC4_.wvu.FilterData" localSheetId="7" hidden="1">'08'!$AT$3:$AT$57</definedName>
    <definedName name="Z_54596EC0_4A22_492D_B0A3_573BC097FDC4_.wvu.FilterData" localSheetId="8" hidden="1">'09'!$AS$3:$AS$57</definedName>
    <definedName name="Z_54596EC0_4A22_492D_B0A3_573BC097FDC4_.wvu.FilterData" localSheetId="9" hidden="1">'10'!$AT$3:$AT$58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4662ACE_1E16_41D2_9822_D63CEBA96267_.wvu.FilterData" localSheetId="5" hidden="1">'06'!$AS$3:$AS$56</definedName>
    <definedName name="Z_54662ACE_1E16_41D2_9822_D63CEBA96267_.wvu.FilterData" localSheetId="6" hidden="1">'07'!$AU$3:$AU$56</definedName>
    <definedName name="Z_54662ACE_1E16_41D2_9822_D63CEBA96267_.wvu.FilterData" localSheetId="7" hidden="1">'08'!$AT$3:$AT$57</definedName>
    <definedName name="Z_54662ACE_1E16_41D2_9822_D63CEBA96267_.wvu.FilterData" localSheetId="8" hidden="1">'09'!$AS$3:$AS$57</definedName>
    <definedName name="Z_54662ACE_1E16_41D2_9822_D63CEBA96267_.wvu.FilterData" localSheetId="9" hidden="1">'10'!$AT$3:$AT$58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7789D0_D27F_47D1_A532_4C37AA6A1C73_.wvu.FilterData" localSheetId="5" hidden="1">'06'!$AS$3:$AS$56</definedName>
    <definedName name="Z_557789D0_D27F_47D1_A532_4C37AA6A1C73_.wvu.FilterData" localSheetId="6" hidden="1">'07'!$AU$3:$AU$56</definedName>
    <definedName name="Z_557789D0_D27F_47D1_A532_4C37AA6A1C73_.wvu.FilterData" localSheetId="7" hidden="1">'08'!$AT$3:$AT$57</definedName>
    <definedName name="Z_557789D0_D27F_47D1_A532_4C37AA6A1C73_.wvu.FilterData" localSheetId="8" hidden="1">'09'!$AS$3:$AS$57</definedName>
    <definedName name="Z_557789D0_D27F_47D1_A532_4C37AA6A1C73_.wvu.FilterData" localSheetId="9" hidden="1">'10'!$AT$3:$AT$58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5EC9814_D3EA_4E95_A074_46C9857F9AA8_.wvu.FilterData" localSheetId="5" hidden="1">'06'!$AS$3:$AS$56</definedName>
    <definedName name="Z_55EC9814_D3EA_4E95_A074_46C9857F9AA8_.wvu.FilterData" localSheetId="6" hidden="1">'07'!$AU$3:$AU$56</definedName>
    <definedName name="Z_55EC9814_D3EA_4E95_A074_46C9857F9AA8_.wvu.FilterData" localSheetId="7" hidden="1">'08'!$AT$3:$AT$57</definedName>
    <definedName name="Z_55EC9814_D3EA_4E95_A074_46C9857F9AA8_.wvu.FilterData" localSheetId="8" hidden="1">'09'!$AS$3:$AS$57</definedName>
    <definedName name="Z_55EC9814_D3EA_4E95_A074_46C9857F9AA8_.wvu.FilterData" localSheetId="9" hidden="1">'10'!$AT$3:$AT$58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CAC740_BF78_423E_A0F9_30B02FAA704E_.wvu.FilterData" localSheetId="5" hidden="1">'06'!$AS$3:$AS$56</definedName>
    <definedName name="Z_57CAC740_BF78_423E_A0F9_30B02FAA704E_.wvu.FilterData" localSheetId="6" hidden="1">'07'!$AU$3:$AU$56</definedName>
    <definedName name="Z_57CAC740_BF78_423E_A0F9_30B02FAA704E_.wvu.FilterData" localSheetId="7" hidden="1">'08'!$AT$3:$AT$57</definedName>
    <definedName name="Z_57CAC740_BF78_423E_A0F9_30B02FAA704E_.wvu.FilterData" localSheetId="8" hidden="1">'09'!$AS$3:$AS$57</definedName>
    <definedName name="Z_57CAC740_BF78_423E_A0F9_30B02FAA704E_.wvu.FilterData" localSheetId="9" hidden="1">'10'!$AT$3:$AT$58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8062B18_AC4D_462B_A403_F7755CA844B7_.wvu.FilterData" localSheetId="5" hidden="1">'06'!$AS$3:$AS$56</definedName>
    <definedName name="Z_58062B18_AC4D_462B_A403_F7755CA844B7_.wvu.FilterData" localSheetId="6" hidden="1">'07'!$AU$3:$AU$56</definedName>
    <definedName name="Z_58062B18_AC4D_462B_A403_F7755CA844B7_.wvu.FilterData" localSheetId="7" hidden="1">'08'!$AT$3:$AT$57</definedName>
    <definedName name="Z_58062B18_AC4D_462B_A403_F7755CA844B7_.wvu.FilterData" localSheetId="8" hidden="1">'09'!$AS$3:$AS$57</definedName>
    <definedName name="Z_58062B18_AC4D_462B_A403_F7755CA844B7_.wvu.FilterData" localSheetId="9" hidden="1">'10'!$AT$3:$AT$58</definedName>
    <definedName name="Z_592A6D0F_1195_4B47_B319_B53EC3E9D0D7_.wvu.FilterData" localSheetId="6" hidden="1">'07'!$AU$3:$AU$57</definedName>
    <definedName name="Z_592A6D0F_1195_4B47_B319_B53EC3E9D0D7_.wvu.FilterData" localSheetId="7" hidden="1">'08'!$AT$3:$AT$58</definedName>
    <definedName name="Z_592A6D0F_1195_4B47_B319_B53EC3E9D0D7_.wvu.FilterData" localSheetId="8" hidden="1">'09'!$AS$3:$AS$58</definedName>
    <definedName name="Z_592A6D0F_1195_4B47_B319_B53EC3E9D0D7_.wvu.FilterData" localSheetId="9" hidden="1">'10'!$AT$3:$AT$59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6B0A9B_1CD0_47C1_9FAD_924E899F0407_.wvu.FilterData" localSheetId="5" hidden="1">'06'!$AS$3:$AS$56</definedName>
    <definedName name="Z_5A6B0A9B_1CD0_47C1_9FAD_924E899F0407_.wvu.FilterData" localSheetId="6" hidden="1">'07'!$AU$3:$AU$56</definedName>
    <definedName name="Z_5A6B0A9B_1CD0_47C1_9FAD_924E899F0407_.wvu.FilterData" localSheetId="7" hidden="1">'08'!$AT$3:$AT$57</definedName>
    <definedName name="Z_5A6B0A9B_1CD0_47C1_9FAD_924E899F0407_.wvu.FilterData" localSheetId="8" hidden="1">'09'!$AS$3:$AS$57</definedName>
    <definedName name="Z_5A6B0A9B_1CD0_47C1_9FAD_924E899F0407_.wvu.FilterData" localSheetId="9" hidden="1">'10'!$AT$3:$AT$58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2AC922_A8F4_4D47_9EC8_833EB954F945_.wvu.FilterData" localSheetId="5" hidden="1">'06'!$AS$3:$AS$57</definedName>
    <definedName name="Z_5B2AC922_A8F4_4D47_9EC8_833EB954F945_.wvu.FilterData" localSheetId="6" hidden="1">'07'!$AU$3:$AU$57</definedName>
    <definedName name="Z_5B2AC922_A8F4_4D47_9EC8_833EB954F945_.wvu.FilterData" localSheetId="7" hidden="1">'08'!$AT$3:$AT$58</definedName>
    <definedName name="Z_5B2AC922_A8F4_4D47_9EC8_833EB954F945_.wvu.FilterData" localSheetId="8" hidden="1">'09'!$AS$3:$AS$58</definedName>
    <definedName name="Z_5B2AC922_A8F4_4D47_9EC8_833EB954F945_.wvu.FilterData" localSheetId="9" hidden="1">'10'!$AT$3:$AT$59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B4000BF_7CAF_4CC3_ACBC_3E99C0B6C030_.wvu.FilterData" localSheetId="5" hidden="1">'06'!$AS$3:$AS$56</definedName>
    <definedName name="Z_5B4000BF_7CAF_4CC3_ACBC_3E99C0B6C030_.wvu.FilterData" localSheetId="6" hidden="1">'07'!$AU$3:$AU$56</definedName>
    <definedName name="Z_5B4000BF_7CAF_4CC3_ACBC_3E99C0B6C030_.wvu.FilterData" localSheetId="7" hidden="1">'08'!$AT$3:$AT$57</definedName>
    <definedName name="Z_5B4000BF_7CAF_4CC3_ACBC_3E99C0B6C030_.wvu.FilterData" localSheetId="8" hidden="1">'09'!$AS$3:$AS$57</definedName>
    <definedName name="Z_5B4000BF_7CAF_4CC3_ACBC_3E99C0B6C030_.wvu.FilterData" localSheetId="9" hidden="1">'10'!$AT$3:$AT$58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05D8C8_6916_4BB6_83FE_7C5EBE70BA43_.wvu.FilterData" localSheetId="5" hidden="1">'06'!$AS$3:$AS$57</definedName>
    <definedName name="Z_5C05D8C8_6916_4BB6_83FE_7C5EBE70BA43_.wvu.FilterData" localSheetId="6" hidden="1">'07'!$AU$3:$AU$57</definedName>
    <definedName name="Z_5C05D8C8_6916_4BB6_83FE_7C5EBE70BA43_.wvu.FilterData" localSheetId="7" hidden="1">'08'!$AT$3:$AT$58</definedName>
    <definedName name="Z_5C05D8C8_6916_4BB6_83FE_7C5EBE70BA43_.wvu.FilterData" localSheetId="8" hidden="1">'09'!$AS$3:$AS$58</definedName>
    <definedName name="Z_5C05D8C8_6916_4BB6_83FE_7C5EBE70BA43_.wvu.FilterData" localSheetId="9" hidden="1">'10'!$AT$3:$AT$59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C6D73C1_F2E2_49D2_AD43_8F14AC6E0902_.wvu.FilterData" localSheetId="5" hidden="1">'06'!$AS$3:$AS$56</definedName>
    <definedName name="Z_5C6D73C1_F2E2_49D2_AD43_8F14AC6E0902_.wvu.FilterData" localSheetId="6" hidden="1">'07'!$AU$3:$AU$56</definedName>
    <definedName name="Z_5C6D73C1_F2E2_49D2_AD43_8F14AC6E0902_.wvu.FilterData" localSheetId="7" hidden="1">'08'!$AT$3:$AT$57</definedName>
    <definedName name="Z_5C6D73C1_F2E2_49D2_AD43_8F14AC6E0902_.wvu.FilterData" localSheetId="8" hidden="1">'09'!$AS$3:$AS$57</definedName>
    <definedName name="Z_5C6D73C1_F2E2_49D2_AD43_8F14AC6E0902_.wvu.FilterData" localSheetId="9" hidden="1">'10'!$AT$3:$AT$58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DBD6343_4A9F_4795_BD4E_219BC770990A_.wvu.FilterData" localSheetId="5" hidden="1">'06'!$AS$3:$AS$57</definedName>
    <definedName name="Z_5DBD6343_4A9F_4795_BD4E_219BC770990A_.wvu.FilterData" localSheetId="6" hidden="1">'07'!$AU$3:$AU$57</definedName>
    <definedName name="Z_5DBD6343_4A9F_4795_BD4E_219BC770990A_.wvu.FilterData" localSheetId="7" hidden="1">'08'!$AT$3:$AT$58</definedName>
    <definedName name="Z_5DBD6343_4A9F_4795_BD4E_219BC770990A_.wvu.FilterData" localSheetId="8" hidden="1">'09'!$AS$3:$AS$58</definedName>
    <definedName name="Z_5DBD6343_4A9F_4795_BD4E_219BC770990A_.wvu.FilterData" localSheetId="9" hidden="1">'10'!$AT$3:$AT$59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382431_8D3E_4437_B96F_370103D28668_.wvu.FilterData" localSheetId="5" hidden="1">'06'!$AS$3:$AS$57</definedName>
    <definedName name="Z_5E382431_8D3E_4437_B96F_370103D28668_.wvu.FilterData" localSheetId="6" hidden="1">'07'!$AU$3:$AU$57</definedName>
    <definedName name="Z_5E382431_8D3E_4437_B96F_370103D28668_.wvu.FilterData" localSheetId="7" hidden="1">'08'!$AT$3:$AT$58</definedName>
    <definedName name="Z_5E382431_8D3E_4437_B96F_370103D28668_.wvu.FilterData" localSheetId="8" hidden="1">'09'!$AS$3:$AS$58</definedName>
    <definedName name="Z_5E382431_8D3E_4437_B96F_370103D28668_.wvu.FilterData" localSheetId="9" hidden="1">'10'!$AT$3:$AT$59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5E967C21_16C1_4F94_AAB9_63F221B8905B_.wvu.FilterData" localSheetId="5" hidden="1">'06'!$AS$3:$AS$56</definedName>
    <definedName name="Z_5E967C21_16C1_4F94_AAB9_63F221B8905B_.wvu.FilterData" localSheetId="6" hidden="1">'07'!$AU$3:$AU$56</definedName>
    <definedName name="Z_5E967C21_16C1_4F94_AAB9_63F221B8905B_.wvu.FilterData" localSheetId="7" hidden="1">'08'!$AT$3:$AT$57</definedName>
    <definedName name="Z_5E967C21_16C1_4F94_AAB9_63F221B8905B_.wvu.FilterData" localSheetId="8" hidden="1">'09'!$AS$3:$AS$57</definedName>
    <definedName name="Z_5E967C21_16C1_4F94_AAB9_63F221B8905B_.wvu.FilterData" localSheetId="9" hidden="1">'10'!$AT$3:$AT$58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2B4C1A_AEC1_4FB1_9695_26E813B8B8CD_.wvu.FilterData" localSheetId="5" hidden="1">'06'!$AS$3:$AS$57</definedName>
    <definedName name="Z_602B4C1A_AEC1_4FB1_9695_26E813B8B8CD_.wvu.FilterData" localSheetId="6" hidden="1">'07'!$AU$3:$AU$57</definedName>
    <definedName name="Z_602B4C1A_AEC1_4FB1_9695_26E813B8B8CD_.wvu.FilterData" localSheetId="7" hidden="1">'08'!$AT$3:$AT$58</definedName>
    <definedName name="Z_602B4C1A_AEC1_4FB1_9695_26E813B8B8CD_.wvu.FilterData" localSheetId="8" hidden="1">'09'!$AS$3:$AS$58</definedName>
    <definedName name="Z_602B4C1A_AEC1_4FB1_9695_26E813B8B8CD_.wvu.FilterData" localSheetId="9" hidden="1">'10'!$AT$3:$AT$59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71E993_DDF7_4362_B524_105DE8161057_.wvu.FilterData" localSheetId="5" hidden="1">'06'!$AS$3:$AS$56</definedName>
    <definedName name="Z_6071E993_DDF7_4362_B524_105DE8161057_.wvu.FilterData" localSheetId="6" hidden="1">'07'!$AU$3:$AU$56</definedName>
    <definedName name="Z_6071E993_DDF7_4362_B524_105DE8161057_.wvu.FilterData" localSheetId="7" hidden="1">'08'!$AT$3:$AT$57</definedName>
    <definedName name="Z_6071E993_DDF7_4362_B524_105DE8161057_.wvu.FilterData" localSheetId="8" hidden="1">'09'!$AS$3:$AS$57</definedName>
    <definedName name="Z_6071E993_DDF7_4362_B524_105DE8161057_.wvu.FilterData" localSheetId="9" hidden="1">'10'!$AT$3:$AT$58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54464_F353_4ABD_9C7F_7CF967E96DB3_.wvu.FilterData" localSheetId="5" hidden="1">'06'!$AS$3:$AS$57</definedName>
    <definedName name="Z_60B54464_F353_4ABD_9C7F_7CF967E96DB3_.wvu.FilterData" localSheetId="6" hidden="1">'07'!$AU$3:$AU$57</definedName>
    <definedName name="Z_60B54464_F353_4ABD_9C7F_7CF967E96DB3_.wvu.FilterData" localSheetId="7" hidden="1">'08'!$AT$3:$AT$58</definedName>
    <definedName name="Z_60B54464_F353_4ABD_9C7F_7CF967E96DB3_.wvu.FilterData" localSheetId="8" hidden="1">'09'!$AS$3:$AS$58</definedName>
    <definedName name="Z_60B54464_F353_4ABD_9C7F_7CF967E96DB3_.wvu.FilterData" localSheetId="9" hidden="1">'10'!$AT$3:$AT$59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B69D7E_ABFD_4E46_998F_6572ECE8FCCF_.wvu.FilterData" localSheetId="5" hidden="1">'06'!$AS$3:$AS$56</definedName>
    <definedName name="Z_60B69D7E_ABFD_4E46_998F_6572ECE8FCCF_.wvu.FilterData" localSheetId="6" hidden="1">'07'!$AU$3:$AU$56</definedName>
    <definedName name="Z_60B69D7E_ABFD_4E46_998F_6572ECE8FCCF_.wvu.FilterData" localSheetId="7" hidden="1">'08'!$AT$3:$AT$57</definedName>
    <definedName name="Z_60B69D7E_ABFD_4E46_998F_6572ECE8FCCF_.wvu.FilterData" localSheetId="8" hidden="1">'09'!$AS$3:$AS$57</definedName>
    <definedName name="Z_60B69D7E_ABFD_4E46_998F_6572ECE8FCCF_.wvu.FilterData" localSheetId="9" hidden="1">'10'!$AT$3:$AT$58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0CA612F_48CE_469B_AF3F_F46F5B2095CF_.wvu.FilterData" localSheetId="5" hidden="1">'06'!$AS$3:$AS$57</definedName>
    <definedName name="Z_60CA612F_48CE_469B_AF3F_F46F5B2095CF_.wvu.FilterData" localSheetId="6" hidden="1">'07'!$AU$3:$AU$57</definedName>
    <definedName name="Z_60CA612F_48CE_469B_AF3F_F46F5B2095CF_.wvu.FilterData" localSheetId="7" hidden="1">'08'!$AT$3:$AT$58</definedName>
    <definedName name="Z_60CA612F_48CE_469B_AF3F_F46F5B2095CF_.wvu.FilterData" localSheetId="8" hidden="1">'09'!$AS$3:$AS$58</definedName>
    <definedName name="Z_60CA612F_48CE_469B_AF3F_F46F5B2095CF_.wvu.FilterData" localSheetId="9" hidden="1">'10'!$AT$3:$AT$59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1E5895A_B129_4195_AE0F_3A18F5A9ECD5_.wvu.FilterData" localSheetId="5" hidden="1">'06'!$AS$3:$AS$56</definedName>
    <definedName name="Z_61E5895A_B129_4195_AE0F_3A18F5A9ECD5_.wvu.FilterData" localSheetId="6" hidden="1">'07'!$AU$3:$AU$56</definedName>
    <definedName name="Z_61E5895A_B129_4195_AE0F_3A18F5A9ECD5_.wvu.FilterData" localSheetId="7" hidden="1">'08'!$AT$3:$AT$57</definedName>
    <definedName name="Z_61E5895A_B129_4195_AE0F_3A18F5A9ECD5_.wvu.FilterData" localSheetId="8" hidden="1">'09'!$AS$3:$AS$57</definedName>
    <definedName name="Z_61E5895A_B129_4195_AE0F_3A18F5A9ECD5_.wvu.FilterData" localSheetId="9" hidden="1">'10'!$AT$3:$AT$58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21F925_CBE5_46D9_AEEC_64D2BFF20D28_.wvu.FilterData" localSheetId="5" hidden="1">'06'!$AS$3:$AS$56</definedName>
    <definedName name="Z_6221F925_CBE5_46D9_AEEC_64D2BFF20D28_.wvu.FilterData" localSheetId="6" hidden="1">'07'!$AU$3:$AU$56</definedName>
    <definedName name="Z_6221F925_CBE5_46D9_AEEC_64D2BFF20D28_.wvu.FilterData" localSheetId="7" hidden="1">'08'!$AT$3:$AT$57</definedName>
    <definedName name="Z_6221F925_CBE5_46D9_AEEC_64D2BFF20D28_.wvu.FilterData" localSheetId="8" hidden="1">'09'!$AS$3:$AS$57</definedName>
    <definedName name="Z_6221F925_CBE5_46D9_AEEC_64D2BFF20D28_.wvu.FilterData" localSheetId="9" hidden="1">'10'!$AT$3:$AT$58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2467384_E819_4657_9480_765C202591DB_.wvu.FilterData" localSheetId="5" hidden="1">'06'!$AS$3:$AS$56</definedName>
    <definedName name="Z_62467384_E819_4657_9480_765C202591DB_.wvu.FilterData" localSheetId="6" hidden="1">'07'!$AU$3:$AU$56</definedName>
    <definedName name="Z_62467384_E819_4657_9480_765C202591DB_.wvu.FilterData" localSheetId="7" hidden="1">'08'!$AT$3:$AT$57</definedName>
    <definedName name="Z_62467384_E819_4657_9480_765C202591DB_.wvu.FilterData" localSheetId="8" hidden="1">'09'!$AS$3:$AS$57</definedName>
    <definedName name="Z_62467384_E819_4657_9480_765C202591DB_.wvu.FilterData" localSheetId="9" hidden="1">'10'!$AT$3:$AT$58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30D1649_9EF8_4A3A_9033_E451DFFB401E_.wvu.FilterData" localSheetId="5" hidden="1">'06'!$AS$3:$AS$57</definedName>
    <definedName name="Z_630D1649_9EF8_4A3A_9033_E451DFFB401E_.wvu.FilterData" localSheetId="6" hidden="1">'07'!$AU$3:$AU$57</definedName>
    <definedName name="Z_630D1649_9EF8_4A3A_9033_E451DFFB401E_.wvu.FilterData" localSheetId="7" hidden="1">'08'!$AT$3:$AT$58</definedName>
    <definedName name="Z_630D1649_9EF8_4A3A_9033_E451DFFB401E_.wvu.FilterData" localSheetId="8" hidden="1">'09'!$AS$3:$AS$58</definedName>
    <definedName name="Z_630D1649_9EF8_4A3A_9033_E451DFFB401E_.wvu.FilterData" localSheetId="9" hidden="1">'10'!$AT$3:$AT$59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3BAC94_C305_430A_A796_81CB5FC1F74A_.wvu.FilterData" localSheetId="5" hidden="1">'06'!$AS$3:$AS$56</definedName>
    <definedName name="Z_643BAC94_C305_430A_A796_81CB5FC1F74A_.wvu.FilterData" localSheetId="6" hidden="1">'07'!$AU$3:$AU$56</definedName>
    <definedName name="Z_643BAC94_C305_430A_A796_81CB5FC1F74A_.wvu.FilterData" localSheetId="7" hidden="1">'08'!$AT$3:$AT$57</definedName>
    <definedName name="Z_643BAC94_C305_430A_A796_81CB5FC1F74A_.wvu.FilterData" localSheetId="8" hidden="1">'09'!$AS$3:$AS$57</definedName>
    <definedName name="Z_643BAC94_C305_430A_A796_81CB5FC1F74A_.wvu.FilterData" localSheetId="9" hidden="1">'10'!$AT$3:$AT$58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D7BBB1_AC1E_40AA_87D9_CB63D838D2DF_.wvu.FilterData" localSheetId="5" hidden="1">'06'!$AS$3:$AS$57</definedName>
    <definedName name="Z_64D7BBB1_AC1E_40AA_87D9_CB63D838D2DF_.wvu.FilterData" localSheetId="6" hidden="1">'07'!$AU$3:$AU$57</definedName>
    <definedName name="Z_64D7BBB1_AC1E_40AA_87D9_CB63D838D2DF_.wvu.FilterData" localSheetId="7" hidden="1">'08'!$AT$3:$AT$58</definedName>
    <definedName name="Z_64D7BBB1_AC1E_40AA_87D9_CB63D838D2DF_.wvu.FilterData" localSheetId="8" hidden="1">'09'!$AS$3:$AS$58</definedName>
    <definedName name="Z_64D7BBB1_AC1E_40AA_87D9_CB63D838D2DF_.wvu.FilterData" localSheetId="9" hidden="1">'10'!$AT$3:$AT$59</definedName>
    <definedName name="Z_64F2BC54_5B05_415F_9B4B_E79D7D473800_.wvu.FilterData" localSheetId="1" hidden="1">'02'!$AQ$3:$AQ$60</definedName>
    <definedName name="Z_64F468A9_28F1_4DD5_BF50_B414EFB21A76_.wvu.FilterData" localSheetId="8" hidden="1">'09'!$AS$3:$AS$58</definedName>
    <definedName name="Z_64F468A9_28F1_4DD5_BF50_B414EFB21A76_.wvu.FilterData" localSheetId="9" hidden="1">'10'!$AT$3:$AT$59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58ECF5A_8992_4D48_8472_14B444767F00_.wvu.FilterData" localSheetId="5" hidden="1">'06'!$AS$3:$AS$56</definedName>
    <definedName name="Z_658ECF5A_8992_4D48_8472_14B444767F00_.wvu.FilterData" localSheetId="6" hidden="1">'07'!$AU$3:$AU$56</definedName>
    <definedName name="Z_658ECF5A_8992_4D48_8472_14B444767F00_.wvu.FilterData" localSheetId="7" hidden="1">'08'!$AT$3:$AT$57</definedName>
    <definedName name="Z_658ECF5A_8992_4D48_8472_14B444767F00_.wvu.FilterData" localSheetId="8" hidden="1">'09'!$AS$3:$AS$57</definedName>
    <definedName name="Z_658ECF5A_8992_4D48_8472_14B444767F00_.wvu.FilterData" localSheetId="9" hidden="1">'10'!$AT$3:$AT$58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337217_02B1_4240_80F7_55DDC70FDAE3_.wvu.FilterData" localSheetId="5" hidden="1">'06'!$AS$3:$AS$57</definedName>
    <definedName name="Z_66337217_02B1_4240_80F7_55DDC70FDAE3_.wvu.FilterData" localSheetId="6" hidden="1">'07'!$AU$3:$AU$57</definedName>
    <definedName name="Z_66337217_02B1_4240_80F7_55DDC70FDAE3_.wvu.FilterData" localSheetId="7" hidden="1">'08'!$AT$3:$AT$58</definedName>
    <definedName name="Z_66337217_02B1_4240_80F7_55DDC70FDAE3_.wvu.FilterData" localSheetId="8" hidden="1">'09'!$AS$3:$AS$58</definedName>
    <definedName name="Z_66337217_02B1_4240_80F7_55DDC70FDAE3_.wvu.FilterData" localSheetId="9" hidden="1">'10'!$AT$3:$AT$59</definedName>
    <definedName name="Z_66807DA4_029B_47FA_AF91_7D6825173DCF_.wvu.FilterData" localSheetId="4" hidden="1">'05'!$AT$3:$AT$58</definedName>
    <definedName name="Z_66807DA4_029B_47FA_AF91_7D6825173DCF_.wvu.FilterData" localSheetId="5" hidden="1">'06'!$AS$3:$AS$57</definedName>
    <definedName name="Z_66807DA4_029B_47FA_AF91_7D6825173DCF_.wvu.FilterData" localSheetId="6" hidden="1">'07'!$AU$3:$AU$57</definedName>
    <definedName name="Z_66807DA4_029B_47FA_AF91_7D6825173DCF_.wvu.FilterData" localSheetId="7" hidden="1">'08'!$AT$3:$AT$58</definedName>
    <definedName name="Z_66807DA4_029B_47FA_AF91_7D6825173DCF_.wvu.FilterData" localSheetId="8" hidden="1">'09'!$AS$3:$AS$58</definedName>
    <definedName name="Z_66807DA4_029B_47FA_AF91_7D6825173DCF_.wvu.FilterData" localSheetId="9" hidden="1">'10'!$AT$3:$AT$59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7D858BE_767A_499E_A563_2F37637BD682_.wvu.FilterData" localSheetId="5" hidden="1">'06'!$AS$3:$AS$57</definedName>
    <definedName name="Z_67D858BE_767A_499E_A563_2F37637BD682_.wvu.FilterData" localSheetId="6" hidden="1">'07'!$AU$3:$AU$57</definedName>
    <definedName name="Z_67D858BE_767A_499E_A563_2F37637BD682_.wvu.FilterData" localSheetId="7" hidden="1">'08'!$AT$3:$AT$58</definedName>
    <definedName name="Z_67D858BE_767A_499E_A563_2F37637BD682_.wvu.FilterData" localSheetId="8" hidden="1">'09'!$AS$3:$AS$58</definedName>
    <definedName name="Z_67D858BE_767A_499E_A563_2F37637BD682_.wvu.FilterData" localSheetId="9" hidden="1">'10'!$AT$3:$AT$59</definedName>
    <definedName name="Z_685D2D97_6E02_431B_A1EC_BD67DE197FAD_.wvu.FilterData" localSheetId="7" hidden="1">'08'!$AT$3:$AT$58</definedName>
    <definedName name="Z_685D2D97_6E02_431B_A1EC_BD67DE197FAD_.wvu.FilterData" localSheetId="8" hidden="1">'09'!$AS$3:$AS$58</definedName>
    <definedName name="Z_685D2D97_6E02_431B_A1EC_BD67DE197FAD_.wvu.FilterData" localSheetId="9" hidden="1">'10'!$AT$3:$AT$59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C06395_9A22_4FBB_A0B9_4E8DEAAD0BF0_.wvu.FilterData" localSheetId="5" hidden="1">'06'!$AS$3:$AS$56</definedName>
    <definedName name="Z_68C06395_9A22_4FBB_A0B9_4E8DEAAD0BF0_.wvu.FilterData" localSheetId="6" hidden="1">'07'!$AU$3:$AU$56</definedName>
    <definedName name="Z_68C06395_9A22_4FBB_A0B9_4E8DEAAD0BF0_.wvu.FilterData" localSheetId="7" hidden="1">'08'!$AT$3:$AT$57</definedName>
    <definedName name="Z_68C06395_9A22_4FBB_A0B9_4E8DEAAD0BF0_.wvu.FilterData" localSheetId="8" hidden="1">'09'!$AS$3:$AS$57</definedName>
    <definedName name="Z_68C06395_9A22_4FBB_A0B9_4E8DEAAD0BF0_.wvu.FilterData" localSheetId="9" hidden="1">'10'!$AT$3:$AT$58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8EE8156_446E_4135_9511_4F4EA69733FE_.wvu.FilterData" localSheetId="5" hidden="1">'06'!$AS$3:$AS$57</definedName>
    <definedName name="Z_68EE8156_446E_4135_9511_4F4EA69733FE_.wvu.FilterData" localSheetId="6" hidden="1">'07'!$AU$3:$AU$57</definedName>
    <definedName name="Z_68EE8156_446E_4135_9511_4F4EA69733FE_.wvu.FilterData" localSheetId="7" hidden="1">'08'!$AT$3:$AT$58</definedName>
    <definedName name="Z_68EE8156_446E_4135_9511_4F4EA69733FE_.wvu.FilterData" localSheetId="8" hidden="1">'09'!$AS$3:$AS$58</definedName>
    <definedName name="Z_68EE8156_446E_4135_9511_4F4EA69733FE_.wvu.FilterData" localSheetId="9" hidden="1">'10'!$AT$3:$AT$59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166B49_48C9_436C_B329_A0F596B5A5C8_.wvu.FilterData" localSheetId="5" hidden="1">'06'!$AS$3:$AS$57</definedName>
    <definedName name="Z_69166B49_48C9_436C_B329_A0F596B5A5C8_.wvu.FilterData" localSheetId="6" hidden="1">'07'!$AU$3:$AU$57</definedName>
    <definedName name="Z_69166B49_48C9_436C_B329_A0F596B5A5C8_.wvu.FilterData" localSheetId="7" hidden="1">'08'!$AT$3:$AT$58</definedName>
    <definedName name="Z_69166B49_48C9_436C_B329_A0F596B5A5C8_.wvu.FilterData" localSheetId="8" hidden="1">'09'!$AS$3:$AS$58</definedName>
    <definedName name="Z_69166B49_48C9_436C_B329_A0F596B5A5C8_.wvu.FilterData" localSheetId="9" hidden="1">'10'!$AT$3:$AT$59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28FE2D_40E7_46B0_A497_E5343311C9CC_.wvu.FilterData" localSheetId="5" hidden="1">'06'!$AS$3:$AS$56</definedName>
    <definedName name="Z_6928FE2D_40E7_46B0_A497_E5343311C9CC_.wvu.FilterData" localSheetId="6" hidden="1">'07'!$AU$3:$AU$56</definedName>
    <definedName name="Z_6928FE2D_40E7_46B0_A497_E5343311C9CC_.wvu.FilterData" localSheetId="7" hidden="1">'08'!$AT$3:$AT$57</definedName>
    <definedName name="Z_6928FE2D_40E7_46B0_A497_E5343311C9CC_.wvu.FilterData" localSheetId="8" hidden="1">'09'!$AS$3:$AS$57</definedName>
    <definedName name="Z_6928FE2D_40E7_46B0_A497_E5343311C9CC_.wvu.FilterData" localSheetId="9" hidden="1">'10'!$AT$3:$AT$58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9B13D60_CF21_4086_85B2_B0D2DE525107_.wvu.FilterData" localSheetId="5" hidden="1">'06'!$AS$3:$AS$56</definedName>
    <definedName name="Z_69B13D60_CF21_4086_85B2_B0D2DE525107_.wvu.FilterData" localSheetId="6" hidden="1">'07'!$AU$3:$AU$56</definedName>
    <definedName name="Z_69B13D60_CF21_4086_85B2_B0D2DE525107_.wvu.FilterData" localSheetId="7" hidden="1">'08'!$AT$3:$AT$57</definedName>
    <definedName name="Z_69B13D60_CF21_4086_85B2_B0D2DE525107_.wvu.FilterData" localSheetId="8" hidden="1">'09'!$AS$3:$AS$57</definedName>
    <definedName name="Z_69B13D60_CF21_4086_85B2_B0D2DE525107_.wvu.FilterData" localSheetId="9" hidden="1">'10'!$AT$3:$AT$58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16B012_3F5D_4842_89FB_C55ADEDA4EB0_.wvu.FilterData" localSheetId="5" hidden="1">'06'!$AS$3:$AS$57</definedName>
    <definedName name="Z_6B16B012_3F5D_4842_89FB_C55ADEDA4EB0_.wvu.FilterData" localSheetId="6" hidden="1">'07'!$AU$3:$AU$57</definedName>
    <definedName name="Z_6B16B012_3F5D_4842_89FB_C55ADEDA4EB0_.wvu.FilterData" localSheetId="7" hidden="1">'08'!$AT$3:$AT$58</definedName>
    <definedName name="Z_6B16B012_3F5D_4842_89FB_C55ADEDA4EB0_.wvu.FilterData" localSheetId="8" hidden="1">'09'!$AS$3:$AS$58</definedName>
    <definedName name="Z_6B16B012_3F5D_4842_89FB_C55ADEDA4EB0_.wvu.FilterData" localSheetId="9" hidden="1">'10'!$AT$3:$AT$59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BFDFA16_1594_41F7_BB4B_64CC35D76129_.wvu.FilterData" localSheetId="5" hidden="1">'06'!$AS$3:$AS$56</definedName>
    <definedName name="Z_6BFDFA16_1594_41F7_BB4B_64CC35D76129_.wvu.FilterData" localSheetId="6" hidden="1">'07'!$AU$3:$AU$56</definedName>
    <definedName name="Z_6BFDFA16_1594_41F7_BB4B_64CC35D76129_.wvu.FilterData" localSheetId="7" hidden="1">'08'!$AT$3:$AT$57</definedName>
    <definedName name="Z_6BFDFA16_1594_41F7_BB4B_64CC35D76129_.wvu.FilterData" localSheetId="8" hidden="1">'09'!$AS$3:$AS$57</definedName>
    <definedName name="Z_6BFDFA16_1594_41F7_BB4B_64CC35D76129_.wvu.FilterData" localSheetId="9" hidden="1">'10'!$AT$3:$AT$58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C8F1F7A_A2BC_4DDE_9B54_5646408895C8_.wvu.FilterData" localSheetId="5" hidden="1">'06'!$AS$3:$AS$57</definedName>
    <definedName name="Z_6C8F1F7A_A2BC_4DDE_9B54_5646408895C8_.wvu.FilterData" localSheetId="6" hidden="1">'07'!$AU$3:$AU$57</definedName>
    <definedName name="Z_6C8F1F7A_A2BC_4DDE_9B54_5646408895C8_.wvu.FilterData" localSheetId="7" hidden="1">'08'!$AT$3:$AT$58</definedName>
    <definedName name="Z_6C8F1F7A_A2BC_4DDE_9B54_5646408895C8_.wvu.FilterData" localSheetId="8" hidden="1">'09'!$AS$3:$AS$58</definedName>
    <definedName name="Z_6C8F1F7A_A2BC_4DDE_9B54_5646408895C8_.wvu.FilterData" localSheetId="9" hidden="1">'10'!$AT$3:$AT$59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6F2948E6_E278_42A3_B92C_B84C1D3D059D_.wvu.FilterData" localSheetId="5" hidden="1">'06'!$AS$3:$AS$57</definedName>
    <definedName name="Z_6F2948E6_E278_42A3_B92C_B84C1D3D059D_.wvu.FilterData" localSheetId="6" hidden="1">'07'!$AU$3:$AU$57</definedName>
    <definedName name="Z_6F2948E6_E278_42A3_B92C_B84C1D3D059D_.wvu.FilterData" localSheetId="7" hidden="1">'08'!$AT$3:$AT$58</definedName>
    <definedName name="Z_6F2948E6_E278_42A3_B92C_B84C1D3D059D_.wvu.FilterData" localSheetId="8" hidden="1">'09'!$AS$3:$AS$58</definedName>
    <definedName name="Z_6F2948E6_E278_42A3_B92C_B84C1D3D059D_.wvu.FilterData" localSheetId="9" hidden="1">'10'!$AT$3:$AT$59</definedName>
    <definedName name="Z_6FB30069_A76F_4435_838F_37435888F9CD_.wvu.FilterData" localSheetId="9" hidden="1">'10'!$AT$3:$AT$59</definedName>
    <definedName name="Z_700C98B5_5AB6_4E91_B40C_E355C172DC48_.wvu.FilterData" localSheetId="6" hidden="1">'07'!$AU$3:$AU$57</definedName>
    <definedName name="Z_700C98B5_5AB6_4E91_B40C_E355C172DC48_.wvu.FilterData" localSheetId="7" hidden="1">'08'!$AT$3:$AT$58</definedName>
    <definedName name="Z_700C98B5_5AB6_4E91_B40C_E355C172DC48_.wvu.FilterData" localSheetId="8" hidden="1">'09'!$AS$3:$AS$58</definedName>
    <definedName name="Z_700C98B5_5AB6_4E91_B40C_E355C172DC48_.wvu.FilterData" localSheetId="9" hidden="1">'10'!$AT$3:$AT$59</definedName>
    <definedName name="Z_710F00CC_4461_4D68_9909_9C152E8EE632_.wvu.FilterData" localSheetId="4" hidden="1">'05'!$AT$3:$AT$58</definedName>
    <definedName name="Z_710F00CC_4461_4D68_9909_9C152E8EE632_.wvu.FilterData" localSheetId="5" hidden="1">'06'!$AS$3:$AS$57</definedName>
    <definedName name="Z_710F00CC_4461_4D68_9909_9C152E8EE632_.wvu.FilterData" localSheetId="6" hidden="1">'07'!$AU$3:$AU$57</definedName>
    <definedName name="Z_710F00CC_4461_4D68_9909_9C152E8EE632_.wvu.FilterData" localSheetId="7" hidden="1">'08'!$AT$3:$AT$58</definedName>
    <definedName name="Z_710F00CC_4461_4D68_9909_9C152E8EE632_.wvu.FilterData" localSheetId="8" hidden="1">'09'!$AS$3:$AS$58</definedName>
    <definedName name="Z_710F00CC_4461_4D68_9909_9C152E8EE632_.wvu.FilterData" localSheetId="9" hidden="1">'10'!$AT$3:$AT$59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7B38AA_6153_44E4_9256_DCAD48B6D79F_.wvu.FilterData" localSheetId="5" hidden="1">'06'!$AS$3:$AS$56</definedName>
    <definedName name="Z_717B38AA_6153_44E4_9256_DCAD48B6D79F_.wvu.FilterData" localSheetId="6" hidden="1">'07'!$AU$3:$AU$56</definedName>
    <definedName name="Z_717B38AA_6153_44E4_9256_DCAD48B6D79F_.wvu.FilterData" localSheetId="7" hidden="1">'08'!$AT$3:$AT$57</definedName>
    <definedName name="Z_717B38AA_6153_44E4_9256_DCAD48B6D79F_.wvu.FilterData" localSheetId="8" hidden="1">'09'!$AS$3:$AS$57</definedName>
    <definedName name="Z_717B38AA_6153_44E4_9256_DCAD48B6D79F_.wvu.FilterData" localSheetId="9" hidden="1">'10'!$AT$3:$AT$58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1DE3D5D_F419_453D_98A7_1BD5BA752329_.wvu.FilterData" localSheetId="5" hidden="1">'06'!$AS$3:$AS$57</definedName>
    <definedName name="Z_71DE3D5D_F419_453D_98A7_1BD5BA752329_.wvu.FilterData" localSheetId="6" hidden="1">'07'!$AU$3:$AU$57</definedName>
    <definedName name="Z_71DE3D5D_F419_453D_98A7_1BD5BA752329_.wvu.FilterData" localSheetId="7" hidden="1">'08'!$AT$3:$AT$58</definedName>
    <definedName name="Z_71DE3D5D_F419_453D_98A7_1BD5BA752329_.wvu.FilterData" localSheetId="8" hidden="1">'09'!$AS$3:$AS$58</definedName>
    <definedName name="Z_71DE3D5D_F419_453D_98A7_1BD5BA752329_.wvu.FilterData" localSheetId="9" hidden="1">'10'!$AT$3:$AT$59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3BAA3D5_65AE_4D0B_8275_D437CDF5F857_.wvu.FilterData" localSheetId="5" hidden="1">'06'!$AS$3:$AS$56</definedName>
    <definedName name="Z_73BAA3D5_65AE_4D0B_8275_D437CDF5F857_.wvu.FilterData" localSheetId="6" hidden="1">'07'!$AU$3:$AU$56</definedName>
    <definedName name="Z_73BAA3D5_65AE_4D0B_8275_D437CDF5F857_.wvu.FilterData" localSheetId="7" hidden="1">'08'!$AT$3:$AT$57</definedName>
    <definedName name="Z_73BAA3D5_65AE_4D0B_8275_D437CDF5F857_.wvu.FilterData" localSheetId="8" hidden="1">'09'!$AS$3:$AS$57</definedName>
    <definedName name="Z_73BAA3D5_65AE_4D0B_8275_D437CDF5F857_.wvu.FilterData" localSheetId="9" hidden="1">'10'!$AT$3:$AT$58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C4DE79_5946_4E91_93D5_1728C915FE5B_.wvu.FilterData" localSheetId="5" hidden="1">'06'!$AS$3:$AS$57</definedName>
    <definedName name="Z_74C4DE79_5946_4E91_93D5_1728C915FE5B_.wvu.FilterData" localSheetId="6" hidden="1">'07'!$AU$3:$AU$57</definedName>
    <definedName name="Z_74C4DE79_5946_4E91_93D5_1728C915FE5B_.wvu.FilterData" localSheetId="7" hidden="1">'08'!$AT$3:$AT$58</definedName>
    <definedName name="Z_74C4DE79_5946_4E91_93D5_1728C915FE5B_.wvu.FilterData" localSheetId="8" hidden="1">'09'!$AS$3:$AS$58</definedName>
    <definedName name="Z_74C4DE79_5946_4E91_93D5_1728C915FE5B_.wvu.FilterData" localSheetId="9" hidden="1">'10'!$AT$3:$AT$59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55376F3_4FDC_409F_9AFA_A40F2A89C0F2_.wvu.FilterData" localSheetId="5" hidden="1">'06'!$AS$3:$AS$56</definedName>
    <definedName name="Z_755376F3_4FDC_409F_9AFA_A40F2A89C0F2_.wvu.FilterData" localSheetId="6" hidden="1">'07'!$AU$3:$AU$56</definedName>
    <definedName name="Z_755376F3_4FDC_409F_9AFA_A40F2A89C0F2_.wvu.FilterData" localSheetId="7" hidden="1">'08'!$AT$3:$AT$57</definedName>
    <definedName name="Z_755376F3_4FDC_409F_9AFA_A40F2A89C0F2_.wvu.FilterData" localSheetId="8" hidden="1">'09'!$AS$3:$AS$57</definedName>
    <definedName name="Z_755376F3_4FDC_409F_9AFA_A40F2A89C0F2_.wvu.FilterData" localSheetId="9" hidden="1">'10'!$AT$3:$AT$58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6C53E10_DE92_4FE3_B8E1_4C076C47BC63_.wvu.FilterData" localSheetId="5" hidden="1">'06'!$AS$3:$AS$57</definedName>
    <definedName name="Z_76C53E10_DE92_4FE3_B8E1_4C076C47BC63_.wvu.FilterData" localSheetId="6" hidden="1">'07'!$AU$3:$AU$57</definedName>
    <definedName name="Z_76C53E10_DE92_4FE3_B8E1_4C076C47BC63_.wvu.FilterData" localSheetId="7" hidden="1">'08'!$AT$3:$AT$58</definedName>
    <definedName name="Z_76C53E10_DE92_4FE3_B8E1_4C076C47BC63_.wvu.FilterData" localSheetId="8" hidden="1">'09'!$AS$3:$AS$58</definedName>
    <definedName name="Z_76C53E10_DE92_4FE3_B8E1_4C076C47BC63_.wvu.FilterData" localSheetId="9" hidden="1">'10'!$AT$3:$AT$59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73857F0_A878_4762_B38D_17FB809664FA_.wvu.FilterData" localSheetId="5" hidden="1">'06'!$AS$3:$AS$56</definedName>
    <definedName name="Z_773857F0_A878_4762_B38D_17FB809664FA_.wvu.FilterData" localSheetId="6" hidden="1">'07'!$AU$3:$AU$56</definedName>
    <definedName name="Z_773857F0_A878_4762_B38D_17FB809664FA_.wvu.FilterData" localSheetId="7" hidden="1">'08'!$AT$3:$AT$57</definedName>
    <definedName name="Z_773857F0_A878_4762_B38D_17FB809664FA_.wvu.FilterData" localSheetId="8" hidden="1">'09'!$AS$3:$AS$57</definedName>
    <definedName name="Z_773857F0_A878_4762_B38D_17FB809664FA_.wvu.FilterData" localSheetId="9" hidden="1">'10'!$AT$3:$AT$58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91B530C_644F_4FFD_B940_3622BD0315C7_.wvu.FilterData" localSheetId="5" hidden="1">'06'!$AS$3:$AS$57</definedName>
    <definedName name="Z_791B530C_644F_4FFD_B940_3622BD0315C7_.wvu.FilterData" localSheetId="6" hidden="1">'07'!$AU$3:$AU$57</definedName>
    <definedName name="Z_791B530C_644F_4FFD_B940_3622BD0315C7_.wvu.FilterData" localSheetId="7" hidden="1">'08'!$AT$3:$AT$58</definedName>
    <definedName name="Z_791B530C_644F_4FFD_B940_3622BD0315C7_.wvu.FilterData" localSheetId="8" hidden="1">'09'!$AS$3:$AS$58</definedName>
    <definedName name="Z_791B530C_644F_4FFD_B940_3622BD0315C7_.wvu.FilterData" localSheetId="9" hidden="1">'10'!$AT$3:$AT$59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A99CCD3_E2BA_4D84_A519_4D444C9900EA_.wvu.FilterData" localSheetId="5" hidden="1">'06'!$AS$3:$AS$56</definedName>
    <definedName name="Z_7A99CCD3_E2BA_4D84_A519_4D444C9900EA_.wvu.FilterData" localSheetId="6" hidden="1">'07'!$AU$3:$AU$56</definedName>
    <definedName name="Z_7A99CCD3_E2BA_4D84_A519_4D444C9900EA_.wvu.FilterData" localSheetId="7" hidden="1">'08'!$AT$3:$AT$57</definedName>
    <definedName name="Z_7A99CCD3_E2BA_4D84_A519_4D444C9900EA_.wvu.FilterData" localSheetId="8" hidden="1">'09'!$AS$3:$AS$57</definedName>
    <definedName name="Z_7A99CCD3_E2BA_4D84_A519_4D444C9900EA_.wvu.FilterData" localSheetId="9" hidden="1">'10'!$AT$3:$AT$58</definedName>
    <definedName name="Z_7AC8E5BC_FC0A_4959_ABB9_70A4C8332D00_.wvu.FilterData" localSheetId="9" hidden="1">'10'!$AT$3:$AT$59</definedName>
    <definedName name="Z_7AE12975_286E_4F3E_84E7_84169855E9B0_.wvu.FilterData" localSheetId="5" hidden="1">'06'!$AS$3:$AS$57</definedName>
    <definedName name="Z_7AE12975_286E_4F3E_84E7_84169855E9B0_.wvu.FilterData" localSheetId="6" hidden="1">'07'!$AU$3:$AU$57</definedName>
    <definedName name="Z_7AE12975_286E_4F3E_84E7_84169855E9B0_.wvu.FilterData" localSheetId="7" hidden="1">'08'!$AT$3:$AT$58</definedName>
    <definedName name="Z_7AE12975_286E_4F3E_84E7_84169855E9B0_.wvu.FilterData" localSheetId="8" hidden="1">'09'!$AS$3:$AS$58</definedName>
    <definedName name="Z_7AE12975_286E_4F3E_84E7_84169855E9B0_.wvu.FilterData" localSheetId="9" hidden="1">'10'!$AT$3:$AT$59</definedName>
    <definedName name="Z_7B441FEC_7685_4BFC_BDA5_EB0EDC6DE9CF_.wvu.FilterData" localSheetId="9" hidden="1">'10'!$AT$3:$AT$59</definedName>
    <definedName name="Z_7BC43687_DA01_4520_9C12_E7133B862AEE_.wvu.FilterData" localSheetId="7" hidden="1">'08'!$AT$3:$AT$58</definedName>
    <definedName name="Z_7BC43687_DA01_4520_9C12_E7133B862AEE_.wvu.FilterData" localSheetId="8" hidden="1">'09'!$AS$3:$AS$58</definedName>
    <definedName name="Z_7BC43687_DA01_4520_9C12_E7133B862AEE_.wvu.FilterData" localSheetId="9" hidden="1">'10'!$AT$3:$AT$59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DDD1136_A2F2_40F2_9DC0_947B103EB4FC_.wvu.FilterData" localSheetId="5" hidden="1">'06'!$AS$3:$AS$56</definedName>
    <definedName name="Z_7DDD1136_A2F2_40F2_9DC0_947B103EB4FC_.wvu.FilterData" localSheetId="6" hidden="1">'07'!$AU$3:$AU$56</definedName>
    <definedName name="Z_7DDD1136_A2F2_40F2_9DC0_947B103EB4FC_.wvu.FilterData" localSheetId="7" hidden="1">'08'!$AT$3:$AT$57</definedName>
    <definedName name="Z_7DDD1136_A2F2_40F2_9DC0_947B103EB4FC_.wvu.FilterData" localSheetId="8" hidden="1">'09'!$AS$3:$AS$57</definedName>
    <definedName name="Z_7DDD1136_A2F2_40F2_9DC0_947B103EB4FC_.wvu.FilterData" localSheetId="9" hidden="1">'10'!$AT$3:$AT$58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158070_FAEA_407E_9C96_99D456DF239F_.wvu.FilterData" localSheetId="5" hidden="1">'06'!$AS$3:$AS$57</definedName>
    <definedName name="Z_7F158070_FAEA_407E_9C96_99D456DF239F_.wvu.FilterData" localSheetId="6" hidden="1">'07'!$AU$3:$AU$57</definedName>
    <definedName name="Z_7F158070_FAEA_407E_9C96_99D456DF239F_.wvu.FilterData" localSheetId="7" hidden="1">'08'!$AT$3:$AT$58</definedName>
    <definedName name="Z_7F158070_FAEA_407E_9C96_99D456DF239F_.wvu.FilterData" localSheetId="8" hidden="1">'09'!$AS$3:$AS$58</definedName>
    <definedName name="Z_7F158070_FAEA_407E_9C96_99D456DF239F_.wvu.FilterData" localSheetId="9" hidden="1">'10'!$AT$3:$AT$59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601380_0FCE_4A4E_8864_6C96894B68DC_.wvu.FilterData" localSheetId="5" hidden="1">'06'!$AS$3:$AS$57</definedName>
    <definedName name="Z_7F601380_0FCE_4A4E_8864_6C96894B68DC_.wvu.FilterData" localSheetId="6" hidden="1">'07'!$AU$3:$AU$57</definedName>
    <definedName name="Z_7F601380_0FCE_4A4E_8864_6C96894B68DC_.wvu.FilterData" localSheetId="7" hidden="1">'08'!$AT$3:$AT$58</definedName>
    <definedName name="Z_7F601380_0FCE_4A4E_8864_6C96894B68DC_.wvu.FilterData" localSheetId="8" hidden="1">'09'!$AS$3:$AS$58</definedName>
    <definedName name="Z_7F601380_0FCE_4A4E_8864_6C96894B68DC_.wvu.FilterData" localSheetId="9" hidden="1">'10'!$AT$3:$AT$59</definedName>
    <definedName name="Z_7F6DC1D2_F6A5_4780_BE2C_9EF4309C35C5_.wvu.FilterData" localSheetId="8" hidden="1">'09'!$AS$3:$AS$58</definedName>
    <definedName name="Z_7F6DC1D2_F6A5_4780_BE2C_9EF4309C35C5_.wvu.FilterData" localSheetId="9" hidden="1">'10'!$AT$3:$AT$59</definedName>
    <definedName name="Z_7FF188DC_E4EB_4D84_BD18_6803DFCF7159_.wvu.FilterData" localSheetId="9" hidden="1">'10'!$AT$3:$AT$59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0E61A9F_A9C8_40E1_A0DA_A8D99A9AC8AB_.wvu.FilterData" localSheetId="8" hidden="1">'09'!$AS$3:$AS$58</definedName>
    <definedName name="Z_80E61A9F_A9C8_40E1_A0DA_A8D99A9AC8AB_.wvu.FilterData" localSheetId="9" hidden="1">'10'!$AT$3:$AT$59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4CB5A5_FE88_4AC0_A677_48EB55A5A5EA_.wvu.FilterData" localSheetId="5" hidden="1">'06'!$AS$3:$AS$57</definedName>
    <definedName name="Z_814CB5A5_FE88_4AC0_A677_48EB55A5A5EA_.wvu.FilterData" localSheetId="6" hidden="1">'07'!$AU$3:$AU$57</definedName>
    <definedName name="Z_814CB5A5_FE88_4AC0_A677_48EB55A5A5EA_.wvu.FilterData" localSheetId="7" hidden="1">'08'!$AT$3:$AT$58</definedName>
    <definedName name="Z_814CB5A5_FE88_4AC0_A677_48EB55A5A5EA_.wvu.FilterData" localSheetId="8" hidden="1">'09'!$AS$3:$AS$58</definedName>
    <definedName name="Z_814CB5A5_FE88_4AC0_A677_48EB55A5A5EA_.wvu.FilterData" localSheetId="9" hidden="1">'10'!$AT$3:$AT$59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1F544CC_4F50_4D26_BF2D_08F39716157C_.wvu.FilterData" localSheetId="5" hidden="1">'06'!$AS$3:$AS$56</definedName>
    <definedName name="Z_81F544CC_4F50_4D26_BF2D_08F39716157C_.wvu.FilterData" localSheetId="6" hidden="1">'07'!$AU$3:$AU$56</definedName>
    <definedName name="Z_81F544CC_4F50_4D26_BF2D_08F39716157C_.wvu.FilterData" localSheetId="7" hidden="1">'08'!$AT$3:$AT$57</definedName>
    <definedName name="Z_81F544CC_4F50_4D26_BF2D_08F39716157C_.wvu.FilterData" localSheetId="8" hidden="1">'09'!$AS$3:$AS$57</definedName>
    <definedName name="Z_81F544CC_4F50_4D26_BF2D_08F39716157C_.wvu.FilterData" localSheetId="9" hidden="1">'10'!$AT$3:$AT$58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4AA967_FA34_4A92_A4F2_4B42C9F7C089_.wvu.FilterData" localSheetId="5" hidden="1">'06'!$AS$3:$AS$57</definedName>
    <definedName name="Z_824AA967_FA34_4A92_A4F2_4B42C9F7C089_.wvu.FilterData" localSheetId="6" hidden="1">'07'!$AU$3:$AU$57</definedName>
    <definedName name="Z_824AA967_FA34_4A92_A4F2_4B42C9F7C089_.wvu.FilterData" localSheetId="7" hidden="1">'08'!$AT$3:$AT$58</definedName>
    <definedName name="Z_824AA967_FA34_4A92_A4F2_4B42C9F7C089_.wvu.FilterData" localSheetId="8" hidden="1">'09'!$AS$3:$AS$58</definedName>
    <definedName name="Z_824AA967_FA34_4A92_A4F2_4B42C9F7C089_.wvu.FilterData" localSheetId="9" hidden="1">'10'!$AT$3:$AT$59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2A9D279_2426_4144_9424_E3671CD0239F_.wvu.FilterData" localSheetId="5" hidden="1">'06'!$AS$3:$AS$56</definedName>
    <definedName name="Z_82A9D279_2426_4144_9424_E3671CD0239F_.wvu.FilterData" localSheetId="6" hidden="1">'07'!$AU$3:$AU$56</definedName>
    <definedName name="Z_82A9D279_2426_4144_9424_E3671CD0239F_.wvu.FilterData" localSheetId="7" hidden="1">'08'!$AT$3:$AT$57</definedName>
    <definedName name="Z_82A9D279_2426_4144_9424_E3671CD0239F_.wvu.FilterData" localSheetId="8" hidden="1">'09'!$AS$3:$AS$57</definedName>
    <definedName name="Z_82A9D279_2426_4144_9424_E3671CD0239F_.wvu.FilterData" localSheetId="9" hidden="1">'10'!$AT$3:$AT$58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B16275_55F3_4914_8B85_437900D81C4A_.wvu.FilterData" localSheetId="5" hidden="1">'06'!$AS$3:$AS$56</definedName>
    <definedName name="Z_83B16275_55F3_4914_8B85_437900D81C4A_.wvu.FilterData" localSheetId="6" hidden="1">'07'!$AU$3:$AU$56</definedName>
    <definedName name="Z_83B16275_55F3_4914_8B85_437900D81C4A_.wvu.FilterData" localSheetId="7" hidden="1">'08'!$AT$3:$AT$57</definedName>
    <definedName name="Z_83B16275_55F3_4914_8B85_437900D81C4A_.wvu.FilterData" localSheetId="8" hidden="1">'09'!$AS$3:$AS$57</definedName>
    <definedName name="Z_83B16275_55F3_4914_8B85_437900D81C4A_.wvu.FilterData" localSheetId="9" hidden="1">'10'!$AT$3:$AT$58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1524A_D0F1_41D8_99E1_31998FB2A4D3_.wvu.FilterData" localSheetId="5" hidden="1">'06'!$AS$3:$AS$56</definedName>
    <definedName name="Z_83D1524A_D0F1_41D8_99E1_31998FB2A4D3_.wvu.FilterData" localSheetId="6" hidden="1">'07'!$AU$3:$AU$56</definedName>
    <definedName name="Z_83D1524A_D0F1_41D8_99E1_31998FB2A4D3_.wvu.FilterData" localSheetId="7" hidden="1">'08'!$AT$3:$AT$57</definedName>
    <definedName name="Z_83D1524A_D0F1_41D8_99E1_31998FB2A4D3_.wvu.FilterData" localSheetId="8" hidden="1">'09'!$AS$3:$AS$57</definedName>
    <definedName name="Z_83D1524A_D0F1_41D8_99E1_31998FB2A4D3_.wvu.FilterData" localSheetId="9" hidden="1">'10'!$AT$3:$AT$58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3DE6D5F_7C75_4217_8F84_DCC6189B92CB_.wvu.FilterData" localSheetId="5" hidden="1">'06'!$AS$3:$AS$57</definedName>
    <definedName name="Z_83DE6D5F_7C75_4217_8F84_DCC6189B92CB_.wvu.FilterData" localSheetId="6" hidden="1">'07'!$AU$3:$AU$57</definedName>
    <definedName name="Z_83DE6D5F_7C75_4217_8F84_DCC6189B92CB_.wvu.FilterData" localSheetId="7" hidden="1">'08'!$AT$3:$AT$58</definedName>
    <definedName name="Z_83DE6D5F_7C75_4217_8F84_DCC6189B92CB_.wvu.FilterData" localSheetId="8" hidden="1">'09'!$AS$3:$AS$58</definedName>
    <definedName name="Z_83DE6D5F_7C75_4217_8F84_DCC6189B92CB_.wvu.FilterData" localSheetId="9" hidden="1">'10'!$AT$3:$AT$59</definedName>
    <definedName name="Z_8498531C_126E_4039_8DBD_A68A690FB243_.wvu.FilterData" localSheetId="8" hidden="1">'09'!$AS$3:$AS$58</definedName>
    <definedName name="Z_8498531C_126E_4039_8DBD_A68A690FB243_.wvu.FilterData" localSheetId="9" hidden="1">'10'!$AT$3:$AT$59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4A5C51_267D_4206_99C1_70DC6FC79D91_.wvu.FilterData" localSheetId="5" hidden="1">'06'!$AS$3:$AS$57</definedName>
    <definedName name="Z_864A5C51_267D_4206_99C1_70DC6FC79D91_.wvu.FilterData" localSheetId="6" hidden="1">'07'!$AU$3:$AU$57</definedName>
    <definedName name="Z_864A5C51_267D_4206_99C1_70DC6FC79D91_.wvu.FilterData" localSheetId="7" hidden="1">'08'!$AT$3:$AT$58</definedName>
    <definedName name="Z_864A5C51_267D_4206_99C1_70DC6FC79D91_.wvu.FilterData" localSheetId="8" hidden="1">'09'!$AS$3:$AS$58</definedName>
    <definedName name="Z_864A5C51_267D_4206_99C1_70DC6FC79D91_.wvu.FilterData" localSheetId="9" hidden="1">'10'!$AT$3:$AT$59</definedName>
    <definedName name="Z_86B268E0_ACAC_49D2_9C66_7A75C7A5D5DA_.wvu.FilterData" localSheetId="7" hidden="1">'08'!$AT$3:$AT$58</definedName>
    <definedName name="Z_86B268E0_ACAC_49D2_9C66_7A75C7A5D5DA_.wvu.FilterData" localSheetId="8" hidden="1">'09'!$AS$3:$AS$58</definedName>
    <definedName name="Z_86B268E0_ACAC_49D2_9C66_7A75C7A5D5DA_.wvu.FilterData" localSheetId="9" hidden="1">'10'!$AT$3:$AT$59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6EF2C75_FBE7_40AE_BEE8_ACF431CC0BEA_.wvu.FilterData" localSheetId="5" hidden="1">'06'!$AS$3:$AS$57</definedName>
    <definedName name="Z_86EF2C75_FBE7_40AE_BEE8_ACF431CC0BEA_.wvu.FilterData" localSheetId="6" hidden="1">'07'!$AU$3:$AU$57</definedName>
    <definedName name="Z_86EF2C75_FBE7_40AE_BEE8_ACF431CC0BEA_.wvu.FilterData" localSheetId="7" hidden="1">'08'!$AT$3:$AT$58</definedName>
    <definedName name="Z_86EF2C75_FBE7_40AE_BEE8_ACF431CC0BEA_.wvu.FilterData" localSheetId="8" hidden="1">'09'!$AS$3:$AS$58</definedName>
    <definedName name="Z_86EF2C75_FBE7_40AE_BEE8_ACF431CC0BEA_.wvu.FilterData" localSheetId="9" hidden="1">'10'!$AT$3:$AT$59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72F65DD_D345_4C3B_B551_5F187FCE2627_.wvu.FilterData" localSheetId="5" hidden="1">'06'!$AS$3:$AS$57</definedName>
    <definedName name="Z_872F65DD_D345_4C3B_B551_5F187FCE2627_.wvu.FilterData" localSheetId="6" hidden="1">'07'!$AU$3:$AU$57</definedName>
    <definedName name="Z_872F65DD_D345_4C3B_B551_5F187FCE2627_.wvu.FilterData" localSheetId="7" hidden="1">'08'!$AT$3:$AT$58</definedName>
    <definedName name="Z_872F65DD_D345_4C3B_B551_5F187FCE2627_.wvu.FilterData" localSheetId="8" hidden="1">'09'!$AS$3:$AS$58</definedName>
    <definedName name="Z_872F65DD_D345_4C3B_B551_5F187FCE2627_.wvu.FilterData" localSheetId="9" hidden="1">'10'!$AT$3:$AT$59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B3BE74E_3890_4365_B5F9_70D2C502AC9F_.wvu.FilterData" localSheetId="5" hidden="1">'06'!$AS$3:$AS$56</definedName>
    <definedName name="Z_8B3BE74E_3890_4365_B5F9_70D2C502AC9F_.wvu.FilterData" localSheetId="6" hidden="1">'07'!$AU$3:$AU$56</definedName>
    <definedName name="Z_8B3BE74E_3890_4365_B5F9_70D2C502AC9F_.wvu.FilterData" localSheetId="7" hidden="1">'08'!$AT$3:$AT$57</definedName>
    <definedName name="Z_8B3BE74E_3890_4365_B5F9_70D2C502AC9F_.wvu.FilterData" localSheetId="8" hidden="1">'09'!$AS$3:$AS$57</definedName>
    <definedName name="Z_8B3BE74E_3890_4365_B5F9_70D2C502AC9F_.wvu.FilterData" localSheetId="9" hidden="1">'10'!$AT$3:$AT$58</definedName>
    <definedName name="Z_8BBEA2A9_B94C_44FC_BA1D_9E0DF310DAAC_.wvu.FilterData" localSheetId="7" hidden="1">'08'!$AT$3:$AT$58</definedName>
    <definedName name="Z_8BBEA2A9_B94C_44FC_BA1D_9E0DF310DAAC_.wvu.FilterData" localSheetId="8" hidden="1">'09'!$AS$3:$AS$58</definedName>
    <definedName name="Z_8BBEA2A9_B94C_44FC_BA1D_9E0DF310DAAC_.wvu.FilterData" localSheetId="9" hidden="1">'10'!$AT$3:$AT$59</definedName>
    <definedName name="Z_8D9DED9E_0E9B_4AC2_A6FE_0614C36A32EB_.wvu.FilterData" localSheetId="5" hidden="1">'06'!$AS$3:$AS$57</definedName>
    <definedName name="Z_8D9DED9E_0E9B_4AC2_A6FE_0614C36A32EB_.wvu.FilterData" localSheetId="6" hidden="1">'07'!$AU$3:$AU$57</definedName>
    <definedName name="Z_8D9DED9E_0E9B_4AC2_A6FE_0614C36A32EB_.wvu.FilterData" localSheetId="7" hidden="1">'08'!$AT$3:$AT$58</definedName>
    <definedName name="Z_8D9DED9E_0E9B_4AC2_A6FE_0614C36A32EB_.wvu.FilterData" localSheetId="8" hidden="1">'09'!$AS$3:$AS$58</definedName>
    <definedName name="Z_8D9DED9E_0E9B_4AC2_A6FE_0614C36A32EB_.wvu.FilterData" localSheetId="9" hidden="1">'10'!$AT$3:$AT$59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8E32B2FC_51E1_48A3_AE29_8B3F49481465_.wvu.FilterData" localSheetId="5" hidden="1">'06'!$AS$3:$AS$56</definedName>
    <definedName name="Z_8E32B2FC_51E1_48A3_AE29_8B3F49481465_.wvu.FilterData" localSheetId="6" hidden="1">'07'!$AU$3:$AU$56</definedName>
    <definedName name="Z_8E32B2FC_51E1_48A3_AE29_8B3F49481465_.wvu.FilterData" localSheetId="7" hidden="1">'08'!$AT$3:$AT$57</definedName>
    <definedName name="Z_8E32B2FC_51E1_48A3_AE29_8B3F49481465_.wvu.FilterData" localSheetId="8" hidden="1">'09'!$AS$3:$AS$57</definedName>
    <definedName name="Z_8E32B2FC_51E1_48A3_AE29_8B3F49481465_.wvu.FilterData" localSheetId="9" hidden="1">'10'!$AT$3:$AT$58</definedName>
    <definedName name="Z_8E973AA6_1089_4BB4_A81B_2E4E98D8C566_.wvu.FilterData" localSheetId="9" hidden="1">'10'!$AT$3:$AT$59</definedName>
    <definedName name="Z_8EAB4DCF_6414_404B_8D00_F7E750251DCF_.wvu.FilterData" localSheetId="6" hidden="1">'07'!$AU$3:$AU$57</definedName>
    <definedName name="Z_8EAB4DCF_6414_404B_8D00_F7E750251DCF_.wvu.FilterData" localSheetId="7" hidden="1">'08'!$AT$3:$AT$58</definedName>
    <definedName name="Z_8EAB4DCF_6414_404B_8D00_F7E750251DCF_.wvu.FilterData" localSheetId="8" hidden="1">'09'!$AS$3:$AS$58</definedName>
    <definedName name="Z_8EAB4DCF_6414_404B_8D00_F7E750251DCF_.wvu.FilterData" localSheetId="9" hidden="1">'10'!$AT$3:$AT$59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2EE39C_46DC_4A85_ADE7_B3AA6B224A28_.wvu.FilterData" localSheetId="5" hidden="1">'06'!$AS$3:$AS$57</definedName>
    <definedName name="Z_902EE39C_46DC_4A85_ADE7_B3AA6B224A28_.wvu.FilterData" localSheetId="6" hidden="1">'07'!$AU$3:$AU$57</definedName>
    <definedName name="Z_902EE39C_46DC_4A85_ADE7_B3AA6B224A28_.wvu.FilterData" localSheetId="7" hidden="1">'08'!$AT$3:$AT$58</definedName>
    <definedName name="Z_902EE39C_46DC_4A85_ADE7_B3AA6B224A28_.wvu.FilterData" localSheetId="8" hidden="1">'09'!$AS$3:$AS$58</definedName>
    <definedName name="Z_902EE39C_46DC_4A85_ADE7_B3AA6B224A28_.wvu.FilterData" localSheetId="9" hidden="1">'10'!$AT$3:$AT$59</definedName>
    <definedName name="Z_90477163_0230_4EA2_B409_15D15F578FD4_.wvu.FilterData" localSheetId="8" hidden="1">'09'!$AS$3:$AS$58</definedName>
    <definedName name="Z_90477163_0230_4EA2_B409_15D15F578FD4_.wvu.FilterData" localSheetId="9" hidden="1">'10'!$AT$3:$AT$59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0835FC3_0055_4D0A_AF9F_615946F48484_.wvu.FilterData" localSheetId="5" hidden="1">'06'!$AS$3:$AS$56</definedName>
    <definedName name="Z_90835FC3_0055_4D0A_AF9F_615946F48484_.wvu.FilterData" localSheetId="6" hidden="1">'07'!$AU$3:$AU$56</definedName>
    <definedName name="Z_90835FC3_0055_4D0A_AF9F_615946F48484_.wvu.FilterData" localSheetId="7" hidden="1">'08'!$AT$3:$AT$57</definedName>
    <definedName name="Z_90835FC3_0055_4D0A_AF9F_615946F48484_.wvu.FilterData" localSheetId="8" hidden="1">'09'!$AS$3:$AS$57</definedName>
    <definedName name="Z_90835FC3_0055_4D0A_AF9F_615946F48484_.wvu.FilterData" localSheetId="9" hidden="1">'10'!$AT$3:$AT$58</definedName>
    <definedName name="Z_90A95CFD_BEE1_4C29_B016_CD3908D82DDB_.wvu.FilterData" localSheetId="6" hidden="1">'07'!$AU$3:$AU$57</definedName>
    <definedName name="Z_90A95CFD_BEE1_4C29_B016_CD3908D82DDB_.wvu.FilterData" localSheetId="7" hidden="1">'08'!$AT$3:$AT$58</definedName>
    <definedName name="Z_90A95CFD_BEE1_4C29_B016_CD3908D82DDB_.wvu.FilterData" localSheetId="8" hidden="1">'09'!$AS$3:$AS$58</definedName>
    <definedName name="Z_90A95CFD_BEE1_4C29_B016_CD3908D82DDB_.wvu.FilterData" localSheetId="9" hidden="1">'10'!$AT$3:$AT$59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5A4672_1FC2_420C_B675_3E26FEEF6A62_.wvu.FilterData" localSheetId="5" hidden="1">'06'!$AS$3:$AS$56</definedName>
    <definedName name="Z_915A4672_1FC2_420C_B675_3E26FEEF6A62_.wvu.FilterData" localSheetId="6" hidden="1">'07'!$AU$3:$AU$56</definedName>
    <definedName name="Z_915A4672_1FC2_420C_B675_3E26FEEF6A62_.wvu.FilterData" localSheetId="7" hidden="1">'08'!$AT$3:$AT$57</definedName>
    <definedName name="Z_915A4672_1FC2_420C_B675_3E26FEEF6A62_.wvu.FilterData" localSheetId="8" hidden="1">'09'!$AS$3:$AS$57</definedName>
    <definedName name="Z_915A4672_1FC2_420C_B675_3E26FEEF6A62_.wvu.FilterData" localSheetId="9" hidden="1">'10'!$AT$3:$AT$58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1DA717C_0686_47A1_96D2_E380155DBB3B_.wvu.FilterData" localSheetId="5" hidden="1">'06'!$AS$3:$AS$56</definedName>
    <definedName name="Z_91DA717C_0686_47A1_96D2_E380155DBB3B_.wvu.FilterData" localSheetId="6" hidden="1">'07'!$AU$3:$AU$56</definedName>
    <definedName name="Z_91DA717C_0686_47A1_96D2_E380155DBB3B_.wvu.FilterData" localSheetId="7" hidden="1">'08'!$AT$3:$AT$57</definedName>
    <definedName name="Z_91DA717C_0686_47A1_96D2_E380155DBB3B_.wvu.FilterData" localSheetId="8" hidden="1">'09'!$AS$3:$AS$57</definedName>
    <definedName name="Z_91DA717C_0686_47A1_96D2_E380155DBB3B_.wvu.FilterData" localSheetId="9" hidden="1">'10'!$AT$3:$AT$58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3EFF4E3_2F49_4B5B_9735_CE12692785C2_.wvu.FilterData" localSheetId="5" hidden="1">'06'!$AS$3:$AS$56</definedName>
    <definedName name="Z_93EFF4E3_2F49_4B5B_9735_CE12692785C2_.wvu.FilterData" localSheetId="6" hidden="1">'07'!$AU$3:$AU$56</definedName>
    <definedName name="Z_93EFF4E3_2F49_4B5B_9735_CE12692785C2_.wvu.FilterData" localSheetId="7" hidden="1">'08'!$AT$3:$AT$57</definedName>
    <definedName name="Z_93EFF4E3_2F49_4B5B_9735_CE12692785C2_.wvu.FilterData" localSheetId="8" hidden="1">'09'!$AS$3:$AS$57</definedName>
    <definedName name="Z_93EFF4E3_2F49_4B5B_9735_CE12692785C2_.wvu.FilterData" localSheetId="9" hidden="1">'10'!$AT$3:$AT$58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45B1C2F_FE80_4616_8484_A2838DE9B436_.wvu.FilterData" localSheetId="5" hidden="1">'06'!$AS$3:$AS$56</definedName>
    <definedName name="Z_945B1C2F_FE80_4616_8484_A2838DE9B436_.wvu.FilterData" localSheetId="6" hidden="1">'07'!$AU$3:$AU$56</definedName>
    <definedName name="Z_945B1C2F_FE80_4616_8484_A2838DE9B436_.wvu.FilterData" localSheetId="7" hidden="1">'08'!$AT$3:$AT$57</definedName>
    <definedName name="Z_945B1C2F_FE80_4616_8484_A2838DE9B436_.wvu.FilterData" localSheetId="8" hidden="1">'09'!$AS$3:$AS$57</definedName>
    <definedName name="Z_945B1C2F_FE80_4616_8484_A2838DE9B436_.wvu.FilterData" localSheetId="9" hidden="1">'10'!$AT$3:$AT$58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7CDF1F9_5345_458D_A6F0_B2E7418CC246_.wvu.FilterData" localSheetId="5" hidden="1">'06'!$AS$3:$AS$57</definedName>
    <definedName name="Z_97CDF1F9_5345_458D_A6F0_B2E7418CC246_.wvu.FilterData" localSheetId="6" hidden="1">'07'!$AU$3:$AU$57</definedName>
    <definedName name="Z_97CDF1F9_5345_458D_A6F0_B2E7418CC246_.wvu.FilterData" localSheetId="7" hidden="1">'08'!$AT$3:$AT$58</definedName>
    <definedName name="Z_97CDF1F9_5345_458D_A6F0_B2E7418CC246_.wvu.FilterData" localSheetId="8" hidden="1">'09'!$AS$3:$AS$58</definedName>
    <definedName name="Z_97CDF1F9_5345_458D_A6F0_B2E7418CC246_.wvu.FilterData" localSheetId="9" hidden="1">'10'!$AT$3:$AT$59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818EF31_6912_4F6C_B308_33DF66A2E4A0_.wvu.FilterData" localSheetId="5" hidden="1">'06'!$AS$3:$AS$57</definedName>
    <definedName name="Z_9818EF31_6912_4F6C_B308_33DF66A2E4A0_.wvu.FilterData" localSheetId="6" hidden="1">'07'!$AU$3:$AU$57</definedName>
    <definedName name="Z_9818EF31_6912_4F6C_B308_33DF66A2E4A0_.wvu.FilterData" localSheetId="7" hidden="1">'08'!$AT$3:$AT$58</definedName>
    <definedName name="Z_9818EF31_6912_4F6C_B308_33DF66A2E4A0_.wvu.FilterData" localSheetId="8" hidden="1">'09'!$AS$3:$AS$58</definedName>
    <definedName name="Z_9818EF31_6912_4F6C_B308_33DF66A2E4A0_.wvu.FilterData" localSheetId="9" hidden="1">'10'!$AT$3:$AT$59</definedName>
    <definedName name="Z_9A060FF7_E42B_47A1_B1AD_21CB59E1C7EE_.wvu.FilterData" localSheetId="7" hidden="1">'08'!$AT$3:$AT$58</definedName>
    <definedName name="Z_9A060FF7_E42B_47A1_B1AD_21CB59E1C7EE_.wvu.FilterData" localSheetId="8" hidden="1">'09'!$AS$3:$AS$58</definedName>
    <definedName name="Z_9A060FF7_E42B_47A1_B1AD_21CB59E1C7EE_.wvu.FilterData" localSheetId="9" hidden="1">'10'!$AT$3:$AT$59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2D73C0_07FE_4EE2_8AD3_FC91B5F2537A_.wvu.FilterData" localSheetId="5" hidden="1">'06'!$AS$3:$AS$57</definedName>
    <definedName name="Z_9B2D73C0_07FE_4EE2_8AD3_FC91B5F2537A_.wvu.FilterData" localSheetId="6" hidden="1">'07'!$AU$3:$AU$57</definedName>
    <definedName name="Z_9B2D73C0_07FE_4EE2_8AD3_FC91B5F2537A_.wvu.FilterData" localSheetId="7" hidden="1">'08'!$AT$3:$AT$58</definedName>
    <definedName name="Z_9B2D73C0_07FE_4EE2_8AD3_FC91B5F2537A_.wvu.FilterData" localSheetId="8" hidden="1">'09'!$AS$3:$AS$58</definedName>
    <definedName name="Z_9B2D73C0_07FE_4EE2_8AD3_FC91B5F2537A_.wvu.FilterData" localSheetId="9" hidden="1">'10'!$AT$3:$AT$59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B6010C3_D646_4BDE_AFE7_C2A12B524AC7_.wvu.FilterData" localSheetId="5" hidden="1">'06'!$AS$3:$AS$56</definedName>
    <definedName name="Z_9B6010C3_D646_4BDE_AFE7_C2A12B524AC7_.wvu.FilterData" localSheetId="6" hidden="1">'07'!$AU$3:$AU$56</definedName>
    <definedName name="Z_9B6010C3_D646_4BDE_AFE7_C2A12B524AC7_.wvu.FilterData" localSheetId="7" hidden="1">'08'!$AT$3:$AT$57</definedName>
    <definedName name="Z_9B6010C3_D646_4BDE_AFE7_C2A12B524AC7_.wvu.FilterData" localSheetId="8" hidden="1">'09'!$AS$3:$AS$57</definedName>
    <definedName name="Z_9B6010C3_D646_4BDE_AFE7_C2A12B524AC7_.wvu.FilterData" localSheetId="9" hidden="1">'10'!$AT$3:$AT$58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C3AF025_EE96_4C80_AFAF_59E9BB964ECE_.wvu.FilterData" localSheetId="5" hidden="1">'06'!$AS$3:$AS$56</definedName>
    <definedName name="Z_9C3AF025_EE96_4C80_AFAF_59E9BB964ECE_.wvu.FilterData" localSheetId="6" hidden="1">'07'!$AU$3:$AU$56</definedName>
    <definedName name="Z_9C3AF025_EE96_4C80_AFAF_59E9BB964ECE_.wvu.FilterData" localSheetId="7" hidden="1">'08'!$AT$3:$AT$57</definedName>
    <definedName name="Z_9C3AF025_EE96_4C80_AFAF_59E9BB964ECE_.wvu.FilterData" localSheetId="8" hidden="1">'09'!$AS$3:$AS$57</definedName>
    <definedName name="Z_9C3AF025_EE96_4C80_AFAF_59E9BB964ECE_.wvu.FilterData" localSheetId="9" hidden="1">'10'!$AT$3:$AT$58</definedName>
    <definedName name="Z_9D1E30F6_1C00_46D6_A6AC_83B35784CDAE_.wvu.FilterData" localSheetId="6" hidden="1">'07'!$AU$3:$AU$57</definedName>
    <definedName name="Z_9D1E30F6_1C00_46D6_A6AC_83B35784CDAE_.wvu.FilterData" localSheetId="7" hidden="1">'08'!$AT$3:$AT$58</definedName>
    <definedName name="Z_9D1E30F6_1C00_46D6_A6AC_83B35784CDAE_.wvu.FilterData" localSheetId="8" hidden="1">'09'!$AS$3:$AS$58</definedName>
    <definedName name="Z_9D1E30F6_1C00_46D6_A6AC_83B35784CDAE_.wvu.FilterData" localSheetId="9" hidden="1">'10'!$AT$3:$AT$59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D434332_B02C_4ACB_A457_C5F0C1E75DE6_.wvu.FilterData" localSheetId="5" hidden="1">'06'!$AS$3:$AS$56</definedName>
    <definedName name="Z_9D434332_B02C_4ACB_A457_C5F0C1E75DE6_.wvu.FilterData" localSheetId="6" hidden="1">'07'!$AU$3:$AU$56</definedName>
    <definedName name="Z_9D434332_B02C_4ACB_A457_C5F0C1E75DE6_.wvu.FilterData" localSheetId="7" hidden="1">'08'!$AT$3:$AT$57</definedName>
    <definedName name="Z_9D434332_B02C_4ACB_A457_C5F0C1E75DE6_.wvu.FilterData" localSheetId="8" hidden="1">'09'!$AS$3:$AS$57</definedName>
    <definedName name="Z_9D434332_B02C_4ACB_A457_C5F0C1E75DE6_.wvu.FilterData" localSheetId="9" hidden="1">'10'!$AT$3:$AT$58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9EABB664_6C72_49CB_B545_24E124C31666_.wvu.FilterData" localSheetId="5" hidden="1">'06'!$AS$3:$AS$56</definedName>
    <definedName name="Z_9EABB664_6C72_49CB_B545_24E124C31666_.wvu.FilterData" localSheetId="6" hidden="1">'07'!$AU$3:$AU$56</definedName>
    <definedName name="Z_9EABB664_6C72_49CB_B545_24E124C31666_.wvu.FilterData" localSheetId="7" hidden="1">'08'!$AT$3:$AT$57</definedName>
    <definedName name="Z_9EABB664_6C72_49CB_B545_24E124C31666_.wvu.FilterData" localSheetId="8" hidden="1">'09'!$AS$3:$AS$57</definedName>
    <definedName name="Z_9EABB664_6C72_49CB_B545_24E124C31666_.wvu.FilterData" localSheetId="9" hidden="1">'10'!$AT$3:$AT$58</definedName>
    <definedName name="Z_9F3472EB_D2CA_45EF_B105_88D28EFE2989_.wvu.FilterData" localSheetId="8" hidden="1">'09'!$AS$3:$AS$58</definedName>
    <definedName name="Z_9F3472EB_D2CA_45EF_B105_88D28EFE2989_.wvu.FilterData" localSheetId="9" hidden="1">'10'!$AT$3:$AT$59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B4F802_D1F5_479A_9141_CE02DEE4F80A_.wvu.FilterData" localSheetId="5" hidden="1">'06'!$AS$3:$AS$56</definedName>
    <definedName name="Z_A0B4F802_D1F5_479A_9141_CE02DEE4F80A_.wvu.FilterData" localSheetId="6" hidden="1">'07'!$AU$3:$AU$56</definedName>
    <definedName name="Z_A0B4F802_D1F5_479A_9141_CE02DEE4F80A_.wvu.FilterData" localSheetId="7" hidden="1">'08'!$AT$3:$AT$57</definedName>
    <definedName name="Z_A0B4F802_D1F5_479A_9141_CE02DEE4F80A_.wvu.FilterData" localSheetId="8" hidden="1">'09'!$AS$3:$AS$57</definedName>
    <definedName name="Z_A0B4F802_D1F5_479A_9141_CE02DEE4F80A_.wvu.FilterData" localSheetId="9" hidden="1">'10'!$AT$3:$AT$58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0D4740B_7285_4E9F_8398_75ED79FF3EAC_.wvu.FilterData" localSheetId="5" hidden="1">'06'!$AS$3:$AS$56</definedName>
    <definedName name="Z_A0D4740B_7285_4E9F_8398_75ED79FF3EAC_.wvu.FilterData" localSheetId="6" hidden="1">'07'!$AU$3:$AU$56</definedName>
    <definedName name="Z_A0D4740B_7285_4E9F_8398_75ED79FF3EAC_.wvu.FilterData" localSheetId="7" hidden="1">'08'!$AT$3:$AT$57</definedName>
    <definedName name="Z_A0D4740B_7285_4E9F_8398_75ED79FF3EAC_.wvu.FilterData" localSheetId="8" hidden="1">'09'!$AS$3:$AS$57</definedName>
    <definedName name="Z_A0D4740B_7285_4E9F_8398_75ED79FF3EAC_.wvu.FilterData" localSheetId="9" hidden="1">'10'!$AT$3:$AT$58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152358A_B67A_4AFB_ACF4_0118702BB886_.wvu.FilterData" localSheetId="5" hidden="1">'06'!$AS$3:$AS$57</definedName>
    <definedName name="Z_A152358A_B67A_4AFB_ACF4_0118702BB886_.wvu.FilterData" localSheetId="6" hidden="1">'07'!$AU$3:$AU$57</definedName>
    <definedName name="Z_A152358A_B67A_4AFB_ACF4_0118702BB886_.wvu.FilterData" localSheetId="7" hidden="1">'08'!$AT$3:$AT$58</definedName>
    <definedName name="Z_A152358A_B67A_4AFB_ACF4_0118702BB886_.wvu.FilterData" localSheetId="8" hidden="1">'09'!$AS$3:$AS$58</definedName>
    <definedName name="Z_A152358A_B67A_4AFB_ACF4_0118702BB886_.wvu.FilterData" localSheetId="9" hidden="1">'10'!$AT$3:$AT$59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225688B_8581_4017_9302_733DBB19803F_.wvu.FilterData" localSheetId="5" hidden="1">'06'!$AS$3:$AS$56</definedName>
    <definedName name="Z_A225688B_8581_4017_9302_733DBB19803F_.wvu.FilterData" localSheetId="6" hidden="1">'07'!$AU$3:$AU$56</definedName>
    <definedName name="Z_A225688B_8581_4017_9302_733DBB19803F_.wvu.FilterData" localSheetId="7" hidden="1">'08'!$AT$3:$AT$57</definedName>
    <definedName name="Z_A225688B_8581_4017_9302_733DBB19803F_.wvu.FilterData" localSheetId="8" hidden="1">'09'!$AS$3:$AS$57</definedName>
    <definedName name="Z_A225688B_8581_4017_9302_733DBB19803F_.wvu.FilterData" localSheetId="9" hidden="1">'10'!$AT$3:$AT$58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1D042D_2DA8_41DC_9D19_BC6580BEDFC1_.wvu.FilterData" localSheetId="5" hidden="1">'06'!$AS$3:$AS$56</definedName>
    <definedName name="Z_A31D042D_2DA8_41DC_9D19_BC6580BEDFC1_.wvu.FilterData" localSheetId="6" hidden="1">'07'!$AU$3:$AU$56</definedName>
    <definedName name="Z_A31D042D_2DA8_41DC_9D19_BC6580BEDFC1_.wvu.FilterData" localSheetId="7" hidden="1">'08'!$AT$3:$AT$57</definedName>
    <definedName name="Z_A31D042D_2DA8_41DC_9D19_BC6580BEDFC1_.wvu.FilterData" localSheetId="8" hidden="1">'09'!$AS$3:$AS$57</definedName>
    <definedName name="Z_A31D042D_2DA8_41DC_9D19_BC6580BEDFC1_.wvu.FilterData" localSheetId="9" hidden="1">'10'!$AT$3:$AT$58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255944_E4A5_4B5F_A7E1_E61A1B589219_.wvu.FilterData" localSheetId="5" hidden="1">'06'!$AS$3:$AS$57</definedName>
    <definedName name="Z_A3255944_E4A5_4B5F_A7E1_E61A1B589219_.wvu.FilterData" localSheetId="6" hidden="1">'07'!$AU$3:$AU$57</definedName>
    <definedName name="Z_A3255944_E4A5_4B5F_A7E1_E61A1B589219_.wvu.FilterData" localSheetId="7" hidden="1">'08'!$AT$3:$AT$58</definedName>
    <definedName name="Z_A3255944_E4A5_4B5F_A7E1_E61A1B589219_.wvu.FilterData" localSheetId="8" hidden="1">'09'!$AS$3:$AS$58</definedName>
    <definedName name="Z_A3255944_E4A5_4B5F_A7E1_E61A1B589219_.wvu.FilterData" localSheetId="9" hidden="1">'10'!$AT$3:$AT$59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ABB654_C942_4046_AAD7_5B714A7D5DD7_.wvu.FilterData" localSheetId="5" hidden="1">'06'!$AS$3:$AS$56</definedName>
    <definedName name="Z_A3ABB654_C942_4046_AAD7_5B714A7D5DD7_.wvu.FilterData" localSheetId="6" hidden="1">'07'!$AU$3:$AU$56</definedName>
    <definedName name="Z_A3ABB654_C942_4046_AAD7_5B714A7D5DD7_.wvu.FilterData" localSheetId="7" hidden="1">'08'!$AT$3:$AT$57</definedName>
    <definedName name="Z_A3ABB654_C942_4046_AAD7_5B714A7D5DD7_.wvu.FilterData" localSheetId="8" hidden="1">'09'!$AS$3:$AS$57</definedName>
    <definedName name="Z_A3ABB654_C942_4046_AAD7_5B714A7D5DD7_.wvu.FilterData" localSheetId="9" hidden="1">'10'!$AT$3:$AT$58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3D7C5F9_D70C_4834_95A9_951832040369_.wvu.FilterData" localSheetId="5" hidden="1">'06'!$AS$3:$AS$56</definedName>
    <definedName name="Z_A3D7C5F9_D70C_4834_95A9_951832040369_.wvu.FilterData" localSheetId="6" hidden="1">'07'!$AU$3:$AU$56</definedName>
    <definedName name="Z_A3D7C5F9_D70C_4834_95A9_951832040369_.wvu.FilterData" localSheetId="7" hidden="1">'08'!$AT$3:$AT$57</definedName>
    <definedName name="Z_A3D7C5F9_D70C_4834_95A9_951832040369_.wvu.FilterData" localSheetId="8" hidden="1">'09'!$AS$3:$AS$57</definedName>
    <definedName name="Z_A3D7C5F9_D70C_4834_95A9_951832040369_.wvu.FilterData" localSheetId="9" hidden="1">'10'!$AT$3:$AT$58</definedName>
    <definedName name="Z_A3EE1E9F_FEED_4461_A32E_92380AF4FBA8_.wvu.FilterData" localSheetId="5" hidden="1">'06'!$AS$3:$AS$57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536A47_3395_4A1E_B6FD_2469EC8A4560_.wvu.FilterData" localSheetId="5" hidden="1">'06'!$AS$3:$AS$56</definedName>
    <definedName name="Z_A4536A47_3395_4A1E_B6FD_2469EC8A4560_.wvu.FilterData" localSheetId="6" hidden="1">'07'!$AU$3:$AU$56</definedName>
    <definedName name="Z_A4536A47_3395_4A1E_B6FD_2469EC8A4560_.wvu.FilterData" localSheetId="7" hidden="1">'08'!$AT$3:$AT$57</definedName>
    <definedName name="Z_A4536A47_3395_4A1E_B6FD_2469EC8A4560_.wvu.FilterData" localSheetId="8" hidden="1">'09'!$AS$3:$AS$57</definedName>
    <definedName name="Z_A4536A47_3395_4A1E_B6FD_2469EC8A4560_.wvu.FilterData" localSheetId="9" hidden="1">'10'!$AT$3:$AT$58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48603D6_D6F7_45B1_804F_B153FDA29355_.wvu.FilterData" localSheetId="5" hidden="1">'06'!$AS$3:$AS$57</definedName>
    <definedName name="Z_A48603D6_D6F7_45B1_804F_B153FDA29355_.wvu.FilterData" localSheetId="6" hidden="1">'07'!$AU$3:$AU$57</definedName>
    <definedName name="Z_A48603D6_D6F7_45B1_804F_B153FDA29355_.wvu.FilterData" localSheetId="7" hidden="1">'08'!$AT$3:$AT$58</definedName>
    <definedName name="Z_A48603D6_D6F7_45B1_804F_B153FDA29355_.wvu.FilterData" localSheetId="8" hidden="1">'09'!$AS$3:$AS$58</definedName>
    <definedName name="Z_A48603D6_D6F7_45B1_804F_B153FDA29355_.wvu.FilterData" localSheetId="9" hidden="1">'10'!$AT$3:$AT$59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5B3AC85_AE4F_4930_B175_0EA39432D106_.wvu.FilterData" localSheetId="5" hidden="1">'06'!$AS$3:$AS$56</definedName>
    <definedName name="Z_A5B3AC85_AE4F_4930_B175_0EA39432D106_.wvu.FilterData" localSheetId="6" hidden="1">'07'!$AU$3:$AU$56</definedName>
    <definedName name="Z_A5B3AC85_AE4F_4930_B175_0EA39432D106_.wvu.FilterData" localSheetId="7" hidden="1">'08'!$AT$3:$AT$57</definedName>
    <definedName name="Z_A5B3AC85_AE4F_4930_B175_0EA39432D106_.wvu.FilterData" localSheetId="8" hidden="1">'09'!$AS$3:$AS$57</definedName>
    <definedName name="Z_A5B3AC85_AE4F_4930_B175_0EA39432D106_.wvu.FilterData" localSheetId="9" hidden="1">'10'!$AT$3:$AT$58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19B475_9DE6_43A6_924B_B84C3FF493DF_.wvu.FilterData" localSheetId="5" hidden="1">'06'!$AS$3:$AS$56</definedName>
    <definedName name="Z_A619B475_9DE6_43A6_924B_B84C3FF493DF_.wvu.FilterData" localSheetId="6" hidden="1">'07'!$AU$3:$AU$56</definedName>
    <definedName name="Z_A619B475_9DE6_43A6_924B_B84C3FF493DF_.wvu.FilterData" localSheetId="7" hidden="1">'08'!$AT$3:$AT$57</definedName>
    <definedName name="Z_A619B475_9DE6_43A6_924B_B84C3FF493DF_.wvu.FilterData" localSheetId="8" hidden="1">'09'!$AS$3:$AS$57</definedName>
    <definedName name="Z_A619B475_9DE6_43A6_924B_B84C3FF493DF_.wvu.FilterData" localSheetId="9" hidden="1">'10'!$AT$3:$AT$58</definedName>
    <definedName name="Z_A66F84DA_B23D_450F_A576_E469F5B8DF36_.wvu.FilterData" localSheetId="4" hidden="1">'05'!$AT$3:$AT$58</definedName>
    <definedName name="Z_A66F84DA_B23D_450F_A576_E469F5B8DF36_.wvu.FilterData" localSheetId="5" hidden="1">'06'!$AS$3:$AS$57</definedName>
    <definedName name="Z_A66F84DA_B23D_450F_A576_E469F5B8DF36_.wvu.FilterData" localSheetId="6" hidden="1">'07'!$AU$3:$AU$57</definedName>
    <definedName name="Z_A66F84DA_B23D_450F_A576_E469F5B8DF36_.wvu.FilterData" localSheetId="7" hidden="1">'08'!$AT$3:$AT$58</definedName>
    <definedName name="Z_A66F84DA_B23D_450F_A576_E469F5B8DF36_.wvu.FilterData" localSheetId="8" hidden="1">'09'!$AS$3:$AS$58</definedName>
    <definedName name="Z_A66F84DA_B23D_450F_A576_E469F5B8DF36_.wvu.FilterData" localSheetId="9" hidden="1">'10'!$AT$3:$AT$59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6A3D_3576_436A_8958_7EA3EACA1D01_.wvu.FilterData" localSheetId="5" hidden="1">'06'!$AS$3:$AS$56</definedName>
    <definedName name="Z_A7476A3D_3576_436A_8958_7EA3EACA1D01_.wvu.FilterData" localSheetId="6" hidden="1">'07'!$AU$3:$AU$56</definedName>
    <definedName name="Z_A7476A3D_3576_436A_8958_7EA3EACA1D01_.wvu.FilterData" localSheetId="7" hidden="1">'08'!$AT$3:$AT$57</definedName>
    <definedName name="Z_A7476A3D_3576_436A_8958_7EA3EACA1D01_.wvu.FilterData" localSheetId="8" hidden="1">'09'!$AS$3:$AS$57</definedName>
    <definedName name="Z_A7476A3D_3576_436A_8958_7EA3EACA1D01_.wvu.FilterData" localSheetId="9" hidden="1">'10'!$AT$3:$AT$58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660CB0_FF71_48C6_9029_77623A8E6E55_.wvu.FilterData" localSheetId="5" hidden="1">'06'!$AS$3:$AS$57</definedName>
    <definedName name="Z_A7660CB0_FF71_48C6_9029_77623A8E6E55_.wvu.FilterData" localSheetId="6" hidden="1">'07'!$AU$3:$AU$57</definedName>
    <definedName name="Z_A7660CB0_FF71_48C6_9029_77623A8E6E55_.wvu.FilterData" localSheetId="7" hidden="1">'08'!$AT$3:$AT$58</definedName>
    <definedName name="Z_A7660CB0_FF71_48C6_9029_77623A8E6E55_.wvu.FilterData" localSheetId="8" hidden="1">'09'!$AS$3:$AS$58</definedName>
    <definedName name="Z_A7660CB0_FF71_48C6_9029_77623A8E6E55_.wvu.FilterData" localSheetId="9" hidden="1">'10'!$AT$3:$AT$59</definedName>
    <definedName name="Z_A77A169A_4F5B_4947_AF7C_8990161EC901_.wvu.FilterData" localSheetId="4" hidden="1">'05'!$AT$3:$AT$58</definedName>
    <definedName name="Z_A77A169A_4F5B_4947_AF7C_8990161EC901_.wvu.FilterData" localSheetId="5" hidden="1">'06'!$AS$3:$AS$57</definedName>
    <definedName name="Z_A77A169A_4F5B_4947_AF7C_8990161EC901_.wvu.FilterData" localSheetId="6" hidden="1">'07'!$AU$3:$AU$57</definedName>
    <definedName name="Z_A77A169A_4F5B_4947_AF7C_8990161EC901_.wvu.FilterData" localSheetId="7" hidden="1">'08'!$AT$3:$AT$58</definedName>
    <definedName name="Z_A77A169A_4F5B_4947_AF7C_8990161EC901_.wvu.FilterData" localSheetId="8" hidden="1">'09'!$AS$3:$AS$58</definedName>
    <definedName name="Z_A77A169A_4F5B_4947_AF7C_8990161EC901_.wvu.FilterData" localSheetId="9" hidden="1">'10'!$AT$3:$AT$59</definedName>
    <definedName name="Z_A7BFA4F6_99EA_4049_9D2D_BA746098A7C7_.wvu.FilterData" localSheetId="7" hidden="1">'08'!$AT$3:$AT$58</definedName>
    <definedName name="Z_A7BFA4F6_99EA_4049_9D2D_BA746098A7C7_.wvu.FilterData" localSheetId="8" hidden="1">'09'!$AS$3:$AS$58</definedName>
    <definedName name="Z_A7BFA4F6_99EA_4049_9D2D_BA746098A7C7_.wvu.FilterData" localSheetId="9" hidden="1">'10'!$AT$3:$AT$59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54A6D7_C446_4F18_8C38_EC3D019FB865_.wvu.FilterData" localSheetId="5" hidden="1">'06'!$AS$3:$AS$57</definedName>
    <definedName name="Z_A854A6D7_C446_4F18_8C38_EC3D019FB865_.wvu.FilterData" localSheetId="6" hidden="1">'07'!$AU$3:$AU$57</definedName>
    <definedName name="Z_A854A6D7_C446_4F18_8C38_EC3D019FB865_.wvu.FilterData" localSheetId="7" hidden="1">'08'!$AT$3:$AT$58</definedName>
    <definedName name="Z_A854A6D7_C446_4F18_8C38_EC3D019FB865_.wvu.FilterData" localSheetId="8" hidden="1">'09'!$AS$3:$AS$58</definedName>
    <definedName name="Z_A854A6D7_C446_4F18_8C38_EC3D019FB865_.wvu.FilterData" localSheetId="9" hidden="1">'10'!$AT$3:$AT$59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A1F9471_79E3_4619_AA10_6B346535609E_.wvu.FilterData" localSheetId="5" hidden="1">'06'!$AS$3:$AS$56</definedName>
    <definedName name="Z_AA1F9471_79E3_4619_AA10_6B346535609E_.wvu.FilterData" localSheetId="6" hidden="1">'07'!$AU$3:$AU$56</definedName>
    <definedName name="Z_AA1F9471_79E3_4619_AA10_6B346535609E_.wvu.FilterData" localSheetId="7" hidden="1">'08'!$AT$3:$AT$57</definedName>
    <definedName name="Z_AA1F9471_79E3_4619_AA10_6B346535609E_.wvu.FilterData" localSheetId="8" hidden="1">'09'!$AS$3:$AS$57</definedName>
    <definedName name="Z_AA1F9471_79E3_4619_AA10_6B346535609E_.wvu.FilterData" localSheetId="9" hidden="1">'10'!$AT$3:$AT$58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8EE58B_C825_46C5_B896_9188CCC406F6_.wvu.FilterData" localSheetId="5" hidden="1">'06'!$AS$3:$AS$56</definedName>
    <definedName name="Z_AB8EE58B_C825_46C5_B896_9188CCC406F6_.wvu.FilterData" localSheetId="6" hidden="1">'07'!$AU$3:$AU$56</definedName>
    <definedName name="Z_AB8EE58B_C825_46C5_B896_9188CCC406F6_.wvu.FilterData" localSheetId="7" hidden="1">'08'!$AT$3:$AT$57</definedName>
    <definedName name="Z_AB8EE58B_C825_46C5_B896_9188CCC406F6_.wvu.FilterData" localSheetId="8" hidden="1">'09'!$AS$3:$AS$57</definedName>
    <definedName name="Z_AB8EE58B_C825_46C5_B896_9188CCC406F6_.wvu.FilterData" localSheetId="9" hidden="1">'10'!$AT$3:$AT$58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BEE8B5E_230F_43F3_B984_31BCD8F7FE8D_.wvu.FilterData" localSheetId="5" hidden="1">'06'!$AS$3:$AS$56</definedName>
    <definedName name="Z_ABEE8B5E_230F_43F3_B984_31BCD8F7FE8D_.wvu.FilterData" localSheetId="6" hidden="1">'07'!$AU$3:$AU$56</definedName>
    <definedName name="Z_ABEE8B5E_230F_43F3_B984_31BCD8F7FE8D_.wvu.FilterData" localSheetId="7" hidden="1">'08'!$AT$3:$AT$57</definedName>
    <definedName name="Z_ABEE8B5E_230F_43F3_B984_31BCD8F7FE8D_.wvu.FilterData" localSheetId="8" hidden="1">'09'!$AS$3:$AS$57</definedName>
    <definedName name="Z_ABEE8B5E_230F_43F3_B984_31BCD8F7FE8D_.wvu.FilterData" localSheetId="9" hidden="1">'10'!$AT$3:$AT$58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C47ADB0_81D8_451B_8491_8342D910C19A_.wvu.FilterData" localSheetId="5" hidden="1">'06'!$AS$3:$AS$56</definedName>
    <definedName name="Z_AC47ADB0_81D8_451B_8491_8342D910C19A_.wvu.FilterData" localSheetId="6" hidden="1">'07'!$AU$3:$AU$56</definedName>
    <definedName name="Z_AC47ADB0_81D8_451B_8491_8342D910C19A_.wvu.FilterData" localSheetId="7" hidden="1">'08'!$AT$3:$AT$57</definedName>
    <definedName name="Z_AC47ADB0_81D8_451B_8491_8342D910C19A_.wvu.FilterData" localSheetId="8" hidden="1">'09'!$AS$3:$AS$57</definedName>
    <definedName name="Z_AC47ADB0_81D8_451B_8491_8342D910C19A_.wvu.FilterData" localSheetId="9" hidden="1">'10'!$AT$3:$AT$58</definedName>
    <definedName name="Z_ACA6D017_B431_43F5_B22E_F314D52D088A_.wvu.FilterData" localSheetId="7" hidden="1">'08'!$AT$3:$AT$58</definedName>
    <definedName name="Z_ACA6D017_B431_43F5_B22E_F314D52D088A_.wvu.FilterData" localSheetId="8" hidden="1">'09'!$AS$3:$AS$58</definedName>
    <definedName name="Z_ACA6D017_B431_43F5_B22E_F314D52D088A_.wvu.FilterData" localSheetId="9" hidden="1">'10'!$AT$3:$AT$59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EE078D3_D990_494C_A85E_FBEE09918749_.wvu.FilterData" localSheetId="5" hidden="1">'06'!$AS$3:$AS$57</definedName>
    <definedName name="Z_AEE078D3_D990_494C_A85E_FBEE09918749_.wvu.FilterData" localSheetId="6" hidden="1">'07'!$AU$3:$AU$57</definedName>
    <definedName name="Z_AEE078D3_D990_494C_A85E_FBEE09918749_.wvu.FilterData" localSheetId="7" hidden="1">'08'!$AT$3:$AT$58</definedName>
    <definedName name="Z_AEE078D3_D990_494C_A85E_FBEE09918749_.wvu.FilterData" localSheetId="8" hidden="1">'09'!$AS$3:$AS$58</definedName>
    <definedName name="Z_AEE078D3_D990_494C_A85E_FBEE09918749_.wvu.FilterData" localSheetId="9" hidden="1">'10'!$AT$3:$AT$59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AF213CDA_7CB9_430D_87C7_BE541A98BAFE_.wvu.FilterData" localSheetId="5" hidden="1">'06'!$AS$3:$AS$57</definedName>
    <definedName name="Z_AF213CDA_7CB9_430D_87C7_BE541A98BAFE_.wvu.FilterData" localSheetId="6" hidden="1">'07'!$AU$3:$AU$57</definedName>
    <definedName name="Z_AF213CDA_7CB9_430D_87C7_BE541A98BAFE_.wvu.FilterData" localSheetId="7" hidden="1">'08'!$AT$3:$AT$58</definedName>
    <definedName name="Z_AF213CDA_7CB9_430D_87C7_BE541A98BAFE_.wvu.FilterData" localSheetId="8" hidden="1">'09'!$AS$3:$AS$58</definedName>
    <definedName name="Z_AF213CDA_7CB9_430D_87C7_BE541A98BAFE_.wvu.FilterData" localSheetId="9" hidden="1">'10'!$AT$3:$AT$59</definedName>
    <definedName name="Z_B0261416_10FA_4EA7_9B1A_373D3E77FF98_.wvu.FilterData" localSheetId="8" hidden="1">'09'!$AS$3:$AS$58</definedName>
    <definedName name="Z_B0261416_10FA_4EA7_9B1A_373D3E77FF98_.wvu.FilterData" localSheetId="9" hidden="1">'10'!$AT$3:$AT$59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42B3BE_DF83_40E7_8A5E_A8718D3554F3_.wvu.FilterData" localSheetId="5" hidden="1">'06'!$AS$3:$AS$57</definedName>
    <definedName name="Z_B042B3BE_DF83_40E7_8A5E_A8718D3554F3_.wvu.FilterData" localSheetId="6" hidden="1">'07'!$AU$3:$AU$57</definedName>
    <definedName name="Z_B042B3BE_DF83_40E7_8A5E_A8718D3554F3_.wvu.FilterData" localSheetId="7" hidden="1">'08'!$AT$3:$AT$58</definedName>
    <definedName name="Z_B042B3BE_DF83_40E7_8A5E_A8718D3554F3_.wvu.FilterData" localSheetId="8" hidden="1">'09'!$AS$3:$AS$58</definedName>
    <definedName name="Z_B042B3BE_DF83_40E7_8A5E_A8718D3554F3_.wvu.FilterData" localSheetId="9" hidden="1">'10'!$AT$3:$AT$59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9AE8D0_08C8_4980_A27D_936C86FC7BB1_.wvu.FilterData" localSheetId="5" hidden="1">'06'!$AS$3:$AS$57</definedName>
    <definedName name="Z_B09AE8D0_08C8_4980_A27D_936C86FC7BB1_.wvu.FilterData" localSheetId="6" hidden="1">'07'!$AU$3:$AU$57</definedName>
    <definedName name="Z_B09AE8D0_08C8_4980_A27D_936C86FC7BB1_.wvu.FilterData" localSheetId="7" hidden="1">'08'!$AT$3:$AT$58</definedName>
    <definedName name="Z_B09AE8D0_08C8_4980_A27D_936C86FC7BB1_.wvu.FilterData" localSheetId="8" hidden="1">'09'!$AS$3:$AS$58</definedName>
    <definedName name="Z_B09AE8D0_08C8_4980_A27D_936C86FC7BB1_.wvu.FilterData" localSheetId="9" hidden="1">'10'!$AT$3:$AT$59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0BCF1D8_9AAC_4CFA_B1ED_82994928F0D4_.wvu.FilterData" localSheetId="5" hidden="1">'06'!$AS$3:$AS$56</definedName>
    <definedName name="Z_B0BCF1D8_9AAC_4CFA_B1ED_82994928F0D4_.wvu.FilterData" localSheetId="6" hidden="1">'07'!$AU$3:$AU$56</definedName>
    <definedName name="Z_B0BCF1D8_9AAC_4CFA_B1ED_82994928F0D4_.wvu.FilterData" localSheetId="7" hidden="1">'08'!$AT$3:$AT$57</definedName>
    <definedName name="Z_B0BCF1D8_9AAC_4CFA_B1ED_82994928F0D4_.wvu.FilterData" localSheetId="8" hidden="1">'09'!$AS$3:$AS$57</definedName>
    <definedName name="Z_B0BCF1D8_9AAC_4CFA_B1ED_82994928F0D4_.wvu.FilterData" localSheetId="9" hidden="1">'10'!$AT$3:$AT$58</definedName>
    <definedName name="Z_B0E0D358_7122_4AB5_B3FD_9202E5B8B4F5_.wvu.FilterData" localSheetId="5" hidden="1">'06'!$AS$3:$AS$57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1F7264_2008_4F7F_8046_32715602BD8A_.wvu.FilterData" localSheetId="5" hidden="1">'06'!$AS$3:$AS$56</definedName>
    <definedName name="Z_B11F7264_2008_4F7F_8046_32715602BD8A_.wvu.FilterData" localSheetId="6" hidden="1">'07'!$AU$3:$AU$56</definedName>
    <definedName name="Z_B11F7264_2008_4F7F_8046_32715602BD8A_.wvu.FilterData" localSheetId="7" hidden="1">'08'!$AT$3:$AT$57</definedName>
    <definedName name="Z_B11F7264_2008_4F7F_8046_32715602BD8A_.wvu.FilterData" localSheetId="8" hidden="1">'09'!$AS$3:$AS$57</definedName>
    <definedName name="Z_B11F7264_2008_4F7F_8046_32715602BD8A_.wvu.FilterData" localSheetId="9" hidden="1">'10'!$AT$3:$AT$58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1EAC988_495B_493F_B05D_544499F53676_.wvu.FilterData" localSheetId="5" hidden="1">'06'!$AS$3:$AS$56</definedName>
    <definedName name="Z_B1EAC988_495B_493F_B05D_544499F53676_.wvu.FilterData" localSheetId="6" hidden="1">'07'!$AU$3:$AU$56</definedName>
    <definedName name="Z_B1EAC988_495B_493F_B05D_544499F53676_.wvu.FilterData" localSheetId="7" hidden="1">'08'!$AT$3:$AT$57</definedName>
    <definedName name="Z_B1EAC988_495B_493F_B05D_544499F53676_.wvu.FilterData" localSheetId="8" hidden="1">'09'!$AS$3:$AS$57</definedName>
    <definedName name="Z_B1EAC988_495B_493F_B05D_544499F53676_.wvu.FilterData" localSheetId="9" hidden="1">'10'!$AT$3:$AT$58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75E834_EC10_4C2A_8A3B_7DB6010C1ED2_.wvu.FilterData" localSheetId="5" hidden="1">'06'!$AS$3:$AS$56</definedName>
    <definedName name="Z_B375E834_EC10_4C2A_8A3B_7DB6010C1ED2_.wvu.FilterData" localSheetId="6" hidden="1">'07'!$AU$3:$AU$56</definedName>
    <definedName name="Z_B375E834_EC10_4C2A_8A3B_7DB6010C1ED2_.wvu.FilterData" localSheetId="7" hidden="1">'08'!$AT$3:$AT$57</definedName>
    <definedName name="Z_B375E834_EC10_4C2A_8A3B_7DB6010C1ED2_.wvu.FilterData" localSheetId="8" hidden="1">'09'!$AS$3:$AS$57</definedName>
    <definedName name="Z_B375E834_EC10_4C2A_8A3B_7DB6010C1ED2_.wvu.FilterData" localSheetId="9" hidden="1">'10'!$AT$3:$AT$58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3E9E019_67CD_4B60_B78F_5AFEAC125362_.wvu.FilterData" localSheetId="5" hidden="1">'06'!$AS$3:$AS$56</definedName>
    <definedName name="Z_B3E9E019_67CD_4B60_B78F_5AFEAC125362_.wvu.FilterData" localSheetId="6" hidden="1">'07'!$AU$3:$AU$56</definedName>
    <definedName name="Z_B3E9E019_67CD_4B60_B78F_5AFEAC125362_.wvu.FilterData" localSheetId="7" hidden="1">'08'!$AT$3:$AT$57</definedName>
    <definedName name="Z_B3E9E019_67CD_4B60_B78F_5AFEAC125362_.wvu.FilterData" localSheetId="8" hidden="1">'09'!$AS$3:$AS$57</definedName>
    <definedName name="Z_B3E9E019_67CD_4B60_B78F_5AFEAC125362_.wvu.FilterData" localSheetId="9" hidden="1">'10'!$AT$3:$AT$58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42A5986_BB8B_456C_A989_30BD80E0DC27_.wvu.FilterData" localSheetId="5" hidden="1">'06'!$AS$3:$AS$56</definedName>
    <definedName name="Z_B42A5986_BB8B_456C_A989_30BD80E0DC27_.wvu.FilterData" localSheetId="6" hidden="1">'07'!$AU$3:$AU$56</definedName>
    <definedName name="Z_B42A5986_BB8B_456C_A989_30BD80E0DC27_.wvu.FilterData" localSheetId="7" hidden="1">'08'!$AT$3:$AT$57</definedName>
    <definedName name="Z_B42A5986_BB8B_456C_A989_30BD80E0DC27_.wvu.FilterData" localSheetId="8" hidden="1">'09'!$AS$3:$AS$57</definedName>
    <definedName name="Z_B42A5986_BB8B_456C_A989_30BD80E0DC27_.wvu.FilterData" localSheetId="9" hidden="1">'10'!$AT$3:$AT$58</definedName>
    <definedName name="Z_B59A7523_AB22_4DC5_981C_6AAAE2F60349_.wvu.FilterData" localSheetId="4" hidden="1">'05'!$AT$3:$AT$58</definedName>
    <definedName name="Z_B59A7523_AB22_4DC5_981C_6AAAE2F60349_.wvu.FilterData" localSheetId="5" hidden="1">'06'!$AS$3:$AS$57</definedName>
    <definedName name="Z_B59A7523_AB22_4DC5_981C_6AAAE2F60349_.wvu.FilterData" localSheetId="6" hidden="1">'07'!$AU$3:$AU$57</definedName>
    <definedName name="Z_B59A7523_AB22_4DC5_981C_6AAAE2F60349_.wvu.FilterData" localSheetId="7" hidden="1">'08'!$AT$3:$AT$58</definedName>
    <definedName name="Z_B59A7523_AB22_4DC5_981C_6AAAE2F60349_.wvu.FilterData" localSheetId="8" hidden="1">'09'!$AS$3:$AS$58</definedName>
    <definedName name="Z_B59A7523_AB22_4DC5_981C_6AAAE2F60349_.wvu.FilterData" localSheetId="9" hidden="1">'10'!$AT$3:$AT$59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2253FE_EA32_4F19_9F4D_945E607A33F0_.wvu.FilterData" localSheetId="5" hidden="1">'06'!$AS$3:$AS$57</definedName>
    <definedName name="Z_B62253FE_EA32_4F19_9F4D_945E607A33F0_.wvu.FilterData" localSheetId="6" hidden="1">'07'!$AU$3:$AU$57</definedName>
    <definedName name="Z_B62253FE_EA32_4F19_9F4D_945E607A33F0_.wvu.FilterData" localSheetId="7" hidden="1">'08'!$AT$3:$AT$58</definedName>
    <definedName name="Z_B62253FE_EA32_4F19_9F4D_945E607A33F0_.wvu.FilterData" localSheetId="8" hidden="1">'09'!$AS$3:$AS$58</definedName>
    <definedName name="Z_B62253FE_EA32_4F19_9F4D_945E607A33F0_.wvu.FilterData" localSheetId="9" hidden="1">'10'!$AT$3:$AT$59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3FAE35_7240_4A4A_8E18_9B70A8C200EA_.wvu.FilterData" localSheetId="5" hidden="1">'06'!$AS$3:$AS$57</definedName>
    <definedName name="Z_B63FAE35_7240_4A4A_8E18_9B70A8C200EA_.wvu.FilterData" localSheetId="6" hidden="1">'07'!$AU$3:$AU$57</definedName>
    <definedName name="Z_B63FAE35_7240_4A4A_8E18_9B70A8C200EA_.wvu.FilterData" localSheetId="7" hidden="1">'08'!$AT$3:$AT$58</definedName>
    <definedName name="Z_B63FAE35_7240_4A4A_8E18_9B70A8C200EA_.wvu.FilterData" localSheetId="8" hidden="1">'09'!$AS$3:$AS$58</definedName>
    <definedName name="Z_B63FAE35_7240_4A4A_8E18_9B70A8C200EA_.wvu.FilterData" localSheetId="9" hidden="1">'10'!$AT$3:$AT$59</definedName>
    <definedName name="Z_B6675FB5_168D_4EC7_9395_5DE064850FC1_.wvu.FilterData" localSheetId="8" hidden="1">'09'!$AS$3:$AS$58</definedName>
    <definedName name="Z_B6675FB5_168D_4EC7_9395_5DE064850FC1_.wvu.FilterData" localSheetId="9" hidden="1">'10'!$AT$3:$AT$59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6F48863_24B4_4A99_8EF5_7B554AE0C755_.wvu.FilterData" localSheetId="5" hidden="1">'06'!$AS$3:$AS$56</definedName>
    <definedName name="Z_B6F48863_24B4_4A99_8EF5_7B554AE0C755_.wvu.FilterData" localSheetId="6" hidden="1">'07'!$AU$3:$AU$56</definedName>
    <definedName name="Z_B6F48863_24B4_4A99_8EF5_7B554AE0C755_.wvu.FilterData" localSheetId="7" hidden="1">'08'!$AT$3:$AT$57</definedName>
    <definedName name="Z_B6F48863_24B4_4A99_8EF5_7B554AE0C755_.wvu.FilterData" localSheetId="8" hidden="1">'09'!$AS$3:$AS$57</definedName>
    <definedName name="Z_B6F48863_24B4_4A99_8EF5_7B554AE0C755_.wvu.FilterData" localSheetId="9" hidden="1">'10'!$AT$3:$AT$58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7FFF4C8_570A_4542_B027_0C4A271225B8_.wvu.FilterData" localSheetId="5" hidden="1">'06'!$AS$3:$AS$56</definedName>
    <definedName name="Z_B7FFF4C8_570A_4542_B027_0C4A271225B8_.wvu.FilterData" localSheetId="6" hidden="1">'07'!$AU$3:$AU$56</definedName>
    <definedName name="Z_B7FFF4C8_570A_4542_B027_0C4A271225B8_.wvu.FilterData" localSheetId="7" hidden="1">'08'!$AT$3:$AT$57</definedName>
    <definedName name="Z_B7FFF4C8_570A_4542_B027_0C4A271225B8_.wvu.FilterData" localSheetId="8" hidden="1">'09'!$AS$3:$AS$57</definedName>
    <definedName name="Z_B7FFF4C8_570A_4542_B027_0C4A271225B8_.wvu.FilterData" localSheetId="9" hidden="1">'10'!$AT$3:$AT$58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BF739A_98B4_4E3F_906E_E5BC49739383_.wvu.FilterData" localSheetId="5" hidden="1">'06'!$AS$3:$AS$56</definedName>
    <definedName name="Z_B8BF739A_98B4_4E3F_906E_E5BC49739383_.wvu.FilterData" localSheetId="6" hidden="1">'07'!$AU$3:$AU$56</definedName>
    <definedName name="Z_B8BF739A_98B4_4E3F_906E_E5BC49739383_.wvu.FilterData" localSheetId="7" hidden="1">'08'!$AT$3:$AT$57</definedName>
    <definedName name="Z_B8BF739A_98B4_4E3F_906E_E5BC49739383_.wvu.FilterData" localSheetId="8" hidden="1">'09'!$AS$3:$AS$57</definedName>
    <definedName name="Z_B8BF739A_98B4_4E3F_906E_E5BC49739383_.wvu.FilterData" localSheetId="9" hidden="1">'10'!$AT$3:$AT$58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8C8DC85_AC2E_4A8D_9DE5_2AEB1574E250_.wvu.FilterData" localSheetId="5" hidden="1">'06'!$AS$3:$AS$56</definedName>
    <definedName name="Z_B8C8DC85_AC2E_4A8D_9DE5_2AEB1574E250_.wvu.FilterData" localSheetId="6" hidden="1">'07'!$AU$3:$AU$56</definedName>
    <definedName name="Z_B8C8DC85_AC2E_4A8D_9DE5_2AEB1574E250_.wvu.FilterData" localSheetId="7" hidden="1">'08'!$AT$3:$AT$57</definedName>
    <definedName name="Z_B8C8DC85_AC2E_4A8D_9DE5_2AEB1574E250_.wvu.FilterData" localSheetId="8" hidden="1">'09'!$AS$3:$AS$57</definedName>
    <definedName name="Z_B8C8DC85_AC2E_4A8D_9DE5_2AEB1574E250_.wvu.FilterData" localSheetId="9" hidden="1">'10'!$AT$3:$AT$58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9C7F9ED_A8AC_4DE5_B9AF_13DBBE75D6AB_.wvu.FilterData" localSheetId="5" hidden="1">'06'!$AS$3:$AS$57</definedName>
    <definedName name="Z_B9C7F9ED_A8AC_4DE5_B9AF_13DBBE75D6AB_.wvu.FilterData" localSheetId="6" hidden="1">'07'!$AU$3:$AU$57</definedName>
    <definedName name="Z_B9C7F9ED_A8AC_4DE5_B9AF_13DBBE75D6AB_.wvu.FilterData" localSheetId="7" hidden="1">'08'!$AT$3:$AT$58</definedName>
    <definedName name="Z_B9C7F9ED_A8AC_4DE5_B9AF_13DBBE75D6AB_.wvu.FilterData" localSheetId="8" hidden="1">'09'!$AS$3:$AS$58</definedName>
    <definedName name="Z_B9C7F9ED_A8AC_4DE5_B9AF_13DBBE75D6AB_.wvu.FilterData" localSheetId="9" hidden="1">'10'!$AT$3:$AT$59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AE45B5B_09AF_416D_8385_1B0A6F1197A9_.wvu.FilterData" localSheetId="5" hidden="1">'06'!$AS$3:$AS$56</definedName>
    <definedName name="Z_BAE45B5B_09AF_416D_8385_1B0A6F1197A9_.wvu.FilterData" localSheetId="6" hidden="1">'07'!$AU$3:$AU$56</definedName>
    <definedName name="Z_BAE45B5B_09AF_416D_8385_1B0A6F1197A9_.wvu.FilterData" localSheetId="7" hidden="1">'08'!$AT$3:$AT$57</definedName>
    <definedName name="Z_BAE45B5B_09AF_416D_8385_1B0A6F1197A9_.wvu.FilterData" localSheetId="8" hidden="1">'09'!$AS$3:$AS$57</definedName>
    <definedName name="Z_BAE45B5B_09AF_416D_8385_1B0A6F1197A9_.wvu.FilterData" localSheetId="9" hidden="1">'10'!$AT$3:$AT$58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BD7BD92_589B_47EB_A5C3_F82FEB28522B_.wvu.FilterData" localSheetId="5" hidden="1">'06'!$AS$3:$AS$56</definedName>
    <definedName name="Z_BBD7BD92_589B_47EB_A5C3_F82FEB28522B_.wvu.FilterData" localSheetId="6" hidden="1">'07'!$AU$3:$AU$56</definedName>
    <definedName name="Z_BBD7BD92_589B_47EB_A5C3_F82FEB28522B_.wvu.FilterData" localSheetId="7" hidden="1">'08'!$AT$3:$AT$57</definedName>
    <definedName name="Z_BBD7BD92_589B_47EB_A5C3_F82FEB28522B_.wvu.FilterData" localSheetId="8" hidden="1">'09'!$AS$3:$AS$57</definedName>
    <definedName name="Z_BBD7BD92_589B_47EB_A5C3_F82FEB28522B_.wvu.FilterData" localSheetId="9" hidden="1">'10'!$AT$3:$AT$58</definedName>
    <definedName name="Z_BCC51770_0B7C_4318_82DD_1BF78E5E9554_.wvu.FilterData" localSheetId="8" hidden="1">'09'!$AS$3:$AS$58</definedName>
    <definedName name="Z_BCC51770_0B7C_4318_82DD_1BF78E5E9554_.wvu.FilterData" localSheetId="9" hidden="1">'10'!$AT$3:$AT$59</definedName>
    <definedName name="Z_BE4AEE4D_98EF_4FC3_A993_B516C94EA0E3_.wvu.FilterData" localSheetId="1" hidden="1">'02'!$AQ$3:$AQ$60</definedName>
    <definedName name="Z_BEBBE21B_9C4C_422F_AB77_765E2F626A6F_.wvu.FilterData" localSheetId="6" hidden="1">'07'!$AU$3:$AU$57</definedName>
    <definedName name="Z_BEBBE21B_9C4C_422F_AB77_765E2F626A6F_.wvu.FilterData" localSheetId="7" hidden="1">'08'!$AT$3:$AT$58</definedName>
    <definedName name="Z_BEBBE21B_9C4C_422F_AB77_765E2F626A6F_.wvu.FilterData" localSheetId="8" hidden="1">'09'!$AS$3:$AS$58</definedName>
    <definedName name="Z_BEBBE21B_9C4C_422F_AB77_765E2F626A6F_.wvu.FilterData" localSheetId="9" hidden="1">'10'!$AT$3:$AT$59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09A7AC_463C_40FD_B67E_611BCBFAC21F_.wvu.FilterData" localSheetId="5" hidden="1">'06'!$AS$3:$AS$56</definedName>
    <definedName name="Z_BF09A7AC_463C_40FD_B67E_611BCBFAC21F_.wvu.FilterData" localSheetId="6" hidden="1">'07'!$AU$3:$AU$56</definedName>
    <definedName name="Z_BF09A7AC_463C_40FD_B67E_611BCBFAC21F_.wvu.FilterData" localSheetId="7" hidden="1">'08'!$AT$3:$AT$57</definedName>
    <definedName name="Z_BF09A7AC_463C_40FD_B67E_611BCBFAC21F_.wvu.FilterData" localSheetId="8" hidden="1">'09'!$AS$3:$AS$57</definedName>
    <definedName name="Z_BF09A7AC_463C_40FD_B67E_611BCBFAC21F_.wvu.FilterData" localSheetId="9" hidden="1">'10'!$AT$3:$AT$58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BFDEB2F8_0A4A_4847_842F_2877FF010EB3_.wvu.FilterData" localSheetId="5" hidden="1">'06'!$AS$3:$AS$56</definedName>
    <definedName name="Z_BFDEB2F8_0A4A_4847_842F_2877FF010EB3_.wvu.FilterData" localSheetId="6" hidden="1">'07'!$AU$3:$AU$56</definedName>
    <definedName name="Z_BFDEB2F8_0A4A_4847_842F_2877FF010EB3_.wvu.FilterData" localSheetId="7" hidden="1">'08'!$AT$3:$AT$57</definedName>
    <definedName name="Z_BFDEB2F8_0A4A_4847_842F_2877FF010EB3_.wvu.FilterData" localSheetId="8" hidden="1">'09'!$AS$3:$AS$57</definedName>
    <definedName name="Z_BFDEB2F8_0A4A_4847_842F_2877FF010EB3_.wvu.FilterData" localSheetId="9" hidden="1">'10'!$AT$3:$AT$58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C28DCD_6B7C_4751_A5E2_77B64FE2BFF2_.wvu.FilterData" localSheetId="5" hidden="1">'06'!$AS$3:$AS$57</definedName>
    <definedName name="Z_C0C28DCD_6B7C_4751_A5E2_77B64FE2BFF2_.wvu.FilterData" localSheetId="6" hidden="1">'07'!$AU$3:$AU$57</definedName>
    <definedName name="Z_C0C28DCD_6B7C_4751_A5E2_77B64FE2BFF2_.wvu.FilterData" localSheetId="7" hidden="1">'08'!$AT$3:$AT$58</definedName>
    <definedName name="Z_C0C28DCD_6B7C_4751_A5E2_77B64FE2BFF2_.wvu.FilterData" localSheetId="8" hidden="1">'09'!$AS$3:$AS$58</definedName>
    <definedName name="Z_C0C28DCD_6B7C_4751_A5E2_77B64FE2BFF2_.wvu.FilterData" localSheetId="9" hidden="1">'10'!$AT$3:$AT$59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7EED1_559E_48CD_A882_EB45349EEE29_.wvu.FilterData" localSheetId="5" hidden="1">'06'!$AS$3:$AS$57</definedName>
    <definedName name="Z_C0E7EED1_559E_48CD_A882_EB45349EEE29_.wvu.FilterData" localSheetId="6" hidden="1">'07'!$AU$3:$AU$57</definedName>
    <definedName name="Z_C0E7EED1_559E_48CD_A882_EB45349EEE29_.wvu.FilterData" localSheetId="7" hidden="1">'08'!$AT$3:$AT$58</definedName>
    <definedName name="Z_C0E7EED1_559E_48CD_A882_EB45349EEE29_.wvu.FilterData" localSheetId="8" hidden="1">'09'!$AS$3:$AS$58</definedName>
    <definedName name="Z_C0E7EED1_559E_48CD_A882_EB45349EEE29_.wvu.FilterData" localSheetId="9" hidden="1">'10'!$AT$3:$AT$59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0EBBCDE_1BE5_4350_A87C_8DEDDD82AFB9_.wvu.FilterData" localSheetId="5" hidden="1">'06'!$AS$3:$AS$56</definedName>
    <definedName name="Z_C0EBBCDE_1BE5_4350_A87C_8DEDDD82AFB9_.wvu.FilterData" localSheetId="6" hidden="1">'07'!$AU$3:$AU$56</definedName>
    <definedName name="Z_C0EBBCDE_1BE5_4350_A87C_8DEDDD82AFB9_.wvu.FilterData" localSheetId="7" hidden="1">'08'!$AT$3:$AT$57</definedName>
    <definedName name="Z_C0EBBCDE_1BE5_4350_A87C_8DEDDD82AFB9_.wvu.FilterData" localSheetId="8" hidden="1">'09'!$AS$3:$AS$57</definedName>
    <definedName name="Z_C0EBBCDE_1BE5_4350_A87C_8DEDDD82AFB9_.wvu.FilterData" localSheetId="9" hidden="1">'10'!$AT$3:$AT$58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2077A4_94CF_4C9A_8C42_4264E5FFD593_.wvu.FilterData" localSheetId="5" hidden="1">'06'!$AS$3:$AS$56</definedName>
    <definedName name="Z_C12077A4_94CF_4C9A_8C42_4264E5FFD593_.wvu.FilterData" localSheetId="6" hidden="1">'07'!$AU$3:$AU$56</definedName>
    <definedName name="Z_C12077A4_94CF_4C9A_8C42_4264E5FFD593_.wvu.FilterData" localSheetId="7" hidden="1">'08'!$AT$3:$AT$57</definedName>
    <definedName name="Z_C12077A4_94CF_4C9A_8C42_4264E5FFD593_.wvu.FilterData" localSheetId="8" hidden="1">'09'!$AS$3:$AS$57</definedName>
    <definedName name="Z_C12077A4_94CF_4C9A_8C42_4264E5FFD593_.wvu.FilterData" localSheetId="9" hidden="1">'10'!$AT$3:$AT$58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1E33E81_EA50_46E4_B52D_478A825A754F_.wvu.FilterData" localSheetId="5" hidden="1">'06'!$AS$3:$AS$57</definedName>
    <definedName name="Z_C1E33E81_EA50_46E4_B52D_478A825A754F_.wvu.FilterData" localSheetId="6" hidden="1">'07'!$AU$3:$AU$57</definedName>
    <definedName name="Z_C1E33E81_EA50_46E4_B52D_478A825A754F_.wvu.FilterData" localSheetId="7" hidden="1">'08'!$AT$3:$AT$58</definedName>
    <definedName name="Z_C1E33E81_EA50_46E4_B52D_478A825A754F_.wvu.FilterData" localSheetId="8" hidden="1">'09'!$AS$3:$AS$58</definedName>
    <definedName name="Z_C1E33E81_EA50_46E4_B52D_478A825A754F_.wvu.FilterData" localSheetId="9" hidden="1">'10'!$AT$3:$AT$59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223240A_F346_4B61_81AD_213FD498B6EC_.wvu.FilterData" localSheetId="5" hidden="1">'06'!$AS$3:$AS$56</definedName>
    <definedName name="Z_C223240A_F346_4B61_81AD_213FD498B6EC_.wvu.FilterData" localSheetId="6" hidden="1">'07'!$AU$3:$AU$56</definedName>
    <definedName name="Z_C223240A_F346_4B61_81AD_213FD498B6EC_.wvu.FilterData" localSheetId="7" hidden="1">'08'!$AT$3:$AT$57</definedName>
    <definedName name="Z_C223240A_F346_4B61_81AD_213FD498B6EC_.wvu.FilterData" localSheetId="8" hidden="1">'09'!$AS$3:$AS$57</definedName>
    <definedName name="Z_C223240A_F346_4B61_81AD_213FD498B6EC_.wvu.FilterData" localSheetId="9" hidden="1">'10'!$AT$3:$AT$58</definedName>
    <definedName name="Z_C32125AC_58EB_478E_AC6D_A6F58CEA4EE0_.wvu.FilterData" localSheetId="8" hidden="1">'09'!$AS$3:$AS$58</definedName>
    <definedName name="Z_C32125AC_58EB_478E_AC6D_A6F58CEA4EE0_.wvu.FilterData" localSheetId="9" hidden="1">'10'!$AT$3:$AT$59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882680_18FB_487A_A117_C7914C4FCE66_.wvu.FilterData" localSheetId="5" hidden="1">'06'!$AS$3:$AS$56</definedName>
    <definedName name="Z_C3882680_18FB_487A_A117_C7914C4FCE66_.wvu.FilterData" localSheetId="6" hidden="1">'07'!$AU$3:$AU$56</definedName>
    <definedName name="Z_C3882680_18FB_487A_A117_C7914C4FCE66_.wvu.FilterData" localSheetId="7" hidden="1">'08'!$AT$3:$AT$57</definedName>
    <definedName name="Z_C3882680_18FB_487A_A117_C7914C4FCE66_.wvu.FilterData" localSheetId="8" hidden="1">'09'!$AS$3:$AS$57</definedName>
    <definedName name="Z_C3882680_18FB_487A_A117_C7914C4FCE66_.wvu.FilterData" localSheetId="9" hidden="1">'10'!$AT$3:$AT$58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3D420DC_09B2_4EB6_B283_A5FDB44AFF6D_.wvu.FilterData" localSheetId="5" hidden="1">'06'!$AS$3:$AS$57</definedName>
    <definedName name="Z_C3D420DC_09B2_4EB6_B283_A5FDB44AFF6D_.wvu.FilterData" localSheetId="6" hidden="1">'07'!$AU$3:$AU$57</definedName>
    <definedName name="Z_C3D420DC_09B2_4EB6_B283_A5FDB44AFF6D_.wvu.FilterData" localSheetId="7" hidden="1">'08'!$AT$3:$AT$58</definedName>
    <definedName name="Z_C3D420DC_09B2_4EB6_B283_A5FDB44AFF6D_.wvu.FilterData" localSheetId="8" hidden="1">'09'!$AS$3:$AS$58</definedName>
    <definedName name="Z_C3D420DC_09B2_4EB6_B283_A5FDB44AFF6D_.wvu.FilterData" localSheetId="9" hidden="1">'10'!$AT$3:$AT$59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35FB3B_3FCB_4AE8_A9EF_51A6FF92B192_.wvu.FilterData" localSheetId="5" hidden="1">'06'!$AS$3:$AS$57</definedName>
    <definedName name="Z_C435FB3B_3FCB_4AE8_A9EF_51A6FF92B192_.wvu.FilterData" localSheetId="6" hidden="1">'07'!$AU$3:$AU$57</definedName>
    <definedName name="Z_C435FB3B_3FCB_4AE8_A9EF_51A6FF92B192_.wvu.FilterData" localSheetId="7" hidden="1">'08'!$AT$3:$AT$58</definedName>
    <definedName name="Z_C435FB3B_3FCB_4AE8_A9EF_51A6FF92B192_.wvu.FilterData" localSheetId="8" hidden="1">'09'!$AS$3:$AS$58</definedName>
    <definedName name="Z_C435FB3B_3FCB_4AE8_A9EF_51A6FF92B192_.wvu.FilterData" localSheetId="9" hidden="1">'10'!$AT$3:$AT$59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44CBB55_6916_4CD9_8CD4_86A71975A98C_.wvu.FilterData" localSheetId="5" hidden="1">'06'!$AS$3:$AS$57</definedName>
    <definedName name="Z_C44CBB55_6916_4CD9_8CD4_86A71975A98C_.wvu.FilterData" localSheetId="6" hidden="1">'07'!$AU$3:$AU$57</definedName>
    <definedName name="Z_C44CBB55_6916_4CD9_8CD4_86A71975A98C_.wvu.FilterData" localSheetId="7" hidden="1">'08'!$AT$3:$AT$58</definedName>
    <definedName name="Z_C44CBB55_6916_4CD9_8CD4_86A71975A98C_.wvu.FilterData" localSheetId="8" hidden="1">'09'!$AS$3:$AS$58</definedName>
    <definedName name="Z_C44CBB55_6916_4CD9_8CD4_86A71975A98C_.wvu.FilterData" localSheetId="9" hidden="1">'10'!$AT$3:$AT$59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69F32E_0420_4F22_AD17_58FE6B88F61C_.wvu.FilterData" localSheetId="5" hidden="1">'06'!$AS$3:$AS$56</definedName>
    <definedName name="Z_C569F32E_0420_4F22_AD17_58FE6B88F61C_.wvu.FilterData" localSheetId="6" hidden="1">'07'!$AU$3:$AU$56</definedName>
    <definedName name="Z_C569F32E_0420_4F22_AD17_58FE6B88F61C_.wvu.FilterData" localSheetId="7" hidden="1">'08'!$AT$3:$AT$57</definedName>
    <definedName name="Z_C569F32E_0420_4F22_AD17_58FE6B88F61C_.wvu.FilterData" localSheetId="8" hidden="1">'09'!$AS$3:$AS$57</definedName>
    <definedName name="Z_C569F32E_0420_4F22_AD17_58FE6B88F61C_.wvu.FilterData" localSheetId="9" hidden="1">'10'!$AT$3:$AT$58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5B03211_D206_4FC5_8DF2_E0C5B2BC23C5_.wvu.FilterData" localSheetId="5" hidden="1">'06'!$AS$3:$AS$56</definedName>
    <definedName name="Z_C5B03211_D206_4FC5_8DF2_E0C5B2BC23C5_.wvu.FilterData" localSheetId="6" hidden="1">'07'!$AU$3:$AU$56</definedName>
    <definedName name="Z_C5B03211_D206_4FC5_8DF2_E0C5B2BC23C5_.wvu.FilterData" localSheetId="7" hidden="1">'08'!$AT$3:$AT$57</definedName>
    <definedName name="Z_C5B03211_D206_4FC5_8DF2_E0C5B2BC23C5_.wvu.FilterData" localSheetId="8" hidden="1">'09'!$AS$3:$AS$57</definedName>
    <definedName name="Z_C5B03211_D206_4FC5_8DF2_E0C5B2BC23C5_.wvu.FilterData" localSheetId="9" hidden="1">'10'!$AT$3:$AT$58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644B733_48D4_4DB6_90E0_20C48E32CA3B_.wvu.FilterData" localSheetId="5" hidden="1">'06'!$AS$3:$AS$56</definedName>
    <definedName name="Z_C644B733_48D4_4DB6_90E0_20C48E32CA3B_.wvu.FilterData" localSheetId="6" hidden="1">'07'!$AU$3:$AU$56</definedName>
    <definedName name="Z_C644B733_48D4_4DB6_90E0_20C48E32CA3B_.wvu.FilterData" localSheetId="7" hidden="1">'08'!$AT$3:$AT$57</definedName>
    <definedName name="Z_C644B733_48D4_4DB6_90E0_20C48E32CA3B_.wvu.FilterData" localSheetId="8" hidden="1">'09'!$AS$3:$AS$57</definedName>
    <definedName name="Z_C644B733_48D4_4DB6_90E0_20C48E32CA3B_.wvu.FilterData" localSheetId="9" hidden="1">'10'!$AT$3:$AT$58</definedName>
    <definedName name="Z_C6F6332E_5AD9_46A8_A952_77FDD7652F9B_.wvu.FilterData" localSheetId="7" hidden="1">'08'!$AT$3:$AT$58</definedName>
    <definedName name="Z_C6F6332E_5AD9_46A8_A952_77FDD7652F9B_.wvu.FilterData" localSheetId="8" hidden="1">'09'!$AS$3:$AS$58</definedName>
    <definedName name="Z_C6F6332E_5AD9_46A8_A952_77FDD7652F9B_.wvu.FilterData" localSheetId="9" hidden="1">'10'!$AT$3:$AT$59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272EBF_135D_44E4_8296_348D3B3E265C_.wvu.FilterData" localSheetId="5" hidden="1">'06'!$AS$3:$AS$56</definedName>
    <definedName name="Z_C8272EBF_135D_44E4_8296_348D3B3E265C_.wvu.FilterData" localSheetId="6" hidden="1">'07'!$AU$3:$AU$56</definedName>
    <definedName name="Z_C8272EBF_135D_44E4_8296_348D3B3E265C_.wvu.FilterData" localSheetId="7" hidden="1">'08'!$AT$3:$AT$57</definedName>
    <definedName name="Z_C8272EBF_135D_44E4_8296_348D3B3E265C_.wvu.FilterData" localSheetId="8" hidden="1">'09'!$AS$3:$AS$57</definedName>
    <definedName name="Z_C8272EBF_135D_44E4_8296_348D3B3E265C_.wvu.FilterData" localSheetId="9" hidden="1">'10'!$AT$3:$AT$58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8F5525F_B65E_4273_AFF2_CD3DC5D51D09_.wvu.FilterData" localSheetId="5" hidden="1">'06'!$AS$3:$AS$57</definedName>
    <definedName name="Z_C8F5525F_B65E_4273_AFF2_CD3DC5D51D09_.wvu.FilterData" localSheetId="6" hidden="1">'07'!$AU$3:$AU$57</definedName>
    <definedName name="Z_C8F5525F_B65E_4273_AFF2_CD3DC5D51D09_.wvu.FilterData" localSheetId="7" hidden="1">'08'!$AT$3:$AT$58</definedName>
    <definedName name="Z_C8F5525F_B65E_4273_AFF2_CD3DC5D51D09_.wvu.FilterData" localSheetId="8" hidden="1">'09'!$AS$3:$AS$58</definedName>
    <definedName name="Z_C8F5525F_B65E_4273_AFF2_CD3DC5D51D09_.wvu.FilterData" localSheetId="9" hidden="1">'10'!$AT$3:$AT$59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6635E3_C24E_41AC_90A5_3B6A4A30262A_.wvu.FilterData" localSheetId="5" hidden="1">'06'!$AS$3:$AS$56</definedName>
    <definedName name="Z_CA6635E3_C24E_41AC_90A5_3B6A4A30262A_.wvu.FilterData" localSheetId="6" hidden="1">'07'!$AU$3:$AU$56</definedName>
    <definedName name="Z_CA6635E3_C24E_41AC_90A5_3B6A4A30262A_.wvu.FilterData" localSheetId="7" hidden="1">'08'!$AT$3:$AT$57</definedName>
    <definedName name="Z_CA6635E3_C24E_41AC_90A5_3B6A4A30262A_.wvu.FilterData" localSheetId="8" hidden="1">'09'!$AS$3:$AS$57</definedName>
    <definedName name="Z_CA6635E3_C24E_41AC_90A5_3B6A4A30262A_.wvu.FilterData" localSheetId="9" hidden="1">'10'!$AT$3:$AT$58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A72C637_3A84_4548_8766_732784DC7B40_.wvu.FilterData" localSheetId="5" hidden="1">'06'!$AS$3:$AS$56</definedName>
    <definedName name="Z_CA72C637_3A84_4548_8766_732784DC7B40_.wvu.FilterData" localSheetId="6" hidden="1">'07'!$AU$3:$AU$56</definedName>
    <definedName name="Z_CA72C637_3A84_4548_8766_732784DC7B40_.wvu.FilterData" localSheetId="7" hidden="1">'08'!$AT$3:$AT$57</definedName>
    <definedName name="Z_CA72C637_3A84_4548_8766_732784DC7B40_.wvu.FilterData" localSheetId="8" hidden="1">'09'!$AS$3:$AS$57</definedName>
    <definedName name="Z_CA72C637_3A84_4548_8766_732784DC7B40_.wvu.FilterData" localSheetId="9" hidden="1">'10'!$AT$3:$AT$58</definedName>
    <definedName name="Z_CB269EA2_4B2C_4070_83F4_E92BC58B036F_.wvu.FilterData" localSheetId="9" hidden="1">'10'!$AT$3:$AT$59</definedName>
    <definedName name="Z_CC55AA53_3F88_4208_8C0F_FC023C45C261_.wvu.FilterData" localSheetId="9" hidden="1">'10'!$AT$3:$AT$59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CD87A0F2_FE3D_4321_B5B4_E508123E4B2C_.wvu.FilterData" localSheetId="5" hidden="1">'06'!$AS$3:$AS$56</definedName>
    <definedName name="Z_CD87A0F2_FE3D_4321_B5B4_E508123E4B2C_.wvu.FilterData" localSheetId="6" hidden="1">'07'!$AU$3:$AU$56</definedName>
    <definedName name="Z_CD87A0F2_FE3D_4321_B5B4_E508123E4B2C_.wvu.FilterData" localSheetId="7" hidden="1">'08'!$AT$3:$AT$57</definedName>
    <definedName name="Z_CD87A0F2_FE3D_4321_B5B4_E508123E4B2C_.wvu.FilterData" localSheetId="8" hidden="1">'09'!$AS$3:$AS$57</definedName>
    <definedName name="Z_CD87A0F2_FE3D_4321_B5B4_E508123E4B2C_.wvu.FilterData" localSheetId="9" hidden="1">'10'!$AT$3:$AT$58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01FD73A_0AEC_4978_9E98_65A12C9FC5AB_.wvu.FilterData" localSheetId="5" hidden="1">'06'!$AS$3:$AS$56</definedName>
    <definedName name="Z_D01FD73A_0AEC_4978_9E98_65A12C9FC5AB_.wvu.FilterData" localSheetId="6" hidden="1">'07'!$AU$3:$AU$56</definedName>
    <definedName name="Z_D01FD73A_0AEC_4978_9E98_65A12C9FC5AB_.wvu.FilterData" localSheetId="7" hidden="1">'08'!$AT$3:$AT$57</definedName>
    <definedName name="Z_D01FD73A_0AEC_4978_9E98_65A12C9FC5AB_.wvu.FilterData" localSheetId="8" hidden="1">'09'!$AS$3:$AS$57</definedName>
    <definedName name="Z_D01FD73A_0AEC_4978_9E98_65A12C9FC5AB_.wvu.FilterData" localSheetId="9" hidden="1">'10'!$AT$3:$AT$58</definedName>
    <definedName name="Z_D0519CCD_770A_486A_8C8C_B17E3171CE81_.wvu.FilterData" localSheetId="5" hidden="1">'06'!$AS$3:$AS$57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2A3871A_C619_4B6C_BF98_0DD914078D48_.wvu.FilterData" localSheetId="5" hidden="1">'06'!$AS$3:$AS$57</definedName>
    <definedName name="Z_D2A3871A_C619_4B6C_BF98_0DD914078D48_.wvu.FilterData" localSheetId="6" hidden="1">'07'!$AU$3:$AU$57</definedName>
    <definedName name="Z_D2A3871A_C619_4B6C_BF98_0DD914078D48_.wvu.FilterData" localSheetId="7" hidden="1">'08'!$AT$3:$AT$58</definedName>
    <definedName name="Z_D2A3871A_C619_4B6C_BF98_0DD914078D48_.wvu.FilterData" localSheetId="8" hidden="1">'09'!$AS$3:$AS$58</definedName>
    <definedName name="Z_D2A3871A_C619_4B6C_BF98_0DD914078D48_.wvu.FilterData" localSheetId="9" hidden="1">'10'!$AT$3:$AT$59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39C42B0_1049_4D36_8DCD_D13BB3B31BD1_.wvu.FilterData" localSheetId="5" hidden="1">'06'!$AS$3:$AS$57</definedName>
    <definedName name="Z_D39C42B0_1049_4D36_8DCD_D13BB3B31BD1_.wvu.FilterData" localSheetId="6" hidden="1">'07'!$AU$3:$AU$57</definedName>
    <definedName name="Z_D39C42B0_1049_4D36_8DCD_D13BB3B31BD1_.wvu.FilterData" localSheetId="7" hidden="1">'08'!$AT$3:$AT$58</definedName>
    <definedName name="Z_D39C42B0_1049_4D36_8DCD_D13BB3B31BD1_.wvu.FilterData" localSheetId="8" hidden="1">'09'!$AS$3:$AS$58</definedName>
    <definedName name="Z_D39C42B0_1049_4D36_8DCD_D13BB3B31BD1_.wvu.FilterData" localSheetId="9" hidden="1">'10'!$AT$3:$AT$59</definedName>
    <definedName name="Z_D4353F86_4960_44BA_A7CA_A5C7CBCD8219_.wvu.FilterData" localSheetId="5" hidden="1">'06'!$AS$3:$AS$57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A8FAAF_DB23_469D_9FAB_6EACDBEAA7EB_.wvu.FilterData" localSheetId="5" hidden="1">'06'!$AS$3:$AS$57</definedName>
    <definedName name="Z_D4A8FAAF_DB23_469D_9FAB_6EACDBEAA7EB_.wvu.FilterData" localSheetId="6" hidden="1">'07'!$AU$3:$AU$57</definedName>
    <definedName name="Z_D4A8FAAF_DB23_469D_9FAB_6EACDBEAA7EB_.wvu.FilterData" localSheetId="7" hidden="1">'08'!$AT$3:$AT$58</definedName>
    <definedName name="Z_D4A8FAAF_DB23_469D_9FAB_6EACDBEAA7EB_.wvu.FilterData" localSheetId="8" hidden="1">'09'!$AS$3:$AS$58</definedName>
    <definedName name="Z_D4A8FAAF_DB23_469D_9FAB_6EACDBEAA7EB_.wvu.FilterData" localSheetId="9" hidden="1">'10'!$AT$3:$AT$59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4E13D1B_AC52_4AD6_8F98_1AC05BA40B9A_.wvu.FilterData" localSheetId="5" hidden="1">'06'!$AS$3:$AS$56</definedName>
    <definedName name="Z_D4E13D1B_AC52_4AD6_8F98_1AC05BA40B9A_.wvu.FilterData" localSheetId="6" hidden="1">'07'!$AU$3:$AU$56</definedName>
    <definedName name="Z_D4E13D1B_AC52_4AD6_8F98_1AC05BA40B9A_.wvu.FilterData" localSheetId="7" hidden="1">'08'!$AT$3:$AT$57</definedName>
    <definedName name="Z_D4E13D1B_AC52_4AD6_8F98_1AC05BA40B9A_.wvu.FilterData" localSheetId="8" hidden="1">'09'!$AS$3:$AS$57</definedName>
    <definedName name="Z_D4E13D1B_AC52_4AD6_8F98_1AC05BA40B9A_.wvu.FilterData" localSheetId="9" hidden="1">'10'!$AT$3:$AT$58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329DC8_063E_4621_B127_9CF9BE46DF93_.wvu.FilterData" localSheetId="5" hidden="1">'06'!$AS$3:$AS$56</definedName>
    <definedName name="Z_D5329DC8_063E_4621_B127_9CF9BE46DF93_.wvu.FilterData" localSheetId="6" hidden="1">'07'!$AU$3:$AU$56</definedName>
    <definedName name="Z_D5329DC8_063E_4621_B127_9CF9BE46DF93_.wvu.FilterData" localSheetId="7" hidden="1">'08'!$AT$3:$AT$57</definedName>
    <definedName name="Z_D5329DC8_063E_4621_B127_9CF9BE46DF93_.wvu.FilterData" localSheetId="8" hidden="1">'09'!$AS$3:$AS$57</definedName>
    <definedName name="Z_D5329DC8_063E_4621_B127_9CF9BE46DF93_.wvu.FilterData" localSheetId="9" hidden="1">'10'!$AT$3:$AT$58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5740A2A_D33B_4CC2_A346_5DCD230AE05B_.wvu.FilterData" localSheetId="5" hidden="1">'06'!$AS$3:$AS$56</definedName>
    <definedName name="Z_D5740A2A_D33B_4CC2_A346_5DCD230AE05B_.wvu.FilterData" localSheetId="6" hidden="1">'07'!$AU$3:$AU$56</definedName>
    <definedName name="Z_D5740A2A_D33B_4CC2_A346_5DCD230AE05B_.wvu.FilterData" localSheetId="7" hidden="1">'08'!$AT$3:$AT$57</definedName>
    <definedName name="Z_D5740A2A_D33B_4CC2_A346_5DCD230AE05B_.wvu.FilterData" localSheetId="8" hidden="1">'09'!$AS$3:$AS$57</definedName>
    <definedName name="Z_D5740A2A_D33B_4CC2_A346_5DCD230AE05B_.wvu.FilterData" localSheetId="9" hidden="1">'10'!$AT$3:$AT$58</definedName>
    <definedName name="Z_D606A5A1_A66F_45D6_9BAC_AE0DD2010C25_.wvu.FilterData" localSheetId="4" hidden="1">'05'!$AT$3:$AT$58</definedName>
    <definedName name="Z_D606A5A1_A66F_45D6_9BAC_AE0DD2010C25_.wvu.FilterData" localSheetId="5" hidden="1">'06'!$AS$3:$AS$57</definedName>
    <definedName name="Z_D606A5A1_A66F_45D6_9BAC_AE0DD2010C25_.wvu.FilterData" localSheetId="6" hidden="1">'07'!$AU$3:$AU$57</definedName>
    <definedName name="Z_D606A5A1_A66F_45D6_9BAC_AE0DD2010C25_.wvu.FilterData" localSheetId="7" hidden="1">'08'!$AT$3:$AT$58</definedName>
    <definedName name="Z_D606A5A1_A66F_45D6_9BAC_AE0DD2010C25_.wvu.FilterData" localSheetId="8" hidden="1">'09'!$AS$3:$AS$58</definedName>
    <definedName name="Z_D606A5A1_A66F_45D6_9BAC_AE0DD2010C25_.wvu.FilterData" localSheetId="9" hidden="1">'10'!$AT$3:$AT$59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6B55389_6372_4759_9049_B870CEDF5F7E_.wvu.FilterData" localSheetId="5" hidden="1">'06'!$AS$3:$AS$57</definedName>
    <definedName name="Z_D6B55389_6372_4759_9049_B870CEDF5F7E_.wvu.FilterData" localSheetId="6" hidden="1">'07'!$AU$3:$AU$57</definedName>
    <definedName name="Z_D6B55389_6372_4759_9049_B870CEDF5F7E_.wvu.FilterData" localSheetId="7" hidden="1">'08'!$AT$3:$AT$58</definedName>
    <definedName name="Z_D6B55389_6372_4759_9049_B870CEDF5F7E_.wvu.FilterData" localSheetId="8" hidden="1">'09'!$AS$3:$AS$58</definedName>
    <definedName name="Z_D6B55389_6372_4759_9049_B870CEDF5F7E_.wvu.FilterData" localSheetId="9" hidden="1">'10'!$AT$3:$AT$59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83B79D5_94B8_48E9_BF48_FADAEBA48B24_.wvu.FilterData" localSheetId="5" hidden="1">'06'!$AS$3:$AS$56</definedName>
    <definedName name="Z_D83B79D5_94B8_48E9_BF48_FADAEBA48B24_.wvu.FilterData" localSheetId="6" hidden="1">'07'!$AU$3:$AU$56</definedName>
    <definedName name="Z_D83B79D5_94B8_48E9_BF48_FADAEBA48B24_.wvu.FilterData" localSheetId="7" hidden="1">'08'!$AT$3:$AT$57</definedName>
    <definedName name="Z_D83B79D5_94B8_48E9_BF48_FADAEBA48B24_.wvu.FilterData" localSheetId="8" hidden="1">'09'!$AS$3:$AS$57</definedName>
    <definedName name="Z_D83B79D5_94B8_48E9_BF48_FADAEBA48B24_.wvu.FilterData" localSheetId="9" hidden="1">'10'!$AT$3:$AT$58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5667A5_FAF5_4FD1_9B2E_DA441F5AA043_.wvu.FilterData" localSheetId="5" hidden="1">'06'!$AS$3:$AS$56</definedName>
    <definedName name="Z_D95667A5_FAF5_4FD1_9B2E_DA441F5AA043_.wvu.FilterData" localSheetId="6" hidden="1">'07'!$AU$3:$AU$56</definedName>
    <definedName name="Z_D95667A5_FAF5_4FD1_9B2E_DA441F5AA043_.wvu.FilterData" localSheetId="7" hidden="1">'08'!$AT$3:$AT$57</definedName>
    <definedName name="Z_D95667A5_FAF5_4FD1_9B2E_DA441F5AA043_.wvu.FilterData" localSheetId="8" hidden="1">'09'!$AS$3:$AS$57</definedName>
    <definedName name="Z_D95667A5_FAF5_4FD1_9B2E_DA441F5AA043_.wvu.FilterData" localSheetId="9" hidden="1">'10'!$AT$3:$AT$58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84DC6B_2A3C_4A35_996E_7EBB8C0C1CE6_.wvu.FilterData" localSheetId="5" hidden="1">'06'!$AS$3:$AS$57</definedName>
    <definedName name="Z_D984DC6B_2A3C_4A35_996E_7EBB8C0C1CE6_.wvu.FilterData" localSheetId="6" hidden="1">'07'!$AU$3:$AU$57</definedName>
    <definedName name="Z_D984DC6B_2A3C_4A35_996E_7EBB8C0C1CE6_.wvu.FilterData" localSheetId="7" hidden="1">'08'!$AT$3:$AT$58</definedName>
    <definedName name="Z_D984DC6B_2A3C_4A35_996E_7EBB8C0C1CE6_.wvu.FilterData" localSheetId="8" hidden="1">'09'!$AS$3:$AS$58</definedName>
    <definedName name="Z_D984DC6B_2A3C_4A35_996E_7EBB8C0C1CE6_.wvu.FilterData" localSheetId="9" hidden="1">'10'!$AT$3:$AT$59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9D0023D_C158_4A9A_A30C_23621C9DD92F_.wvu.FilterData" localSheetId="5" hidden="1">'06'!$AS$3:$AS$56</definedName>
    <definedName name="Z_D9D0023D_C158_4A9A_A30C_23621C9DD92F_.wvu.FilterData" localSheetId="6" hidden="1">'07'!$AU$3:$AU$56</definedName>
    <definedName name="Z_D9D0023D_C158_4A9A_A30C_23621C9DD92F_.wvu.FilterData" localSheetId="7" hidden="1">'08'!$AT$3:$AT$57</definedName>
    <definedName name="Z_D9D0023D_C158_4A9A_A30C_23621C9DD92F_.wvu.FilterData" localSheetId="8" hidden="1">'09'!$AS$3:$AS$57</definedName>
    <definedName name="Z_D9D0023D_C158_4A9A_A30C_23621C9DD92F_.wvu.FilterData" localSheetId="9" hidden="1">'10'!$AT$3:$AT$58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1C3AD5_0BA4_4ACB_801B_3FA2FB2E7CB4_.wvu.FilterData" localSheetId="5" hidden="1">'06'!$AS$3:$AS$56</definedName>
    <definedName name="Z_DA1C3AD5_0BA4_4ACB_801B_3FA2FB2E7CB4_.wvu.FilterData" localSheetId="6" hidden="1">'07'!$AU$3:$AU$56</definedName>
    <definedName name="Z_DA1C3AD5_0BA4_4ACB_801B_3FA2FB2E7CB4_.wvu.FilterData" localSheetId="7" hidden="1">'08'!$AT$3:$AT$57</definedName>
    <definedName name="Z_DA1C3AD5_0BA4_4ACB_801B_3FA2FB2E7CB4_.wvu.FilterData" localSheetId="8" hidden="1">'09'!$AS$3:$AS$57</definedName>
    <definedName name="Z_DA1C3AD5_0BA4_4ACB_801B_3FA2FB2E7CB4_.wvu.FilterData" localSheetId="9" hidden="1">'10'!$AT$3:$AT$58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A2F2FF0_6CDD_400B_BA0E_36C86DAE4C7A_.wvu.FilterData" localSheetId="5" hidden="1">'06'!$AS$3:$AS$56</definedName>
    <definedName name="Z_DA2F2FF0_6CDD_400B_BA0E_36C86DAE4C7A_.wvu.FilterData" localSheetId="6" hidden="1">'07'!$AU$3:$AU$56</definedName>
    <definedName name="Z_DA2F2FF0_6CDD_400B_BA0E_36C86DAE4C7A_.wvu.FilterData" localSheetId="7" hidden="1">'08'!$AT$3:$AT$57</definedName>
    <definedName name="Z_DA2F2FF0_6CDD_400B_BA0E_36C86DAE4C7A_.wvu.FilterData" localSheetId="8" hidden="1">'09'!$AS$3:$AS$57</definedName>
    <definedName name="Z_DA2F2FF0_6CDD_400B_BA0E_36C86DAE4C7A_.wvu.FilterData" localSheetId="9" hidden="1">'10'!$AT$3:$AT$58</definedName>
    <definedName name="Z_DB46ED7A_A0AD_4959_B9DD_42329FB35F0C_.wvu.FilterData" localSheetId="1" hidden="1">'02'!$AQ$3:$AQ$60</definedName>
    <definedName name="Z_DBE7BB5D_C1E6_4963_8A1F_F8F7EF96D10E_.wvu.FilterData" localSheetId="7" hidden="1">'08'!$AT$3:$AT$58</definedName>
    <definedName name="Z_DBE7BB5D_C1E6_4963_8A1F_F8F7EF96D10E_.wvu.FilterData" localSheetId="8" hidden="1">'09'!$AS$3:$AS$58</definedName>
    <definedName name="Z_DBE7BB5D_C1E6_4963_8A1F_F8F7EF96D10E_.wvu.FilterData" localSheetId="9" hidden="1">'10'!$AT$3:$AT$59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345B5B_FB4E_4A24_828D_95448470D894_.wvu.FilterData" localSheetId="5" hidden="1">'06'!$AS$3:$AS$57</definedName>
    <definedName name="Z_DF345B5B_FB4E_4A24_828D_95448470D894_.wvu.FilterData" localSheetId="6" hidden="1">'07'!$AU$3:$AU$57</definedName>
    <definedName name="Z_DF345B5B_FB4E_4A24_828D_95448470D894_.wvu.FilterData" localSheetId="7" hidden="1">'08'!$AT$3:$AT$58</definedName>
    <definedName name="Z_DF345B5B_FB4E_4A24_828D_95448470D894_.wvu.FilterData" localSheetId="8" hidden="1">'09'!$AS$3:$AS$58</definedName>
    <definedName name="Z_DF345B5B_FB4E_4A24_828D_95448470D894_.wvu.FilterData" localSheetId="9" hidden="1">'10'!$AT$3:$AT$59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DF4F2BFC_5CCE_4AC9_A059_A73631A47C03_.wvu.FilterData" localSheetId="5" hidden="1">'06'!$AS$3:$AS$56</definedName>
    <definedName name="Z_DF4F2BFC_5CCE_4AC9_A059_A73631A47C03_.wvu.FilterData" localSheetId="6" hidden="1">'07'!$AU$3:$AU$56</definedName>
    <definedName name="Z_DF4F2BFC_5CCE_4AC9_A059_A73631A47C03_.wvu.FilterData" localSheetId="7" hidden="1">'08'!$AT$3:$AT$57</definedName>
    <definedName name="Z_DF4F2BFC_5CCE_4AC9_A059_A73631A47C03_.wvu.FilterData" localSheetId="8" hidden="1">'09'!$AS$3:$AS$57</definedName>
    <definedName name="Z_DF4F2BFC_5CCE_4AC9_A059_A73631A47C03_.wvu.FilterData" localSheetId="9" hidden="1">'10'!$AT$3:$AT$58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02DF464_5B50_4B2A_A51A_F41F42CC243C_.wvu.FilterData" localSheetId="5" hidden="1">'06'!$AS$3:$AS$56</definedName>
    <definedName name="Z_E02DF464_5B50_4B2A_A51A_F41F42CC243C_.wvu.FilterData" localSheetId="6" hidden="1">'07'!$AU$3:$AU$56</definedName>
    <definedName name="Z_E02DF464_5B50_4B2A_A51A_F41F42CC243C_.wvu.FilterData" localSheetId="7" hidden="1">'08'!$AT$3:$AT$57</definedName>
    <definedName name="Z_E02DF464_5B50_4B2A_A51A_F41F42CC243C_.wvu.FilterData" localSheetId="8" hidden="1">'09'!$AS$3:$AS$57</definedName>
    <definedName name="Z_E02DF464_5B50_4B2A_A51A_F41F42CC243C_.wvu.FilterData" localSheetId="9" hidden="1">'10'!$AT$3:$AT$58</definedName>
    <definedName name="Z_E11F5EC0_C2B6_42C0_8F2F_597E1A0FDCD8_.wvu.FilterData" localSheetId="6" hidden="1">'07'!$AU$3:$AU$57</definedName>
    <definedName name="Z_E11F5EC0_C2B6_42C0_8F2F_597E1A0FDCD8_.wvu.FilterData" localSheetId="7" hidden="1">'08'!$AT$3:$AT$58</definedName>
    <definedName name="Z_E11F5EC0_C2B6_42C0_8F2F_597E1A0FDCD8_.wvu.FilterData" localSheetId="8" hidden="1">'09'!$AS$3:$AS$58</definedName>
    <definedName name="Z_E11F5EC0_C2B6_42C0_8F2F_597E1A0FDCD8_.wvu.FilterData" localSheetId="9" hidden="1">'10'!$AT$3:$AT$59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1C926BF_574C_4200_ACC0_EFF72CCF8F7C_.wvu.FilterData" localSheetId="5" hidden="1">'06'!$AS$3:$AS$56</definedName>
    <definedName name="Z_E1C926BF_574C_4200_ACC0_EFF72CCF8F7C_.wvu.FilterData" localSheetId="6" hidden="1">'07'!$AU$3:$AU$56</definedName>
    <definedName name="Z_E1C926BF_574C_4200_ACC0_EFF72CCF8F7C_.wvu.FilterData" localSheetId="7" hidden="1">'08'!$AT$3:$AT$57</definedName>
    <definedName name="Z_E1C926BF_574C_4200_ACC0_EFF72CCF8F7C_.wvu.FilterData" localSheetId="8" hidden="1">'09'!$AS$3:$AS$57</definedName>
    <definedName name="Z_E1C926BF_574C_4200_ACC0_EFF72CCF8F7C_.wvu.FilterData" localSheetId="9" hidden="1">'10'!$AT$3:$AT$58</definedName>
    <definedName name="Z_E2907E9E_F0A5_4ACF_B967_B1C94084D640_.wvu.FilterData" localSheetId="6" hidden="1">'07'!$AU$3:$AU$57</definedName>
    <definedName name="Z_E2907E9E_F0A5_4ACF_B967_B1C94084D640_.wvu.FilterData" localSheetId="7" hidden="1">'08'!$AT$3:$AT$58</definedName>
    <definedName name="Z_E2907E9E_F0A5_4ACF_B967_B1C94084D640_.wvu.FilterData" localSheetId="8" hidden="1">'09'!$AS$3:$AS$58</definedName>
    <definedName name="Z_E2907E9E_F0A5_4ACF_B967_B1C94084D640_.wvu.FilterData" localSheetId="9" hidden="1">'10'!$AT$3:$AT$59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9C1FBB_B301_45BD_9D69_2153A5A15A6B_.wvu.FilterData" localSheetId="5" hidden="1">'06'!$AS$3:$AS$57</definedName>
    <definedName name="Z_E29C1FBB_B301_45BD_9D69_2153A5A15A6B_.wvu.FilterData" localSheetId="6" hidden="1">'07'!$AU$3:$AU$57</definedName>
    <definedName name="Z_E29C1FBB_B301_45BD_9D69_2153A5A15A6B_.wvu.FilterData" localSheetId="7" hidden="1">'08'!$AT$3:$AT$58</definedName>
    <definedName name="Z_E29C1FBB_B301_45BD_9D69_2153A5A15A6B_.wvu.FilterData" localSheetId="8" hidden="1">'09'!$AS$3:$AS$58</definedName>
    <definedName name="Z_E29C1FBB_B301_45BD_9D69_2153A5A15A6B_.wvu.FilterData" localSheetId="9" hidden="1">'10'!$AT$3:$AT$59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2D0732B_BFF9_4E08_9499_9455A262EC05_.wvu.FilterData" localSheetId="5" hidden="1">'06'!$AS$3:$AS$56</definedName>
    <definedName name="Z_E2D0732B_BFF9_4E08_9499_9455A262EC05_.wvu.FilterData" localSheetId="6" hidden="1">'07'!$AU$3:$AU$56</definedName>
    <definedName name="Z_E2D0732B_BFF9_4E08_9499_9455A262EC05_.wvu.FilterData" localSheetId="7" hidden="1">'08'!$AT$3:$AT$57</definedName>
    <definedName name="Z_E2D0732B_BFF9_4E08_9499_9455A262EC05_.wvu.FilterData" localSheetId="8" hidden="1">'09'!$AS$3:$AS$57</definedName>
    <definedName name="Z_E2D0732B_BFF9_4E08_9499_9455A262EC05_.wvu.FilterData" localSheetId="9" hidden="1">'10'!$AT$3:$AT$58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32B3342_D090_490E_8AA8_E97FEB828B35_.wvu.FilterData" localSheetId="5" hidden="1">'06'!$AS$3:$AS$57</definedName>
    <definedName name="Z_E32B3342_D090_490E_8AA8_E97FEB828B35_.wvu.FilterData" localSheetId="6" hidden="1">'07'!$AU$3:$AU$57</definedName>
    <definedName name="Z_E32B3342_D090_490E_8AA8_E97FEB828B35_.wvu.FilterData" localSheetId="7" hidden="1">'08'!$AT$3:$AT$58</definedName>
    <definedName name="Z_E32B3342_D090_490E_8AA8_E97FEB828B35_.wvu.FilterData" localSheetId="8" hidden="1">'09'!$AS$3:$AS$58</definedName>
    <definedName name="Z_E32B3342_D090_490E_8AA8_E97FEB828B35_.wvu.FilterData" localSheetId="9" hidden="1">'10'!$AT$3:$AT$59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69882CB_1555_423C_8D9C_E98DEB8DFB50_.wvu.FilterData" localSheetId="5" hidden="1">'06'!$AS$3:$AS$56</definedName>
    <definedName name="Z_E69882CB_1555_423C_8D9C_E98DEB8DFB50_.wvu.FilterData" localSheetId="6" hidden="1">'07'!$AU$3:$AU$56</definedName>
    <definedName name="Z_E69882CB_1555_423C_8D9C_E98DEB8DFB50_.wvu.FilterData" localSheetId="7" hidden="1">'08'!$AT$3:$AT$57</definedName>
    <definedName name="Z_E69882CB_1555_423C_8D9C_E98DEB8DFB50_.wvu.FilterData" localSheetId="8" hidden="1">'09'!$AS$3:$AS$57</definedName>
    <definedName name="Z_E69882CB_1555_423C_8D9C_E98DEB8DFB50_.wvu.FilterData" localSheetId="9" hidden="1">'10'!$AT$3:$AT$58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AD30C0_5BAD_4964_9879_12B99454D951_.wvu.FilterData" localSheetId="5" hidden="1">'06'!$AS$3:$AS$57</definedName>
    <definedName name="Z_E7AD30C0_5BAD_4964_9879_12B99454D951_.wvu.FilterData" localSheetId="6" hidden="1">'07'!$AU$3:$AU$57</definedName>
    <definedName name="Z_E7AD30C0_5BAD_4964_9879_12B99454D951_.wvu.FilterData" localSheetId="7" hidden="1">'08'!$AT$3:$AT$58</definedName>
    <definedName name="Z_E7AD30C0_5BAD_4964_9879_12B99454D951_.wvu.FilterData" localSheetId="8" hidden="1">'09'!$AS$3:$AS$58</definedName>
    <definedName name="Z_E7AD30C0_5BAD_4964_9879_12B99454D951_.wvu.FilterData" localSheetId="9" hidden="1">'10'!$AT$3:$AT$59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7C96247_5A5A_48F1_8682_9D1E53ABB8EE_.wvu.FilterData" localSheetId="5" hidden="1">'06'!$AS$3:$AS$57</definedName>
    <definedName name="Z_E7C96247_5A5A_48F1_8682_9D1E53ABB8EE_.wvu.FilterData" localSheetId="6" hidden="1">'07'!$AU$3:$AU$57</definedName>
    <definedName name="Z_E7C96247_5A5A_48F1_8682_9D1E53ABB8EE_.wvu.FilterData" localSheetId="7" hidden="1">'08'!$AT$3:$AT$58</definedName>
    <definedName name="Z_E7C96247_5A5A_48F1_8682_9D1E53ABB8EE_.wvu.FilterData" localSheetId="8" hidden="1">'09'!$AS$3:$AS$58</definedName>
    <definedName name="Z_E7C96247_5A5A_48F1_8682_9D1E53ABB8EE_.wvu.FilterData" localSheetId="9" hidden="1">'10'!$AT$3:$AT$59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8952CDE_47FD_4A39_9361_B9619B72BE49_.wvu.FilterData" localSheetId="5" hidden="1">'06'!$AS$3:$AS$57</definedName>
    <definedName name="Z_E8952CDE_47FD_4A39_9361_B9619B72BE49_.wvu.FilterData" localSheetId="6" hidden="1">'07'!$AU$3:$AU$57</definedName>
    <definedName name="Z_E8952CDE_47FD_4A39_9361_B9619B72BE49_.wvu.FilterData" localSheetId="7" hidden="1">'08'!$AT$3:$AT$58</definedName>
    <definedName name="Z_E8952CDE_47FD_4A39_9361_B9619B72BE49_.wvu.FilterData" localSheetId="8" hidden="1">'09'!$AS$3:$AS$58</definedName>
    <definedName name="Z_E8952CDE_47FD_4A39_9361_B9619B72BE49_.wvu.FilterData" localSheetId="9" hidden="1">'10'!$AT$3:$AT$59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9683532_5F5E_4631_88A6_6570A7C806DB_.wvu.FilterData" localSheetId="5" hidden="1">'06'!$AS$3:$AS$57</definedName>
    <definedName name="Z_E9683532_5F5E_4631_88A6_6570A7C806DB_.wvu.FilterData" localSheetId="6" hidden="1">'07'!$AU$3:$AU$57</definedName>
    <definedName name="Z_E9683532_5F5E_4631_88A6_6570A7C806DB_.wvu.FilterData" localSheetId="7" hidden="1">'08'!$AT$3:$AT$58</definedName>
    <definedName name="Z_E9683532_5F5E_4631_88A6_6570A7C806DB_.wvu.FilterData" localSheetId="8" hidden="1">'09'!$AS$3:$AS$58</definedName>
    <definedName name="Z_E9683532_5F5E_4631_88A6_6570A7C806DB_.wvu.FilterData" localSheetId="9" hidden="1">'10'!$AT$3:$AT$59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A76042C_608B_479B_B96F_6E4BDB3B00C0_.wvu.FilterData" localSheetId="5" hidden="1">'06'!$AS$3:$AS$56</definedName>
    <definedName name="Z_EA76042C_608B_479B_B96F_6E4BDB3B00C0_.wvu.FilterData" localSheetId="6" hidden="1">'07'!$AU$3:$AU$56</definedName>
    <definedName name="Z_EA76042C_608B_479B_B96F_6E4BDB3B00C0_.wvu.FilterData" localSheetId="7" hidden="1">'08'!$AT$3:$AT$57</definedName>
    <definedName name="Z_EA76042C_608B_479B_B96F_6E4BDB3B00C0_.wvu.FilterData" localSheetId="8" hidden="1">'09'!$AS$3:$AS$57</definedName>
    <definedName name="Z_EA76042C_608B_479B_B96F_6E4BDB3B00C0_.wvu.FilterData" localSheetId="9" hidden="1">'10'!$AT$3:$AT$58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1903D7_4CD2_4C29_8439_F46FA2FE29E0_.wvu.FilterData" localSheetId="5" hidden="1">'06'!$AS$3:$AS$56</definedName>
    <definedName name="Z_EB1903D7_4CD2_4C29_8439_F46FA2FE29E0_.wvu.FilterData" localSheetId="6" hidden="1">'07'!$AU$3:$AU$56</definedName>
    <definedName name="Z_EB1903D7_4CD2_4C29_8439_F46FA2FE29E0_.wvu.FilterData" localSheetId="7" hidden="1">'08'!$AT$3:$AT$57</definedName>
    <definedName name="Z_EB1903D7_4CD2_4C29_8439_F46FA2FE29E0_.wvu.FilterData" localSheetId="8" hidden="1">'09'!$AS$3:$AS$57</definedName>
    <definedName name="Z_EB1903D7_4CD2_4C29_8439_F46FA2FE29E0_.wvu.FilterData" localSheetId="9" hidden="1">'10'!$AT$3:$AT$58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32A97D_4A37_4389_B7C7_09F40996AD7A_.wvu.FilterData" localSheetId="5" hidden="1">'06'!$AS$3:$AS$56</definedName>
    <definedName name="Z_EC32A97D_4A37_4389_B7C7_09F40996AD7A_.wvu.FilterData" localSheetId="6" hidden="1">'07'!$AU$3:$AU$56</definedName>
    <definedName name="Z_EC32A97D_4A37_4389_B7C7_09F40996AD7A_.wvu.FilterData" localSheetId="7" hidden="1">'08'!$AT$3:$AT$57</definedName>
    <definedName name="Z_EC32A97D_4A37_4389_B7C7_09F40996AD7A_.wvu.FilterData" localSheetId="8" hidden="1">'09'!$AS$3:$AS$57</definedName>
    <definedName name="Z_EC32A97D_4A37_4389_B7C7_09F40996AD7A_.wvu.FilterData" localSheetId="9" hidden="1">'10'!$AT$3:$AT$58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EFB97E_7E93_4427_A648_7EA9A4E61216_.wvu.FilterData" localSheetId="5" hidden="1">'06'!$AS$3:$AS$57</definedName>
    <definedName name="Z_ECEFB97E_7E93_4427_A648_7EA9A4E61216_.wvu.FilterData" localSheetId="6" hidden="1">'07'!$AU$3:$AU$57</definedName>
    <definedName name="Z_ECEFB97E_7E93_4427_A648_7EA9A4E61216_.wvu.FilterData" localSheetId="7" hidden="1">'08'!$AT$3:$AT$58</definedName>
    <definedName name="Z_ECEFB97E_7E93_4427_A648_7EA9A4E61216_.wvu.FilterData" localSheetId="8" hidden="1">'09'!$AS$3:$AS$58</definedName>
    <definedName name="Z_ECEFB97E_7E93_4427_A648_7EA9A4E61216_.wvu.FilterData" localSheetId="9" hidden="1">'10'!$AT$3:$AT$59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CF8BA3E_73E8_455B_A9B1_FC3B5D6E5583_.wvu.FilterData" localSheetId="5" hidden="1">'06'!$AS$3:$AS$57</definedName>
    <definedName name="Z_ECF8BA3E_73E8_455B_A9B1_FC3B5D6E5583_.wvu.FilterData" localSheetId="6" hidden="1">'07'!$AU$3:$AU$57</definedName>
    <definedName name="Z_ECF8BA3E_73E8_455B_A9B1_FC3B5D6E5583_.wvu.FilterData" localSheetId="7" hidden="1">'08'!$AT$3:$AT$58</definedName>
    <definedName name="Z_ECF8BA3E_73E8_455B_A9B1_FC3B5D6E5583_.wvu.FilterData" localSheetId="8" hidden="1">'09'!$AS$3:$AS$58</definedName>
    <definedName name="Z_ECF8BA3E_73E8_455B_A9B1_FC3B5D6E5583_.wvu.FilterData" localSheetId="9" hidden="1">'10'!$AT$3:$AT$59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0ECF52_B06D_4901_BD39_8B169BCC3117_.wvu.FilterData" localSheetId="5" hidden="1">'06'!$AS$3:$AS$56</definedName>
    <definedName name="Z_EE0ECF52_B06D_4901_BD39_8B169BCC3117_.wvu.FilterData" localSheetId="6" hidden="1">'07'!$AU$3:$AU$56</definedName>
    <definedName name="Z_EE0ECF52_B06D_4901_BD39_8B169BCC3117_.wvu.FilterData" localSheetId="7" hidden="1">'08'!$AT$3:$AT$57</definedName>
    <definedName name="Z_EE0ECF52_B06D_4901_BD39_8B169BCC3117_.wvu.FilterData" localSheetId="8" hidden="1">'09'!$AS$3:$AS$57</definedName>
    <definedName name="Z_EE0ECF52_B06D_4901_BD39_8B169BCC3117_.wvu.FilterData" localSheetId="9" hidden="1">'10'!$AT$3:$AT$58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702184_7A38_49AC_A9B7_FD4DE09EE817_.wvu.FilterData" localSheetId="5" hidden="1">'06'!$AS$3:$AS$56</definedName>
    <definedName name="Z_EE702184_7A38_49AC_A9B7_FD4DE09EE817_.wvu.FilterData" localSheetId="6" hidden="1">'07'!$AU$3:$AU$56</definedName>
    <definedName name="Z_EE702184_7A38_49AC_A9B7_FD4DE09EE817_.wvu.FilterData" localSheetId="7" hidden="1">'08'!$AT$3:$AT$57</definedName>
    <definedName name="Z_EE702184_7A38_49AC_A9B7_FD4DE09EE817_.wvu.FilterData" localSheetId="8" hidden="1">'09'!$AS$3:$AS$57</definedName>
    <definedName name="Z_EE702184_7A38_49AC_A9B7_FD4DE09EE817_.wvu.FilterData" localSheetId="9" hidden="1">'10'!$AT$3:$AT$58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D26730_B9B7_46C1_A1D8_EC43485A80B4_.wvu.FilterData" localSheetId="5" hidden="1">'06'!$AS$3:$AS$57</definedName>
    <definedName name="Z_EFD26730_B9B7_46C1_A1D8_EC43485A80B4_.wvu.FilterData" localSheetId="6" hidden="1">'07'!$AU$3:$AU$57</definedName>
    <definedName name="Z_EFD26730_B9B7_46C1_A1D8_EC43485A80B4_.wvu.FilterData" localSheetId="7" hidden="1">'08'!$AT$3:$AT$58</definedName>
    <definedName name="Z_EFD26730_B9B7_46C1_A1D8_EC43485A80B4_.wvu.FilterData" localSheetId="8" hidden="1">'09'!$AS$3:$AS$58</definedName>
    <definedName name="Z_EFD26730_B9B7_46C1_A1D8_EC43485A80B4_.wvu.FilterData" localSheetId="9" hidden="1">'10'!$AT$3:$AT$59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EFEEA752_795B_48EF_9415_F2F1F335C7B5_.wvu.FilterData" localSheetId="5" hidden="1">'06'!$AS$3:$AS$56</definedName>
    <definedName name="Z_EFEEA752_795B_48EF_9415_F2F1F335C7B5_.wvu.FilterData" localSheetId="6" hidden="1">'07'!$AU$3:$AU$56</definedName>
    <definedName name="Z_EFEEA752_795B_48EF_9415_F2F1F335C7B5_.wvu.FilterData" localSheetId="7" hidden="1">'08'!$AT$3:$AT$57</definedName>
    <definedName name="Z_EFEEA752_795B_48EF_9415_F2F1F335C7B5_.wvu.FilterData" localSheetId="8" hidden="1">'09'!$AS$3:$AS$57</definedName>
    <definedName name="Z_EFEEA752_795B_48EF_9415_F2F1F335C7B5_.wvu.FilterData" localSheetId="9" hidden="1">'10'!$AT$3:$AT$58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6B9CF7_D66B_4FEE_AF26_4E92DBF0356E_.wvu.FilterData" localSheetId="5" hidden="1">'06'!$AS$3:$AS$57</definedName>
    <definedName name="Z_F06B9CF7_D66B_4FEE_AF26_4E92DBF0356E_.wvu.FilterData" localSheetId="6" hidden="1">'07'!$AU$3:$AU$57</definedName>
    <definedName name="Z_F06B9CF7_D66B_4FEE_AF26_4E92DBF0356E_.wvu.FilterData" localSheetId="7" hidden="1">'08'!$AT$3:$AT$58</definedName>
    <definedName name="Z_F06B9CF7_D66B_4FEE_AF26_4E92DBF0356E_.wvu.FilterData" localSheetId="8" hidden="1">'09'!$AS$3:$AS$58</definedName>
    <definedName name="Z_F06B9CF7_D66B_4FEE_AF26_4E92DBF0356E_.wvu.FilterData" localSheetId="9" hidden="1">'10'!$AT$3:$AT$59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8E3F78_82E0_44A9_8760_4DDC646EC1CD_.wvu.FilterData" localSheetId="5" hidden="1">'06'!$AS$3:$AS$56</definedName>
    <definedName name="Z_F08E3F78_82E0_44A9_8760_4DDC646EC1CD_.wvu.FilterData" localSheetId="6" hidden="1">'07'!$AU$3:$AU$56</definedName>
    <definedName name="Z_F08E3F78_82E0_44A9_8760_4DDC646EC1CD_.wvu.FilterData" localSheetId="7" hidden="1">'08'!$AT$3:$AT$57</definedName>
    <definedName name="Z_F08E3F78_82E0_44A9_8760_4DDC646EC1CD_.wvu.FilterData" localSheetId="8" hidden="1">'09'!$AS$3:$AS$57</definedName>
    <definedName name="Z_F08E3F78_82E0_44A9_8760_4DDC646EC1CD_.wvu.FilterData" localSheetId="9" hidden="1">'10'!$AT$3:$AT$58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160BDB2_D08A_44E8_9F16_A404108C0C19_.wvu.FilterData" localSheetId="5" hidden="1">'06'!$AS$3:$AS$57</definedName>
    <definedName name="Z_F160BDB2_D08A_44E8_9F16_A404108C0C19_.wvu.FilterData" localSheetId="6" hidden="1">'07'!$AU$3:$AU$57</definedName>
    <definedName name="Z_F160BDB2_D08A_44E8_9F16_A404108C0C19_.wvu.FilterData" localSheetId="7" hidden="1">'08'!$AT$3:$AT$58</definedName>
    <definedName name="Z_F160BDB2_D08A_44E8_9F16_A404108C0C19_.wvu.FilterData" localSheetId="8" hidden="1">'09'!$AS$3:$AS$58</definedName>
    <definedName name="Z_F160BDB2_D08A_44E8_9F16_A404108C0C19_.wvu.FilterData" localSheetId="9" hidden="1">'10'!$AT$3:$AT$59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7A4E16_C345_4D26_A00D_69FF1D2F8710_.wvu.FilterData" localSheetId="5" hidden="1">'06'!$AS$3:$AS$57</definedName>
    <definedName name="Z_F27A4E16_C345_4D26_A00D_69FF1D2F8710_.wvu.FilterData" localSheetId="6" hidden="1">'07'!$AU$3:$AU$57</definedName>
    <definedName name="Z_F27A4E16_C345_4D26_A00D_69FF1D2F8710_.wvu.FilterData" localSheetId="7" hidden="1">'08'!$AT$3:$AT$58</definedName>
    <definedName name="Z_F27A4E16_C345_4D26_A00D_69FF1D2F8710_.wvu.FilterData" localSheetId="8" hidden="1">'09'!$AS$3:$AS$58</definedName>
    <definedName name="Z_F27A4E16_C345_4D26_A00D_69FF1D2F8710_.wvu.FilterData" localSheetId="9" hidden="1">'10'!$AT$3:$AT$59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2C12F8F_FC0B_46CB_B531_E4C5E54FFB5E_.wvu.FilterData" localSheetId="5" hidden="1">'06'!$AS$3:$AS$56</definedName>
    <definedName name="Z_F2C12F8F_FC0B_46CB_B531_E4C5E54FFB5E_.wvu.FilterData" localSheetId="6" hidden="1">'07'!$AU$3:$AU$56</definedName>
    <definedName name="Z_F2C12F8F_FC0B_46CB_B531_E4C5E54FFB5E_.wvu.FilterData" localSheetId="7" hidden="1">'08'!$AT$3:$AT$57</definedName>
    <definedName name="Z_F2C12F8F_FC0B_46CB_B531_E4C5E54FFB5E_.wvu.FilterData" localSheetId="8" hidden="1">'09'!$AS$3:$AS$57</definedName>
    <definedName name="Z_F2C12F8F_FC0B_46CB_B531_E4C5E54FFB5E_.wvu.FilterData" localSheetId="9" hidden="1">'10'!$AT$3:$AT$58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984BA2_5BDE_4519_994A_DFAFEC2990C4_.wvu.FilterData" localSheetId="5" hidden="1">'06'!$AS$3:$AS$56</definedName>
    <definedName name="Z_F3984BA2_5BDE_4519_994A_DFAFEC2990C4_.wvu.FilterData" localSheetId="6" hidden="1">'07'!$AU$3:$AU$56</definedName>
    <definedName name="Z_F3984BA2_5BDE_4519_994A_DFAFEC2990C4_.wvu.FilterData" localSheetId="7" hidden="1">'08'!$AT$3:$AT$57</definedName>
    <definedName name="Z_F3984BA2_5BDE_4519_994A_DFAFEC2990C4_.wvu.FilterData" localSheetId="8" hidden="1">'09'!$AS$3:$AS$57</definedName>
    <definedName name="Z_F3984BA2_5BDE_4519_994A_DFAFEC2990C4_.wvu.FilterData" localSheetId="9" hidden="1">'10'!$AT$3:$AT$58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3C09A64_8673_4D91_B434_700B746F23F4_.wvu.FilterData" localSheetId="5" hidden="1">'06'!$AS$3:$AS$57</definedName>
    <definedName name="Z_F3C09A64_8673_4D91_B434_700B746F23F4_.wvu.FilterData" localSheetId="6" hidden="1">'07'!$AU$3:$AU$57</definedName>
    <definedName name="Z_F3C09A64_8673_4D91_B434_700B746F23F4_.wvu.FilterData" localSheetId="7" hidden="1">'08'!$AT$3:$AT$58</definedName>
    <definedName name="Z_F3C09A64_8673_4D91_B434_700B746F23F4_.wvu.FilterData" localSheetId="8" hidden="1">'09'!$AS$3:$AS$58</definedName>
    <definedName name="Z_F3C09A64_8673_4D91_B434_700B746F23F4_.wvu.FilterData" localSheetId="9" hidden="1">'10'!$AT$3:$AT$59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144EB3_A7A1_4A09_B7B1_A7A5C295E1A2_.wvu.FilterData" localSheetId="5" hidden="1">'06'!$AS$3:$AS$56</definedName>
    <definedName name="Z_F4144EB3_A7A1_4A09_B7B1_A7A5C295E1A2_.wvu.FilterData" localSheetId="6" hidden="1">'07'!$AU$3:$AU$56</definedName>
    <definedName name="Z_F4144EB3_A7A1_4A09_B7B1_A7A5C295E1A2_.wvu.FilterData" localSheetId="7" hidden="1">'08'!$AT$3:$AT$57</definedName>
    <definedName name="Z_F4144EB3_A7A1_4A09_B7B1_A7A5C295E1A2_.wvu.FilterData" localSheetId="8" hidden="1">'09'!$AS$3:$AS$57</definedName>
    <definedName name="Z_F4144EB3_A7A1_4A09_B7B1_A7A5C295E1A2_.wvu.FilterData" localSheetId="9" hidden="1">'10'!$AT$3:$AT$58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4A1187B_437A_4CF7_868B_BA0558D27BEC_.wvu.FilterData" localSheetId="5" hidden="1">'06'!$AS$3:$AS$57</definedName>
    <definedName name="Z_F4A1187B_437A_4CF7_868B_BA0558D27BEC_.wvu.FilterData" localSheetId="6" hidden="1">'07'!$AU$3:$AU$57</definedName>
    <definedName name="Z_F4A1187B_437A_4CF7_868B_BA0558D27BEC_.wvu.FilterData" localSheetId="7" hidden="1">'08'!$AT$3:$AT$58</definedName>
    <definedName name="Z_F4A1187B_437A_4CF7_868B_BA0558D27BEC_.wvu.FilterData" localSheetId="8" hidden="1">'09'!$AS$3:$AS$58</definedName>
    <definedName name="Z_F4A1187B_437A_4CF7_868B_BA0558D27BEC_.wvu.FilterData" localSheetId="9" hidden="1">'10'!$AT$3:$AT$59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2AA441_EBE8_4223_B8BE_7CE528B0854F_.wvu.FilterData" localSheetId="5" hidden="1">'06'!$AS$3:$AS$57</definedName>
    <definedName name="Z_F62AA441_EBE8_4223_B8BE_7CE528B0854F_.wvu.FilterData" localSheetId="6" hidden="1">'07'!$AU$3:$AU$57</definedName>
    <definedName name="Z_F62AA441_EBE8_4223_B8BE_7CE528B0854F_.wvu.FilterData" localSheetId="7" hidden="1">'08'!$AT$3:$AT$58</definedName>
    <definedName name="Z_F62AA441_EBE8_4223_B8BE_7CE528B0854F_.wvu.FilterData" localSheetId="8" hidden="1">'09'!$AS$3:$AS$58</definedName>
    <definedName name="Z_F62AA441_EBE8_4223_B8BE_7CE528B0854F_.wvu.FilterData" localSheetId="9" hidden="1">'10'!$AT$3:$AT$59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7E9B11_6CB6_4924_8DF1_29899F041207_.wvu.FilterData" localSheetId="5" hidden="1">'06'!$AS$3:$AS$57</definedName>
    <definedName name="Z_F67E9B11_6CB6_4924_8DF1_29899F041207_.wvu.FilterData" localSheetId="6" hidden="1">'07'!$AU$3:$AU$57</definedName>
    <definedName name="Z_F67E9B11_6CB6_4924_8DF1_29899F041207_.wvu.FilterData" localSheetId="7" hidden="1">'08'!$AT$3:$AT$58</definedName>
    <definedName name="Z_F67E9B11_6CB6_4924_8DF1_29899F041207_.wvu.FilterData" localSheetId="8" hidden="1">'09'!$AS$3:$AS$58</definedName>
    <definedName name="Z_F67E9B11_6CB6_4924_8DF1_29899F041207_.wvu.FilterData" localSheetId="9" hidden="1">'10'!$AT$3:$AT$59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6BF52_3415_4893_9FC1_5EAFAB4C551C_.wvu.FilterData" localSheetId="5" hidden="1">'06'!$AS$3:$AS$57</definedName>
    <definedName name="Z_F6A6BF52_3415_4893_9FC1_5EAFAB4C551C_.wvu.FilterData" localSheetId="6" hidden="1">'07'!$AU$3:$AU$57</definedName>
    <definedName name="Z_F6A6BF52_3415_4893_9FC1_5EAFAB4C551C_.wvu.FilterData" localSheetId="7" hidden="1">'08'!$AT$3:$AT$58</definedName>
    <definedName name="Z_F6A6BF52_3415_4893_9FC1_5EAFAB4C551C_.wvu.FilterData" localSheetId="8" hidden="1">'09'!$AS$3:$AS$58</definedName>
    <definedName name="Z_F6A6BF52_3415_4893_9FC1_5EAFAB4C551C_.wvu.FilterData" localSheetId="9" hidden="1">'10'!$AT$3:$AT$59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6ABC07A_BAAE_40DE_ACD2_F73AAA8B4877_.wvu.FilterData" localSheetId="5" hidden="1">'06'!$AS$3:$AS$56</definedName>
    <definedName name="Z_F6ABC07A_BAAE_40DE_ACD2_F73AAA8B4877_.wvu.FilterData" localSheetId="6" hidden="1">'07'!$AU$3:$AU$56</definedName>
    <definedName name="Z_F6ABC07A_BAAE_40DE_ACD2_F73AAA8B4877_.wvu.FilterData" localSheetId="7" hidden="1">'08'!$AT$3:$AT$57</definedName>
    <definedName name="Z_F6ABC07A_BAAE_40DE_ACD2_F73AAA8B4877_.wvu.FilterData" localSheetId="8" hidden="1">'09'!$AS$3:$AS$57</definedName>
    <definedName name="Z_F6ABC07A_BAAE_40DE_ACD2_F73AAA8B4877_.wvu.FilterData" localSheetId="9" hidden="1">'10'!$AT$3:$AT$58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8CC19A7_1D00_4576_BAFF_065DF42FF24D_.wvu.FilterData" localSheetId="5" hidden="1">'06'!$AS$3:$AS$57</definedName>
    <definedName name="Z_F8CC19A7_1D00_4576_BAFF_065DF42FF24D_.wvu.FilterData" localSheetId="6" hidden="1">'07'!$AU$3:$AU$57</definedName>
    <definedName name="Z_F8CC19A7_1D00_4576_BAFF_065DF42FF24D_.wvu.FilterData" localSheetId="7" hidden="1">'08'!$AT$3:$AT$58</definedName>
    <definedName name="Z_F8CC19A7_1D00_4576_BAFF_065DF42FF24D_.wvu.FilterData" localSheetId="8" hidden="1">'09'!$AS$3:$AS$58</definedName>
    <definedName name="Z_F8CC19A7_1D00_4576_BAFF_065DF42FF24D_.wvu.FilterData" localSheetId="9" hidden="1">'10'!$AT$3:$AT$59</definedName>
    <definedName name="Z_FA9D8CB7_27F4_4671_8893_F8A1336921C5_.wvu.FilterData" localSheetId="4" hidden="1">'05'!$AT$3:$AT$58</definedName>
    <definedName name="Z_FA9D8CB7_27F4_4671_8893_F8A1336921C5_.wvu.FilterData" localSheetId="5" hidden="1">'06'!$AS$3:$AS$57</definedName>
    <definedName name="Z_FA9D8CB7_27F4_4671_8893_F8A1336921C5_.wvu.FilterData" localSheetId="6" hidden="1">'07'!$AU$3:$AU$57</definedName>
    <definedName name="Z_FA9D8CB7_27F4_4671_8893_F8A1336921C5_.wvu.FilterData" localSheetId="7" hidden="1">'08'!$AT$3:$AT$58</definedName>
    <definedName name="Z_FA9D8CB7_27F4_4671_8893_F8A1336921C5_.wvu.FilterData" localSheetId="8" hidden="1">'09'!$AS$3:$AS$58</definedName>
    <definedName name="Z_FA9D8CB7_27F4_4671_8893_F8A1336921C5_.wvu.FilterData" localSheetId="9" hidden="1">'10'!$AT$3:$AT$59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ADB030B_9650_4D29_B365_F93C512834EC_.wvu.FilterData" localSheetId="5" hidden="1">'06'!$AS$3:$AS$57</definedName>
    <definedName name="Z_FADB030B_9650_4D29_B365_F93C512834EC_.wvu.FilterData" localSheetId="6" hidden="1">'07'!$AU$3:$AU$57</definedName>
    <definedName name="Z_FADB030B_9650_4D29_B365_F93C512834EC_.wvu.FilterData" localSheetId="7" hidden="1">'08'!$AT$3:$AT$58</definedName>
    <definedName name="Z_FADB030B_9650_4D29_B365_F93C512834EC_.wvu.FilterData" localSheetId="8" hidden="1">'09'!$AS$3:$AS$58</definedName>
    <definedName name="Z_FADB030B_9650_4D29_B365_F93C512834EC_.wvu.FilterData" localSheetId="9" hidden="1">'10'!$AT$3:$AT$59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235D6F_96D8_4C28_8F97_69B6F3D4A8AC_.wvu.FilterData" localSheetId="5" hidden="1">'06'!$AS$3:$AS$57</definedName>
    <definedName name="Z_FC235D6F_96D8_4C28_8F97_69B6F3D4A8AC_.wvu.FilterData" localSheetId="6" hidden="1">'07'!$AU$3:$AU$57</definedName>
    <definedName name="Z_FC235D6F_96D8_4C28_8F97_69B6F3D4A8AC_.wvu.FilterData" localSheetId="7" hidden="1">'08'!$AT$3:$AT$58</definedName>
    <definedName name="Z_FC235D6F_96D8_4C28_8F97_69B6F3D4A8AC_.wvu.FilterData" localSheetId="8" hidden="1">'09'!$AS$3:$AS$58</definedName>
    <definedName name="Z_FC235D6F_96D8_4C28_8F97_69B6F3D4A8AC_.wvu.FilterData" localSheetId="9" hidden="1">'10'!$AT$3:$AT$59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C88AB9C_37C7_4B3C_8C43_919837E4F159_.wvu.FilterData" localSheetId="5" hidden="1">'06'!$AS$3:$AS$57</definedName>
    <definedName name="Z_FC88AB9C_37C7_4B3C_8C43_919837E4F159_.wvu.FilterData" localSheetId="6" hidden="1">'07'!$AU$3:$AU$57</definedName>
    <definedName name="Z_FC88AB9C_37C7_4B3C_8C43_919837E4F159_.wvu.FilterData" localSheetId="7" hidden="1">'08'!$AT$3:$AT$58</definedName>
    <definedName name="Z_FC88AB9C_37C7_4B3C_8C43_919837E4F159_.wvu.FilterData" localSheetId="8" hidden="1">'09'!$AS$3:$AS$58</definedName>
    <definedName name="Z_FC88AB9C_37C7_4B3C_8C43_919837E4F159_.wvu.FilterData" localSheetId="9" hidden="1">'10'!$AT$3:$AT$59</definedName>
    <definedName name="Z_FCCEE278_AFC6_4210_8796_E55A1FE1F60B_.wvu.FilterData" localSheetId="8" hidden="1">'09'!$AS$3:$AS$58</definedName>
    <definedName name="Z_FCCEE278_AFC6_4210_8796_E55A1FE1F60B_.wvu.FilterData" localSheetId="9" hidden="1">'10'!$AT$3:$AT$59</definedName>
    <definedName name="Z_FDE4F21F_07B1_48EF_9661_F0A29AFE0CA7_.wvu.FilterData" localSheetId="8" hidden="1">'09'!$AS$3:$AS$58</definedName>
    <definedName name="Z_FDE4F21F_07B1_48EF_9661_F0A29AFE0CA7_.wvu.FilterData" localSheetId="9" hidden="1">'10'!$AT$3:$AT$59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01BBFE_BCC4_403E_832A_322D5B16205A_.wvu.FilterData" localSheetId="5" hidden="1">'06'!$AS$3:$AS$56</definedName>
    <definedName name="Z_FF01BBFE_BCC4_403E_832A_322D5B16205A_.wvu.FilterData" localSheetId="6" hidden="1">'07'!$AU$3:$AU$56</definedName>
    <definedName name="Z_FF01BBFE_BCC4_403E_832A_322D5B16205A_.wvu.FilterData" localSheetId="7" hidden="1">'08'!$AT$3:$AT$57</definedName>
    <definedName name="Z_FF01BBFE_BCC4_403E_832A_322D5B16205A_.wvu.FilterData" localSheetId="8" hidden="1">'09'!$AS$3:$AS$57</definedName>
    <definedName name="Z_FF01BBFE_BCC4_403E_832A_322D5B16205A_.wvu.FilterData" localSheetId="9" hidden="1">'10'!$AT$3:$AT$58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Z_FF2941E1_F9E0_4080_8AC4_3D9CF15BEA13_.wvu.FilterData" localSheetId="5" hidden="1">'06'!$AS$3:$AS$57</definedName>
    <definedName name="Z_FF2941E1_F9E0_4080_8AC4_3D9CF15BEA13_.wvu.FilterData" localSheetId="6" hidden="1">'07'!$AU$3:$AU$57</definedName>
    <definedName name="Z_FF2941E1_F9E0_4080_8AC4_3D9CF15BEA13_.wvu.FilterData" localSheetId="7" hidden="1">'08'!$AT$3:$AT$58</definedName>
    <definedName name="Z_FF2941E1_F9E0_4080_8AC4_3D9CF15BEA13_.wvu.FilterData" localSheetId="8" hidden="1">'09'!$AS$3:$AS$58</definedName>
    <definedName name="Z_FF2941E1_F9E0_4080_8AC4_3D9CF15BEA13_.wvu.FilterData" localSheetId="9" hidden="1">'10'!$AT$3:$AT$59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 localSheetId="5">{"N8","N","S","Z","1","M1","2","3","早","T早","中","T中","晚","日","小夜","大夜"}</definedName>
    <definedName name="上班代號" localSheetId="6">{"N8","N","S","Z","1","M1","2","3","早","T早","中","T中","晚","日","小夜","大夜"}</definedName>
    <definedName name="上班代號" localSheetId="7">{"N8","N","S","Z","1","M1","2","3","早","T早","中","T中","晚","日","小夜","大夜"}</definedName>
    <definedName name="上班代號" localSheetId="8">{"N8","N","S","Z","1","M1","2","3","早","T早","中","T中","晚","日","小夜","大夜"}</definedName>
    <definedName name="上班代號" localSheetId="9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 localSheetId="5">{2,"2","中","小夜","T中","M2"}</definedName>
    <definedName name="中班組" localSheetId="6">{2,"2","中","小夜","T中","M2"}</definedName>
    <definedName name="中班組" localSheetId="7">{2,"2","中","小夜","T中","M2"}</definedName>
    <definedName name="中班組" localSheetId="8">{2,"2","中","小夜","T中","M2"}</definedName>
    <definedName name="中班組" localSheetId="9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 localSheetId="5">{1,"1","早","日","N","N8","S","Z","T早","M1"}</definedName>
    <definedName name="早班組" localSheetId="6">{1,"1","早","日","N","N8","S","Z","T早","M1"}</definedName>
    <definedName name="早班組" localSheetId="7">{1,"1","早","日","N","N8","S","Z","T早","M1"}</definedName>
    <definedName name="早班組" localSheetId="8">{1,"1","早","日","N","N8","S","Z","T早","M1"}</definedName>
    <definedName name="早班組" localSheetId="9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 localSheetId="5">{3,"3","晚","大夜"}</definedName>
    <definedName name="晚班組" localSheetId="6">{3,"3","晚","大夜"}</definedName>
    <definedName name="晚班組" localSheetId="7">{3,"3","晚","大夜"}</definedName>
    <definedName name="晚班組" localSheetId="8">{3,"3","晚","大夜"}</definedName>
    <definedName name="晚班組" localSheetId="9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4" i="27" l="1" a="1"/>
  <c r="AR54" i="27" s="1"/>
  <c r="AR53" i="27" a="1"/>
  <c r="AR53" i="27" s="1"/>
  <c r="K47" i="27" l="1" a="1"/>
  <c r="K47" i="27" s="1"/>
  <c r="L47" i="27" a="1"/>
  <c r="L47" i="27" s="1"/>
  <c r="M47" i="27" a="1"/>
  <c r="M47" i="27" s="1"/>
  <c r="N47" i="27" a="1"/>
  <c r="N47" i="27" s="1"/>
  <c r="O47" i="27" a="1"/>
  <c r="O47" i="27" s="1"/>
  <c r="P47" i="27" a="1"/>
  <c r="P47" i="27" s="1"/>
  <c r="Q47" i="27" a="1"/>
  <c r="Q47" i="27" s="1"/>
  <c r="R47" i="27" a="1"/>
  <c r="R47" i="27" s="1"/>
  <c r="S47" i="27" a="1"/>
  <c r="S47" i="27" s="1"/>
  <c r="T47" i="27" a="1"/>
  <c r="T47" i="27" s="1"/>
  <c r="U47" i="27" a="1"/>
  <c r="U47" i="27" s="1"/>
  <c r="V47" i="27" a="1"/>
  <c r="V47" i="27" s="1"/>
  <c r="W47" i="27" a="1"/>
  <c r="W47" i="27" s="1"/>
  <c r="X47" i="27" a="1"/>
  <c r="X47" i="27" s="1"/>
  <c r="Y47" i="27" a="1"/>
  <c r="Y47" i="27" s="1"/>
  <c r="Z47" i="27" a="1"/>
  <c r="Z47" i="27" s="1"/>
  <c r="AA47" i="27" a="1"/>
  <c r="AA47" i="27" s="1"/>
  <c r="AB47" i="27" a="1"/>
  <c r="AB47" i="27" s="1"/>
  <c r="AC47" i="27" a="1"/>
  <c r="AC47" i="27" s="1"/>
  <c r="AD47" i="27" a="1"/>
  <c r="AD47" i="27" s="1"/>
  <c r="AE47" i="27" a="1"/>
  <c r="AE47" i="27" s="1"/>
  <c r="AF47" i="27" a="1"/>
  <c r="AF47" i="27" s="1"/>
  <c r="AG47" i="27" a="1"/>
  <c r="AG47" i="27" s="1"/>
  <c r="AH47" i="27" a="1"/>
  <c r="AH47" i="27" s="1"/>
  <c r="AI47" i="27" a="1"/>
  <c r="AI47" i="27" s="1"/>
  <c r="AJ47" i="27" a="1"/>
  <c r="AJ47" i="27" s="1"/>
  <c r="AK47" i="27" a="1"/>
  <c r="AK47" i="27" s="1"/>
  <c r="AL47" i="27" a="1"/>
  <c r="AL47" i="27" s="1"/>
  <c r="AM47" i="27" a="1"/>
  <c r="AM47" i="27" s="1"/>
  <c r="AN47" i="27" a="1"/>
  <c r="AN47" i="27" s="1"/>
  <c r="AO47" i="27" a="1"/>
  <c r="AO47" i="27" s="1"/>
  <c r="K48" i="27" a="1"/>
  <c r="K48" i="27" s="1"/>
  <c r="L48" i="27" a="1"/>
  <c r="L48" i="27" s="1"/>
  <c r="M48" i="27" a="1"/>
  <c r="M48" i="27" s="1"/>
  <c r="N48" i="27" a="1"/>
  <c r="N48" i="27" s="1"/>
  <c r="O48" i="27" a="1"/>
  <c r="O48" i="27" s="1"/>
  <c r="P48" i="27" a="1"/>
  <c r="P48" i="27" s="1"/>
  <c r="Q48" i="27" a="1"/>
  <c r="Q48" i="27" s="1"/>
  <c r="R48" i="27" a="1"/>
  <c r="R48" i="27" s="1"/>
  <c r="S48" i="27" a="1"/>
  <c r="S48" i="27" s="1"/>
  <c r="T48" i="27" a="1"/>
  <c r="T48" i="27" s="1"/>
  <c r="U48" i="27" a="1"/>
  <c r="U48" i="27" s="1"/>
  <c r="V48" i="27" a="1"/>
  <c r="V48" i="27" s="1"/>
  <c r="W48" i="27" a="1"/>
  <c r="W48" i="27" s="1"/>
  <c r="X48" i="27" a="1"/>
  <c r="X48" i="27" s="1"/>
  <c r="Y48" i="27" a="1"/>
  <c r="Y48" i="27" s="1"/>
  <c r="Z48" i="27" a="1"/>
  <c r="Z48" i="27" s="1"/>
  <c r="AA48" i="27" a="1"/>
  <c r="AA48" i="27" s="1"/>
  <c r="AB48" i="27" a="1"/>
  <c r="AB48" i="27" s="1"/>
  <c r="AC48" i="27" a="1"/>
  <c r="AC48" i="27" s="1"/>
  <c r="AD48" i="27" a="1"/>
  <c r="AD48" i="27" s="1"/>
  <c r="AE48" i="27" a="1"/>
  <c r="AE48" i="27" s="1"/>
  <c r="AF48" i="27" a="1"/>
  <c r="AF48" i="27" s="1"/>
  <c r="AG48" i="27" a="1"/>
  <c r="AG48" i="27" s="1"/>
  <c r="AH48" i="27" a="1"/>
  <c r="AH48" i="27" s="1"/>
  <c r="AI48" i="27" a="1"/>
  <c r="AI48" i="27" s="1"/>
  <c r="AJ48" i="27" a="1"/>
  <c r="AJ48" i="27" s="1"/>
  <c r="AK48" i="27" a="1"/>
  <c r="AK48" i="27" s="1"/>
  <c r="AL48" i="27" a="1"/>
  <c r="AL48" i="27" s="1"/>
  <c r="AM48" i="27" a="1"/>
  <c r="AM48" i="27" s="1"/>
  <c r="AN48" i="27" a="1"/>
  <c r="AN48" i="27" s="1"/>
  <c r="AO48" i="27" a="1"/>
  <c r="AO48" i="27" s="1"/>
  <c r="K49" i="27"/>
  <c r="L49" i="27"/>
  <c r="M49" i="27"/>
  <c r="N49" i="27"/>
  <c r="O49" i="27"/>
  <c r="P49" i="27"/>
  <c r="Q49" i="27"/>
  <c r="R49" i="27"/>
  <c r="S49" i="27"/>
  <c r="T49" i="27"/>
  <c r="U49" i="27"/>
  <c r="V49" i="27"/>
  <c r="W49" i="27"/>
  <c r="X49" i="27"/>
  <c r="Y49" i="27"/>
  <c r="Z49" i="27"/>
  <c r="AA49" i="27"/>
  <c r="AB49" i="27"/>
  <c r="AC49" i="27"/>
  <c r="AD49" i="27"/>
  <c r="AE49" i="27"/>
  <c r="AF49" i="27"/>
  <c r="AG49" i="27"/>
  <c r="AH49" i="27"/>
  <c r="AI49" i="27"/>
  <c r="AJ49" i="27"/>
  <c r="AK49" i="27"/>
  <c r="AL49" i="27"/>
  <c r="AM49" i="27"/>
  <c r="AN49" i="27"/>
  <c r="AO49" i="27"/>
  <c r="K50" i="27" a="1"/>
  <c r="K50" i="27" s="1"/>
  <c r="L50" i="27" a="1"/>
  <c r="L50" i="27" s="1"/>
  <c r="M50" i="27" a="1"/>
  <c r="M50" i="27" s="1"/>
  <c r="N50" i="27" a="1"/>
  <c r="N50" i="27" s="1"/>
  <c r="O50" i="27" a="1"/>
  <c r="O50" i="27" s="1"/>
  <c r="P50" i="27" a="1"/>
  <c r="P50" i="27" s="1"/>
  <c r="Q50" i="27" a="1"/>
  <c r="Q50" i="27" s="1"/>
  <c r="R50" i="27" a="1"/>
  <c r="R50" i="27" s="1"/>
  <c r="S50" i="27" a="1"/>
  <c r="S50" i="27" s="1"/>
  <c r="T50" i="27" a="1"/>
  <c r="T50" i="27" s="1"/>
  <c r="U50" i="27" a="1"/>
  <c r="U50" i="27" s="1"/>
  <c r="V50" i="27" a="1"/>
  <c r="V50" i="27" s="1"/>
  <c r="W50" i="27" a="1"/>
  <c r="W50" i="27" s="1"/>
  <c r="X50" i="27" a="1"/>
  <c r="X50" i="27" s="1"/>
  <c r="Y50" i="27" a="1"/>
  <c r="Y50" i="27" s="1"/>
  <c r="Z50" i="27" a="1"/>
  <c r="Z50" i="27" s="1"/>
  <c r="AA50" i="27" a="1"/>
  <c r="AA50" i="27" s="1"/>
  <c r="AB50" i="27" a="1"/>
  <c r="AB50" i="27" s="1"/>
  <c r="AC50" i="27" a="1"/>
  <c r="AC50" i="27" s="1"/>
  <c r="AD50" i="27" a="1"/>
  <c r="AD50" i="27" s="1"/>
  <c r="AE50" i="27" a="1"/>
  <c r="AE50" i="27" s="1"/>
  <c r="AF50" i="27" a="1"/>
  <c r="AF50" i="27" s="1"/>
  <c r="AG50" i="27" a="1"/>
  <c r="AG50" i="27" s="1"/>
  <c r="AH50" i="27" a="1"/>
  <c r="AH50" i="27" s="1"/>
  <c r="AI50" i="27" a="1"/>
  <c r="AI50" i="27" s="1"/>
  <c r="AJ50" i="27" a="1"/>
  <c r="AJ50" i="27" s="1"/>
  <c r="AK50" i="27" a="1"/>
  <c r="AK50" i="27" s="1"/>
  <c r="AL50" i="27" a="1"/>
  <c r="AL50" i="27" s="1"/>
  <c r="AM50" i="27" a="1"/>
  <c r="AM50" i="27" s="1"/>
  <c r="AN50" i="27" a="1"/>
  <c r="AN50" i="27" s="1"/>
  <c r="AO50" i="27" a="1"/>
  <c r="AO50" i="27" s="1"/>
  <c r="K51" i="27" a="1"/>
  <c r="K51" i="27" s="1"/>
  <c r="L51" i="27" a="1"/>
  <c r="L51" i="27" s="1"/>
  <c r="M51" i="27" a="1"/>
  <c r="M51" i="27" s="1"/>
  <c r="N51" i="27" a="1"/>
  <c r="N51" i="27" s="1"/>
  <c r="O51" i="27" a="1"/>
  <c r="O51" i="27" s="1"/>
  <c r="P51" i="27" a="1"/>
  <c r="P51" i="27" s="1"/>
  <c r="Q51" i="27" a="1"/>
  <c r="Q51" i="27" s="1"/>
  <c r="R51" i="27" a="1"/>
  <c r="R51" i="27" s="1"/>
  <c r="S51" i="27" a="1"/>
  <c r="S51" i="27" s="1"/>
  <c r="T51" i="27" a="1"/>
  <c r="T51" i="27" s="1"/>
  <c r="U51" i="27" a="1"/>
  <c r="U51" i="27" s="1"/>
  <c r="V51" i="27" a="1"/>
  <c r="V51" i="27" s="1"/>
  <c r="W51" i="27" a="1"/>
  <c r="W51" i="27" s="1"/>
  <c r="X51" i="27" a="1"/>
  <c r="X51" i="27" s="1"/>
  <c r="Y51" i="27" a="1"/>
  <c r="Y51" i="27" s="1"/>
  <c r="Z51" i="27" a="1"/>
  <c r="Z51" i="27" s="1"/>
  <c r="AA51" i="27" a="1"/>
  <c r="AA51" i="27" s="1"/>
  <c r="AB51" i="27" a="1"/>
  <c r="AB51" i="27" s="1"/>
  <c r="AC51" i="27" a="1"/>
  <c r="AC51" i="27" s="1"/>
  <c r="AD51" i="27" a="1"/>
  <c r="AD51" i="27" s="1"/>
  <c r="AE51" i="27" a="1"/>
  <c r="AE51" i="27" s="1"/>
  <c r="AF51" i="27" a="1"/>
  <c r="AF51" i="27" s="1"/>
  <c r="AG51" i="27" a="1"/>
  <c r="AG51" i="27" s="1"/>
  <c r="AH51" i="27" a="1"/>
  <c r="AH51" i="27" s="1"/>
  <c r="AI51" i="27" a="1"/>
  <c r="AI51" i="27" s="1"/>
  <c r="AJ51" i="27" a="1"/>
  <c r="AJ51" i="27" s="1"/>
  <c r="AK51" i="27" a="1"/>
  <c r="AK51" i="27" s="1"/>
  <c r="AL51" i="27" a="1"/>
  <c r="AL51" i="27" s="1"/>
  <c r="AM51" i="27" a="1"/>
  <c r="AM51" i="27" s="1"/>
  <c r="AN51" i="27" a="1"/>
  <c r="AN51" i="27" s="1"/>
  <c r="AO51" i="27" a="1"/>
  <c r="AO51" i="27" s="1"/>
  <c r="K52" i="27"/>
  <c r="L52" i="27"/>
  <c r="M52" i="27"/>
  <c r="N52" i="27"/>
  <c r="O52" i="27"/>
  <c r="P52" i="27"/>
  <c r="Q52" i="27"/>
  <c r="R52" i="27"/>
  <c r="S52" i="27"/>
  <c r="T52" i="27"/>
  <c r="U52" i="27"/>
  <c r="V52" i="27"/>
  <c r="W52" i="27"/>
  <c r="X52" i="27"/>
  <c r="Y52" i="27"/>
  <c r="Z52" i="27"/>
  <c r="AA52" i="27"/>
  <c r="AB52" i="27"/>
  <c r="AC52" i="27"/>
  <c r="AD52" i="27"/>
  <c r="AE52" i="27"/>
  <c r="AF52" i="27"/>
  <c r="AG52" i="27"/>
  <c r="AH52" i="27"/>
  <c r="AI52" i="27"/>
  <c r="AJ52" i="27"/>
  <c r="AK52" i="27"/>
  <c r="AL52" i="27"/>
  <c r="AM52" i="27"/>
  <c r="AN52" i="27"/>
  <c r="AO52" i="27"/>
  <c r="K53" i="27"/>
  <c r="L53" i="27"/>
  <c r="M53" i="27"/>
  <c r="N53" i="27"/>
  <c r="O53" i="27"/>
  <c r="P53" i="27"/>
  <c r="Q53" i="27"/>
  <c r="R53" i="27"/>
  <c r="S53" i="27"/>
  <c r="T53" i="27"/>
  <c r="U53" i="27"/>
  <c r="V53" i="27"/>
  <c r="W53" i="27"/>
  <c r="X53" i="27"/>
  <c r="Y53" i="27"/>
  <c r="Z53" i="27"/>
  <c r="AA53" i="27"/>
  <c r="AB53" i="27"/>
  <c r="AC53" i="27"/>
  <c r="AD53" i="27"/>
  <c r="AE53" i="27"/>
  <c r="AF53" i="27"/>
  <c r="AG53" i="27"/>
  <c r="AH53" i="27"/>
  <c r="AI53" i="27"/>
  <c r="AJ53" i="27"/>
  <c r="AK53" i="27"/>
  <c r="AL53" i="27"/>
  <c r="AM53" i="27"/>
  <c r="AN53" i="27"/>
  <c r="AO53" i="27"/>
  <c r="K54" i="27"/>
  <c r="L54" i="27"/>
  <c r="M54" i="27"/>
  <c r="N54" i="27"/>
  <c r="O54" i="27"/>
  <c r="P54" i="27"/>
  <c r="Q54" i="27"/>
  <c r="R54" i="27"/>
  <c r="S54" i="27"/>
  <c r="T54" i="27"/>
  <c r="U54" i="27"/>
  <c r="V54" i="27"/>
  <c r="W54" i="27"/>
  <c r="X54" i="27"/>
  <c r="Y54" i="27"/>
  <c r="Z54" i="27"/>
  <c r="AA54" i="27"/>
  <c r="AB54" i="27"/>
  <c r="AC54" i="27"/>
  <c r="AD54" i="27"/>
  <c r="AE54" i="27"/>
  <c r="AF54" i="27"/>
  <c r="AG54" i="27"/>
  <c r="AH54" i="27"/>
  <c r="AI54" i="27"/>
  <c r="AJ54" i="27"/>
  <c r="AK54" i="27"/>
  <c r="AL54" i="27"/>
  <c r="AM54" i="27"/>
  <c r="AN54" i="27"/>
  <c r="AO54" i="27"/>
  <c r="A32" i="27"/>
  <c r="B32" i="27"/>
  <c r="C32" i="27"/>
  <c r="D32" i="27"/>
  <c r="E32" i="27"/>
  <c r="F32" i="27"/>
  <c r="G32" i="27"/>
  <c r="H32" i="27"/>
  <c r="A33" i="27"/>
  <c r="B33" i="27"/>
  <c r="C33" i="27"/>
  <c r="D33" i="27"/>
  <c r="E33" i="27"/>
  <c r="F33" i="27"/>
  <c r="G33" i="27"/>
  <c r="H33" i="27"/>
  <c r="AO64" i="27" a="1"/>
  <c r="AO64" i="27" s="1"/>
  <c r="AN64" i="27" a="1"/>
  <c r="AN64" i="27" s="1"/>
  <c r="AM64" i="27" a="1"/>
  <c r="AM64" i="27" s="1"/>
  <c r="AL64" i="27" a="1"/>
  <c r="AL64" i="27" s="1"/>
  <c r="AK64" i="27" a="1"/>
  <c r="AK64" i="27" s="1"/>
  <c r="AJ64" i="27" a="1"/>
  <c r="AJ64" i="27" s="1"/>
  <c r="AI64" i="27" a="1"/>
  <c r="AI64" i="27" s="1"/>
  <c r="AH64" i="27" a="1"/>
  <c r="AH64" i="27" s="1"/>
  <c r="AG64" i="27" a="1"/>
  <c r="AG64" i="27" s="1"/>
  <c r="AF64" i="27" a="1"/>
  <c r="AF64" i="27" s="1"/>
  <c r="AE64" i="27" a="1"/>
  <c r="AE64" i="27" s="1"/>
  <c r="AD64" i="27" a="1"/>
  <c r="AD64" i="27" s="1"/>
  <c r="AC64" i="27" a="1"/>
  <c r="AC64" i="27" s="1"/>
  <c r="AB64" i="27" a="1"/>
  <c r="AB64" i="27" s="1"/>
  <c r="AA64" i="27" a="1"/>
  <c r="AA64" i="27" s="1"/>
  <c r="Z64" i="27" a="1"/>
  <c r="Z64" i="27" s="1"/>
  <c r="Y64" i="27" a="1"/>
  <c r="Y64" i="27" s="1"/>
  <c r="X64" i="27" a="1"/>
  <c r="X64" i="27" s="1"/>
  <c r="W64" i="27" a="1"/>
  <c r="W64" i="27" s="1"/>
  <c r="V64" i="27" a="1"/>
  <c r="V64" i="27" s="1"/>
  <c r="U64" i="27" a="1"/>
  <c r="U64" i="27" s="1"/>
  <c r="T64" i="27" a="1"/>
  <c r="T64" i="27" s="1"/>
  <c r="S64" i="27" a="1"/>
  <c r="S64" i="27" s="1"/>
  <c r="R64" i="27" a="1"/>
  <c r="R64" i="27" s="1"/>
  <c r="Q64" i="27" a="1"/>
  <c r="Q64" i="27" s="1"/>
  <c r="P64" i="27" a="1"/>
  <c r="P64" i="27" s="1"/>
  <c r="O64" i="27" a="1"/>
  <c r="O64" i="27" s="1"/>
  <c r="N64" i="27" a="1"/>
  <c r="N64" i="27" s="1"/>
  <c r="M64" i="27" a="1"/>
  <c r="M64" i="27" s="1"/>
  <c r="L64" i="27" a="1"/>
  <c r="L64" i="27" s="1"/>
  <c r="K64" i="27" a="1"/>
  <c r="K64" i="27" s="1"/>
  <c r="AO59" i="27"/>
  <c r="AN59" i="27"/>
  <c r="AM59" i="27"/>
  <c r="AL59" i="27"/>
  <c r="AK59" i="27"/>
  <c r="AJ59" i="27"/>
  <c r="AI59" i="27"/>
  <c r="AH59" i="27"/>
  <c r="AG59" i="27"/>
  <c r="AF59" i="27"/>
  <c r="AE59" i="27"/>
  <c r="AD59" i="27"/>
  <c r="AC59" i="27"/>
  <c r="AB59" i="27"/>
  <c r="AA59" i="27"/>
  <c r="Z59" i="27"/>
  <c r="Y59" i="27"/>
  <c r="X59" i="27"/>
  <c r="W59" i="27"/>
  <c r="V59" i="27"/>
  <c r="U59" i="27"/>
  <c r="T59" i="27"/>
  <c r="S59" i="27"/>
  <c r="R59" i="27"/>
  <c r="Q59" i="27"/>
  <c r="P59" i="27"/>
  <c r="O59" i="27"/>
  <c r="N59" i="27"/>
  <c r="M59" i="27"/>
  <c r="L59" i="27"/>
  <c r="K59" i="27"/>
  <c r="AO58" i="27"/>
  <c r="AN58" i="27"/>
  <c r="AM58" i="27"/>
  <c r="AL58" i="27"/>
  <c r="AK58" i="27"/>
  <c r="AJ58" i="27"/>
  <c r="AI58" i="27"/>
  <c r="AH58" i="27"/>
  <c r="AG58" i="27"/>
  <c r="AF58" i="27"/>
  <c r="AE58" i="27"/>
  <c r="AD58" i="27"/>
  <c r="AC58" i="27"/>
  <c r="AB58" i="27"/>
  <c r="AA58" i="27"/>
  <c r="Z58" i="27"/>
  <c r="Y58" i="27"/>
  <c r="X58" i="27"/>
  <c r="W58" i="27"/>
  <c r="V58" i="27"/>
  <c r="U58" i="27"/>
  <c r="T58" i="27"/>
  <c r="S58" i="27"/>
  <c r="R58" i="27"/>
  <c r="Q58" i="27"/>
  <c r="P58" i="27"/>
  <c r="O58" i="27"/>
  <c r="N58" i="27"/>
  <c r="M58" i="27"/>
  <c r="L58" i="27"/>
  <c r="K58" i="27"/>
  <c r="AO57" i="27"/>
  <c r="AN57" i="27"/>
  <c r="AM57" i="27"/>
  <c r="AL57" i="27"/>
  <c r="AK57" i="27"/>
  <c r="AJ57" i="27"/>
  <c r="AI57" i="27"/>
  <c r="AH57" i="27"/>
  <c r="AG57" i="27"/>
  <c r="AF57" i="27"/>
  <c r="AE57" i="27"/>
  <c r="AD57" i="27"/>
  <c r="AC57" i="27"/>
  <c r="AB57" i="27"/>
  <c r="AA57" i="27"/>
  <c r="Z57" i="27"/>
  <c r="Y57" i="27"/>
  <c r="X57" i="27"/>
  <c r="W57" i="27"/>
  <c r="V57" i="27"/>
  <c r="U57" i="27"/>
  <c r="T57" i="27"/>
  <c r="S57" i="27"/>
  <c r="R57" i="27"/>
  <c r="Q57" i="27"/>
  <c r="P57" i="27"/>
  <c r="O57" i="27"/>
  <c r="N57" i="27"/>
  <c r="M57" i="27"/>
  <c r="L57" i="27"/>
  <c r="K57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AS54" i="27" a="1"/>
  <c r="AS54" i="27" s="1"/>
  <c r="AS53" i="27" a="1"/>
  <c r="AS53" i="27" s="1"/>
  <c r="AS52" i="27"/>
  <c r="AR52" i="27"/>
  <c r="AS51" i="27"/>
  <c r="AR51" i="27"/>
  <c r="AS50" i="27"/>
  <c r="AR50" i="27"/>
  <c r="AS49" i="27"/>
  <c r="AR49" i="27"/>
  <c r="H46" i="27"/>
  <c r="G46" i="27"/>
  <c r="F46" i="27"/>
  <c r="E46" i="27"/>
  <c r="D46" i="27"/>
  <c r="C46" i="27"/>
  <c r="B46" i="27"/>
  <c r="A46" i="27"/>
  <c r="H45" i="27"/>
  <c r="G45" i="27"/>
  <c r="F45" i="27"/>
  <c r="E45" i="27"/>
  <c r="D45" i="27"/>
  <c r="C45" i="27"/>
  <c r="B45" i="27"/>
  <c r="A45" i="27"/>
  <c r="H44" i="27"/>
  <c r="G44" i="27"/>
  <c r="F44" i="27"/>
  <c r="E44" i="27"/>
  <c r="D44" i="27"/>
  <c r="C44" i="27"/>
  <c r="B44" i="27"/>
  <c r="A44" i="27"/>
  <c r="H43" i="27"/>
  <c r="G43" i="27"/>
  <c r="F43" i="27"/>
  <c r="E43" i="27"/>
  <c r="D43" i="27"/>
  <c r="C43" i="27"/>
  <c r="B43" i="27"/>
  <c r="A43" i="27"/>
  <c r="H42" i="27"/>
  <c r="G42" i="27"/>
  <c r="F42" i="27"/>
  <c r="E42" i="27"/>
  <c r="D42" i="27"/>
  <c r="C42" i="27"/>
  <c r="B42" i="27"/>
  <c r="A42" i="27"/>
  <c r="H41" i="27"/>
  <c r="G41" i="27"/>
  <c r="F41" i="27"/>
  <c r="E41" i="27"/>
  <c r="D41" i="27"/>
  <c r="C41" i="27"/>
  <c r="B41" i="27"/>
  <c r="A41" i="27"/>
  <c r="H40" i="27"/>
  <c r="G40" i="27"/>
  <c r="F40" i="27"/>
  <c r="E40" i="27"/>
  <c r="D40" i="27"/>
  <c r="C40" i="27"/>
  <c r="B40" i="27"/>
  <c r="A40" i="27"/>
  <c r="H39" i="27"/>
  <c r="G39" i="27"/>
  <c r="F39" i="27"/>
  <c r="E39" i="27"/>
  <c r="D39" i="27"/>
  <c r="C39" i="27"/>
  <c r="B39" i="27"/>
  <c r="A39" i="27"/>
  <c r="H38" i="27"/>
  <c r="G38" i="27"/>
  <c r="F38" i="27"/>
  <c r="E38" i="27"/>
  <c r="D38" i="27"/>
  <c r="C38" i="27"/>
  <c r="B38" i="27"/>
  <c r="A38" i="27"/>
  <c r="H37" i="27"/>
  <c r="G37" i="27"/>
  <c r="F37" i="27"/>
  <c r="E37" i="27"/>
  <c r="D37" i="27"/>
  <c r="C37" i="27"/>
  <c r="B37" i="27"/>
  <c r="A37" i="27"/>
  <c r="H36" i="27"/>
  <c r="G36" i="27"/>
  <c r="F36" i="27"/>
  <c r="E36" i="27"/>
  <c r="D36" i="27"/>
  <c r="C36" i="27"/>
  <c r="B36" i="27"/>
  <c r="A36" i="27"/>
  <c r="H35" i="27"/>
  <c r="G35" i="27"/>
  <c r="F35" i="27"/>
  <c r="E35" i="27"/>
  <c r="D35" i="27"/>
  <c r="C35" i="27"/>
  <c r="B35" i="27"/>
  <c r="A35" i="27"/>
  <c r="H34" i="27"/>
  <c r="G34" i="27"/>
  <c r="F34" i="27"/>
  <c r="E34" i="27"/>
  <c r="D34" i="27"/>
  <c r="C34" i="27"/>
  <c r="B34" i="27"/>
  <c r="A34" i="27"/>
  <c r="H31" i="27"/>
  <c r="G31" i="27"/>
  <c r="F31" i="27"/>
  <c r="E31" i="27"/>
  <c r="D31" i="27"/>
  <c r="C31" i="27"/>
  <c r="B31" i="27"/>
  <c r="A31" i="27"/>
  <c r="H30" i="27"/>
  <c r="G30" i="27"/>
  <c r="F30" i="27"/>
  <c r="E30" i="27"/>
  <c r="D30" i="27"/>
  <c r="C30" i="27"/>
  <c r="B30" i="27"/>
  <c r="A30" i="27"/>
  <c r="H29" i="27"/>
  <c r="G29" i="27"/>
  <c r="F29" i="27"/>
  <c r="E29" i="27"/>
  <c r="D29" i="27"/>
  <c r="C29" i="27"/>
  <c r="B29" i="27"/>
  <c r="A29" i="27"/>
  <c r="H28" i="27"/>
  <c r="G28" i="27"/>
  <c r="F28" i="27"/>
  <c r="E28" i="27"/>
  <c r="D28" i="27"/>
  <c r="C28" i="27"/>
  <c r="B28" i="27"/>
  <c r="A28" i="27"/>
  <c r="H27" i="27"/>
  <c r="G27" i="27"/>
  <c r="F27" i="27"/>
  <c r="E27" i="27"/>
  <c r="D27" i="27"/>
  <c r="C27" i="27"/>
  <c r="B27" i="27"/>
  <c r="A27" i="27"/>
  <c r="H26" i="27"/>
  <c r="G26" i="27"/>
  <c r="F26" i="27"/>
  <c r="E26" i="27"/>
  <c r="D26" i="27"/>
  <c r="C26" i="27"/>
  <c r="B26" i="27"/>
  <c r="A26" i="27"/>
  <c r="H25" i="27"/>
  <c r="G25" i="27"/>
  <c r="F25" i="27"/>
  <c r="E25" i="27"/>
  <c r="D25" i="27"/>
  <c r="C25" i="27"/>
  <c r="B25" i="27"/>
  <c r="A25" i="27"/>
  <c r="H24" i="27"/>
  <c r="G24" i="27"/>
  <c r="F24" i="27"/>
  <c r="E24" i="27"/>
  <c r="D24" i="27"/>
  <c r="C24" i="27"/>
  <c r="B24" i="27"/>
  <c r="A24" i="27"/>
  <c r="H23" i="27"/>
  <c r="G23" i="27"/>
  <c r="F23" i="27"/>
  <c r="E23" i="27"/>
  <c r="D23" i="27"/>
  <c r="C23" i="27"/>
  <c r="B23" i="27"/>
  <c r="A23" i="27"/>
  <c r="H22" i="27"/>
  <c r="G22" i="27"/>
  <c r="F22" i="27"/>
  <c r="E22" i="27"/>
  <c r="D22" i="27"/>
  <c r="C22" i="27"/>
  <c r="B22" i="27"/>
  <c r="A22" i="27"/>
  <c r="H21" i="27"/>
  <c r="G21" i="27"/>
  <c r="F21" i="27"/>
  <c r="E21" i="27"/>
  <c r="D21" i="27"/>
  <c r="C21" i="27"/>
  <c r="B21" i="27"/>
  <c r="A21" i="27"/>
  <c r="H20" i="27"/>
  <c r="G20" i="27"/>
  <c r="F20" i="27"/>
  <c r="E20" i="27"/>
  <c r="D20" i="27"/>
  <c r="C20" i="27"/>
  <c r="B20" i="27"/>
  <c r="A20" i="27"/>
  <c r="H19" i="27"/>
  <c r="G19" i="27"/>
  <c r="F19" i="27"/>
  <c r="E19" i="27"/>
  <c r="D19" i="27"/>
  <c r="C19" i="27"/>
  <c r="B19" i="27"/>
  <c r="A19" i="27"/>
  <c r="H18" i="27"/>
  <c r="G18" i="27"/>
  <c r="F18" i="27"/>
  <c r="E18" i="27"/>
  <c r="D18" i="27"/>
  <c r="C18" i="27"/>
  <c r="B18" i="27"/>
  <c r="A18" i="27"/>
  <c r="AW17" i="27" a="1"/>
  <c r="AW17" i="27" s="1"/>
  <c r="AY17" i="27" s="1"/>
  <c r="H17" i="27"/>
  <c r="G17" i="27"/>
  <c r="F17" i="27"/>
  <c r="E17" i="27"/>
  <c r="D17" i="27"/>
  <c r="C17" i="27"/>
  <c r="B17" i="27"/>
  <c r="A17" i="27"/>
  <c r="AW16" i="27" a="1"/>
  <c r="AW16" i="27" s="1"/>
  <c r="AY16" i="27" s="1"/>
  <c r="H16" i="27"/>
  <c r="G16" i="27"/>
  <c r="F16" i="27"/>
  <c r="E16" i="27"/>
  <c r="D16" i="27"/>
  <c r="C16" i="27"/>
  <c r="B16" i="27"/>
  <c r="A16" i="27"/>
  <c r="AW15" i="27" a="1"/>
  <c r="AW15" i="27" s="1"/>
  <c r="AY15" i="27" s="1"/>
  <c r="H15" i="27"/>
  <c r="G15" i="27"/>
  <c r="F15" i="27"/>
  <c r="E15" i="27"/>
  <c r="D15" i="27"/>
  <c r="C15" i="27"/>
  <c r="B15" i="27"/>
  <c r="A15" i="27"/>
  <c r="AW14" i="27" a="1"/>
  <c r="AW14" i="27" s="1"/>
  <c r="AY14" i="27" s="1"/>
  <c r="H14" i="27"/>
  <c r="G14" i="27"/>
  <c r="F14" i="27"/>
  <c r="E14" i="27"/>
  <c r="D14" i="27"/>
  <c r="C14" i="27"/>
  <c r="B14" i="27"/>
  <c r="A14" i="27"/>
  <c r="H13" i="27"/>
  <c r="G13" i="27"/>
  <c r="F13" i="27"/>
  <c r="E13" i="27"/>
  <c r="D13" i="27"/>
  <c r="C13" i="27"/>
  <c r="B13" i="27"/>
  <c r="A13" i="27"/>
  <c r="AW12" i="27" a="1"/>
  <c r="AW12" i="27" s="1"/>
  <c r="AY12" i="27" s="1"/>
  <c r="H12" i="27"/>
  <c r="G12" i="27"/>
  <c r="F12" i="27"/>
  <c r="E12" i="27"/>
  <c r="D12" i="27"/>
  <c r="C12" i="27"/>
  <c r="B12" i="27"/>
  <c r="A12" i="27"/>
  <c r="AW11" i="27" a="1"/>
  <c r="AW11" i="27" s="1"/>
  <c r="AY11" i="27" s="1"/>
  <c r="H11" i="27"/>
  <c r="G11" i="27"/>
  <c r="F11" i="27"/>
  <c r="E11" i="27"/>
  <c r="D11" i="27"/>
  <c r="C11" i="27"/>
  <c r="B11" i="27"/>
  <c r="A11" i="27"/>
  <c r="AW10" i="27" a="1"/>
  <c r="AW10" i="27" s="1"/>
  <c r="AY10" i="27" s="1"/>
  <c r="H10" i="27"/>
  <c r="G10" i="27"/>
  <c r="F10" i="27"/>
  <c r="E10" i="27"/>
  <c r="D10" i="27"/>
  <c r="C10" i="27"/>
  <c r="B10" i="27"/>
  <c r="A10" i="27"/>
  <c r="AW9" i="27" a="1"/>
  <c r="AW9" i="27" s="1"/>
  <c r="AY9" i="27" s="1"/>
  <c r="H9" i="27"/>
  <c r="G9" i="27"/>
  <c r="F9" i="27"/>
  <c r="E9" i="27"/>
  <c r="D9" i="27"/>
  <c r="C9" i="27"/>
  <c r="B9" i="27"/>
  <c r="A9" i="27"/>
  <c r="AW8" i="27" a="1"/>
  <c r="AW8" i="27" s="1"/>
  <c r="AY8" i="27" s="1"/>
  <c r="H8" i="27"/>
  <c r="G8" i="27"/>
  <c r="F8" i="27"/>
  <c r="E8" i="27"/>
  <c r="D8" i="27"/>
  <c r="C8" i="27"/>
  <c r="B8" i="27"/>
  <c r="A8" i="27"/>
  <c r="AW7" i="27" a="1"/>
  <c r="AW7" i="27" s="1"/>
  <c r="AY7" i="27" s="1"/>
  <c r="H7" i="27"/>
  <c r="G7" i="27"/>
  <c r="F7" i="27"/>
  <c r="E7" i="27"/>
  <c r="D7" i="27"/>
  <c r="C7" i="27"/>
  <c r="B7" i="27"/>
  <c r="A7" i="27"/>
  <c r="AW6" i="27" a="1"/>
  <c r="AW6" i="27" s="1"/>
  <c r="AY6" i="27" s="1"/>
  <c r="H6" i="27"/>
  <c r="G6" i="27"/>
  <c r="F6" i="27"/>
  <c r="E6" i="27"/>
  <c r="D6" i="27"/>
  <c r="C6" i="27"/>
  <c r="B6" i="27"/>
  <c r="A6" i="27"/>
  <c r="H5" i="27"/>
  <c r="G5" i="27"/>
  <c r="F5" i="27"/>
  <c r="E5" i="27"/>
  <c r="D5" i="27"/>
  <c r="C5" i="27"/>
  <c r="B5" i="27"/>
  <c r="A5" i="27"/>
  <c r="AW4" i="27" a="1"/>
  <c r="AW4" i="27" s="1"/>
  <c r="AY4" i="27" s="1"/>
  <c r="H4" i="27"/>
  <c r="G4" i="27"/>
  <c r="F4" i="27"/>
  <c r="E4" i="27"/>
  <c r="D4" i="27"/>
  <c r="C4" i="27"/>
  <c r="B4" i="27"/>
  <c r="A4" i="27"/>
  <c r="AQ52" i="26"/>
  <c r="AQ49" i="26"/>
  <c r="H33" i="26"/>
  <c r="G33" i="26"/>
  <c r="F33" i="26"/>
  <c r="E33" i="26"/>
  <c r="D33" i="26"/>
  <c r="C33" i="26"/>
  <c r="B33" i="26"/>
  <c r="A33" i="26"/>
  <c r="I32" i="27" l="1"/>
  <c r="AM55" i="27"/>
  <c r="AM60" i="27" s="1"/>
  <c r="Q55" i="27"/>
  <c r="Q60" i="27" s="1"/>
  <c r="P55" i="27"/>
  <c r="P60" i="27" s="1"/>
  <c r="AD55" i="27"/>
  <c r="AD60" i="27" s="1"/>
  <c r="N55" i="27"/>
  <c r="N60" i="27" s="1"/>
  <c r="AI55" i="27"/>
  <c r="AI60" i="27" s="1"/>
  <c r="AE55" i="27"/>
  <c r="AE60" i="27" s="1"/>
  <c r="S55" i="27"/>
  <c r="S60" i="27" s="1"/>
  <c r="Z55" i="27"/>
  <c r="Z60" i="27" s="1"/>
  <c r="AC55" i="27"/>
  <c r="AC60" i="27" s="1"/>
  <c r="AO55" i="27"/>
  <c r="AO60" i="27" s="1"/>
  <c r="AB55" i="27"/>
  <c r="AB60" i="27" s="1"/>
  <c r="M55" i="27"/>
  <c r="M60" i="27" s="1"/>
  <c r="AA55" i="27"/>
  <c r="AA60" i="27" s="1"/>
  <c r="L55" i="27"/>
  <c r="L60" i="27" s="1"/>
  <c r="K55" i="27"/>
  <c r="K60" i="27" s="1"/>
  <c r="O55" i="27"/>
  <c r="O60" i="27" s="1"/>
  <c r="W55" i="27"/>
  <c r="W60" i="27" s="1"/>
  <c r="X55" i="27"/>
  <c r="X60" i="27" s="1"/>
  <c r="AH55" i="27"/>
  <c r="AH60" i="27" s="1"/>
  <c r="AL55" i="27"/>
  <c r="AL60" i="27" s="1"/>
  <c r="AJ55" i="27"/>
  <c r="AJ60" i="27" s="1"/>
  <c r="V55" i="27"/>
  <c r="V60" i="27" s="1"/>
  <c r="U55" i="27"/>
  <c r="U60" i="27" s="1"/>
  <c r="AG55" i="27"/>
  <c r="AG60" i="27" s="1"/>
  <c r="T55" i="27"/>
  <c r="T60" i="27" s="1"/>
  <c r="AK55" i="27"/>
  <c r="AK60" i="27" s="1"/>
  <c r="R55" i="27"/>
  <c r="R60" i="27" s="1"/>
  <c r="AN55" i="27"/>
  <c r="AN60" i="27" s="1"/>
  <c r="Y55" i="27"/>
  <c r="Y60" i="27" s="1"/>
  <c r="AF55" i="27"/>
  <c r="AF60" i="27" s="1"/>
  <c r="I33" i="27"/>
  <c r="O61" i="27"/>
  <c r="AE61" i="27"/>
  <c r="S61" i="27"/>
  <c r="AQ15" i="27"/>
  <c r="AS15" i="27" s="1"/>
  <c r="AQ45" i="27"/>
  <c r="AS45" i="27" s="1"/>
  <c r="AQ8" i="27"/>
  <c r="AS8" i="27" s="1"/>
  <c r="I46" i="27"/>
  <c r="I4" i="27"/>
  <c r="U61" i="27"/>
  <c r="AK61" i="27"/>
  <c r="I26" i="27"/>
  <c r="I8" i="27"/>
  <c r="AQ4" i="27"/>
  <c r="AS4" i="27" s="1"/>
  <c r="AQ5" i="27"/>
  <c r="AS5" i="27" s="1"/>
  <c r="I11" i="27"/>
  <c r="AQ10" i="27"/>
  <c r="AS10" i="27" s="1"/>
  <c r="AQ16" i="27"/>
  <c r="AS16" i="27" s="1"/>
  <c r="K61" i="27"/>
  <c r="AA61" i="27"/>
  <c r="AB61" i="27"/>
  <c r="I23" i="27"/>
  <c r="AQ19" i="27"/>
  <c r="AS19" i="27" s="1"/>
  <c r="AQ21" i="27"/>
  <c r="AS21" i="27" s="1"/>
  <c r="AQ23" i="27"/>
  <c r="AS23" i="27" s="1"/>
  <c r="AQ25" i="27"/>
  <c r="AS25" i="27" s="1"/>
  <c r="L61" i="27"/>
  <c r="I16" i="27"/>
  <c r="AQ27" i="27"/>
  <c r="AS27" i="27" s="1"/>
  <c r="AQ31" i="27"/>
  <c r="AS31" i="27" s="1"/>
  <c r="AQ35" i="27"/>
  <c r="AS35" i="27" s="1"/>
  <c r="AQ39" i="27"/>
  <c r="AS39" i="27" s="1"/>
  <c r="AQ43" i="27"/>
  <c r="AS43" i="27" s="1"/>
  <c r="I9" i="27"/>
  <c r="AQ12" i="27"/>
  <c r="AS12" i="27" s="1"/>
  <c r="I18" i="27"/>
  <c r="I20" i="27"/>
  <c r="I22" i="27"/>
  <c r="AF61" i="27"/>
  <c r="Q61" i="27"/>
  <c r="AG61" i="27"/>
  <c r="AH61" i="27"/>
  <c r="I42" i="27"/>
  <c r="AQ18" i="27"/>
  <c r="AS18" i="27" s="1"/>
  <c r="AQ20" i="27"/>
  <c r="AS20" i="27" s="1"/>
  <c r="AQ26" i="27"/>
  <c r="AS26" i="27" s="1"/>
  <c r="AQ30" i="27"/>
  <c r="AS30" i="27" s="1"/>
  <c r="AQ36" i="27"/>
  <c r="AS36" i="27" s="1"/>
  <c r="I31" i="27"/>
  <c r="I37" i="27"/>
  <c r="I39" i="27"/>
  <c r="Y61" i="27"/>
  <c r="AO61" i="27"/>
  <c r="Z61" i="27"/>
  <c r="I30" i="27"/>
  <c r="AQ13" i="27"/>
  <c r="AS13" i="27" s="1"/>
  <c r="AQ22" i="27"/>
  <c r="AS22" i="27" s="1"/>
  <c r="I28" i="27"/>
  <c r="AQ41" i="27"/>
  <c r="AS41" i="27" s="1"/>
  <c r="I5" i="27"/>
  <c r="I36" i="27"/>
  <c r="I38" i="27"/>
  <c r="I17" i="27"/>
  <c r="I12" i="27"/>
  <c r="AQ24" i="27"/>
  <c r="AS24" i="27" s="1"/>
  <c r="I7" i="27"/>
  <c r="I6" i="27"/>
  <c r="I14" i="27"/>
  <c r="I19" i="27"/>
  <c r="I21" i="27"/>
  <c r="I40" i="27"/>
  <c r="M61" i="27"/>
  <c r="AC61" i="27"/>
  <c r="N61" i="27"/>
  <c r="AD61" i="27"/>
  <c r="I34" i="27"/>
  <c r="AQ28" i="27"/>
  <c r="AS28" i="27" s="1"/>
  <c r="AQ32" i="27"/>
  <c r="AS32" i="27" s="1"/>
  <c r="AQ34" i="27"/>
  <c r="AS34" i="27" s="1"/>
  <c r="AQ17" i="27"/>
  <c r="AS17" i="27" s="1"/>
  <c r="I27" i="27"/>
  <c r="AQ38" i="27"/>
  <c r="AS38" i="27" s="1"/>
  <c r="I44" i="27"/>
  <c r="P61" i="27"/>
  <c r="AQ40" i="27"/>
  <c r="AS40" i="27" s="1"/>
  <c r="R61" i="27"/>
  <c r="AI61" i="27"/>
  <c r="AQ42" i="27"/>
  <c r="AS42" i="27" s="1"/>
  <c r="AQ44" i="27"/>
  <c r="AS44" i="27" s="1"/>
  <c r="AQ46" i="27"/>
  <c r="AS46" i="27" s="1"/>
  <c r="T61" i="27"/>
  <c r="AJ61" i="27"/>
  <c r="AR58" i="27"/>
  <c r="I35" i="27"/>
  <c r="AQ9" i="27"/>
  <c r="AS9" i="27" s="1"/>
  <c r="I43" i="27"/>
  <c r="V61" i="27"/>
  <c r="AL61" i="27"/>
  <c r="I15" i="27"/>
  <c r="AQ6" i="27"/>
  <c r="AS6" i="27" s="1"/>
  <c r="I13" i="27"/>
  <c r="I24" i="27"/>
  <c r="AQ29" i="27"/>
  <c r="AS29" i="27" s="1"/>
  <c r="I41" i="27"/>
  <c r="W61" i="27"/>
  <c r="AM61" i="27"/>
  <c r="I25" i="27"/>
  <c r="I10" i="27"/>
  <c r="AQ11" i="27"/>
  <c r="AS11" i="27" s="1"/>
  <c r="AQ33" i="27"/>
  <c r="AS33" i="27" s="1"/>
  <c r="AQ37" i="27"/>
  <c r="AS37" i="27" s="1"/>
  <c r="X61" i="27"/>
  <c r="AN61" i="27"/>
  <c r="AS58" i="27"/>
  <c r="I45" i="27"/>
  <c r="AQ7" i="27"/>
  <c r="AS7" i="27" s="1"/>
  <c r="AQ14" i="27"/>
  <c r="AS14" i="27" s="1"/>
  <c r="I29" i="27"/>
  <c r="AP33" i="26"/>
  <c r="AR33" i="26" s="1"/>
  <c r="I33" i="26"/>
  <c r="K1" i="27" l="1"/>
  <c r="AN64" i="26" a="1"/>
  <c r="AN64" i="26" s="1"/>
  <c r="AM64" i="26" a="1"/>
  <c r="AM64" i="26" s="1"/>
  <c r="AL64" i="26" a="1"/>
  <c r="AL64" i="26" s="1"/>
  <c r="AK64" i="26" a="1"/>
  <c r="AK64" i="26" s="1"/>
  <c r="AJ64" i="26" a="1"/>
  <c r="AJ64" i="26" s="1"/>
  <c r="AI64" i="26" a="1"/>
  <c r="AI64" i="26" s="1"/>
  <c r="AH64" i="26" a="1"/>
  <c r="AH64" i="26" s="1"/>
  <c r="AG64" i="26" a="1"/>
  <c r="AG64" i="26" s="1"/>
  <c r="AF64" i="26" a="1"/>
  <c r="AF64" i="26" s="1"/>
  <c r="AE64" i="26" a="1"/>
  <c r="AE64" i="26" s="1"/>
  <c r="AD64" i="26" a="1"/>
  <c r="AD64" i="26" s="1"/>
  <c r="AC64" i="26" a="1"/>
  <c r="AC64" i="26" s="1"/>
  <c r="AB64" i="26" a="1"/>
  <c r="AB64" i="26" s="1"/>
  <c r="AA64" i="26" a="1"/>
  <c r="AA64" i="26" s="1"/>
  <c r="Z64" i="26" a="1"/>
  <c r="Z64" i="26" s="1"/>
  <c r="Y64" i="26" a="1"/>
  <c r="Y64" i="26" s="1"/>
  <c r="X64" i="26" a="1"/>
  <c r="X64" i="26" s="1"/>
  <c r="W64" i="26" a="1"/>
  <c r="W64" i="26" s="1"/>
  <c r="V64" i="26" a="1"/>
  <c r="V64" i="26" s="1"/>
  <c r="U64" i="26" a="1"/>
  <c r="U64" i="26" s="1"/>
  <c r="T64" i="26" a="1"/>
  <c r="T64" i="26" s="1"/>
  <c r="S64" i="26" a="1"/>
  <c r="S64" i="26" s="1"/>
  <c r="R64" i="26" a="1"/>
  <c r="R64" i="26" s="1"/>
  <c r="Q64" i="26" a="1"/>
  <c r="Q64" i="26" s="1"/>
  <c r="P64" i="26" a="1"/>
  <c r="P64" i="26" s="1"/>
  <c r="O64" i="26" a="1"/>
  <c r="O64" i="26" s="1"/>
  <c r="N64" i="26" a="1"/>
  <c r="N64" i="26" s="1"/>
  <c r="M64" i="26" a="1"/>
  <c r="M64" i="26" s="1"/>
  <c r="L64" i="26" a="1"/>
  <c r="L64" i="26" s="1"/>
  <c r="K64" i="26" a="1"/>
  <c r="K64" i="26" s="1"/>
  <c r="AN59" i="26"/>
  <c r="AM59" i="26"/>
  <c r="AL59" i="26"/>
  <c r="AK59" i="26"/>
  <c r="AJ59" i="26"/>
  <c r="AI59" i="26"/>
  <c r="AH59" i="26"/>
  <c r="AG59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R59" i="26"/>
  <c r="Q59" i="26"/>
  <c r="P59" i="26"/>
  <c r="O59" i="26"/>
  <c r="N59" i="26"/>
  <c r="M59" i="26"/>
  <c r="L59" i="26"/>
  <c r="K59" i="26"/>
  <c r="AN58" i="26"/>
  <c r="AM58" i="26"/>
  <c r="AL58" i="26"/>
  <c r="AK58" i="26"/>
  <c r="AJ58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R58" i="26"/>
  <c r="Q58" i="26"/>
  <c r="P58" i="26"/>
  <c r="O58" i="26"/>
  <c r="N58" i="26"/>
  <c r="M58" i="26"/>
  <c r="L58" i="26"/>
  <c r="K58" i="26"/>
  <c r="AN57" i="26"/>
  <c r="AM57" i="26"/>
  <c r="AL57" i="26"/>
  <c r="AK57" i="26"/>
  <c r="AJ57" i="26"/>
  <c r="AI57" i="26"/>
  <c r="AH57" i="26"/>
  <c r="AG57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R57" i="26"/>
  <c r="Q57" i="26"/>
  <c r="P57" i="26"/>
  <c r="O57" i="26"/>
  <c r="N57" i="26"/>
  <c r="M57" i="26"/>
  <c r="L57" i="26"/>
  <c r="K57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L61" i="26" s="1"/>
  <c r="K56" i="26"/>
  <c r="AR54" i="26" a="1"/>
  <c r="AR54" i="26" s="1"/>
  <c r="AQ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AR53" i="26" a="1"/>
  <c r="AR53" i="26" s="1"/>
  <c r="AQ53" i="26" a="1"/>
  <c r="AQ53" i="26" s="1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AR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AR51" i="26"/>
  <c r="AQ51" i="26"/>
  <c r="AN51" i="26" a="1"/>
  <c r="AN51" i="26" s="1"/>
  <c r="AM51" i="26" a="1"/>
  <c r="AM51" i="26" s="1"/>
  <c r="AL51" i="26" a="1"/>
  <c r="AL51" i="26" s="1"/>
  <c r="AK51" i="26" a="1"/>
  <c r="AK51" i="26" s="1"/>
  <c r="AJ51" i="26" a="1"/>
  <c r="AJ51" i="26" s="1"/>
  <c r="AI51" i="26" a="1"/>
  <c r="AI51" i="26" s="1"/>
  <c r="AH51" i="26" a="1"/>
  <c r="AH51" i="26" s="1"/>
  <c r="AG51" i="26" a="1"/>
  <c r="AG51" i="26" s="1"/>
  <c r="AF51" i="26" a="1"/>
  <c r="AF51" i="26" s="1"/>
  <c r="AE51" i="26" a="1"/>
  <c r="AE51" i="26" s="1"/>
  <c r="AD51" i="26" a="1"/>
  <c r="AD51" i="26" s="1"/>
  <c r="AC51" i="26" a="1"/>
  <c r="AC51" i="26" s="1"/>
  <c r="AB51" i="26" a="1"/>
  <c r="AB51" i="26" s="1"/>
  <c r="AA51" i="26" a="1"/>
  <c r="AA51" i="26" s="1"/>
  <c r="Z51" i="26" a="1"/>
  <c r="Z51" i="26" s="1"/>
  <c r="Y51" i="26" a="1"/>
  <c r="Y51" i="26" s="1"/>
  <c r="X51" i="26" a="1"/>
  <c r="X51" i="26" s="1"/>
  <c r="W51" i="26" a="1"/>
  <c r="W51" i="26" s="1"/>
  <c r="V51" i="26" a="1"/>
  <c r="V51" i="26" s="1"/>
  <c r="U51" i="26" a="1"/>
  <c r="U51" i="26" s="1"/>
  <c r="T51" i="26" a="1"/>
  <c r="T51" i="26" s="1"/>
  <c r="S51" i="26" a="1"/>
  <c r="S51" i="26" s="1"/>
  <c r="R51" i="26" a="1"/>
  <c r="R51" i="26" s="1"/>
  <c r="Q51" i="26" a="1"/>
  <c r="Q51" i="26" s="1"/>
  <c r="P51" i="26" a="1"/>
  <c r="P51" i="26" s="1"/>
  <c r="O51" i="26" a="1"/>
  <c r="O51" i="26" s="1"/>
  <c r="N51" i="26" a="1"/>
  <c r="N51" i="26" s="1"/>
  <c r="M51" i="26" a="1"/>
  <c r="M51" i="26" s="1"/>
  <c r="L51" i="26" a="1"/>
  <c r="L51" i="26" s="1"/>
  <c r="K51" i="26" a="1"/>
  <c r="K51" i="26" s="1"/>
  <c r="AR50" i="26"/>
  <c r="AQ50" i="26"/>
  <c r="AN50" i="26" a="1"/>
  <c r="AN50" i="26" s="1"/>
  <c r="AM50" i="26" a="1"/>
  <c r="AM50" i="26" s="1"/>
  <c r="AL50" i="26" a="1"/>
  <c r="AL50" i="26" s="1"/>
  <c r="AK50" i="26" a="1"/>
  <c r="AK50" i="26" s="1"/>
  <c r="AJ50" i="26" a="1"/>
  <c r="AJ50" i="26" s="1"/>
  <c r="AI50" i="26" a="1"/>
  <c r="AI50" i="26" s="1"/>
  <c r="AH50" i="26" a="1"/>
  <c r="AH50" i="26" s="1"/>
  <c r="AG50" i="26" a="1"/>
  <c r="AG50" i="26" s="1"/>
  <c r="AF50" i="26" a="1"/>
  <c r="AF50" i="26" s="1"/>
  <c r="AE50" i="26" a="1"/>
  <c r="AE50" i="26" s="1"/>
  <c r="AD50" i="26" a="1"/>
  <c r="AD50" i="26" s="1"/>
  <c r="AC50" i="26" a="1"/>
  <c r="AC50" i="26" s="1"/>
  <c r="AB50" i="26" a="1"/>
  <c r="AB50" i="26" s="1"/>
  <c r="AA50" i="26" a="1"/>
  <c r="AA50" i="26" s="1"/>
  <c r="Z50" i="26" a="1"/>
  <c r="Z50" i="26" s="1"/>
  <c r="Y50" i="26" a="1"/>
  <c r="Y50" i="26" s="1"/>
  <c r="X50" i="26" a="1"/>
  <c r="X50" i="26" s="1"/>
  <c r="W50" i="26" a="1"/>
  <c r="W50" i="26" s="1"/>
  <c r="V50" i="26" a="1"/>
  <c r="V50" i="26" s="1"/>
  <c r="U50" i="26" a="1"/>
  <c r="U50" i="26" s="1"/>
  <c r="T50" i="26" a="1"/>
  <c r="T50" i="26" s="1"/>
  <c r="S50" i="26" a="1"/>
  <c r="S50" i="26" s="1"/>
  <c r="R50" i="26" a="1"/>
  <c r="R50" i="26" s="1"/>
  <c r="Q50" i="26" a="1"/>
  <c r="Q50" i="26" s="1"/>
  <c r="P50" i="26" a="1"/>
  <c r="P50" i="26" s="1"/>
  <c r="O50" i="26" a="1"/>
  <c r="O50" i="26" s="1"/>
  <c r="N50" i="26" a="1"/>
  <c r="N50" i="26" s="1"/>
  <c r="M50" i="26" a="1"/>
  <c r="M50" i="26" s="1"/>
  <c r="L50" i="26" a="1"/>
  <c r="L50" i="26" s="1"/>
  <c r="K50" i="26" a="1"/>
  <c r="K50" i="26" s="1"/>
  <c r="AR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AN48" i="26" a="1"/>
  <c r="AN48" i="26" s="1"/>
  <c r="AM48" i="26" a="1"/>
  <c r="AM48" i="26" s="1"/>
  <c r="AL48" i="26" a="1"/>
  <c r="AL48" i="26" s="1"/>
  <c r="AK48" i="26" a="1"/>
  <c r="AK48" i="26" s="1"/>
  <c r="AJ48" i="26" a="1"/>
  <c r="AJ48" i="26" s="1"/>
  <c r="AI48" i="26" a="1"/>
  <c r="AI48" i="26" s="1"/>
  <c r="AH48" i="26" a="1"/>
  <c r="AH48" i="26" s="1"/>
  <c r="AG48" i="26" a="1"/>
  <c r="AG48" i="26" s="1"/>
  <c r="AF48" i="26" a="1"/>
  <c r="AF48" i="26" s="1"/>
  <c r="AE48" i="26" a="1"/>
  <c r="AE48" i="26" s="1"/>
  <c r="AD48" i="26" a="1"/>
  <c r="AD48" i="26" s="1"/>
  <c r="AC48" i="26" a="1"/>
  <c r="AC48" i="26" s="1"/>
  <c r="AB48" i="26" a="1"/>
  <c r="AB48" i="26" s="1"/>
  <c r="AA48" i="26" a="1"/>
  <c r="AA48" i="26" s="1"/>
  <c r="Z48" i="26" a="1"/>
  <c r="Z48" i="26" s="1"/>
  <c r="Y48" i="26" a="1"/>
  <c r="Y48" i="26" s="1"/>
  <c r="X48" i="26" a="1"/>
  <c r="X48" i="26" s="1"/>
  <c r="W48" i="26" a="1"/>
  <c r="W48" i="26" s="1"/>
  <c r="V48" i="26" a="1"/>
  <c r="V48" i="26" s="1"/>
  <c r="U48" i="26" a="1"/>
  <c r="U48" i="26" s="1"/>
  <c r="T48" i="26" a="1"/>
  <c r="T48" i="26" s="1"/>
  <c r="S48" i="26" a="1"/>
  <c r="S48" i="26" s="1"/>
  <c r="R48" i="26" a="1"/>
  <c r="R48" i="26" s="1"/>
  <c r="Q48" i="26" a="1"/>
  <c r="Q48" i="26" s="1"/>
  <c r="P48" i="26" a="1"/>
  <c r="P48" i="26" s="1"/>
  <c r="O48" i="26" a="1"/>
  <c r="O48" i="26" s="1"/>
  <c r="N48" i="26" a="1"/>
  <c r="N48" i="26" s="1"/>
  <c r="M48" i="26" a="1"/>
  <c r="M48" i="26" s="1"/>
  <c r="L48" i="26" a="1"/>
  <c r="L48" i="26" s="1"/>
  <c r="K48" i="26" a="1"/>
  <c r="K48" i="26" s="1"/>
  <c r="AN47" i="26" a="1"/>
  <c r="AN47" i="26" s="1"/>
  <c r="AM47" i="26" a="1"/>
  <c r="AM47" i="26" s="1"/>
  <c r="AL47" i="26" a="1"/>
  <c r="AL47" i="26" s="1"/>
  <c r="AK47" i="26" a="1"/>
  <c r="AK47" i="26" s="1"/>
  <c r="AJ47" i="26" a="1"/>
  <c r="AJ47" i="26" s="1"/>
  <c r="AI47" i="26" a="1"/>
  <c r="AI47" i="26" s="1"/>
  <c r="AH47" i="26" a="1"/>
  <c r="AH47" i="26" s="1"/>
  <c r="AG47" i="26" a="1"/>
  <c r="AG47" i="26" s="1"/>
  <c r="AF47" i="26" a="1"/>
  <c r="AF47" i="26" s="1"/>
  <c r="AE47" i="26" a="1"/>
  <c r="AE47" i="26" s="1"/>
  <c r="AD47" i="26" a="1"/>
  <c r="AD47" i="26" s="1"/>
  <c r="AC47" i="26" a="1"/>
  <c r="AC47" i="26" s="1"/>
  <c r="AB47" i="26" a="1"/>
  <c r="AB47" i="26" s="1"/>
  <c r="AA47" i="26" a="1"/>
  <c r="AA47" i="26" s="1"/>
  <c r="Z47" i="26" a="1"/>
  <c r="Z47" i="26" s="1"/>
  <c r="Y47" i="26" a="1"/>
  <c r="Y47" i="26" s="1"/>
  <c r="X47" i="26" a="1"/>
  <c r="X47" i="26" s="1"/>
  <c r="W47" i="26" a="1"/>
  <c r="W47" i="26" s="1"/>
  <c r="V47" i="26" a="1"/>
  <c r="V47" i="26" s="1"/>
  <c r="U47" i="26" a="1"/>
  <c r="U47" i="26" s="1"/>
  <c r="T47" i="26" a="1"/>
  <c r="T47" i="26" s="1"/>
  <c r="S47" i="26" a="1"/>
  <c r="S47" i="26" s="1"/>
  <c r="R47" i="26" a="1"/>
  <c r="R47" i="26" s="1"/>
  <c r="Q47" i="26" a="1"/>
  <c r="Q47" i="26" s="1"/>
  <c r="P47" i="26" a="1"/>
  <c r="P47" i="26" s="1"/>
  <c r="O47" i="26" a="1"/>
  <c r="O47" i="26" s="1"/>
  <c r="N47" i="26" a="1"/>
  <c r="N47" i="26" s="1"/>
  <c r="M47" i="26" a="1"/>
  <c r="M47" i="26" s="1"/>
  <c r="L47" i="26" a="1"/>
  <c r="L47" i="26" s="1"/>
  <c r="K47" i="26" a="1"/>
  <c r="K47" i="26" s="1"/>
  <c r="H46" i="26"/>
  <c r="G46" i="26"/>
  <c r="F46" i="26"/>
  <c r="E46" i="26"/>
  <c r="D46" i="26"/>
  <c r="C46" i="26"/>
  <c r="B46" i="26"/>
  <c r="A46" i="26"/>
  <c r="H45" i="26"/>
  <c r="G45" i="26"/>
  <c r="F45" i="26"/>
  <c r="E45" i="26"/>
  <c r="D45" i="26"/>
  <c r="C45" i="26"/>
  <c r="B45" i="26"/>
  <c r="A45" i="26"/>
  <c r="H44" i="26"/>
  <c r="G44" i="26"/>
  <c r="F44" i="26"/>
  <c r="E44" i="26"/>
  <c r="D44" i="26"/>
  <c r="C44" i="26"/>
  <c r="B44" i="26"/>
  <c r="A44" i="26"/>
  <c r="H43" i="26"/>
  <c r="G43" i="26"/>
  <c r="F43" i="26"/>
  <c r="E43" i="26"/>
  <c r="D43" i="26"/>
  <c r="C43" i="26"/>
  <c r="B43" i="26"/>
  <c r="A43" i="26"/>
  <c r="H42" i="26"/>
  <c r="G42" i="26"/>
  <c r="F42" i="26"/>
  <c r="E42" i="26"/>
  <c r="D42" i="26"/>
  <c r="C42" i="26"/>
  <c r="B42" i="26"/>
  <c r="A42" i="26"/>
  <c r="H41" i="26"/>
  <c r="G41" i="26"/>
  <c r="F41" i="26"/>
  <c r="E41" i="26"/>
  <c r="D41" i="26"/>
  <c r="C41" i="26"/>
  <c r="B41" i="26"/>
  <c r="A41" i="26"/>
  <c r="H40" i="26"/>
  <c r="G40" i="26"/>
  <c r="F40" i="26"/>
  <c r="E40" i="26"/>
  <c r="D40" i="26"/>
  <c r="C40" i="26"/>
  <c r="B40" i="26"/>
  <c r="A40" i="26"/>
  <c r="H39" i="26"/>
  <c r="G39" i="26"/>
  <c r="F39" i="26"/>
  <c r="E39" i="26"/>
  <c r="D39" i="26"/>
  <c r="C39" i="26"/>
  <c r="B39" i="26"/>
  <c r="A39" i="26"/>
  <c r="H38" i="26"/>
  <c r="G38" i="26"/>
  <c r="F38" i="26"/>
  <c r="E38" i="26"/>
  <c r="D38" i="26"/>
  <c r="C38" i="26"/>
  <c r="B38" i="26"/>
  <c r="A38" i="26"/>
  <c r="H37" i="26"/>
  <c r="G37" i="26"/>
  <c r="F37" i="26"/>
  <c r="E37" i="26"/>
  <c r="D37" i="26"/>
  <c r="C37" i="26"/>
  <c r="B37" i="26"/>
  <c r="A37" i="26"/>
  <c r="H36" i="26"/>
  <c r="G36" i="26"/>
  <c r="F36" i="26"/>
  <c r="E36" i="26"/>
  <c r="D36" i="26"/>
  <c r="C36" i="26"/>
  <c r="B36" i="26"/>
  <c r="A36" i="26"/>
  <c r="H35" i="26"/>
  <c r="G35" i="26"/>
  <c r="F35" i="26"/>
  <c r="E35" i="26"/>
  <c r="D35" i="26"/>
  <c r="C35" i="26"/>
  <c r="B35" i="26"/>
  <c r="A35" i="26"/>
  <c r="H34" i="26"/>
  <c r="G34" i="26"/>
  <c r="F34" i="26"/>
  <c r="E34" i="26"/>
  <c r="D34" i="26"/>
  <c r="C34" i="26"/>
  <c r="B34" i="26"/>
  <c r="A34" i="26"/>
  <c r="H32" i="26"/>
  <c r="G32" i="26"/>
  <c r="F32" i="26"/>
  <c r="E32" i="26"/>
  <c r="D32" i="26"/>
  <c r="C32" i="26"/>
  <c r="B32" i="26"/>
  <c r="A32" i="26"/>
  <c r="H31" i="26"/>
  <c r="G31" i="26"/>
  <c r="F31" i="26"/>
  <c r="E31" i="26"/>
  <c r="D31" i="26"/>
  <c r="C31" i="26"/>
  <c r="B31" i="26"/>
  <c r="A31" i="26"/>
  <c r="H30" i="26"/>
  <c r="G30" i="26"/>
  <c r="F30" i="26"/>
  <c r="E30" i="26"/>
  <c r="D30" i="26"/>
  <c r="C30" i="26"/>
  <c r="B30" i="26"/>
  <c r="A30" i="26"/>
  <c r="H29" i="26"/>
  <c r="G29" i="26"/>
  <c r="F29" i="26"/>
  <c r="E29" i="26"/>
  <c r="D29" i="26"/>
  <c r="C29" i="26"/>
  <c r="B29" i="26"/>
  <c r="A29" i="26"/>
  <c r="H28" i="26"/>
  <c r="G28" i="26"/>
  <c r="F28" i="26"/>
  <c r="E28" i="26"/>
  <c r="D28" i="26"/>
  <c r="C28" i="26"/>
  <c r="B28" i="26"/>
  <c r="A28" i="26"/>
  <c r="H27" i="26"/>
  <c r="G27" i="26"/>
  <c r="F27" i="26"/>
  <c r="E27" i="26"/>
  <c r="D27" i="26"/>
  <c r="C27" i="26"/>
  <c r="B27" i="26"/>
  <c r="A27" i="26"/>
  <c r="H26" i="26"/>
  <c r="G26" i="26"/>
  <c r="F26" i="26"/>
  <c r="E26" i="26"/>
  <c r="D26" i="26"/>
  <c r="C26" i="26"/>
  <c r="B26" i="26"/>
  <c r="A26" i="26"/>
  <c r="H25" i="26"/>
  <c r="G25" i="26"/>
  <c r="F25" i="26"/>
  <c r="E25" i="26"/>
  <c r="D25" i="26"/>
  <c r="C25" i="26"/>
  <c r="B25" i="26"/>
  <c r="A25" i="26"/>
  <c r="H24" i="26"/>
  <c r="G24" i="26"/>
  <c r="F24" i="26"/>
  <c r="E24" i="26"/>
  <c r="D24" i="26"/>
  <c r="C24" i="26"/>
  <c r="B24" i="26"/>
  <c r="A24" i="26"/>
  <c r="H23" i="26"/>
  <c r="G23" i="26"/>
  <c r="F23" i="26"/>
  <c r="E23" i="26"/>
  <c r="D23" i="26"/>
  <c r="C23" i="26"/>
  <c r="B23" i="26"/>
  <c r="A23" i="26"/>
  <c r="H22" i="26"/>
  <c r="G22" i="26"/>
  <c r="F22" i="26"/>
  <c r="E22" i="26"/>
  <c r="D22" i="26"/>
  <c r="C22" i="26"/>
  <c r="B22" i="26"/>
  <c r="A22" i="26"/>
  <c r="H21" i="26"/>
  <c r="G21" i="26"/>
  <c r="F21" i="26"/>
  <c r="E21" i="26"/>
  <c r="D21" i="26"/>
  <c r="C21" i="26"/>
  <c r="B21" i="26"/>
  <c r="A21" i="26"/>
  <c r="H20" i="26"/>
  <c r="G20" i="26"/>
  <c r="F20" i="26"/>
  <c r="E20" i="26"/>
  <c r="D20" i="26"/>
  <c r="C20" i="26"/>
  <c r="B20" i="26"/>
  <c r="A20" i="26"/>
  <c r="H19" i="26"/>
  <c r="G19" i="26"/>
  <c r="F19" i="26"/>
  <c r="E19" i="26"/>
  <c r="D19" i="26"/>
  <c r="C19" i="26"/>
  <c r="B19" i="26"/>
  <c r="A19" i="26"/>
  <c r="H18" i="26"/>
  <c r="G18" i="26"/>
  <c r="F18" i="26"/>
  <c r="E18" i="26"/>
  <c r="D18" i="26"/>
  <c r="C18" i="26"/>
  <c r="B18" i="26"/>
  <c r="A18" i="26"/>
  <c r="I18" i="26" s="1"/>
  <c r="AV17" i="26" a="1"/>
  <c r="AV17" i="26" s="1"/>
  <c r="AX17" i="26" s="1"/>
  <c r="H17" i="26"/>
  <c r="G17" i="26"/>
  <c r="F17" i="26"/>
  <c r="E17" i="26"/>
  <c r="D17" i="26"/>
  <c r="C17" i="26"/>
  <c r="B17" i="26"/>
  <c r="A17" i="26"/>
  <c r="AV16" i="26" a="1"/>
  <c r="AV16" i="26" s="1"/>
  <c r="AX16" i="26" s="1"/>
  <c r="H16" i="26"/>
  <c r="G16" i="26"/>
  <c r="F16" i="26"/>
  <c r="E16" i="26"/>
  <c r="D16" i="26"/>
  <c r="C16" i="26"/>
  <c r="B16" i="26"/>
  <c r="A16" i="26"/>
  <c r="AV15" i="26" a="1"/>
  <c r="AV15" i="26" s="1"/>
  <c r="AX15" i="26" s="1"/>
  <c r="H15" i="26"/>
  <c r="G15" i="26"/>
  <c r="F15" i="26"/>
  <c r="E15" i="26"/>
  <c r="D15" i="26"/>
  <c r="C15" i="26"/>
  <c r="B15" i="26"/>
  <c r="A15" i="26"/>
  <c r="AV14" i="26" a="1"/>
  <c r="AV14" i="26" s="1"/>
  <c r="AX14" i="26" s="1"/>
  <c r="H14" i="26"/>
  <c r="G14" i="26"/>
  <c r="F14" i="26"/>
  <c r="E14" i="26"/>
  <c r="D14" i="26"/>
  <c r="C14" i="26"/>
  <c r="B14" i="26"/>
  <c r="A14" i="26"/>
  <c r="H13" i="26"/>
  <c r="G13" i="26"/>
  <c r="F13" i="26"/>
  <c r="E13" i="26"/>
  <c r="D13" i="26"/>
  <c r="C13" i="26"/>
  <c r="B13" i="26"/>
  <c r="A13" i="26"/>
  <c r="AV12" i="26" a="1"/>
  <c r="AV12" i="26" s="1"/>
  <c r="AX12" i="26" s="1"/>
  <c r="H12" i="26"/>
  <c r="G12" i="26"/>
  <c r="F12" i="26"/>
  <c r="E12" i="26"/>
  <c r="D12" i="26"/>
  <c r="C12" i="26"/>
  <c r="B12" i="26"/>
  <c r="A12" i="26"/>
  <c r="AV11" i="26" a="1"/>
  <c r="AV11" i="26" s="1"/>
  <c r="AX11" i="26" s="1"/>
  <c r="H11" i="26"/>
  <c r="G11" i="26"/>
  <c r="F11" i="26"/>
  <c r="E11" i="26"/>
  <c r="D11" i="26"/>
  <c r="C11" i="26"/>
  <c r="B11" i="26"/>
  <c r="A11" i="26"/>
  <c r="AV10" i="26" a="1"/>
  <c r="AV10" i="26" s="1"/>
  <c r="AX10" i="26" s="1"/>
  <c r="H10" i="26"/>
  <c r="G10" i="26"/>
  <c r="F10" i="26"/>
  <c r="E10" i="26"/>
  <c r="D10" i="26"/>
  <c r="C10" i="26"/>
  <c r="B10" i="26"/>
  <c r="A10" i="26"/>
  <c r="AV9" i="26" a="1"/>
  <c r="AV9" i="26" s="1"/>
  <c r="AX9" i="26" s="1"/>
  <c r="H9" i="26"/>
  <c r="G9" i="26"/>
  <c r="F9" i="26"/>
  <c r="E9" i="26"/>
  <c r="D9" i="26"/>
  <c r="C9" i="26"/>
  <c r="B9" i="26"/>
  <c r="A9" i="26"/>
  <c r="AV8" i="26" a="1"/>
  <c r="AV8" i="26" s="1"/>
  <c r="AX8" i="26" s="1"/>
  <c r="H8" i="26"/>
  <c r="G8" i="26"/>
  <c r="F8" i="26"/>
  <c r="E8" i="26"/>
  <c r="D8" i="26"/>
  <c r="C8" i="26"/>
  <c r="B8" i="26"/>
  <c r="A8" i="26"/>
  <c r="AV7" i="26" a="1"/>
  <c r="AV7" i="26" s="1"/>
  <c r="AX7" i="26" s="1"/>
  <c r="H7" i="26"/>
  <c r="G7" i="26"/>
  <c r="F7" i="26"/>
  <c r="E7" i="26"/>
  <c r="D7" i="26"/>
  <c r="C7" i="26"/>
  <c r="B7" i="26"/>
  <c r="A7" i="26"/>
  <c r="AV6" i="26" a="1"/>
  <c r="AV6" i="26" s="1"/>
  <c r="AX6" i="26" s="1"/>
  <c r="H6" i="26"/>
  <c r="G6" i="26"/>
  <c r="F6" i="26"/>
  <c r="E6" i="26"/>
  <c r="D6" i="26"/>
  <c r="C6" i="26"/>
  <c r="B6" i="26"/>
  <c r="A6" i="26"/>
  <c r="H5" i="26"/>
  <c r="G5" i="26"/>
  <c r="F5" i="26"/>
  <c r="E5" i="26"/>
  <c r="D5" i="26"/>
  <c r="C5" i="26"/>
  <c r="B5" i="26"/>
  <c r="A5" i="26"/>
  <c r="AV4" i="26" a="1"/>
  <c r="AV4" i="26" s="1"/>
  <c r="AX4" i="26" s="1"/>
  <c r="H4" i="26"/>
  <c r="G4" i="26"/>
  <c r="F4" i="26"/>
  <c r="E4" i="26"/>
  <c r="D4" i="26"/>
  <c r="C4" i="26"/>
  <c r="B4" i="26"/>
  <c r="A4" i="26"/>
  <c r="K61" i="26" l="1"/>
  <c r="AB61" i="26"/>
  <c r="AN61" i="26"/>
  <c r="AP5" i="26"/>
  <c r="AR5" i="26" s="1"/>
  <c r="AA61" i="26"/>
  <c r="T61" i="26"/>
  <c r="AJ61" i="26"/>
  <c r="W61" i="26"/>
  <c r="O61" i="26"/>
  <c r="R61" i="26"/>
  <c r="V61" i="26"/>
  <c r="AL61" i="26"/>
  <c r="Y61" i="26"/>
  <c r="M61" i="26"/>
  <c r="AC61" i="26"/>
  <c r="S61" i="26"/>
  <c r="AI61" i="26"/>
  <c r="U61" i="26"/>
  <c r="AK61" i="26"/>
  <c r="Z61" i="26"/>
  <c r="Q61" i="26"/>
  <c r="AP25" i="26"/>
  <c r="AR25" i="26" s="1"/>
  <c r="AP27" i="26"/>
  <c r="AR27" i="26" s="1"/>
  <c r="AP31" i="26"/>
  <c r="AR31" i="26" s="1"/>
  <c r="AP34" i="26"/>
  <c r="AR34" i="26" s="1"/>
  <c r="AP38" i="26"/>
  <c r="AR38" i="26" s="1"/>
  <c r="AP44" i="26"/>
  <c r="AR44" i="26" s="1"/>
  <c r="AP46" i="26"/>
  <c r="AR46" i="26" s="1"/>
  <c r="N61" i="26"/>
  <c r="AD61" i="26"/>
  <c r="P61" i="26"/>
  <c r="AM61" i="26"/>
  <c r="AH61" i="26"/>
  <c r="AG61" i="26"/>
  <c r="AF61" i="26"/>
  <c r="AE61" i="26"/>
  <c r="X61" i="26"/>
  <c r="AL55" i="26"/>
  <c r="AL60" i="26" s="1"/>
  <c r="AP8" i="26"/>
  <c r="AR8" i="26" s="1"/>
  <c r="I26" i="26"/>
  <c r="I4" i="26"/>
  <c r="AP12" i="26"/>
  <c r="AR12" i="26" s="1"/>
  <c r="I30" i="26"/>
  <c r="I37" i="26"/>
  <c r="I39" i="26"/>
  <c r="I45" i="26"/>
  <c r="AP22" i="26"/>
  <c r="AR22" i="26" s="1"/>
  <c r="AP24" i="26"/>
  <c r="AR24" i="26" s="1"/>
  <c r="AP32" i="26"/>
  <c r="AR32" i="26" s="1"/>
  <c r="AP43" i="26"/>
  <c r="AR43" i="26" s="1"/>
  <c r="AP11" i="26"/>
  <c r="AR11" i="26" s="1"/>
  <c r="AP41" i="26"/>
  <c r="AR41" i="26" s="1"/>
  <c r="I17" i="26"/>
  <c r="I44" i="26"/>
  <c r="AP14" i="26"/>
  <c r="AR14" i="26" s="1"/>
  <c r="I8" i="26"/>
  <c r="I19" i="26"/>
  <c r="AR58" i="26"/>
  <c r="I12" i="26"/>
  <c r="I9" i="26"/>
  <c r="AP9" i="26"/>
  <c r="AR9" i="26" s="1"/>
  <c r="AP16" i="26"/>
  <c r="AR16" i="26" s="1"/>
  <c r="I14" i="26"/>
  <c r="AP20" i="26"/>
  <c r="AR20" i="26" s="1"/>
  <c r="I20" i="26"/>
  <c r="V55" i="26"/>
  <c r="V60" i="26" s="1"/>
  <c r="AP10" i="26"/>
  <c r="AR10" i="26" s="1"/>
  <c r="AP15" i="26"/>
  <c r="AR15" i="26" s="1"/>
  <c r="AP23" i="26"/>
  <c r="AR23" i="26" s="1"/>
  <c r="I24" i="26"/>
  <c r="AP29" i="26"/>
  <c r="AR29" i="26" s="1"/>
  <c r="AP36" i="26"/>
  <c r="AR36" i="26" s="1"/>
  <c r="AP40" i="26"/>
  <c r="AR40" i="26" s="1"/>
  <c r="AP42" i="26"/>
  <c r="AR42" i="26" s="1"/>
  <c r="I41" i="26"/>
  <c r="I43" i="26"/>
  <c r="AP7" i="26"/>
  <c r="AR7" i="26" s="1"/>
  <c r="AP18" i="26"/>
  <c r="AR18" i="26" s="1"/>
  <c r="I22" i="26"/>
  <c r="I28" i="26"/>
  <c r="I35" i="26"/>
  <c r="AP4" i="26"/>
  <c r="AR4" i="26" s="1"/>
  <c r="I11" i="26"/>
  <c r="AP28" i="26"/>
  <c r="AR28" i="26" s="1"/>
  <c r="AP30" i="26"/>
  <c r="AR30" i="26" s="1"/>
  <c r="AP35" i="26"/>
  <c r="AR35" i="26" s="1"/>
  <c r="AP37" i="26"/>
  <c r="AR37" i="26" s="1"/>
  <c r="I6" i="26"/>
  <c r="AP17" i="26"/>
  <c r="AR17" i="26" s="1"/>
  <c r="I21" i="26"/>
  <c r="AP26" i="26"/>
  <c r="AR26" i="26" s="1"/>
  <c r="AP39" i="26"/>
  <c r="AR39" i="26" s="1"/>
  <c r="I16" i="26"/>
  <c r="I23" i="26"/>
  <c r="I13" i="26"/>
  <c r="I27" i="26"/>
  <c r="I29" i="26"/>
  <c r="I31" i="26"/>
  <c r="I34" i="26"/>
  <c r="I36" i="26"/>
  <c r="I38" i="26"/>
  <c r="AP45" i="26"/>
  <c r="AR45" i="26" s="1"/>
  <c r="I10" i="26"/>
  <c r="AP19" i="26"/>
  <c r="AR19" i="26" s="1"/>
  <c r="I25" i="26"/>
  <c r="I40" i="26"/>
  <c r="I5" i="26"/>
  <c r="I42" i="26"/>
  <c r="I46" i="26"/>
  <c r="AP13" i="26"/>
  <c r="AR13" i="26" s="1"/>
  <c r="I15" i="26"/>
  <c r="AP21" i="26"/>
  <c r="AR21" i="26" s="1"/>
  <c r="Y55" i="26"/>
  <c r="Y60" i="26" s="1"/>
  <c r="I32" i="26"/>
  <c r="AQ58" i="26"/>
  <c r="R55" i="26"/>
  <c r="R60" i="26" s="1"/>
  <c r="W55" i="26"/>
  <c r="W60" i="26" s="1"/>
  <c r="AK55" i="26"/>
  <c r="AK60" i="26" s="1"/>
  <c r="L55" i="26"/>
  <c r="L60" i="26" s="1"/>
  <c r="Z55" i="26"/>
  <c r="Z60" i="26" s="1"/>
  <c r="AM55" i="26"/>
  <c r="AM60" i="26" s="1"/>
  <c r="AA55" i="26"/>
  <c r="AA60" i="26" s="1"/>
  <c r="AN55" i="26"/>
  <c r="AN60" i="26" s="1"/>
  <c r="S55" i="26"/>
  <c r="S60" i="26" s="1"/>
  <c r="AI55" i="26"/>
  <c r="AI60" i="26" s="1"/>
  <c r="AH55" i="26"/>
  <c r="AH60" i="26" s="1"/>
  <c r="AB55" i="26"/>
  <c r="AB60" i="26" s="1"/>
  <c r="P55" i="26"/>
  <c r="P60" i="26" s="1"/>
  <c r="AC55" i="26"/>
  <c r="AC60" i="26" s="1"/>
  <c r="U55" i="26"/>
  <c r="U60" i="26" s="1"/>
  <c r="K55" i="26"/>
  <c r="K60" i="26" s="1"/>
  <c r="T55" i="26"/>
  <c r="T60" i="26" s="1"/>
  <c r="AJ55" i="26"/>
  <c r="AJ60" i="26" s="1"/>
  <c r="X55" i="26"/>
  <c r="X60" i="26" s="1"/>
  <c r="M55" i="26"/>
  <c r="M60" i="26" s="1"/>
  <c r="O55" i="26"/>
  <c r="O60" i="26" s="1"/>
  <c r="AE55" i="26"/>
  <c r="AE60" i="26" s="1"/>
  <c r="AF55" i="26"/>
  <c r="AF60" i="26" s="1"/>
  <c r="AP6" i="26"/>
  <c r="AR6" i="26" s="1"/>
  <c r="N55" i="26"/>
  <c r="N60" i="26" s="1"/>
  <c r="AD55" i="26"/>
  <c r="AD60" i="26" s="1"/>
  <c r="Q55" i="26"/>
  <c r="Q60" i="26" s="1"/>
  <c r="AG55" i="26"/>
  <c r="AG60" i="26" s="1"/>
  <c r="I7" i="26"/>
  <c r="K1" i="26" l="1"/>
  <c r="A6" i="25"/>
  <c r="B6" i="25"/>
  <c r="C6" i="25"/>
  <c r="D6" i="25"/>
  <c r="E6" i="25"/>
  <c r="F6" i="25"/>
  <c r="G6" i="25"/>
  <c r="H6" i="25"/>
  <c r="A7" i="25"/>
  <c r="B7" i="25"/>
  <c r="C7" i="25"/>
  <c r="D7" i="25"/>
  <c r="E7" i="25"/>
  <c r="F7" i="25"/>
  <c r="G7" i="25"/>
  <c r="H7" i="25"/>
  <c r="A8" i="25"/>
  <c r="B8" i="25"/>
  <c r="C8" i="25"/>
  <c r="D8" i="25"/>
  <c r="E8" i="25"/>
  <c r="F8" i="25"/>
  <c r="G8" i="25"/>
  <c r="H8" i="25"/>
  <c r="A9" i="25"/>
  <c r="B9" i="25"/>
  <c r="C9" i="25"/>
  <c r="D9" i="25"/>
  <c r="E9" i="25"/>
  <c r="F9" i="25"/>
  <c r="G9" i="25"/>
  <c r="H9" i="25"/>
  <c r="A10" i="25"/>
  <c r="B10" i="25"/>
  <c r="C10" i="25"/>
  <c r="D10" i="25"/>
  <c r="E10" i="25"/>
  <c r="F10" i="25"/>
  <c r="G10" i="25"/>
  <c r="H10" i="25"/>
  <c r="A11" i="25"/>
  <c r="B11" i="25"/>
  <c r="C11" i="25"/>
  <c r="D11" i="25"/>
  <c r="E11" i="25"/>
  <c r="F11" i="25"/>
  <c r="G11" i="25"/>
  <c r="H11" i="25"/>
  <c r="A12" i="25"/>
  <c r="B12" i="25"/>
  <c r="C12" i="25"/>
  <c r="D12" i="25"/>
  <c r="E12" i="25"/>
  <c r="F12" i="25"/>
  <c r="G12" i="25"/>
  <c r="H12" i="25"/>
  <c r="A13" i="25"/>
  <c r="B13" i="25"/>
  <c r="C13" i="25"/>
  <c r="D13" i="25"/>
  <c r="E13" i="25"/>
  <c r="F13" i="25"/>
  <c r="G13" i="25"/>
  <c r="H13" i="25"/>
  <c r="A14" i="25"/>
  <c r="B14" i="25"/>
  <c r="C14" i="25"/>
  <c r="D14" i="25"/>
  <c r="E14" i="25"/>
  <c r="F14" i="25"/>
  <c r="G14" i="25"/>
  <c r="H14" i="25"/>
  <c r="A15" i="25"/>
  <c r="B15" i="25"/>
  <c r="C15" i="25"/>
  <c r="D15" i="25"/>
  <c r="E15" i="25"/>
  <c r="F15" i="25"/>
  <c r="G15" i="25"/>
  <c r="H15" i="25"/>
  <c r="A16" i="25"/>
  <c r="B16" i="25"/>
  <c r="C16" i="25"/>
  <c r="D16" i="25"/>
  <c r="E16" i="25"/>
  <c r="F16" i="25"/>
  <c r="G16" i="25"/>
  <c r="H16" i="25"/>
  <c r="I14" i="25" l="1"/>
  <c r="I16" i="25"/>
  <c r="I15" i="25"/>
  <c r="I13" i="25"/>
  <c r="I9" i="25"/>
  <c r="I8" i="25"/>
  <c r="I10" i="25"/>
  <c r="I12" i="25"/>
  <c r="I7" i="25"/>
  <c r="I6" i="25"/>
  <c r="I11" i="25"/>
  <c r="AS53" i="25" a="1"/>
  <c r="AS53" i="25" s="1"/>
  <c r="AR53" i="25" a="1"/>
  <c r="AR53" i="25" s="1"/>
  <c r="AS52" i="25" a="1"/>
  <c r="AS52" i="25" s="1"/>
  <c r="AR52" i="25" a="1"/>
  <c r="AR52" i="25" s="1"/>
  <c r="L46" i="25" a="1"/>
  <c r="L46" i="25" s="1"/>
  <c r="M46" i="25" a="1"/>
  <c r="M46" i="25" s="1"/>
  <c r="N46" i="25" a="1"/>
  <c r="N46" i="25" s="1"/>
  <c r="O46" i="25" a="1"/>
  <c r="O46" i="25" s="1"/>
  <c r="P46" i="25" a="1"/>
  <c r="P46" i="25" s="1"/>
  <c r="Q46" i="25" a="1"/>
  <c r="Q46" i="25" s="1"/>
  <c r="R46" i="25" a="1"/>
  <c r="R46" i="25" s="1"/>
  <c r="S46" i="25" a="1"/>
  <c r="S46" i="25" s="1"/>
  <c r="T46" i="25" a="1"/>
  <c r="T46" i="25" s="1"/>
  <c r="U46" i="25" a="1"/>
  <c r="U46" i="25" s="1"/>
  <c r="V46" i="25" a="1"/>
  <c r="V46" i="25" s="1"/>
  <c r="W46" i="25" a="1"/>
  <c r="W46" i="25" s="1"/>
  <c r="X46" i="25" a="1"/>
  <c r="X46" i="25" s="1"/>
  <c r="Y46" i="25" a="1"/>
  <c r="Y46" i="25" s="1"/>
  <c r="Z46" i="25" a="1"/>
  <c r="Z46" i="25" s="1"/>
  <c r="AA46" i="25" a="1"/>
  <c r="AA46" i="25" s="1"/>
  <c r="AB46" i="25" a="1"/>
  <c r="AB46" i="25" s="1"/>
  <c r="AC46" i="25" a="1"/>
  <c r="AC46" i="25" s="1"/>
  <c r="AD46" i="25" a="1"/>
  <c r="AD46" i="25" s="1"/>
  <c r="AE46" i="25" a="1"/>
  <c r="AE46" i="25" s="1"/>
  <c r="AF46" i="25" a="1"/>
  <c r="AF46" i="25" s="1"/>
  <c r="AG46" i="25" a="1"/>
  <c r="AG46" i="25" s="1"/>
  <c r="AH46" i="25" a="1"/>
  <c r="AH46" i="25" s="1"/>
  <c r="AI46" i="25" a="1"/>
  <c r="AI46" i="25" s="1"/>
  <c r="AJ46" i="25" a="1"/>
  <c r="AJ46" i="25" s="1"/>
  <c r="AK46" i="25" a="1"/>
  <c r="AK46" i="25" s="1"/>
  <c r="AL46" i="25" a="1"/>
  <c r="AL46" i="25" s="1"/>
  <c r="AM46" i="25" a="1"/>
  <c r="AM46" i="25" s="1"/>
  <c r="AN46" i="25" a="1"/>
  <c r="AN46" i="25" s="1"/>
  <c r="AO46" i="25" a="1"/>
  <c r="AO46" i="25" s="1"/>
  <c r="L47" i="25" a="1"/>
  <c r="L47" i="25" s="1"/>
  <c r="M47" i="25" a="1"/>
  <c r="M47" i="25" s="1"/>
  <c r="N47" i="25" a="1"/>
  <c r="N47" i="25" s="1"/>
  <c r="O47" i="25" a="1"/>
  <c r="O47" i="25" s="1"/>
  <c r="P47" i="25" a="1"/>
  <c r="P47" i="25" s="1"/>
  <c r="Q47" i="25" a="1"/>
  <c r="Q47" i="25" s="1"/>
  <c r="R47" i="25" a="1"/>
  <c r="R47" i="25" s="1"/>
  <c r="S47" i="25" a="1"/>
  <c r="S47" i="25" s="1"/>
  <c r="T47" i="25" a="1"/>
  <c r="T47" i="25" s="1"/>
  <c r="U47" i="25" a="1"/>
  <c r="U47" i="25" s="1"/>
  <c r="V47" i="25" a="1"/>
  <c r="V47" i="25" s="1"/>
  <c r="W47" i="25" a="1"/>
  <c r="W47" i="25" s="1"/>
  <c r="X47" i="25" a="1"/>
  <c r="X47" i="25" s="1"/>
  <c r="Y47" i="25" a="1"/>
  <c r="Y47" i="25" s="1"/>
  <c r="Z47" i="25" a="1"/>
  <c r="Z47" i="25" s="1"/>
  <c r="AA47" i="25" a="1"/>
  <c r="AA47" i="25" s="1"/>
  <c r="AB47" i="25" a="1"/>
  <c r="AB47" i="25" s="1"/>
  <c r="AC47" i="25" a="1"/>
  <c r="AC47" i="25" s="1"/>
  <c r="AD47" i="25" a="1"/>
  <c r="AD47" i="25" s="1"/>
  <c r="AE47" i="25" a="1"/>
  <c r="AE47" i="25" s="1"/>
  <c r="AF47" i="25" a="1"/>
  <c r="AF47" i="25" s="1"/>
  <c r="AG47" i="25" a="1"/>
  <c r="AG47" i="25" s="1"/>
  <c r="AH47" i="25" a="1"/>
  <c r="AH47" i="25" s="1"/>
  <c r="AI47" i="25" a="1"/>
  <c r="AI47" i="25" s="1"/>
  <c r="AJ47" i="25" a="1"/>
  <c r="AJ47" i="25" s="1"/>
  <c r="AK47" i="25" a="1"/>
  <c r="AK47" i="25" s="1"/>
  <c r="AL47" i="25" a="1"/>
  <c r="AL47" i="25" s="1"/>
  <c r="AM47" i="25" a="1"/>
  <c r="AM47" i="25" s="1"/>
  <c r="AN47" i="25" a="1"/>
  <c r="AN47" i="25" s="1"/>
  <c r="AO47" i="25" a="1"/>
  <c r="AO47" i="25" s="1"/>
  <c r="L48" i="25"/>
  <c r="M48" i="25"/>
  <c r="N48" i="25"/>
  <c r="O48" i="25"/>
  <c r="P48" i="25"/>
  <c r="Q48" i="25"/>
  <c r="R48" i="25"/>
  <c r="S48" i="25"/>
  <c r="T48" i="25"/>
  <c r="U48" i="25"/>
  <c r="V48" i="25"/>
  <c r="W48" i="25"/>
  <c r="X48" i="25"/>
  <c r="Y48" i="25"/>
  <c r="Z48" i="25"/>
  <c r="AA48" i="25"/>
  <c r="AB48" i="25"/>
  <c r="AC48" i="25"/>
  <c r="AD48" i="25"/>
  <c r="AE48" i="25"/>
  <c r="AF48" i="25"/>
  <c r="AG48" i="25"/>
  <c r="AH48" i="25"/>
  <c r="AI48" i="25"/>
  <c r="AJ48" i="25"/>
  <c r="AK48" i="25"/>
  <c r="AL48" i="25"/>
  <c r="AM48" i="25"/>
  <c r="AN48" i="25"/>
  <c r="AO48" i="25"/>
  <c r="L49" i="25" a="1"/>
  <c r="L49" i="25" s="1"/>
  <c r="M49" i="25" a="1"/>
  <c r="M49" i="25" s="1"/>
  <c r="N49" i="25" a="1"/>
  <c r="N49" i="25" s="1"/>
  <c r="O49" i="25" a="1"/>
  <c r="O49" i="25" s="1"/>
  <c r="P49" i="25" a="1"/>
  <c r="P49" i="25" s="1"/>
  <c r="Q49" i="25" a="1"/>
  <c r="Q49" i="25" s="1"/>
  <c r="R49" i="25" a="1"/>
  <c r="R49" i="25" s="1"/>
  <c r="S49" i="25" a="1"/>
  <c r="S49" i="25" s="1"/>
  <c r="T49" i="25" a="1"/>
  <c r="T49" i="25" s="1"/>
  <c r="U49" i="25" a="1"/>
  <c r="U49" i="25" s="1"/>
  <c r="V49" i="25" a="1"/>
  <c r="V49" i="25" s="1"/>
  <c r="W49" i="25" a="1"/>
  <c r="W49" i="25" s="1"/>
  <c r="X49" i="25" a="1"/>
  <c r="X49" i="25" s="1"/>
  <c r="Y49" i="25" a="1"/>
  <c r="Y49" i="25" s="1"/>
  <c r="Z49" i="25" a="1"/>
  <c r="Z49" i="25" s="1"/>
  <c r="AA49" i="25" a="1"/>
  <c r="AA49" i="25" s="1"/>
  <c r="AB49" i="25" a="1"/>
  <c r="AB49" i="25" s="1"/>
  <c r="AC49" i="25" a="1"/>
  <c r="AC49" i="25" s="1"/>
  <c r="AD49" i="25" a="1"/>
  <c r="AD49" i="25" s="1"/>
  <c r="AE49" i="25" a="1"/>
  <c r="AE49" i="25" s="1"/>
  <c r="AF49" i="25" a="1"/>
  <c r="AF49" i="25" s="1"/>
  <c r="AG49" i="25" a="1"/>
  <c r="AG49" i="25" s="1"/>
  <c r="AH49" i="25" a="1"/>
  <c r="AH49" i="25" s="1"/>
  <c r="AI49" i="25" a="1"/>
  <c r="AI49" i="25" s="1"/>
  <c r="AJ49" i="25" a="1"/>
  <c r="AJ49" i="25" s="1"/>
  <c r="AK49" i="25" a="1"/>
  <c r="AK49" i="25" s="1"/>
  <c r="AL49" i="25" a="1"/>
  <c r="AL49" i="25" s="1"/>
  <c r="AM49" i="25" a="1"/>
  <c r="AM49" i="25" s="1"/>
  <c r="AN49" i="25" a="1"/>
  <c r="AN49" i="25" s="1"/>
  <c r="AO49" i="25" a="1"/>
  <c r="AO49" i="25" s="1"/>
  <c r="L50" i="25" a="1"/>
  <c r="L50" i="25" s="1"/>
  <c r="M50" i="25" a="1"/>
  <c r="M50" i="25" s="1"/>
  <c r="N50" i="25" a="1"/>
  <c r="N50" i="25" s="1"/>
  <c r="O50" i="25" a="1"/>
  <c r="O50" i="25" s="1"/>
  <c r="P50" i="25" a="1"/>
  <c r="P50" i="25" s="1"/>
  <c r="Q50" i="25" a="1"/>
  <c r="Q50" i="25" s="1"/>
  <c r="R50" i="25" a="1"/>
  <c r="R50" i="25" s="1"/>
  <c r="S50" i="25" a="1"/>
  <c r="S50" i="25" s="1"/>
  <c r="T50" i="25" a="1"/>
  <c r="T50" i="25" s="1"/>
  <c r="U50" i="25" a="1"/>
  <c r="U50" i="25" s="1"/>
  <c r="V50" i="25" a="1"/>
  <c r="V50" i="25" s="1"/>
  <c r="W50" i="25" a="1"/>
  <c r="W50" i="25" s="1"/>
  <c r="X50" i="25" a="1"/>
  <c r="X50" i="25" s="1"/>
  <c r="Y50" i="25" a="1"/>
  <c r="Y50" i="25" s="1"/>
  <c r="Z50" i="25" a="1"/>
  <c r="Z50" i="25" s="1"/>
  <c r="AA50" i="25" a="1"/>
  <c r="AA50" i="25" s="1"/>
  <c r="AB50" i="25" a="1"/>
  <c r="AB50" i="25" s="1"/>
  <c r="AC50" i="25" a="1"/>
  <c r="AC50" i="25" s="1"/>
  <c r="AD50" i="25" a="1"/>
  <c r="AD50" i="25" s="1"/>
  <c r="AE50" i="25" a="1"/>
  <c r="AE50" i="25" s="1"/>
  <c r="AF50" i="25" a="1"/>
  <c r="AF50" i="25" s="1"/>
  <c r="AG50" i="25" a="1"/>
  <c r="AG50" i="25" s="1"/>
  <c r="AH50" i="25" a="1"/>
  <c r="AH50" i="25" s="1"/>
  <c r="AI50" i="25" a="1"/>
  <c r="AI50" i="25" s="1"/>
  <c r="AJ50" i="25" a="1"/>
  <c r="AJ50" i="25" s="1"/>
  <c r="AK50" i="25" a="1"/>
  <c r="AK50" i="25" s="1"/>
  <c r="AL50" i="25" a="1"/>
  <c r="AL50" i="25" s="1"/>
  <c r="AM50" i="25" a="1"/>
  <c r="AM50" i="25" s="1"/>
  <c r="AN50" i="25" a="1"/>
  <c r="AN50" i="25" s="1"/>
  <c r="AO50" i="25" a="1"/>
  <c r="AO50" i="25" s="1"/>
  <c r="L51" i="25"/>
  <c r="M51" i="25"/>
  <c r="N51" i="25"/>
  <c r="O51" i="25"/>
  <c r="P51" i="25"/>
  <c r="Q51" i="25"/>
  <c r="R51" i="25"/>
  <c r="S51" i="25"/>
  <c r="T51" i="25"/>
  <c r="U51" i="25"/>
  <c r="V51" i="25"/>
  <c r="W51" i="25"/>
  <c r="X51" i="25"/>
  <c r="Y51" i="25"/>
  <c r="Z51" i="25"/>
  <c r="AA51" i="25"/>
  <c r="AB51" i="25"/>
  <c r="AC51" i="25"/>
  <c r="AD51" i="25"/>
  <c r="AE51" i="25"/>
  <c r="AF51" i="25"/>
  <c r="AG51" i="25"/>
  <c r="AH51" i="25"/>
  <c r="AI51" i="25"/>
  <c r="AJ51" i="25"/>
  <c r="AK51" i="25"/>
  <c r="AL51" i="25"/>
  <c r="AM51" i="25"/>
  <c r="AN51" i="25"/>
  <c r="AO51" i="25"/>
  <c r="L52" i="25"/>
  <c r="M52" i="25"/>
  <c r="N52" i="25"/>
  <c r="O52" i="25"/>
  <c r="P52" i="25"/>
  <c r="Q52" i="25"/>
  <c r="R52" i="25"/>
  <c r="S52" i="25"/>
  <c r="T52" i="25"/>
  <c r="U52" i="25"/>
  <c r="V52" i="25"/>
  <c r="W52" i="25"/>
  <c r="X52" i="25"/>
  <c r="Y52" i="25"/>
  <c r="Z52" i="25"/>
  <c r="AA52" i="25"/>
  <c r="AB52" i="25"/>
  <c r="AC52" i="25"/>
  <c r="AD52" i="25"/>
  <c r="AE52" i="25"/>
  <c r="AF52" i="25"/>
  <c r="AG52" i="25"/>
  <c r="AH52" i="25"/>
  <c r="AI52" i="25"/>
  <c r="AJ52" i="25"/>
  <c r="AK52" i="25"/>
  <c r="AL52" i="25"/>
  <c r="AM52" i="25"/>
  <c r="AN52" i="25"/>
  <c r="AO52" i="25"/>
  <c r="L53" i="25"/>
  <c r="M53" i="25"/>
  <c r="N53" i="25"/>
  <c r="O53" i="25"/>
  <c r="P53" i="25"/>
  <c r="Q53" i="25"/>
  <c r="R53" i="25"/>
  <c r="S53" i="25"/>
  <c r="T53" i="25"/>
  <c r="U53" i="25"/>
  <c r="V53" i="25"/>
  <c r="W53" i="25"/>
  <c r="X53" i="25"/>
  <c r="Y53" i="25"/>
  <c r="Z53" i="25"/>
  <c r="AA53" i="25"/>
  <c r="AB53" i="25"/>
  <c r="AC53" i="25"/>
  <c r="AD53" i="25"/>
  <c r="AE53" i="25"/>
  <c r="AF53" i="25"/>
  <c r="AG53" i="25"/>
  <c r="AH53" i="25"/>
  <c r="AI53" i="25"/>
  <c r="AJ53" i="25"/>
  <c r="AK53" i="25"/>
  <c r="AL53" i="25"/>
  <c r="AM53" i="25"/>
  <c r="AN53" i="25"/>
  <c r="AO53" i="25"/>
  <c r="L55" i="25"/>
  <c r="M55" i="25"/>
  <c r="N55" i="25"/>
  <c r="O55" i="25"/>
  <c r="P55" i="25"/>
  <c r="Q55" i="25"/>
  <c r="R55" i="25"/>
  <c r="S55" i="25"/>
  <c r="T55" i="25"/>
  <c r="U55" i="25"/>
  <c r="V55" i="25"/>
  <c r="W55" i="25"/>
  <c r="X55" i="25"/>
  <c r="Y55" i="25"/>
  <c r="Z55" i="25"/>
  <c r="AA55" i="25"/>
  <c r="AB55" i="25"/>
  <c r="AC55" i="25"/>
  <c r="AD55" i="25"/>
  <c r="AE55" i="25"/>
  <c r="AF55" i="25"/>
  <c r="AG55" i="25"/>
  <c r="AH55" i="25"/>
  <c r="AI55" i="25"/>
  <c r="AJ55" i="25"/>
  <c r="AK55" i="25"/>
  <c r="AL55" i="25"/>
  <c r="AM55" i="25"/>
  <c r="AN55" i="25"/>
  <c r="AO55" i="25"/>
  <c r="L56" i="25"/>
  <c r="M56" i="25"/>
  <c r="N56" i="25"/>
  <c r="O56" i="25"/>
  <c r="P56" i="25"/>
  <c r="Q56" i="25"/>
  <c r="R56" i="25"/>
  <c r="S56" i="25"/>
  <c r="T56" i="25"/>
  <c r="U56" i="25"/>
  <c r="V56" i="25"/>
  <c r="W56" i="25"/>
  <c r="X56" i="25"/>
  <c r="Y56" i="25"/>
  <c r="Z56" i="25"/>
  <c r="AA56" i="25"/>
  <c r="AB56" i="25"/>
  <c r="AC56" i="25"/>
  <c r="AD56" i="25"/>
  <c r="AE56" i="25"/>
  <c r="AF56" i="25"/>
  <c r="AG56" i="25"/>
  <c r="AH56" i="25"/>
  <c r="AI56" i="25"/>
  <c r="AJ56" i="25"/>
  <c r="AK56" i="25"/>
  <c r="AL56" i="25"/>
  <c r="AM56" i="25"/>
  <c r="AN56" i="25"/>
  <c r="AO56" i="25"/>
  <c r="L57" i="25"/>
  <c r="M57" i="25"/>
  <c r="N57" i="25"/>
  <c r="O57" i="25"/>
  <c r="P57" i="25"/>
  <c r="Q57" i="25"/>
  <c r="R57" i="25"/>
  <c r="S57" i="25"/>
  <c r="T57" i="25"/>
  <c r="U57" i="25"/>
  <c r="V57" i="25"/>
  <c r="W57" i="25"/>
  <c r="X57" i="25"/>
  <c r="Y57" i="25"/>
  <c r="Z57" i="25"/>
  <c r="AA57" i="25"/>
  <c r="AB57" i="25"/>
  <c r="AC57" i="25"/>
  <c r="AD57" i="25"/>
  <c r="AE57" i="25"/>
  <c r="AF57" i="25"/>
  <c r="AG57" i="25"/>
  <c r="AH57" i="25"/>
  <c r="AI57" i="25"/>
  <c r="AJ57" i="25"/>
  <c r="AK57" i="25"/>
  <c r="AL57" i="25"/>
  <c r="AM57" i="25"/>
  <c r="AN57" i="25"/>
  <c r="AO57" i="25"/>
  <c r="L58" i="25"/>
  <c r="M58" i="25"/>
  <c r="N58" i="25"/>
  <c r="O58" i="25"/>
  <c r="P58" i="25"/>
  <c r="Q58" i="25"/>
  <c r="R58" i="25"/>
  <c r="S58" i="25"/>
  <c r="T58" i="25"/>
  <c r="U58" i="25"/>
  <c r="V58" i="25"/>
  <c r="W58" i="25"/>
  <c r="X58" i="25"/>
  <c r="Y58" i="25"/>
  <c r="Z58" i="25"/>
  <c r="AA58" i="25"/>
  <c r="AB58" i="25"/>
  <c r="AC58" i="25"/>
  <c r="AD58" i="25"/>
  <c r="AE58" i="25"/>
  <c r="AF58" i="25"/>
  <c r="AG58" i="25"/>
  <c r="AH58" i="25"/>
  <c r="AI58" i="25"/>
  <c r="AJ58" i="25"/>
  <c r="AK58" i="25"/>
  <c r="AL58" i="25"/>
  <c r="AM58" i="25"/>
  <c r="AN58" i="25"/>
  <c r="AO58" i="25"/>
  <c r="AH54" i="25" l="1"/>
  <c r="AH59" i="25" s="1"/>
  <c r="AD54" i="25"/>
  <c r="AD59" i="25" s="1"/>
  <c r="AC54" i="25"/>
  <c r="AC59" i="25" s="1"/>
  <c r="Z54" i="25"/>
  <c r="Z59" i="25" s="1"/>
  <c r="Y54" i="25"/>
  <c r="Y59" i="25" s="1"/>
  <c r="AK54" i="25"/>
  <c r="AK59" i="25" s="1"/>
  <c r="U54" i="25"/>
  <c r="U59" i="25" s="1"/>
  <c r="T54" i="25"/>
  <c r="T59" i="25" s="1"/>
  <c r="S54" i="25"/>
  <c r="S59" i="25" s="1"/>
  <c r="R54" i="25"/>
  <c r="R59" i="25" s="1"/>
  <c r="AG54" i="25"/>
  <c r="AG59" i="25" s="1"/>
  <c r="AF54" i="25"/>
  <c r="AF59" i="25" s="1"/>
  <c r="P54" i="25"/>
  <c r="P59" i="25" s="1"/>
  <c r="AE54" i="25"/>
  <c r="AE59" i="25" s="1"/>
  <c r="O54" i="25"/>
  <c r="O59" i="25" s="1"/>
  <c r="N54" i="25"/>
  <c r="N59" i="25" s="1"/>
  <c r="AA54" i="25"/>
  <c r="AA59" i="25" s="1"/>
  <c r="AB54" i="25"/>
  <c r="AB59" i="25" s="1"/>
  <c r="X54" i="25"/>
  <c r="X59" i="25" s="1"/>
  <c r="W54" i="25"/>
  <c r="W59" i="25" s="1"/>
  <c r="V54" i="25"/>
  <c r="V59" i="25" s="1"/>
  <c r="Q54" i="25"/>
  <c r="Q59" i="25" s="1"/>
  <c r="AJ54" i="25"/>
  <c r="AJ59" i="25" s="1"/>
  <c r="AI54" i="25"/>
  <c r="AI59" i="25" s="1"/>
  <c r="AN54" i="25"/>
  <c r="AN59" i="25" s="1"/>
  <c r="AL54" i="25"/>
  <c r="AL59" i="25" s="1"/>
  <c r="AO54" i="25"/>
  <c r="AO59" i="25" s="1"/>
  <c r="AM54" i="25"/>
  <c r="AM59" i="25" s="1"/>
  <c r="M54" i="25"/>
  <c r="M59" i="25" s="1"/>
  <c r="L54" i="25"/>
  <c r="L59" i="25" s="1"/>
  <c r="A45" i="25"/>
  <c r="B45" i="25"/>
  <c r="C45" i="25"/>
  <c r="D45" i="25"/>
  <c r="E45" i="25"/>
  <c r="F45" i="25"/>
  <c r="G45" i="25"/>
  <c r="H45" i="25"/>
  <c r="K46" i="25" a="1"/>
  <c r="K46" i="25" s="1"/>
  <c r="K47" i="25" a="1"/>
  <c r="K47" i="25" s="1"/>
  <c r="K48" i="25"/>
  <c r="K49" i="25" a="1"/>
  <c r="K49" i="25" s="1"/>
  <c r="K50" i="25" a="1"/>
  <c r="K50" i="25" s="1"/>
  <c r="K51" i="25"/>
  <c r="K52" i="25"/>
  <c r="K53" i="25"/>
  <c r="F42" i="25"/>
  <c r="K54" i="25" l="1"/>
  <c r="I45" i="25"/>
  <c r="AO63" i="25" a="1"/>
  <c r="AO63" i="25" s="1"/>
  <c r="AN63" i="25" a="1"/>
  <c r="AN63" i="25" s="1"/>
  <c r="AM63" i="25" a="1"/>
  <c r="AM63" i="25" s="1"/>
  <c r="AL63" i="25" a="1"/>
  <c r="AL63" i="25" s="1"/>
  <c r="AK63" i="25" a="1"/>
  <c r="AK63" i="25" s="1"/>
  <c r="AJ63" i="25" a="1"/>
  <c r="AJ63" i="25" s="1"/>
  <c r="AI63" i="25" a="1"/>
  <c r="AI63" i="25" s="1"/>
  <c r="AH63" i="25" a="1"/>
  <c r="AH63" i="25" s="1"/>
  <c r="AG63" i="25" a="1"/>
  <c r="AG63" i="25" s="1"/>
  <c r="AF63" i="25" a="1"/>
  <c r="AF63" i="25" s="1"/>
  <c r="AE63" i="25" a="1"/>
  <c r="AE63" i="25" s="1"/>
  <c r="AD63" i="25" a="1"/>
  <c r="AD63" i="25" s="1"/>
  <c r="AC63" i="25" a="1"/>
  <c r="AC63" i="25" s="1"/>
  <c r="AB63" i="25" a="1"/>
  <c r="AB63" i="25" s="1"/>
  <c r="AA63" i="25" a="1"/>
  <c r="AA63" i="25" s="1"/>
  <c r="Z63" i="25" a="1"/>
  <c r="Z63" i="25" s="1"/>
  <c r="Y63" i="25" a="1"/>
  <c r="Y63" i="25" s="1"/>
  <c r="X63" i="25" a="1"/>
  <c r="X63" i="25" s="1"/>
  <c r="W63" i="25" a="1"/>
  <c r="W63" i="25" s="1"/>
  <c r="V63" i="25" a="1"/>
  <c r="V63" i="25" s="1"/>
  <c r="U63" i="25" a="1"/>
  <c r="U63" i="25" s="1"/>
  <c r="T63" i="25" a="1"/>
  <c r="T63" i="25" s="1"/>
  <c r="S63" i="25" a="1"/>
  <c r="S63" i="25" s="1"/>
  <c r="R63" i="25" a="1"/>
  <c r="R63" i="25" s="1"/>
  <c r="Q63" i="25" a="1"/>
  <c r="Q63" i="25" s="1"/>
  <c r="P63" i="25" a="1"/>
  <c r="P63" i="25" s="1"/>
  <c r="O63" i="25" a="1"/>
  <c r="O63" i="25" s="1"/>
  <c r="N63" i="25" a="1"/>
  <c r="N63" i="25" s="1"/>
  <c r="M63" i="25" a="1"/>
  <c r="M63" i="25" s="1"/>
  <c r="L63" i="25" a="1"/>
  <c r="L63" i="25" s="1"/>
  <c r="K63" i="25" a="1"/>
  <c r="K63" i="25" s="1"/>
  <c r="K58" i="25"/>
  <c r="K57" i="25"/>
  <c r="K56" i="25"/>
  <c r="K55" i="25"/>
  <c r="AS51" i="25"/>
  <c r="AR51" i="25"/>
  <c r="AS50" i="25"/>
  <c r="AR50" i="25"/>
  <c r="AS49" i="25"/>
  <c r="AR49" i="25"/>
  <c r="AS48" i="25"/>
  <c r="AR48" i="25"/>
  <c r="H44" i="25"/>
  <c r="G44" i="25"/>
  <c r="F44" i="25"/>
  <c r="E44" i="25"/>
  <c r="D44" i="25"/>
  <c r="C44" i="25"/>
  <c r="B44" i="25"/>
  <c r="A44" i="25"/>
  <c r="H43" i="25"/>
  <c r="G43" i="25"/>
  <c r="F43" i="25"/>
  <c r="E43" i="25"/>
  <c r="D43" i="25"/>
  <c r="C43" i="25"/>
  <c r="B43" i="25"/>
  <c r="A43" i="25"/>
  <c r="H42" i="25"/>
  <c r="G42" i="25"/>
  <c r="E42" i="25"/>
  <c r="D42" i="25"/>
  <c r="C42" i="25"/>
  <c r="B42" i="25"/>
  <c r="A42" i="25"/>
  <c r="H41" i="25"/>
  <c r="G41" i="25"/>
  <c r="F41" i="25"/>
  <c r="E41" i="25"/>
  <c r="D41" i="25"/>
  <c r="C41" i="25"/>
  <c r="B41" i="25"/>
  <c r="A41" i="25"/>
  <c r="H40" i="25"/>
  <c r="G40" i="25"/>
  <c r="F40" i="25"/>
  <c r="E40" i="25"/>
  <c r="D40" i="25"/>
  <c r="C40" i="25"/>
  <c r="B40" i="25"/>
  <c r="A40" i="25"/>
  <c r="H39" i="25"/>
  <c r="G39" i="25"/>
  <c r="F39" i="25"/>
  <c r="E39" i="25"/>
  <c r="D39" i="25"/>
  <c r="C39" i="25"/>
  <c r="B39" i="25"/>
  <c r="A39" i="25"/>
  <c r="H38" i="25"/>
  <c r="G38" i="25"/>
  <c r="F38" i="25"/>
  <c r="E38" i="25"/>
  <c r="D38" i="25"/>
  <c r="C38" i="25"/>
  <c r="B38" i="25"/>
  <c r="A38" i="25"/>
  <c r="H37" i="25"/>
  <c r="G37" i="25"/>
  <c r="F37" i="25"/>
  <c r="E37" i="25"/>
  <c r="D37" i="25"/>
  <c r="C37" i="25"/>
  <c r="B37" i="25"/>
  <c r="A37" i="25"/>
  <c r="H36" i="25"/>
  <c r="G36" i="25"/>
  <c r="F36" i="25"/>
  <c r="E36" i="25"/>
  <c r="D36" i="25"/>
  <c r="C36" i="25"/>
  <c r="B36" i="25"/>
  <c r="A36" i="25"/>
  <c r="H35" i="25"/>
  <c r="G35" i="25"/>
  <c r="F35" i="25"/>
  <c r="E35" i="25"/>
  <c r="D35" i="25"/>
  <c r="C35" i="25"/>
  <c r="B35" i="25"/>
  <c r="A35" i="25"/>
  <c r="H34" i="25"/>
  <c r="G34" i="25"/>
  <c r="F34" i="25"/>
  <c r="E34" i="25"/>
  <c r="D34" i="25"/>
  <c r="C34" i="25"/>
  <c r="B34" i="25"/>
  <c r="A34" i="25"/>
  <c r="H33" i="25"/>
  <c r="G33" i="25"/>
  <c r="F33" i="25"/>
  <c r="E33" i="25"/>
  <c r="D33" i="25"/>
  <c r="C33" i="25"/>
  <c r="B33" i="25"/>
  <c r="A33" i="25"/>
  <c r="H32" i="25"/>
  <c r="G32" i="25"/>
  <c r="F32" i="25"/>
  <c r="E32" i="25"/>
  <c r="D32" i="25"/>
  <c r="C32" i="25"/>
  <c r="B32" i="25"/>
  <c r="A32" i="25"/>
  <c r="H31" i="25"/>
  <c r="G31" i="25"/>
  <c r="F31" i="25"/>
  <c r="E31" i="25"/>
  <c r="D31" i="25"/>
  <c r="C31" i="25"/>
  <c r="B31" i="25"/>
  <c r="A31" i="25"/>
  <c r="H30" i="25"/>
  <c r="G30" i="25"/>
  <c r="F30" i="25"/>
  <c r="E30" i="25"/>
  <c r="D30" i="25"/>
  <c r="C30" i="25"/>
  <c r="B30" i="25"/>
  <c r="A30" i="25"/>
  <c r="H29" i="25"/>
  <c r="G29" i="25"/>
  <c r="F29" i="25"/>
  <c r="E29" i="25"/>
  <c r="D29" i="25"/>
  <c r="C29" i="25"/>
  <c r="B29" i="25"/>
  <c r="A29" i="25"/>
  <c r="H28" i="25"/>
  <c r="G28" i="25"/>
  <c r="F28" i="25"/>
  <c r="E28" i="25"/>
  <c r="D28" i="25"/>
  <c r="C28" i="25"/>
  <c r="B28" i="25"/>
  <c r="A28" i="25"/>
  <c r="H27" i="25"/>
  <c r="G27" i="25"/>
  <c r="F27" i="25"/>
  <c r="E27" i="25"/>
  <c r="D27" i="25"/>
  <c r="C27" i="25"/>
  <c r="B27" i="25"/>
  <c r="A27" i="25"/>
  <c r="H26" i="25"/>
  <c r="G26" i="25"/>
  <c r="F26" i="25"/>
  <c r="E26" i="25"/>
  <c r="D26" i="25"/>
  <c r="C26" i="25"/>
  <c r="B26" i="25"/>
  <c r="A26" i="25"/>
  <c r="H25" i="25"/>
  <c r="G25" i="25"/>
  <c r="F25" i="25"/>
  <c r="E25" i="25"/>
  <c r="D25" i="25"/>
  <c r="C25" i="25"/>
  <c r="B25" i="25"/>
  <c r="A25" i="25"/>
  <c r="H24" i="25"/>
  <c r="G24" i="25"/>
  <c r="F24" i="25"/>
  <c r="E24" i="25"/>
  <c r="D24" i="25"/>
  <c r="C24" i="25"/>
  <c r="B24" i="25"/>
  <c r="A24" i="25"/>
  <c r="H23" i="25"/>
  <c r="G23" i="25"/>
  <c r="F23" i="25"/>
  <c r="E23" i="25"/>
  <c r="D23" i="25"/>
  <c r="C23" i="25"/>
  <c r="B23" i="25"/>
  <c r="A23" i="25"/>
  <c r="H22" i="25"/>
  <c r="G22" i="25"/>
  <c r="F22" i="25"/>
  <c r="E22" i="25"/>
  <c r="D22" i="25"/>
  <c r="C22" i="25"/>
  <c r="B22" i="25"/>
  <c r="A22" i="25"/>
  <c r="H21" i="25"/>
  <c r="G21" i="25"/>
  <c r="F21" i="25"/>
  <c r="E21" i="25"/>
  <c r="D21" i="25"/>
  <c r="C21" i="25"/>
  <c r="B21" i="25"/>
  <c r="A21" i="25"/>
  <c r="H20" i="25"/>
  <c r="G20" i="25"/>
  <c r="F20" i="25"/>
  <c r="E20" i="25"/>
  <c r="D20" i="25"/>
  <c r="C20" i="25"/>
  <c r="B20" i="25"/>
  <c r="A20" i="25"/>
  <c r="H19" i="25"/>
  <c r="G19" i="25"/>
  <c r="F19" i="25"/>
  <c r="E19" i="25"/>
  <c r="D19" i="25"/>
  <c r="C19" i="25"/>
  <c r="B19" i="25"/>
  <c r="A19" i="25"/>
  <c r="AW18" i="25" a="1"/>
  <c r="AW18" i="25" s="1"/>
  <c r="AY18" i="25" s="1"/>
  <c r="H18" i="25"/>
  <c r="G18" i="25"/>
  <c r="F18" i="25"/>
  <c r="E18" i="25"/>
  <c r="D18" i="25"/>
  <c r="C18" i="25"/>
  <c r="B18" i="25"/>
  <c r="A18" i="25"/>
  <c r="AW17" i="25" a="1"/>
  <c r="AW17" i="25" s="1"/>
  <c r="AY17" i="25" s="1"/>
  <c r="H17" i="25"/>
  <c r="G17" i="25"/>
  <c r="F17" i="25"/>
  <c r="E17" i="25"/>
  <c r="D17" i="25"/>
  <c r="C17" i="25"/>
  <c r="B17" i="25"/>
  <c r="A17" i="25"/>
  <c r="AW16" i="25" a="1"/>
  <c r="AW16" i="25" s="1"/>
  <c r="AY16" i="25" s="1"/>
  <c r="AW15" i="25" a="1"/>
  <c r="AW15" i="25" s="1"/>
  <c r="AY15" i="25" s="1"/>
  <c r="AW13" i="25" a="1"/>
  <c r="AW13" i="25" s="1"/>
  <c r="AY13" i="25" s="1"/>
  <c r="AW12" i="25" a="1"/>
  <c r="AW12" i="25" s="1"/>
  <c r="AY12" i="25" s="1"/>
  <c r="AW11" i="25" a="1"/>
  <c r="AW11" i="25" s="1"/>
  <c r="AY11" i="25" s="1"/>
  <c r="AW10" i="25" a="1"/>
  <c r="AW10" i="25" s="1"/>
  <c r="AY10" i="25" s="1"/>
  <c r="AW9" i="25" a="1"/>
  <c r="AW9" i="25" s="1"/>
  <c r="AY9" i="25" s="1"/>
  <c r="AW7" i="25" a="1"/>
  <c r="AW7" i="25" s="1"/>
  <c r="AY7" i="25" s="1"/>
  <c r="AW6" i="25" a="1"/>
  <c r="AW6" i="25" s="1"/>
  <c r="AY6" i="25" s="1"/>
  <c r="H5" i="25"/>
  <c r="G5" i="25"/>
  <c r="F5" i="25"/>
  <c r="E5" i="25"/>
  <c r="D5" i="25"/>
  <c r="C5" i="25"/>
  <c r="B5" i="25"/>
  <c r="A5" i="25"/>
  <c r="AW4" i="25" a="1"/>
  <c r="AW4" i="25" s="1"/>
  <c r="AY4" i="25" s="1"/>
  <c r="H4" i="25"/>
  <c r="G4" i="25"/>
  <c r="F4" i="25"/>
  <c r="E4" i="25"/>
  <c r="D4" i="25"/>
  <c r="C4" i="25"/>
  <c r="B4" i="25"/>
  <c r="A4" i="25"/>
  <c r="AR57" i="25" l="1"/>
  <c r="AS57" i="25"/>
  <c r="AQ6" i="25"/>
  <c r="AS6" i="25" s="1"/>
  <c r="AQ4" i="25"/>
  <c r="AS4" i="25" s="1"/>
  <c r="I43" i="25"/>
  <c r="AQ7" i="25"/>
  <c r="AS7" i="25" s="1"/>
  <c r="AQ18" i="25"/>
  <c r="AS18" i="25" s="1"/>
  <c r="AB60" i="25"/>
  <c r="AQ11" i="25"/>
  <c r="AS11" i="25" s="1"/>
  <c r="I5" i="25"/>
  <c r="I27" i="25"/>
  <c r="L60" i="25"/>
  <c r="R60" i="25"/>
  <c r="AQ9" i="25"/>
  <c r="AS9" i="25" s="1"/>
  <c r="AQ21" i="25"/>
  <c r="AS21" i="25" s="1"/>
  <c r="AQ41" i="25"/>
  <c r="AS41" i="25" s="1"/>
  <c r="I24" i="25"/>
  <c r="I44" i="25"/>
  <c r="X60" i="25"/>
  <c r="AN60" i="25"/>
  <c r="Y60" i="25"/>
  <c r="AO60" i="25"/>
  <c r="AQ16" i="25"/>
  <c r="AS16" i="25" s="1"/>
  <c r="K60" i="25"/>
  <c r="AA60" i="25"/>
  <c r="AQ40" i="25"/>
  <c r="AS40" i="25" s="1"/>
  <c r="AQ24" i="25"/>
  <c r="AS24" i="25" s="1"/>
  <c r="AQ28" i="25"/>
  <c r="AS28" i="25" s="1"/>
  <c r="AQ30" i="25"/>
  <c r="AS30" i="25" s="1"/>
  <c r="AQ44" i="25"/>
  <c r="AS44" i="25" s="1"/>
  <c r="O60" i="25"/>
  <c r="AE60" i="25"/>
  <c r="P60" i="25"/>
  <c r="AF60" i="25"/>
  <c r="I4" i="25"/>
  <c r="AH60" i="25"/>
  <c r="S60" i="25"/>
  <c r="AI60" i="25"/>
  <c r="T60" i="25"/>
  <c r="AJ60" i="25"/>
  <c r="AQ25" i="25"/>
  <c r="AS25" i="25" s="1"/>
  <c r="AQ29" i="25"/>
  <c r="AS29" i="25" s="1"/>
  <c r="AQ35" i="25"/>
  <c r="AS35" i="25" s="1"/>
  <c r="AQ37" i="25"/>
  <c r="AS37" i="25" s="1"/>
  <c r="V60" i="25"/>
  <c r="AL60" i="25"/>
  <c r="AQ8" i="25"/>
  <c r="AS8" i="25" s="1"/>
  <c r="AQ13" i="25"/>
  <c r="AS13" i="25" s="1"/>
  <c r="AQ27" i="25"/>
  <c r="AS27" i="25" s="1"/>
  <c r="AQ31" i="25"/>
  <c r="AS31" i="25" s="1"/>
  <c r="I33" i="25"/>
  <c r="AQ39" i="25"/>
  <c r="AS39" i="25" s="1"/>
  <c r="I17" i="25"/>
  <c r="AQ20" i="25"/>
  <c r="AS20" i="25" s="1"/>
  <c r="Q60" i="25"/>
  <c r="AG60" i="25"/>
  <c r="I28" i="25"/>
  <c r="I32" i="25"/>
  <c r="I34" i="25"/>
  <c r="I36" i="25"/>
  <c r="I38" i="25"/>
  <c r="AQ10" i="25"/>
  <c r="AS10" i="25" s="1"/>
  <c r="AQ22" i="25"/>
  <c r="AS22" i="25" s="1"/>
  <c r="I26" i="25"/>
  <c r="AQ43" i="25"/>
  <c r="AS43" i="25" s="1"/>
  <c r="AQ45" i="25"/>
  <c r="AS45" i="25" s="1"/>
  <c r="U60" i="25"/>
  <c r="AK60" i="25"/>
  <c r="AQ5" i="25"/>
  <c r="AS5" i="25" s="1"/>
  <c r="AQ15" i="25"/>
  <c r="AS15" i="25" s="1"/>
  <c r="I19" i="25"/>
  <c r="I21" i="25"/>
  <c r="I30" i="25"/>
  <c r="AQ12" i="25"/>
  <c r="AS12" i="25" s="1"/>
  <c r="AQ26" i="25"/>
  <c r="AS26" i="25" s="1"/>
  <c r="I40" i="25"/>
  <c r="I42" i="25"/>
  <c r="K59" i="25"/>
  <c r="AQ32" i="25"/>
  <c r="AS32" i="25" s="1"/>
  <c r="AQ34" i="25"/>
  <c r="AS34" i="25" s="1"/>
  <c r="AQ36" i="25"/>
  <c r="AS36" i="25" s="1"/>
  <c r="AQ38" i="25"/>
  <c r="AS38" i="25" s="1"/>
  <c r="W60" i="25"/>
  <c r="AM60" i="25"/>
  <c r="AQ17" i="25"/>
  <c r="AS17" i="25" s="1"/>
  <c r="I25" i="25"/>
  <c r="AQ19" i="25"/>
  <c r="AS19" i="25" s="1"/>
  <c r="I23" i="25"/>
  <c r="AQ42" i="25"/>
  <c r="AS42" i="25" s="1"/>
  <c r="AQ14" i="25"/>
  <c r="AS14" i="25" s="1"/>
  <c r="I18" i="25"/>
  <c r="I31" i="25"/>
  <c r="I35" i="25"/>
  <c r="I37" i="25"/>
  <c r="Z60" i="25"/>
  <c r="I29" i="25"/>
  <c r="I41" i="25"/>
  <c r="I20" i="25"/>
  <c r="AQ23" i="25"/>
  <c r="AS23" i="25" s="1"/>
  <c r="I39" i="25"/>
  <c r="M60" i="25"/>
  <c r="AC60" i="25"/>
  <c r="I22" i="25"/>
  <c r="N60" i="25"/>
  <c r="AD60" i="25"/>
  <c r="AQ33" i="25"/>
  <c r="AS33" i="25" s="1"/>
  <c r="K1" i="25" l="1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2" i="24"/>
  <c r="F23" i="24"/>
  <c r="F24" i="24"/>
  <c r="F25" i="24"/>
  <c r="F26" i="24"/>
  <c r="F27" i="24"/>
  <c r="F28" i="24"/>
  <c r="F29" i="24"/>
  <c r="F30" i="24"/>
  <c r="F31" i="24"/>
  <c r="F32" i="24"/>
  <c r="F33" i="24"/>
  <c r="F34" i="24"/>
  <c r="F35" i="24"/>
  <c r="F36" i="24"/>
  <c r="F37" i="24"/>
  <c r="F38" i="24"/>
  <c r="F39" i="24"/>
  <c r="F40" i="24"/>
  <c r="F41" i="24"/>
  <c r="F42" i="24"/>
  <c r="F43" i="24"/>
  <c r="F44" i="24"/>
  <c r="F4" i="24"/>
  <c r="A11" i="24"/>
  <c r="B11" i="24"/>
  <c r="C11" i="24"/>
  <c r="D11" i="24"/>
  <c r="E11" i="24"/>
  <c r="G11" i="24"/>
  <c r="H11" i="24"/>
  <c r="I11" i="24"/>
  <c r="A12" i="24"/>
  <c r="B12" i="24"/>
  <c r="C12" i="24"/>
  <c r="D12" i="24"/>
  <c r="E12" i="24"/>
  <c r="G12" i="24"/>
  <c r="H12" i="24"/>
  <c r="I12" i="24"/>
  <c r="A13" i="24"/>
  <c r="B13" i="24"/>
  <c r="C13" i="24"/>
  <c r="D13" i="24"/>
  <c r="E13" i="24"/>
  <c r="G13" i="24"/>
  <c r="H13" i="24"/>
  <c r="I13" i="24"/>
  <c r="A14" i="24"/>
  <c r="B14" i="24"/>
  <c r="C14" i="24"/>
  <c r="D14" i="24"/>
  <c r="E14" i="24"/>
  <c r="G14" i="24"/>
  <c r="H14" i="24"/>
  <c r="I14" i="24"/>
  <c r="A44" i="24"/>
  <c r="B44" i="24"/>
  <c r="C44" i="24"/>
  <c r="D44" i="24"/>
  <c r="E44" i="24"/>
  <c r="G44" i="24"/>
  <c r="H44" i="24"/>
  <c r="I44" i="24"/>
  <c r="U56" i="24"/>
  <c r="U55" i="24"/>
  <c r="AS48" i="24"/>
  <c r="A41" i="24"/>
  <c r="B41" i="24"/>
  <c r="C41" i="24"/>
  <c r="D41" i="24"/>
  <c r="E41" i="24"/>
  <c r="G41" i="24"/>
  <c r="H41" i="24"/>
  <c r="I41" i="24"/>
  <c r="A42" i="24"/>
  <c r="B42" i="24"/>
  <c r="C42" i="24"/>
  <c r="D42" i="24"/>
  <c r="E42" i="24"/>
  <c r="G42" i="24"/>
  <c r="H42" i="24"/>
  <c r="I42" i="24"/>
  <c r="A43" i="24"/>
  <c r="B43" i="24"/>
  <c r="C43" i="24"/>
  <c r="D43" i="24"/>
  <c r="E43" i="24"/>
  <c r="G43" i="24"/>
  <c r="H43" i="24"/>
  <c r="I43" i="24"/>
  <c r="L45" i="24" a="1"/>
  <c r="L45" i="24" s="1"/>
  <c r="M45" i="24" a="1"/>
  <c r="M45" i="24" s="1"/>
  <c r="N45" i="24" a="1"/>
  <c r="N45" i="24" s="1"/>
  <c r="O45" i="24" a="1"/>
  <c r="O45" i="24" s="1"/>
  <c r="P45" i="24" a="1"/>
  <c r="P45" i="24" s="1"/>
  <c r="Q45" i="24" a="1"/>
  <c r="Q45" i="24" s="1"/>
  <c r="R45" i="24" a="1"/>
  <c r="R45" i="24" s="1"/>
  <c r="S45" i="24" a="1"/>
  <c r="S45" i="24" s="1"/>
  <c r="T45" i="24" a="1"/>
  <c r="T45" i="24" s="1"/>
  <c r="U45" i="24" a="1"/>
  <c r="U45" i="24" s="1"/>
  <c r="V45" i="24" a="1"/>
  <c r="V45" i="24" s="1"/>
  <c r="W45" i="24" a="1"/>
  <c r="W45" i="24" s="1"/>
  <c r="X45" i="24" a="1"/>
  <c r="X45" i="24" s="1"/>
  <c r="Y45" i="24" a="1"/>
  <c r="Y45" i="24" s="1"/>
  <c r="Z45" i="24" a="1"/>
  <c r="Z45" i="24" s="1"/>
  <c r="AA45" i="24" a="1"/>
  <c r="AA45" i="24" s="1"/>
  <c r="AB45" i="24" a="1"/>
  <c r="AB45" i="24" s="1"/>
  <c r="AC45" i="24" a="1"/>
  <c r="AC45" i="24" s="1"/>
  <c r="AD45" i="24" a="1"/>
  <c r="AD45" i="24" s="1"/>
  <c r="AE45" i="24" a="1"/>
  <c r="AE45" i="24" s="1"/>
  <c r="AF45" i="24" a="1"/>
  <c r="AF45" i="24" s="1"/>
  <c r="AG45" i="24" a="1"/>
  <c r="AG45" i="24" s="1"/>
  <c r="AH45" i="24" a="1"/>
  <c r="AH45" i="24" s="1"/>
  <c r="AI45" i="24" a="1"/>
  <c r="AI45" i="24" s="1"/>
  <c r="AJ45" i="24" a="1"/>
  <c r="AJ45" i="24" s="1"/>
  <c r="AK45" i="24" a="1"/>
  <c r="AK45" i="24" s="1"/>
  <c r="AL45" i="24" a="1"/>
  <c r="AL45" i="24" s="1"/>
  <c r="AM45" i="24" a="1"/>
  <c r="AM45" i="24" s="1"/>
  <c r="AN45" i="24" a="1"/>
  <c r="AN45" i="24" s="1"/>
  <c r="AO45" i="24" a="1"/>
  <c r="AO45" i="24" s="1"/>
  <c r="AP45" i="24" a="1"/>
  <c r="AP45" i="24" s="1"/>
  <c r="L46" i="24" a="1"/>
  <c r="L46" i="24" s="1"/>
  <c r="M46" i="24" a="1"/>
  <c r="M46" i="24" s="1"/>
  <c r="N46" i="24" a="1"/>
  <c r="N46" i="24" s="1"/>
  <c r="O46" i="24" a="1"/>
  <c r="O46" i="24" s="1"/>
  <c r="P46" i="24" a="1"/>
  <c r="P46" i="24" s="1"/>
  <c r="Q46" i="24" a="1"/>
  <c r="Q46" i="24" s="1"/>
  <c r="R46" i="24" a="1"/>
  <c r="R46" i="24" s="1"/>
  <c r="S46" i="24" a="1"/>
  <c r="S46" i="24" s="1"/>
  <c r="T46" i="24" a="1"/>
  <c r="T46" i="24" s="1"/>
  <c r="U46" i="24" a="1"/>
  <c r="U46" i="24" s="1"/>
  <c r="V46" i="24" a="1"/>
  <c r="V46" i="24" s="1"/>
  <c r="W46" i="24" a="1"/>
  <c r="W46" i="24" s="1"/>
  <c r="X46" i="24" a="1"/>
  <c r="X46" i="24" s="1"/>
  <c r="Y46" i="24" a="1"/>
  <c r="Y46" i="24" s="1"/>
  <c r="Z46" i="24" a="1"/>
  <c r="Z46" i="24" s="1"/>
  <c r="AA46" i="24" a="1"/>
  <c r="AA46" i="24" s="1"/>
  <c r="AB46" i="24" a="1"/>
  <c r="AB46" i="24" s="1"/>
  <c r="AC46" i="24" a="1"/>
  <c r="AC46" i="24" s="1"/>
  <c r="AD46" i="24" a="1"/>
  <c r="AD46" i="24" s="1"/>
  <c r="AE46" i="24" a="1"/>
  <c r="AE46" i="24" s="1"/>
  <c r="AF46" i="24" a="1"/>
  <c r="AF46" i="24" s="1"/>
  <c r="AG46" i="24" a="1"/>
  <c r="AG46" i="24" s="1"/>
  <c r="AH46" i="24" a="1"/>
  <c r="AH46" i="24" s="1"/>
  <c r="AI46" i="24" a="1"/>
  <c r="AI46" i="24" s="1"/>
  <c r="AJ46" i="24" a="1"/>
  <c r="AJ46" i="24" s="1"/>
  <c r="AK46" i="24" a="1"/>
  <c r="AK46" i="24" s="1"/>
  <c r="AL46" i="24" a="1"/>
  <c r="AL46" i="24" s="1"/>
  <c r="AM46" i="24" a="1"/>
  <c r="AM46" i="24" s="1"/>
  <c r="AN46" i="24" a="1"/>
  <c r="AN46" i="24" s="1"/>
  <c r="AO46" i="24" a="1"/>
  <c r="AO46" i="24" s="1"/>
  <c r="AP46" i="24" a="1"/>
  <c r="AP46" i="24" s="1"/>
  <c r="L47" i="24"/>
  <c r="M47" i="24"/>
  <c r="N47" i="24"/>
  <c r="O47" i="24"/>
  <c r="P47" i="24"/>
  <c r="Q47" i="24"/>
  <c r="R47" i="24"/>
  <c r="S47" i="24"/>
  <c r="T47" i="24"/>
  <c r="U47" i="24"/>
  <c r="V47" i="24"/>
  <c r="W47" i="24"/>
  <c r="X47" i="24"/>
  <c r="Y47" i="24"/>
  <c r="Z47" i="24"/>
  <c r="AA47" i="24"/>
  <c r="AB47" i="24"/>
  <c r="AC47" i="24"/>
  <c r="AD47" i="24"/>
  <c r="AE47" i="24"/>
  <c r="AF47" i="24"/>
  <c r="AG47" i="24"/>
  <c r="AH47" i="24"/>
  <c r="AI47" i="24"/>
  <c r="AJ47" i="24"/>
  <c r="AK47" i="24"/>
  <c r="AL47" i="24"/>
  <c r="AM47" i="24"/>
  <c r="AN47" i="24"/>
  <c r="AO47" i="24"/>
  <c r="AP47" i="24"/>
  <c r="L48" i="24" a="1"/>
  <c r="L48" i="24" s="1"/>
  <c r="M48" i="24" a="1"/>
  <c r="M48" i="24" s="1"/>
  <c r="N48" i="24" a="1"/>
  <c r="N48" i="24" s="1"/>
  <c r="O48" i="24" a="1"/>
  <c r="O48" i="24" s="1"/>
  <c r="P48" i="24" a="1"/>
  <c r="P48" i="24" s="1"/>
  <c r="Q48" i="24" a="1"/>
  <c r="Q48" i="24" s="1"/>
  <c r="R48" i="24" a="1"/>
  <c r="R48" i="24" s="1"/>
  <c r="S48" i="24" a="1"/>
  <c r="S48" i="24" s="1"/>
  <c r="T48" i="24" a="1"/>
  <c r="T48" i="24" s="1"/>
  <c r="U48" i="24" a="1"/>
  <c r="U48" i="24" s="1"/>
  <c r="V48" i="24" a="1"/>
  <c r="V48" i="24" s="1"/>
  <c r="W48" i="24" a="1"/>
  <c r="W48" i="24" s="1"/>
  <c r="X48" i="24" a="1"/>
  <c r="X48" i="24" s="1"/>
  <c r="Y48" i="24" a="1"/>
  <c r="Y48" i="24" s="1"/>
  <c r="Z48" i="24" a="1"/>
  <c r="Z48" i="24" s="1"/>
  <c r="AA48" i="24" a="1"/>
  <c r="AA48" i="24" s="1"/>
  <c r="AB48" i="24" a="1"/>
  <c r="AB48" i="24" s="1"/>
  <c r="AC48" i="24" a="1"/>
  <c r="AC48" i="24" s="1"/>
  <c r="AD48" i="24" a="1"/>
  <c r="AD48" i="24" s="1"/>
  <c r="AE48" i="24" a="1"/>
  <c r="AE48" i="24" s="1"/>
  <c r="AF48" i="24" a="1"/>
  <c r="AF48" i="24" s="1"/>
  <c r="AG48" i="24" a="1"/>
  <c r="AG48" i="24" s="1"/>
  <c r="AH48" i="24" a="1"/>
  <c r="AH48" i="24" s="1"/>
  <c r="AI48" i="24" a="1"/>
  <c r="AI48" i="24" s="1"/>
  <c r="AJ48" i="24" a="1"/>
  <c r="AJ48" i="24" s="1"/>
  <c r="AK48" i="24" a="1"/>
  <c r="AK48" i="24" s="1"/>
  <c r="AL48" i="24" a="1"/>
  <c r="AL48" i="24" s="1"/>
  <c r="AM48" i="24" a="1"/>
  <c r="AM48" i="24" s="1"/>
  <c r="AN48" i="24" a="1"/>
  <c r="AN48" i="24" s="1"/>
  <c r="AO48" i="24" a="1"/>
  <c r="AO48" i="24" s="1"/>
  <c r="AP48" i="24" a="1"/>
  <c r="AP48" i="24" s="1"/>
  <c r="L49" i="24" a="1"/>
  <c r="L49" i="24" s="1"/>
  <c r="M49" i="24" a="1"/>
  <c r="M49" i="24" s="1"/>
  <c r="N49" i="24" a="1"/>
  <c r="N49" i="24" s="1"/>
  <c r="O49" i="24" a="1"/>
  <c r="O49" i="24" s="1"/>
  <c r="P49" i="24" a="1"/>
  <c r="P49" i="24" s="1"/>
  <c r="Q49" i="24" a="1"/>
  <c r="Q49" i="24" s="1"/>
  <c r="R49" i="24" a="1"/>
  <c r="R49" i="24" s="1"/>
  <c r="S49" i="24" a="1"/>
  <c r="S49" i="24" s="1"/>
  <c r="T49" i="24" a="1"/>
  <c r="T49" i="24" s="1"/>
  <c r="U49" i="24" a="1"/>
  <c r="U49" i="24" s="1"/>
  <c r="V49" i="24" a="1"/>
  <c r="V49" i="24" s="1"/>
  <c r="W49" i="24" a="1"/>
  <c r="W49" i="24" s="1"/>
  <c r="X49" i="24" a="1"/>
  <c r="X49" i="24" s="1"/>
  <c r="Y49" i="24" a="1"/>
  <c r="Y49" i="24" s="1"/>
  <c r="Z49" i="24" a="1"/>
  <c r="Z49" i="24" s="1"/>
  <c r="AA49" i="24" a="1"/>
  <c r="AA49" i="24" s="1"/>
  <c r="AB49" i="24" a="1"/>
  <c r="AB49" i="24" s="1"/>
  <c r="AC49" i="24" a="1"/>
  <c r="AC49" i="24" s="1"/>
  <c r="AD49" i="24" a="1"/>
  <c r="AD49" i="24" s="1"/>
  <c r="AE49" i="24" a="1"/>
  <c r="AE49" i="24" s="1"/>
  <c r="AF49" i="24" a="1"/>
  <c r="AF49" i="24" s="1"/>
  <c r="AG49" i="24" a="1"/>
  <c r="AG49" i="24" s="1"/>
  <c r="AH49" i="24" a="1"/>
  <c r="AH49" i="24" s="1"/>
  <c r="AI49" i="24" a="1"/>
  <c r="AI49" i="24" s="1"/>
  <c r="AJ49" i="24" a="1"/>
  <c r="AJ49" i="24" s="1"/>
  <c r="AK49" i="24" a="1"/>
  <c r="AK49" i="24" s="1"/>
  <c r="AL49" i="24" a="1"/>
  <c r="AL49" i="24" s="1"/>
  <c r="AM49" i="24" a="1"/>
  <c r="AM49" i="24" s="1"/>
  <c r="AN49" i="24" a="1"/>
  <c r="AN49" i="24" s="1"/>
  <c r="AO49" i="24" a="1"/>
  <c r="AO49" i="24" s="1"/>
  <c r="AP49" i="24" a="1"/>
  <c r="AP49" i="24" s="1"/>
  <c r="L50" i="24"/>
  <c r="M50" i="24"/>
  <c r="N50" i="24"/>
  <c r="O50" i="24"/>
  <c r="P50" i="24"/>
  <c r="Q50" i="24"/>
  <c r="R50" i="24"/>
  <c r="S50" i="24"/>
  <c r="T50" i="24"/>
  <c r="U50" i="24"/>
  <c r="V50" i="24"/>
  <c r="W50" i="24"/>
  <c r="X50" i="24"/>
  <c r="Y50" i="24"/>
  <c r="Z50" i="24"/>
  <c r="AA50" i="24"/>
  <c r="AB50" i="24"/>
  <c r="AC50" i="24"/>
  <c r="AD50" i="24"/>
  <c r="AE50" i="24"/>
  <c r="AF50" i="24"/>
  <c r="AG50" i="24"/>
  <c r="AH50" i="24"/>
  <c r="AI50" i="24"/>
  <c r="AJ50" i="24"/>
  <c r="AK50" i="24"/>
  <c r="AL50" i="24"/>
  <c r="AM50" i="24"/>
  <c r="AN50" i="24"/>
  <c r="AO50" i="24"/>
  <c r="AP50" i="24"/>
  <c r="L51" i="24"/>
  <c r="M51" i="24"/>
  <c r="N51" i="24"/>
  <c r="O51" i="24"/>
  <c r="P51" i="24"/>
  <c r="Q51" i="24"/>
  <c r="R51" i="24"/>
  <c r="S51" i="24"/>
  <c r="T51" i="24"/>
  <c r="U51" i="24"/>
  <c r="V51" i="24"/>
  <c r="W51" i="24"/>
  <c r="X51" i="24"/>
  <c r="Y51" i="24"/>
  <c r="Z51" i="24"/>
  <c r="AA51" i="24"/>
  <c r="AB51" i="24"/>
  <c r="AC51" i="24"/>
  <c r="AD51" i="24"/>
  <c r="AE51" i="24"/>
  <c r="AF51" i="24"/>
  <c r="AG51" i="24"/>
  <c r="AH51" i="24"/>
  <c r="AI51" i="24"/>
  <c r="AJ51" i="24"/>
  <c r="AK51" i="24"/>
  <c r="AL51" i="24"/>
  <c r="AM51" i="24"/>
  <c r="AN51" i="24"/>
  <c r="AO51" i="24"/>
  <c r="AP51" i="24"/>
  <c r="L52" i="24"/>
  <c r="M52" i="24"/>
  <c r="N52" i="24"/>
  <c r="O52" i="24"/>
  <c r="P52" i="24"/>
  <c r="Q52" i="24"/>
  <c r="R52" i="24"/>
  <c r="S52" i="24"/>
  <c r="T52" i="24"/>
  <c r="U52" i="24"/>
  <c r="V52" i="24"/>
  <c r="W52" i="24"/>
  <c r="X52" i="24"/>
  <c r="Y52" i="24"/>
  <c r="Z52" i="24"/>
  <c r="AA52" i="24"/>
  <c r="AB52" i="24"/>
  <c r="AC52" i="24"/>
  <c r="AD52" i="24"/>
  <c r="AE52" i="24"/>
  <c r="AF52" i="24"/>
  <c r="AG52" i="24"/>
  <c r="AH52" i="24"/>
  <c r="AI52" i="24"/>
  <c r="AJ52" i="24"/>
  <c r="AK52" i="24"/>
  <c r="AL52" i="24"/>
  <c r="AM52" i="24"/>
  <c r="AN52" i="24"/>
  <c r="AO52" i="24"/>
  <c r="AP52" i="24"/>
  <c r="A28" i="24"/>
  <c r="B28" i="24"/>
  <c r="C28" i="24"/>
  <c r="D28" i="24"/>
  <c r="E28" i="24"/>
  <c r="G28" i="24"/>
  <c r="H28" i="24"/>
  <c r="I28" i="24"/>
  <c r="A16" i="24"/>
  <c r="B16" i="24"/>
  <c r="C16" i="24"/>
  <c r="D16" i="24"/>
  <c r="E16" i="24"/>
  <c r="G16" i="24"/>
  <c r="H16" i="24"/>
  <c r="I16" i="24"/>
  <c r="AW6" i="24" a="1"/>
  <c r="AW6" i="24" s="1"/>
  <c r="AY6" i="24" s="1"/>
  <c r="AW7" i="24" a="1"/>
  <c r="AW7" i="24" s="1"/>
  <c r="AY7" i="24" s="1"/>
  <c r="AW9" i="24" a="1"/>
  <c r="AW9" i="24" s="1"/>
  <c r="AY9" i="24" s="1"/>
  <c r="AW10" i="24" a="1"/>
  <c r="AW10" i="24" s="1"/>
  <c r="AY10" i="24" s="1"/>
  <c r="AW11" i="24" a="1"/>
  <c r="AW11" i="24" s="1"/>
  <c r="AY11" i="24" s="1"/>
  <c r="AW12" i="24" a="1"/>
  <c r="AW12" i="24" s="1"/>
  <c r="AY12" i="24" s="1"/>
  <c r="AW13" i="24" a="1"/>
  <c r="AW13" i="24" s="1"/>
  <c r="AY13" i="24" s="1"/>
  <c r="AW15" i="24" a="1"/>
  <c r="AW15" i="24" s="1"/>
  <c r="AY15" i="24" s="1"/>
  <c r="AW16" i="24" a="1"/>
  <c r="AW16" i="24" s="1"/>
  <c r="AY16" i="24" s="1"/>
  <c r="AW17" i="24" a="1"/>
  <c r="AW17" i="24" s="1"/>
  <c r="AY17" i="24" s="1"/>
  <c r="AW18" i="24" a="1"/>
  <c r="AW18" i="24" s="1"/>
  <c r="AY18" i="24" s="1"/>
  <c r="AW4" i="24" a="1"/>
  <c r="AW4" i="24" s="1"/>
  <c r="AY4" i="24" s="1"/>
  <c r="AP62" i="24" a="1"/>
  <c r="AP62" i="24" s="1"/>
  <c r="AO62" i="24" a="1"/>
  <c r="AO62" i="24" s="1"/>
  <c r="AN62" i="24" a="1"/>
  <c r="AN62" i="24" s="1"/>
  <c r="AM62" i="24" a="1"/>
  <c r="AM62" i="24" s="1"/>
  <c r="AL62" i="24" a="1"/>
  <c r="AL62" i="24" s="1"/>
  <c r="AK62" i="24" a="1"/>
  <c r="AK62" i="24" s="1"/>
  <c r="AJ62" i="24" a="1"/>
  <c r="AJ62" i="24" s="1"/>
  <c r="AI62" i="24" a="1"/>
  <c r="AI62" i="24" s="1"/>
  <c r="AH62" i="24" a="1"/>
  <c r="AH62" i="24" s="1"/>
  <c r="AG62" i="24" a="1"/>
  <c r="AG62" i="24" s="1"/>
  <c r="AF62" i="24" a="1"/>
  <c r="AF62" i="24" s="1"/>
  <c r="AE62" i="24" a="1"/>
  <c r="AE62" i="24" s="1"/>
  <c r="AD62" i="24" a="1"/>
  <c r="AD62" i="24" s="1"/>
  <c r="AC62" i="24" a="1"/>
  <c r="AC62" i="24" s="1"/>
  <c r="AB62" i="24" a="1"/>
  <c r="AB62" i="24" s="1"/>
  <c r="AA62" i="24" a="1"/>
  <c r="AA62" i="24" s="1"/>
  <c r="Z62" i="24" a="1"/>
  <c r="Z62" i="24" s="1"/>
  <c r="Y62" i="24" a="1"/>
  <c r="Y62" i="24" s="1"/>
  <c r="X62" i="24" a="1"/>
  <c r="X62" i="24" s="1"/>
  <c r="W62" i="24" a="1"/>
  <c r="W62" i="24" s="1"/>
  <c r="V62" i="24" a="1"/>
  <c r="V62" i="24" s="1"/>
  <c r="U62" i="24" a="1"/>
  <c r="U62" i="24" s="1"/>
  <c r="T62" i="24" a="1"/>
  <c r="T62" i="24" s="1"/>
  <c r="S62" i="24" a="1"/>
  <c r="S62" i="24" s="1"/>
  <c r="R62" i="24" a="1"/>
  <c r="R62" i="24" s="1"/>
  <c r="Q62" i="24" a="1"/>
  <c r="Q62" i="24" s="1"/>
  <c r="P62" i="24" a="1"/>
  <c r="P62" i="24" s="1"/>
  <c r="O62" i="24" a="1"/>
  <c r="O62" i="24" s="1"/>
  <c r="N62" i="24" a="1"/>
  <c r="N62" i="24" s="1"/>
  <c r="M62" i="24" a="1"/>
  <c r="M62" i="24" s="1"/>
  <c r="L62" i="24" a="1"/>
  <c r="L62" i="24" s="1"/>
  <c r="AP57" i="24"/>
  <c r="AO57" i="24"/>
  <c r="AN57" i="24"/>
  <c r="AM57" i="24"/>
  <c r="AL57" i="24"/>
  <c r="AK57" i="24"/>
  <c r="AJ57" i="24"/>
  <c r="AI57" i="24"/>
  <c r="AH57" i="24"/>
  <c r="AG57" i="24"/>
  <c r="AF57" i="24"/>
  <c r="AE57" i="24"/>
  <c r="AD57" i="24"/>
  <c r="AC57" i="24"/>
  <c r="AB57" i="24"/>
  <c r="AA57" i="24"/>
  <c r="Z57" i="24"/>
  <c r="Y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T56" i="24"/>
  <c r="S56" i="24"/>
  <c r="R56" i="24"/>
  <c r="Q56" i="24"/>
  <c r="P56" i="24"/>
  <c r="O56" i="24"/>
  <c r="N56" i="24"/>
  <c r="M56" i="24"/>
  <c r="L56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T55" i="24"/>
  <c r="S55" i="24"/>
  <c r="R55" i="24"/>
  <c r="Q55" i="24"/>
  <c r="P55" i="24"/>
  <c r="O55" i="24"/>
  <c r="N55" i="24"/>
  <c r="M55" i="24"/>
  <c r="L55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AT52" i="24"/>
  <c r="AS52" i="24"/>
  <c r="AT51" i="24" a="1"/>
  <c r="AT51" i="24" s="1"/>
  <c r="AS51" i="24" a="1"/>
  <c r="AS51" i="24" s="1"/>
  <c r="AT50" i="24"/>
  <c r="AS50" i="24"/>
  <c r="AT49" i="24"/>
  <c r="AS49" i="24"/>
  <c r="AT48" i="24"/>
  <c r="AT47" i="24"/>
  <c r="AS47" i="24"/>
  <c r="I40" i="24"/>
  <c r="H40" i="24"/>
  <c r="G40" i="24"/>
  <c r="E40" i="24"/>
  <c r="D40" i="24"/>
  <c r="C40" i="24"/>
  <c r="B40" i="24"/>
  <c r="A40" i="24"/>
  <c r="I39" i="24"/>
  <c r="H39" i="24"/>
  <c r="G39" i="24"/>
  <c r="E39" i="24"/>
  <c r="D39" i="24"/>
  <c r="C39" i="24"/>
  <c r="B39" i="24"/>
  <c r="A39" i="24"/>
  <c r="I38" i="24"/>
  <c r="H38" i="24"/>
  <c r="G38" i="24"/>
  <c r="E38" i="24"/>
  <c r="D38" i="24"/>
  <c r="C38" i="24"/>
  <c r="B38" i="24"/>
  <c r="A38" i="24"/>
  <c r="I37" i="24"/>
  <c r="H37" i="24"/>
  <c r="G37" i="24"/>
  <c r="E37" i="24"/>
  <c r="D37" i="24"/>
  <c r="C37" i="24"/>
  <c r="B37" i="24"/>
  <c r="A37" i="24"/>
  <c r="I36" i="24"/>
  <c r="H36" i="24"/>
  <c r="G36" i="24"/>
  <c r="E36" i="24"/>
  <c r="D36" i="24"/>
  <c r="C36" i="24"/>
  <c r="B36" i="24"/>
  <c r="A36" i="24"/>
  <c r="I35" i="24"/>
  <c r="H35" i="24"/>
  <c r="G35" i="24"/>
  <c r="E35" i="24"/>
  <c r="D35" i="24"/>
  <c r="C35" i="24"/>
  <c r="B35" i="24"/>
  <c r="A35" i="24"/>
  <c r="I34" i="24"/>
  <c r="H34" i="24"/>
  <c r="G34" i="24"/>
  <c r="E34" i="24"/>
  <c r="D34" i="24"/>
  <c r="C34" i="24"/>
  <c r="B34" i="24"/>
  <c r="A34" i="24"/>
  <c r="I33" i="24"/>
  <c r="H33" i="24"/>
  <c r="G33" i="24"/>
  <c r="E33" i="24"/>
  <c r="D33" i="24"/>
  <c r="C33" i="24"/>
  <c r="B33" i="24"/>
  <c r="A33" i="24"/>
  <c r="I32" i="24"/>
  <c r="H32" i="24"/>
  <c r="G32" i="24"/>
  <c r="E32" i="24"/>
  <c r="D32" i="24"/>
  <c r="C32" i="24"/>
  <c r="B32" i="24"/>
  <c r="A32" i="24"/>
  <c r="I31" i="24"/>
  <c r="H31" i="24"/>
  <c r="G31" i="24"/>
  <c r="E31" i="24"/>
  <c r="D31" i="24"/>
  <c r="C31" i="24"/>
  <c r="B31" i="24"/>
  <c r="A31" i="24"/>
  <c r="I30" i="24"/>
  <c r="H30" i="24"/>
  <c r="G30" i="24"/>
  <c r="E30" i="24"/>
  <c r="D30" i="24"/>
  <c r="C30" i="24"/>
  <c r="B30" i="24"/>
  <c r="A30" i="24"/>
  <c r="I29" i="24"/>
  <c r="H29" i="24"/>
  <c r="G29" i="24"/>
  <c r="E29" i="24"/>
  <c r="D29" i="24"/>
  <c r="C29" i="24"/>
  <c r="B29" i="24"/>
  <c r="A29" i="24"/>
  <c r="I27" i="24"/>
  <c r="H27" i="24"/>
  <c r="G27" i="24"/>
  <c r="E27" i="24"/>
  <c r="D27" i="24"/>
  <c r="C27" i="24"/>
  <c r="B27" i="24"/>
  <c r="A27" i="24"/>
  <c r="I26" i="24"/>
  <c r="H26" i="24"/>
  <c r="G26" i="24"/>
  <c r="E26" i="24"/>
  <c r="D26" i="24"/>
  <c r="C26" i="24"/>
  <c r="B26" i="24"/>
  <c r="A26" i="24"/>
  <c r="I25" i="24"/>
  <c r="H25" i="24"/>
  <c r="G25" i="24"/>
  <c r="E25" i="24"/>
  <c r="D25" i="24"/>
  <c r="C25" i="24"/>
  <c r="B25" i="24"/>
  <c r="A25" i="24"/>
  <c r="I24" i="24"/>
  <c r="H24" i="24"/>
  <c r="G24" i="24"/>
  <c r="E24" i="24"/>
  <c r="D24" i="24"/>
  <c r="C24" i="24"/>
  <c r="B24" i="24"/>
  <c r="A24" i="24"/>
  <c r="I23" i="24"/>
  <c r="H23" i="24"/>
  <c r="G23" i="24"/>
  <c r="E23" i="24"/>
  <c r="D23" i="24"/>
  <c r="C23" i="24"/>
  <c r="B23" i="24"/>
  <c r="A23" i="24"/>
  <c r="I22" i="24"/>
  <c r="H22" i="24"/>
  <c r="G22" i="24"/>
  <c r="E22" i="24"/>
  <c r="D22" i="24"/>
  <c r="C22" i="24"/>
  <c r="B22" i="24"/>
  <c r="A22" i="24"/>
  <c r="I21" i="24"/>
  <c r="H21" i="24"/>
  <c r="G21" i="24"/>
  <c r="E21" i="24"/>
  <c r="D21" i="24"/>
  <c r="C21" i="24"/>
  <c r="B21" i="24"/>
  <c r="A21" i="24"/>
  <c r="I20" i="24"/>
  <c r="H20" i="24"/>
  <c r="G20" i="24"/>
  <c r="E20" i="24"/>
  <c r="D20" i="24"/>
  <c r="C20" i="24"/>
  <c r="B20" i="24"/>
  <c r="A20" i="24"/>
  <c r="I19" i="24"/>
  <c r="H19" i="24"/>
  <c r="G19" i="24"/>
  <c r="E19" i="24"/>
  <c r="D19" i="24"/>
  <c r="C19" i="24"/>
  <c r="B19" i="24"/>
  <c r="A19" i="24"/>
  <c r="I18" i="24"/>
  <c r="H18" i="24"/>
  <c r="G18" i="24"/>
  <c r="E18" i="24"/>
  <c r="D18" i="24"/>
  <c r="C18" i="24"/>
  <c r="B18" i="24"/>
  <c r="A18" i="24"/>
  <c r="I17" i="24"/>
  <c r="H17" i="24"/>
  <c r="G17" i="24"/>
  <c r="E17" i="24"/>
  <c r="D17" i="24"/>
  <c r="C17" i="24"/>
  <c r="B17" i="24"/>
  <c r="A17" i="24"/>
  <c r="I15" i="24"/>
  <c r="H15" i="24"/>
  <c r="G15" i="24"/>
  <c r="E15" i="24"/>
  <c r="D15" i="24"/>
  <c r="C15" i="24"/>
  <c r="B15" i="24"/>
  <c r="A15" i="24"/>
  <c r="I10" i="24"/>
  <c r="H10" i="24"/>
  <c r="G10" i="24"/>
  <c r="E10" i="24"/>
  <c r="D10" i="24"/>
  <c r="C10" i="24"/>
  <c r="B10" i="24"/>
  <c r="A10" i="24"/>
  <c r="I9" i="24"/>
  <c r="H9" i="24"/>
  <c r="G9" i="24"/>
  <c r="E9" i="24"/>
  <c r="D9" i="24"/>
  <c r="C9" i="24"/>
  <c r="B9" i="24"/>
  <c r="A9" i="24"/>
  <c r="I8" i="24"/>
  <c r="H8" i="24"/>
  <c r="G8" i="24"/>
  <c r="E8" i="24"/>
  <c r="D8" i="24"/>
  <c r="C8" i="24"/>
  <c r="B8" i="24"/>
  <c r="A8" i="24"/>
  <c r="I7" i="24"/>
  <c r="H7" i="24"/>
  <c r="G7" i="24"/>
  <c r="E7" i="24"/>
  <c r="D7" i="24"/>
  <c r="C7" i="24"/>
  <c r="B7" i="24"/>
  <c r="A7" i="24"/>
  <c r="I6" i="24"/>
  <c r="H6" i="24"/>
  <c r="G6" i="24"/>
  <c r="E6" i="24"/>
  <c r="D6" i="24"/>
  <c r="C6" i="24"/>
  <c r="B6" i="24"/>
  <c r="A6" i="24"/>
  <c r="I5" i="24"/>
  <c r="H5" i="24"/>
  <c r="G5" i="24"/>
  <c r="E5" i="24"/>
  <c r="D5" i="24"/>
  <c r="C5" i="24"/>
  <c r="B5" i="24"/>
  <c r="A5" i="24"/>
  <c r="I4" i="24"/>
  <c r="H4" i="24"/>
  <c r="G4" i="24"/>
  <c r="E4" i="24"/>
  <c r="D4" i="24"/>
  <c r="C4" i="24"/>
  <c r="B4" i="24"/>
  <c r="A4" i="24"/>
  <c r="A44" i="22"/>
  <c r="B44" i="22"/>
  <c r="C44" i="22"/>
  <c r="D44" i="22"/>
  <c r="E44" i="22"/>
  <c r="F44" i="22"/>
  <c r="G44" i="22"/>
  <c r="H44" i="22"/>
  <c r="AR48" i="22"/>
  <c r="K45" i="22" a="1"/>
  <c r="K45" i="22" s="1"/>
  <c r="L45" i="22" a="1"/>
  <c r="L45" i="22" s="1"/>
  <c r="M45" i="22" a="1"/>
  <c r="M45" i="22" s="1"/>
  <c r="N45" i="22" a="1"/>
  <c r="N45" i="22" s="1"/>
  <c r="O45" i="22" a="1"/>
  <c r="O45" i="22" s="1"/>
  <c r="P45" i="22" a="1"/>
  <c r="P45" i="22" s="1"/>
  <c r="Q45" i="22" a="1"/>
  <c r="Q45" i="22" s="1"/>
  <c r="R45" i="22" a="1"/>
  <c r="R45" i="22" s="1"/>
  <c r="S45" i="22" a="1"/>
  <c r="S45" i="22" s="1"/>
  <c r="T45" i="22" a="1"/>
  <c r="T45" i="22" s="1"/>
  <c r="U45" i="22" a="1"/>
  <c r="U45" i="22" s="1"/>
  <c r="V45" i="22" a="1"/>
  <c r="V45" i="22" s="1"/>
  <c r="W45" i="22" a="1"/>
  <c r="W45" i="22" s="1"/>
  <c r="X45" i="22" a="1"/>
  <c r="X45" i="22" s="1"/>
  <c r="Y45" i="22" a="1"/>
  <c r="Y45" i="22" s="1"/>
  <c r="Z45" i="22" a="1"/>
  <c r="Z45" i="22" s="1"/>
  <c r="AA45" i="22" a="1"/>
  <c r="AA45" i="22" s="1"/>
  <c r="AB45" i="22" a="1"/>
  <c r="AB45" i="22" s="1"/>
  <c r="AC45" i="22" a="1"/>
  <c r="AC45" i="22" s="1"/>
  <c r="AD45" i="22" a="1"/>
  <c r="AD45" i="22" s="1"/>
  <c r="AE45" i="22" a="1"/>
  <c r="AE45" i="22" s="1"/>
  <c r="AF45" i="22" a="1"/>
  <c r="AF45" i="22" s="1"/>
  <c r="AG45" i="22" a="1"/>
  <c r="AG45" i="22" s="1"/>
  <c r="AH45" i="22" a="1"/>
  <c r="AH45" i="22" s="1"/>
  <c r="AI45" i="22" a="1"/>
  <c r="AI45" i="22" s="1"/>
  <c r="AJ45" i="22" a="1"/>
  <c r="AJ45" i="22" s="1"/>
  <c r="AK45" i="22" a="1"/>
  <c r="AK45" i="22" s="1"/>
  <c r="AL45" i="22" a="1"/>
  <c r="AL45" i="22" s="1"/>
  <c r="AM45" i="22" a="1"/>
  <c r="AM45" i="22" s="1"/>
  <c r="AN45" i="22" a="1"/>
  <c r="AN45" i="22" s="1"/>
  <c r="K46" i="22" a="1"/>
  <c r="K46" i="22" s="1"/>
  <c r="L46" i="22" a="1"/>
  <c r="L46" i="22" s="1"/>
  <c r="M46" i="22" a="1"/>
  <c r="M46" i="22" s="1"/>
  <c r="N46" i="22" a="1"/>
  <c r="N46" i="22" s="1"/>
  <c r="O46" i="22" a="1"/>
  <c r="O46" i="22" s="1"/>
  <c r="P46" i="22" a="1"/>
  <c r="P46" i="22" s="1"/>
  <c r="Q46" i="22" a="1"/>
  <c r="Q46" i="22" s="1"/>
  <c r="R46" i="22" a="1"/>
  <c r="R46" i="22" s="1"/>
  <c r="S46" i="22" a="1"/>
  <c r="S46" i="22" s="1"/>
  <c r="T46" i="22" a="1"/>
  <c r="T46" i="22" s="1"/>
  <c r="U46" i="22" a="1"/>
  <c r="U46" i="22" s="1"/>
  <c r="V46" i="22" a="1"/>
  <c r="V46" i="22" s="1"/>
  <c r="W46" i="22" a="1"/>
  <c r="W46" i="22" s="1"/>
  <c r="X46" i="22" a="1"/>
  <c r="X46" i="22" s="1"/>
  <c r="Y46" i="22" a="1"/>
  <c r="Y46" i="22" s="1"/>
  <c r="Z46" i="22" a="1"/>
  <c r="Z46" i="22" s="1"/>
  <c r="AA46" i="22" a="1"/>
  <c r="AA46" i="22" s="1"/>
  <c r="AB46" i="22" a="1"/>
  <c r="AB46" i="22" s="1"/>
  <c r="AC46" i="22" a="1"/>
  <c r="AC46" i="22" s="1"/>
  <c r="AD46" i="22" a="1"/>
  <c r="AD46" i="22" s="1"/>
  <c r="AE46" i="22" a="1"/>
  <c r="AE46" i="22" s="1"/>
  <c r="AF46" i="22" a="1"/>
  <c r="AF46" i="22" s="1"/>
  <c r="AG46" i="22" a="1"/>
  <c r="AG46" i="22" s="1"/>
  <c r="AH46" i="22" a="1"/>
  <c r="AH46" i="22" s="1"/>
  <c r="AI46" i="22" a="1"/>
  <c r="AI46" i="22" s="1"/>
  <c r="AJ46" i="22" a="1"/>
  <c r="AJ46" i="22" s="1"/>
  <c r="AK46" i="22" a="1"/>
  <c r="AK46" i="22" s="1"/>
  <c r="AL46" i="22" a="1"/>
  <c r="AL46" i="22" s="1"/>
  <c r="AM46" i="22" a="1"/>
  <c r="AM46" i="22" s="1"/>
  <c r="AN46" i="22" a="1"/>
  <c r="AN46" i="22" s="1"/>
  <c r="K47" i="22"/>
  <c r="L47" i="22"/>
  <c r="M47" i="22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AB47" i="22"/>
  <c r="AC47" i="22"/>
  <c r="AD47" i="22"/>
  <c r="AE47" i="22"/>
  <c r="AF47" i="22"/>
  <c r="AG47" i="22"/>
  <c r="AH47" i="22"/>
  <c r="AI47" i="22"/>
  <c r="AJ47" i="22"/>
  <c r="AK47" i="22"/>
  <c r="AL47" i="22"/>
  <c r="AM47" i="22"/>
  <c r="AN47" i="22"/>
  <c r="K48" i="22" a="1"/>
  <c r="K48" i="22" s="1"/>
  <c r="L48" i="22" a="1"/>
  <c r="L48" i="22" s="1"/>
  <c r="M48" i="22" a="1"/>
  <c r="M48" i="22" s="1"/>
  <c r="N48" i="22" a="1"/>
  <c r="N48" i="22" s="1"/>
  <c r="O48" i="22" a="1"/>
  <c r="O48" i="22" s="1"/>
  <c r="P48" i="22" a="1"/>
  <c r="P48" i="22" s="1"/>
  <c r="Q48" i="22" a="1"/>
  <c r="Q48" i="22" s="1"/>
  <c r="R48" i="22" a="1"/>
  <c r="R48" i="22" s="1"/>
  <c r="S48" i="22" a="1"/>
  <c r="S48" i="22" s="1"/>
  <c r="T48" i="22" a="1"/>
  <c r="T48" i="22" s="1"/>
  <c r="U48" i="22" a="1"/>
  <c r="U48" i="22" s="1"/>
  <c r="V48" i="22" a="1"/>
  <c r="V48" i="22" s="1"/>
  <c r="W48" i="22" a="1"/>
  <c r="W48" i="22" s="1"/>
  <c r="X48" i="22" a="1"/>
  <c r="X48" i="22" s="1"/>
  <c r="Y48" i="22" a="1"/>
  <c r="Y48" i="22" s="1"/>
  <c r="Z48" i="22" a="1"/>
  <c r="Z48" i="22" s="1"/>
  <c r="AA48" i="22" a="1"/>
  <c r="AA48" i="22" s="1"/>
  <c r="AB48" i="22" a="1"/>
  <c r="AB48" i="22" s="1"/>
  <c r="AC48" i="22" a="1"/>
  <c r="AC48" i="22" s="1"/>
  <c r="AD48" i="22" a="1"/>
  <c r="AD48" i="22" s="1"/>
  <c r="AE48" i="22" a="1"/>
  <c r="AE48" i="22" s="1"/>
  <c r="AF48" i="22" a="1"/>
  <c r="AF48" i="22" s="1"/>
  <c r="AG48" i="22" a="1"/>
  <c r="AG48" i="22" s="1"/>
  <c r="AH48" i="22" a="1"/>
  <c r="AH48" i="22" s="1"/>
  <c r="AI48" i="22" a="1"/>
  <c r="AI48" i="22" s="1"/>
  <c r="AJ48" i="22" a="1"/>
  <c r="AJ48" i="22" s="1"/>
  <c r="AK48" i="22" a="1"/>
  <c r="AK48" i="22" s="1"/>
  <c r="AL48" i="22" a="1"/>
  <c r="AL48" i="22" s="1"/>
  <c r="AM48" i="22" a="1"/>
  <c r="AM48" i="22" s="1"/>
  <c r="AN48" i="22" a="1"/>
  <c r="AN48" i="22" s="1"/>
  <c r="K49" i="22" a="1"/>
  <c r="K49" i="22" s="1"/>
  <c r="L49" i="22" a="1"/>
  <c r="L49" i="22" s="1"/>
  <c r="M49" i="22" a="1"/>
  <c r="M49" i="22" s="1"/>
  <c r="N49" i="22" a="1"/>
  <c r="N49" i="22" s="1"/>
  <c r="O49" i="22" a="1"/>
  <c r="O49" i="22" s="1"/>
  <c r="P49" i="22" a="1"/>
  <c r="P49" i="22" s="1"/>
  <c r="Q49" i="22" a="1"/>
  <c r="Q49" i="22" s="1"/>
  <c r="R49" i="22" a="1"/>
  <c r="R49" i="22" s="1"/>
  <c r="S49" i="22" a="1"/>
  <c r="S49" i="22" s="1"/>
  <c r="T49" i="22" a="1"/>
  <c r="T49" i="22" s="1"/>
  <c r="U49" i="22" a="1"/>
  <c r="U49" i="22" s="1"/>
  <c r="V49" i="22" a="1"/>
  <c r="V49" i="22" s="1"/>
  <c r="W49" i="22" a="1"/>
  <c r="W49" i="22" s="1"/>
  <c r="X49" i="22" a="1"/>
  <c r="X49" i="22" s="1"/>
  <c r="Y49" i="22" a="1"/>
  <c r="Y49" i="22" s="1"/>
  <c r="Z49" i="22" a="1"/>
  <c r="Z49" i="22" s="1"/>
  <c r="AA49" i="22" a="1"/>
  <c r="AA49" i="22" s="1"/>
  <c r="AB49" i="22" a="1"/>
  <c r="AB49" i="22" s="1"/>
  <c r="AC49" i="22" a="1"/>
  <c r="AC49" i="22" s="1"/>
  <c r="AD49" i="22" a="1"/>
  <c r="AD49" i="22" s="1"/>
  <c r="AE49" i="22" a="1"/>
  <c r="AE49" i="22" s="1"/>
  <c r="AF49" i="22" a="1"/>
  <c r="AF49" i="22" s="1"/>
  <c r="AG49" i="22" a="1"/>
  <c r="AG49" i="22" s="1"/>
  <c r="AH49" i="22" a="1"/>
  <c r="AH49" i="22" s="1"/>
  <c r="AI49" i="22" a="1"/>
  <c r="AI49" i="22" s="1"/>
  <c r="AJ49" i="22" a="1"/>
  <c r="AJ49" i="22" s="1"/>
  <c r="AK49" i="22" a="1"/>
  <c r="AK49" i="22" s="1"/>
  <c r="AL49" i="22" a="1"/>
  <c r="AL49" i="22" s="1"/>
  <c r="AM49" i="22" a="1"/>
  <c r="AM49" i="22" s="1"/>
  <c r="AN49" i="22" a="1"/>
  <c r="AN49" i="22" s="1"/>
  <c r="K50" i="22"/>
  <c r="L50" i="22"/>
  <c r="M50" i="22"/>
  <c r="N50" i="22"/>
  <c r="O50" i="22"/>
  <c r="P50" i="22"/>
  <c r="Q50" i="22"/>
  <c r="R50" i="22"/>
  <c r="S50" i="22"/>
  <c r="T50" i="22"/>
  <c r="U50" i="22"/>
  <c r="V50" i="22"/>
  <c r="W50" i="22"/>
  <c r="X50" i="22"/>
  <c r="Y50" i="22"/>
  <c r="Z50" i="22"/>
  <c r="AA50" i="22"/>
  <c r="AB50" i="22"/>
  <c r="AC50" i="22"/>
  <c r="AD50" i="22"/>
  <c r="AE50" i="22"/>
  <c r="AF50" i="22"/>
  <c r="AG50" i="22"/>
  <c r="AH50" i="22"/>
  <c r="AI50" i="22"/>
  <c r="AJ50" i="22"/>
  <c r="AK50" i="22"/>
  <c r="AL50" i="22"/>
  <c r="AM50" i="22"/>
  <c r="AN50" i="22"/>
  <c r="K51" i="22"/>
  <c r="L51" i="22"/>
  <c r="M51" i="22"/>
  <c r="N51" i="22"/>
  <c r="O51" i="22"/>
  <c r="P51" i="22"/>
  <c r="Q51" i="22"/>
  <c r="R51" i="22"/>
  <c r="S51" i="22"/>
  <c r="T51" i="22"/>
  <c r="U51" i="22"/>
  <c r="V51" i="22"/>
  <c r="W51" i="22"/>
  <c r="X51" i="22"/>
  <c r="Y51" i="22"/>
  <c r="Z51" i="22"/>
  <c r="AA51" i="22"/>
  <c r="AB51" i="22"/>
  <c r="AC51" i="22"/>
  <c r="AD51" i="22"/>
  <c r="AE51" i="22"/>
  <c r="AF51" i="22"/>
  <c r="AG51" i="22"/>
  <c r="AH51" i="22"/>
  <c r="AI51" i="22"/>
  <c r="AJ51" i="22"/>
  <c r="AK51" i="22"/>
  <c r="AL51" i="22"/>
  <c r="AM51" i="22"/>
  <c r="AN51" i="22"/>
  <c r="K52" i="22"/>
  <c r="L52" i="22"/>
  <c r="M52" i="22"/>
  <c r="N52" i="22"/>
  <c r="O52" i="22"/>
  <c r="P52" i="22"/>
  <c r="Q52" i="22"/>
  <c r="R52" i="22"/>
  <c r="S52" i="22"/>
  <c r="T52" i="22"/>
  <c r="U52" i="22"/>
  <c r="V52" i="22"/>
  <c r="W52" i="22"/>
  <c r="X52" i="22"/>
  <c r="Y52" i="22"/>
  <c r="Z52" i="22"/>
  <c r="AA52" i="22"/>
  <c r="AB52" i="22"/>
  <c r="AC52" i="22"/>
  <c r="AD52" i="22"/>
  <c r="AE52" i="22"/>
  <c r="AF52" i="22"/>
  <c r="AG52" i="22"/>
  <c r="AH52" i="22"/>
  <c r="AI52" i="22"/>
  <c r="AJ52" i="22"/>
  <c r="AK52" i="22"/>
  <c r="AL52" i="22"/>
  <c r="AM52" i="22"/>
  <c r="AN52" i="22"/>
  <c r="AU6" i="22" a="1"/>
  <c r="AU6" i="22" s="1"/>
  <c r="AW6" i="22" s="1"/>
  <c r="AU7" i="22" a="1"/>
  <c r="AU7" i="22" s="1"/>
  <c r="AW7" i="22" s="1"/>
  <c r="AU9" i="22" a="1"/>
  <c r="AU9" i="22" s="1"/>
  <c r="AW9" i="22" s="1"/>
  <c r="AU10" i="22" a="1"/>
  <c r="AU10" i="22" s="1"/>
  <c r="AW10" i="22" s="1"/>
  <c r="AU11" i="22" a="1"/>
  <c r="AU11" i="22" s="1"/>
  <c r="AW11" i="22" s="1"/>
  <c r="AU12" i="22" a="1"/>
  <c r="AU12" i="22" s="1"/>
  <c r="AW12" i="22" s="1"/>
  <c r="AU13" i="22" a="1"/>
  <c r="AU13" i="22" s="1"/>
  <c r="AW13" i="22" s="1"/>
  <c r="AU15" i="22" a="1"/>
  <c r="AU15" i="22" s="1"/>
  <c r="AW15" i="22" s="1"/>
  <c r="AU16" i="22" a="1"/>
  <c r="AU16" i="22" s="1"/>
  <c r="AW16" i="22" s="1"/>
  <c r="AU17" i="22" a="1"/>
  <c r="AU17" i="22" s="1"/>
  <c r="AW17" i="22" s="1"/>
  <c r="AU18" i="22" a="1"/>
  <c r="AU18" i="22" s="1"/>
  <c r="AW18" i="22" s="1"/>
  <c r="AU4" i="22" a="1"/>
  <c r="AU4" i="22" s="1"/>
  <c r="AW4" i="22" s="1"/>
  <c r="AN62" i="22" a="1"/>
  <c r="AN62" i="22" s="1"/>
  <c r="AM62" i="22" a="1"/>
  <c r="AM62" i="22" s="1"/>
  <c r="AL62" i="22" a="1"/>
  <c r="AL62" i="22" s="1"/>
  <c r="AK62" i="22" a="1"/>
  <c r="AK62" i="22" s="1"/>
  <c r="AJ62" i="22" a="1"/>
  <c r="AJ62" i="22" s="1"/>
  <c r="AI62" i="22" a="1"/>
  <c r="AI62" i="22" s="1"/>
  <c r="AH62" i="22" a="1"/>
  <c r="AH62" i="22" s="1"/>
  <c r="AG62" i="22" a="1"/>
  <c r="AG62" i="22" s="1"/>
  <c r="AF62" i="22" a="1"/>
  <c r="AF62" i="22" s="1"/>
  <c r="AE62" i="22" a="1"/>
  <c r="AE62" i="22" s="1"/>
  <c r="AD62" i="22" a="1"/>
  <c r="AD62" i="22" s="1"/>
  <c r="AC62" i="22" a="1"/>
  <c r="AC62" i="22" s="1"/>
  <c r="AB62" i="22" a="1"/>
  <c r="AB62" i="22" s="1"/>
  <c r="AA62" i="22" a="1"/>
  <c r="AA62" i="22" s="1"/>
  <c r="Z62" i="22" a="1"/>
  <c r="Z62" i="22" s="1"/>
  <c r="Y62" i="22" a="1"/>
  <c r="Y62" i="22" s="1"/>
  <c r="X62" i="22" a="1"/>
  <c r="X62" i="22" s="1"/>
  <c r="W62" i="22" a="1"/>
  <c r="W62" i="22" s="1"/>
  <c r="V62" i="22" a="1"/>
  <c r="V62" i="22" s="1"/>
  <c r="U62" i="22" a="1"/>
  <c r="U62" i="22" s="1"/>
  <c r="T62" i="22" a="1"/>
  <c r="T62" i="22" s="1"/>
  <c r="S62" i="22" a="1"/>
  <c r="S62" i="22" s="1"/>
  <c r="R62" i="22" a="1"/>
  <c r="R62" i="22" s="1"/>
  <c r="Q62" i="22" a="1"/>
  <c r="Q62" i="22" s="1"/>
  <c r="P62" i="22" a="1"/>
  <c r="P62" i="22" s="1"/>
  <c r="O62" i="22" a="1"/>
  <c r="O62" i="22" s="1"/>
  <c r="N62" i="22" a="1"/>
  <c r="N62" i="22" s="1"/>
  <c r="M62" i="22" a="1"/>
  <c r="M62" i="22" s="1"/>
  <c r="L62" i="22" a="1"/>
  <c r="L62" i="22" s="1"/>
  <c r="K62" i="22" a="1"/>
  <c r="K62" i="22" s="1"/>
  <c r="AN57" i="22"/>
  <c r="AM57" i="22"/>
  <c r="AL57" i="22"/>
  <c r="AK57" i="22"/>
  <c r="AJ57" i="22"/>
  <c r="AI57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AR52" i="22"/>
  <c r="AQ52" i="22"/>
  <c r="AR51" i="22" a="1"/>
  <c r="AR51" i="22" s="1"/>
  <c r="AQ51" i="22" a="1"/>
  <c r="AQ51" i="22" s="1"/>
  <c r="AR50" i="22"/>
  <c r="AQ50" i="22"/>
  <c r="AR49" i="22"/>
  <c r="AQ49" i="22"/>
  <c r="AQ48" i="22"/>
  <c r="AR47" i="22"/>
  <c r="AQ47" i="22"/>
  <c r="H43" i="22"/>
  <c r="G43" i="22"/>
  <c r="F43" i="22"/>
  <c r="E43" i="22"/>
  <c r="D43" i="22"/>
  <c r="C43" i="22"/>
  <c r="B43" i="22"/>
  <c r="A43" i="22"/>
  <c r="H42" i="22"/>
  <c r="G42" i="22"/>
  <c r="F42" i="22"/>
  <c r="E42" i="22"/>
  <c r="D42" i="22"/>
  <c r="C42" i="22"/>
  <c r="B42" i="22"/>
  <c r="A42" i="22"/>
  <c r="H41" i="22"/>
  <c r="G41" i="22"/>
  <c r="F41" i="22"/>
  <c r="E41" i="22"/>
  <c r="D41" i="22"/>
  <c r="C41" i="22"/>
  <c r="B41" i="22"/>
  <c r="A41" i="22"/>
  <c r="H40" i="22"/>
  <c r="G40" i="22"/>
  <c r="F40" i="22"/>
  <c r="E40" i="22"/>
  <c r="D40" i="22"/>
  <c r="C40" i="22"/>
  <c r="B40" i="22"/>
  <c r="A40" i="22"/>
  <c r="H39" i="22"/>
  <c r="G39" i="22"/>
  <c r="F39" i="22"/>
  <c r="E39" i="22"/>
  <c r="D39" i="22"/>
  <c r="C39" i="22"/>
  <c r="B39" i="22"/>
  <c r="A39" i="22"/>
  <c r="H38" i="22"/>
  <c r="G38" i="22"/>
  <c r="F38" i="22"/>
  <c r="E38" i="22"/>
  <c r="D38" i="22"/>
  <c r="C38" i="22"/>
  <c r="B38" i="22"/>
  <c r="A38" i="22"/>
  <c r="H37" i="22"/>
  <c r="G37" i="22"/>
  <c r="F37" i="22"/>
  <c r="E37" i="22"/>
  <c r="D37" i="22"/>
  <c r="C37" i="22"/>
  <c r="B37" i="22"/>
  <c r="A37" i="22"/>
  <c r="H36" i="22"/>
  <c r="G36" i="22"/>
  <c r="F36" i="22"/>
  <c r="E36" i="22"/>
  <c r="D36" i="22"/>
  <c r="C36" i="22"/>
  <c r="B36" i="22"/>
  <c r="A36" i="22"/>
  <c r="H35" i="22"/>
  <c r="G35" i="22"/>
  <c r="F35" i="22"/>
  <c r="E35" i="22"/>
  <c r="D35" i="22"/>
  <c r="C35" i="22"/>
  <c r="B35" i="22"/>
  <c r="A35" i="22"/>
  <c r="H34" i="22"/>
  <c r="G34" i="22"/>
  <c r="F34" i="22"/>
  <c r="E34" i="22"/>
  <c r="D34" i="22"/>
  <c r="C34" i="22"/>
  <c r="B34" i="22"/>
  <c r="A34" i="22"/>
  <c r="H33" i="22"/>
  <c r="G33" i="22"/>
  <c r="F33" i="22"/>
  <c r="E33" i="22"/>
  <c r="D33" i="22"/>
  <c r="C33" i="22"/>
  <c r="B33" i="22"/>
  <c r="A33" i="22"/>
  <c r="H32" i="22"/>
  <c r="G32" i="22"/>
  <c r="F32" i="22"/>
  <c r="E32" i="22"/>
  <c r="D32" i="22"/>
  <c r="C32" i="22"/>
  <c r="B32" i="22"/>
  <c r="A32" i="22"/>
  <c r="H31" i="22"/>
  <c r="G31" i="22"/>
  <c r="F31" i="22"/>
  <c r="E31" i="22"/>
  <c r="D31" i="22"/>
  <c r="C31" i="22"/>
  <c r="B31" i="22"/>
  <c r="A31" i="22"/>
  <c r="H30" i="22"/>
  <c r="G30" i="22"/>
  <c r="F30" i="22"/>
  <c r="E30" i="22"/>
  <c r="D30" i="22"/>
  <c r="C30" i="22"/>
  <c r="B30" i="22"/>
  <c r="A30" i="22"/>
  <c r="H29" i="22"/>
  <c r="G29" i="22"/>
  <c r="F29" i="22"/>
  <c r="E29" i="22"/>
  <c r="D29" i="22"/>
  <c r="C29" i="22"/>
  <c r="B29" i="22"/>
  <c r="A29" i="22"/>
  <c r="H28" i="22"/>
  <c r="G28" i="22"/>
  <c r="F28" i="22"/>
  <c r="E28" i="22"/>
  <c r="D28" i="22"/>
  <c r="C28" i="22"/>
  <c r="B28" i="22"/>
  <c r="A28" i="22"/>
  <c r="H27" i="22"/>
  <c r="G27" i="22"/>
  <c r="F27" i="22"/>
  <c r="E27" i="22"/>
  <c r="D27" i="22"/>
  <c r="C27" i="22"/>
  <c r="B27" i="22"/>
  <c r="A27" i="22"/>
  <c r="H26" i="22"/>
  <c r="G26" i="22"/>
  <c r="F26" i="22"/>
  <c r="E26" i="22"/>
  <c r="D26" i="22"/>
  <c r="C26" i="22"/>
  <c r="B26" i="22"/>
  <c r="A26" i="22"/>
  <c r="H25" i="22"/>
  <c r="G25" i="22"/>
  <c r="F25" i="22"/>
  <c r="E25" i="22"/>
  <c r="D25" i="22"/>
  <c r="C25" i="22"/>
  <c r="B25" i="22"/>
  <c r="A25" i="22"/>
  <c r="H24" i="22"/>
  <c r="G24" i="22"/>
  <c r="F24" i="22"/>
  <c r="E24" i="22"/>
  <c r="D24" i="22"/>
  <c r="C24" i="22"/>
  <c r="B24" i="22"/>
  <c r="A24" i="22"/>
  <c r="H23" i="22"/>
  <c r="G23" i="22"/>
  <c r="F23" i="22"/>
  <c r="E23" i="22"/>
  <c r="D23" i="22"/>
  <c r="C23" i="22"/>
  <c r="B23" i="22"/>
  <c r="A23" i="22"/>
  <c r="H22" i="22"/>
  <c r="G22" i="22"/>
  <c r="F22" i="22"/>
  <c r="E22" i="22"/>
  <c r="D22" i="22"/>
  <c r="C22" i="22"/>
  <c r="B22" i="22"/>
  <c r="A22" i="22"/>
  <c r="H21" i="22"/>
  <c r="G21" i="22"/>
  <c r="F21" i="22"/>
  <c r="E21" i="22"/>
  <c r="D21" i="22"/>
  <c r="C21" i="22"/>
  <c r="B21" i="22"/>
  <c r="A21" i="22"/>
  <c r="H20" i="22"/>
  <c r="G20" i="22"/>
  <c r="F20" i="22"/>
  <c r="E20" i="22"/>
  <c r="D20" i="22"/>
  <c r="C20" i="22"/>
  <c r="B20" i="22"/>
  <c r="A20" i="22"/>
  <c r="H19" i="22"/>
  <c r="G19" i="22"/>
  <c r="F19" i="22"/>
  <c r="E19" i="22"/>
  <c r="D19" i="22"/>
  <c r="C19" i="22"/>
  <c r="B19" i="22"/>
  <c r="A19" i="22"/>
  <c r="H18" i="22"/>
  <c r="G18" i="22"/>
  <c r="F18" i="22"/>
  <c r="E18" i="22"/>
  <c r="D18" i="22"/>
  <c r="C18" i="22"/>
  <c r="B18" i="22"/>
  <c r="A18" i="22"/>
  <c r="H17" i="22"/>
  <c r="G17" i="22"/>
  <c r="F17" i="22"/>
  <c r="E17" i="22"/>
  <c r="D17" i="22"/>
  <c r="C17" i="22"/>
  <c r="B17" i="22"/>
  <c r="A17" i="22"/>
  <c r="H16" i="22"/>
  <c r="G16" i="22"/>
  <c r="F16" i="22"/>
  <c r="E16" i="22"/>
  <c r="D16" i="22"/>
  <c r="C16" i="22"/>
  <c r="B16" i="22"/>
  <c r="A16" i="22"/>
  <c r="H15" i="22"/>
  <c r="G15" i="22"/>
  <c r="F15" i="22"/>
  <c r="E15" i="22"/>
  <c r="D15" i="22"/>
  <c r="C15" i="22"/>
  <c r="B15" i="22"/>
  <c r="A15" i="22"/>
  <c r="H14" i="22"/>
  <c r="G14" i="22"/>
  <c r="F14" i="22"/>
  <c r="E14" i="22"/>
  <c r="D14" i="22"/>
  <c r="C14" i="22"/>
  <c r="B14" i="22"/>
  <c r="A14" i="22"/>
  <c r="H13" i="22"/>
  <c r="G13" i="22"/>
  <c r="F13" i="22"/>
  <c r="E13" i="22"/>
  <c r="D13" i="22"/>
  <c r="C13" i="22"/>
  <c r="B13" i="22"/>
  <c r="A13" i="22"/>
  <c r="H12" i="22"/>
  <c r="G12" i="22"/>
  <c r="F12" i="22"/>
  <c r="E12" i="22"/>
  <c r="D12" i="22"/>
  <c r="C12" i="22"/>
  <c r="B12" i="22"/>
  <c r="A12" i="22"/>
  <c r="H11" i="22"/>
  <c r="G11" i="22"/>
  <c r="F11" i="22"/>
  <c r="E11" i="22"/>
  <c r="D11" i="22"/>
  <c r="C11" i="22"/>
  <c r="B11" i="22"/>
  <c r="A11" i="22"/>
  <c r="H10" i="22"/>
  <c r="G10" i="22"/>
  <c r="F10" i="22"/>
  <c r="E10" i="22"/>
  <c r="D10" i="22"/>
  <c r="C10" i="22"/>
  <c r="B10" i="22"/>
  <c r="A10" i="22"/>
  <c r="H9" i="22"/>
  <c r="G9" i="22"/>
  <c r="F9" i="22"/>
  <c r="E9" i="22"/>
  <c r="D9" i="22"/>
  <c r="C9" i="22"/>
  <c r="B9" i="22"/>
  <c r="A9" i="22"/>
  <c r="H8" i="22"/>
  <c r="G8" i="22"/>
  <c r="F8" i="22"/>
  <c r="E8" i="22"/>
  <c r="D8" i="22"/>
  <c r="C8" i="22"/>
  <c r="B8" i="22"/>
  <c r="A8" i="22"/>
  <c r="H7" i="22"/>
  <c r="G7" i="22"/>
  <c r="F7" i="22"/>
  <c r="E7" i="22"/>
  <c r="D7" i="22"/>
  <c r="C7" i="22"/>
  <c r="B7" i="22"/>
  <c r="A7" i="22"/>
  <c r="H6" i="22"/>
  <c r="G6" i="22"/>
  <c r="F6" i="22"/>
  <c r="E6" i="22"/>
  <c r="D6" i="22"/>
  <c r="C6" i="22"/>
  <c r="B6" i="22"/>
  <c r="A6" i="22"/>
  <c r="H5" i="22"/>
  <c r="G5" i="22"/>
  <c r="F5" i="22"/>
  <c r="E5" i="22"/>
  <c r="D5" i="22"/>
  <c r="C5" i="22"/>
  <c r="B5" i="22"/>
  <c r="A5" i="22"/>
  <c r="H4" i="22"/>
  <c r="G4" i="22"/>
  <c r="F4" i="22"/>
  <c r="E4" i="22"/>
  <c r="D4" i="22"/>
  <c r="C4" i="22"/>
  <c r="B4" i="22"/>
  <c r="A4" i="22"/>
  <c r="K46" i="2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J13" i="24" l="1"/>
  <c r="J14" i="24"/>
  <c r="J12" i="24"/>
  <c r="J11" i="24"/>
  <c r="J44" i="24"/>
  <c r="X59" i="24"/>
  <c r="Q59" i="24"/>
  <c r="R59" i="24"/>
  <c r="M59" i="24"/>
  <c r="S59" i="24"/>
  <c r="AP59" i="24"/>
  <c r="AB59" i="24"/>
  <c r="Z59" i="24"/>
  <c r="AE59" i="24"/>
  <c r="AG59" i="24"/>
  <c r="AF59" i="24"/>
  <c r="AH59" i="24"/>
  <c r="U59" i="24"/>
  <c r="Y59" i="24"/>
  <c r="AI59" i="24"/>
  <c r="T59" i="24"/>
  <c r="AL59" i="24"/>
  <c r="AA59" i="24"/>
  <c r="AM59" i="24"/>
  <c r="AN59" i="24"/>
  <c r="AO59" i="24"/>
  <c r="L59" i="24"/>
  <c r="N59" i="24"/>
  <c r="J42" i="24"/>
  <c r="J43" i="24"/>
  <c r="J41" i="24"/>
  <c r="T53" i="24"/>
  <c r="T58" i="24" s="1"/>
  <c r="O53" i="24"/>
  <c r="O58" i="24" s="1"/>
  <c r="Z53" i="24"/>
  <c r="Z58" i="24" s="1"/>
  <c r="AJ53" i="24"/>
  <c r="AJ58" i="24" s="1"/>
  <c r="AB53" i="24"/>
  <c r="AB58" i="24" s="1"/>
  <c r="AK53" i="24"/>
  <c r="AK58" i="24" s="1"/>
  <c r="V53" i="24"/>
  <c r="V58" i="24" s="1"/>
  <c r="AO53" i="24"/>
  <c r="AO58" i="24" s="1"/>
  <c r="AD53" i="24"/>
  <c r="AD58" i="24" s="1"/>
  <c r="AC53" i="24"/>
  <c r="AC58" i="24" s="1"/>
  <c r="AA53" i="24"/>
  <c r="AA58" i="24" s="1"/>
  <c r="U53" i="24"/>
  <c r="U58" i="24" s="1"/>
  <c r="P53" i="24"/>
  <c r="P58" i="24" s="1"/>
  <c r="Q53" i="24"/>
  <c r="Q58" i="24" s="1"/>
  <c r="N53" i="24"/>
  <c r="N58" i="24" s="1"/>
  <c r="L53" i="24"/>
  <c r="L58" i="24" s="1"/>
  <c r="AN53" i="24"/>
  <c r="AN58" i="24" s="1"/>
  <c r="AM53" i="24"/>
  <c r="AM58" i="24" s="1"/>
  <c r="Y53" i="24"/>
  <c r="Y58" i="24" s="1"/>
  <c r="M53" i="24"/>
  <c r="M58" i="24" s="1"/>
  <c r="AL53" i="24"/>
  <c r="AL58" i="24" s="1"/>
  <c r="AP53" i="24"/>
  <c r="AP58" i="24" s="1"/>
  <c r="R53" i="24"/>
  <c r="R58" i="24" s="1"/>
  <c r="AG53" i="24"/>
  <c r="AG58" i="24" s="1"/>
  <c r="AE53" i="24"/>
  <c r="AE58" i="24" s="1"/>
  <c r="AF53" i="24"/>
  <c r="AF58" i="24" s="1"/>
  <c r="S53" i="24"/>
  <c r="S58" i="24" s="1"/>
  <c r="AI53" i="24"/>
  <c r="AI58" i="24" s="1"/>
  <c r="X53" i="24"/>
  <c r="X58" i="24" s="1"/>
  <c r="W53" i="24"/>
  <c r="W58" i="24" s="1"/>
  <c r="AH53" i="24"/>
  <c r="AH58" i="24" s="1"/>
  <c r="AR20" i="24"/>
  <c r="AT20" i="24" s="1"/>
  <c r="J28" i="24"/>
  <c r="AR29" i="24"/>
  <c r="AT29" i="24" s="1"/>
  <c r="AR31" i="24"/>
  <c r="AT31" i="24" s="1"/>
  <c r="AR33" i="24"/>
  <c r="AT33" i="24" s="1"/>
  <c r="J36" i="24"/>
  <c r="AR12" i="24"/>
  <c r="AT12" i="24" s="1"/>
  <c r="AR25" i="24"/>
  <c r="AT25" i="24" s="1"/>
  <c r="J16" i="24"/>
  <c r="AR16" i="24"/>
  <c r="AT16" i="24" s="1"/>
  <c r="AR17" i="24"/>
  <c r="AT17" i="24" s="1"/>
  <c r="AR4" i="24"/>
  <c r="AT4" i="24" s="1"/>
  <c r="P59" i="24"/>
  <c r="AR6" i="24"/>
  <c r="AT6" i="24" s="1"/>
  <c r="AR27" i="24"/>
  <c r="AT27" i="24" s="1"/>
  <c r="J21" i="24"/>
  <c r="J27" i="24"/>
  <c r="J31" i="24"/>
  <c r="J33" i="24"/>
  <c r="W59" i="24"/>
  <c r="AR9" i="24"/>
  <c r="AT9" i="24" s="1"/>
  <c r="AR13" i="24"/>
  <c r="AT13" i="24" s="1"/>
  <c r="AR11" i="24"/>
  <c r="AT11" i="24" s="1"/>
  <c r="AR15" i="24"/>
  <c r="AT15" i="24" s="1"/>
  <c r="AR41" i="24"/>
  <c r="AT41" i="24" s="1"/>
  <c r="AR43" i="24"/>
  <c r="AT43" i="24" s="1"/>
  <c r="AC59" i="24"/>
  <c r="J20" i="24"/>
  <c r="AK59" i="24"/>
  <c r="AR26" i="24"/>
  <c r="AT26" i="24" s="1"/>
  <c r="AR30" i="24"/>
  <c r="AT30" i="24" s="1"/>
  <c r="AR36" i="24"/>
  <c r="AT36" i="24" s="1"/>
  <c r="AR38" i="24"/>
  <c r="AT38" i="24" s="1"/>
  <c r="AR40" i="24"/>
  <c r="AT40" i="24" s="1"/>
  <c r="AR44" i="24"/>
  <c r="AT44" i="24" s="1"/>
  <c r="J5" i="24"/>
  <c r="J15" i="24"/>
  <c r="J17" i="24"/>
  <c r="AR22" i="24"/>
  <c r="AT22" i="24" s="1"/>
  <c r="AR24" i="24"/>
  <c r="AT24" i="24" s="1"/>
  <c r="AR28" i="24"/>
  <c r="AT28" i="24" s="1"/>
  <c r="AR32" i="24"/>
  <c r="AT32" i="24" s="1"/>
  <c r="J9" i="24"/>
  <c r="AR34" i="24"/>
  <c r="AT34" i="24" s="1"/>
  <c r="J38" i="24"/>
  <c r="AJ59" i="24"/>
  <c r="J19" i="24"/>
  <c r="J25" i="24"/>
  <c r="AR42" i="24"/>
  <c r="AT42" i="24" s="1"/>
  <c r="AT56" i="24"/>
  <c r="V59" i="24"/>
  <c r="AR19" i="24"/>
  <c r="AT19" i="24" s="1"/>
  <c r="AR5" i="24"/>
  <c r="AT5" i="24" s="1"/>
  <c r="J7" i="24"/>
  <c r="J35" i="24"/>
  <c r="J37" i="24"/>
  <c r="J8" i="24"/>
  <c r="J18" i="24"/>
  <c r="AR35" i="24"/>
  <c r="AT35" i="24" s="1"/>
  <c r="J6" i="24"/>
  <c r="AR21" i="24"/>
  <c r="AT21" i="24" s="1"/>
  <c r="AR23" i="24"/>
  <c r="AT23" i="24" s="1"/>
  <c r="J24" i="24"/>
  <c r="J30" i="24"/>
  <c r="J34" i="24"/>
  <c r="J22" i="24"/>
  <c r="AD59" i="24"/>
  <c r="O59" i="24"/>
  <c r="J4" i="24"/>
  <c r="AR8" i="24"/>
  <c r="AT8" i="24" s="1"/>
  <c r="J10" i="24"/>
  <c r="AR14" i="24"/>
  <c r="AT14" i="24" s="1"/>
  <c r="AR18" i="24"/>
  <c r="AT18" i="24" s="1"/>
  <c r="AR37" i="24"/>
  <c r="AT37" i="24" s="1"/>
  <c r="J39" i="24"/>
  <c r="J32" i="24"/>
  <c r="J40" i="24"/>
  <c r="AS56" i="24"/>
  <c r="J23" i="24"/>
  <c r="J26" i="24"/>
  <c r="AR10" i="24"/>
  <c r="AT10" i="24" s="1"/>
  <c r="AR7" i="24"/>
  <c r="AT7" i="24" s="1"/>
  <c r="AR39" i="24"/>
  <c r="AT39" i="24" s="1"/>
  <c r="J29" i="24"/>
  <c r="I44" i="22"/>
  <c r="P53" i="22"/>
  <c r="P58" i="22" s="1"/>
  <c r="M53" i="22"/>
  <c r="M58" i="22" s="1"/>
  <c r="AN53" i="22"/>
  <c r="AN58" i="22" s="1"/>
  <c r="AM53" i="22"/>
  <c r="AM58" i="22" s="1"/>
  <c r="AH53" i="22"/>
  <c r="AH58" i="22" s="1"/>
  <c r="AG53" i="22"/>
  <c r="AG58" i="22" s="1"/>
  <c r="AE53" i="22"/>
  <c r="AE58" i="22" s="1"/>
  <c r="AC53" i="22"/>
  <c r="AC58" i="22" s="1"/>
  <c r="T53" i="22"/>
  <c r="T58" i="22" s="1"/>
  <c r="R53" i="22"/>
  <c r="R58" i="22" s="1"/>
  <c r="Q53" i="22"/>
  <c r="Q58" i="22" s="1"/>
  <c r="O53" i="22"/>
  <c r="O58" i="22" s="1"/>
  <c r="N53" i="22"/>
  <c r="N58" i="22" s="1"/>
  <c r="L53" i="22"/>
  <c r="L58" i="22" s="1"/>
  <c r="AF53" i="22"/>
  <c r="AF58" i="22" s="1"/>
  <c r="AJ53" i="22"/>
  <c r="AJ58" i="22" s="1"/>
  <c r="AL53" i="22"/>
  <c r="AL58" i="22" s="1"/>
  <c r="AK53" i="22"/>
  <c r="AK58" i="22" s="1"/>
  <c r="AD53" i="22"/>
  <c r="AD58" i="22" s="1"/>
  <c r="AB53" i="22"/>
  <c r="AB58" i="22" s="1"/>
  <c r="U53" i="22"/>
  <c r="U58" i="22" s="1"/>
  <c r="Z53" i="22"/>
  <c r="Z58" i="22" s="1"/>
  <c r="Y53" i="22"/>
  <c r="Y58" i="22" s="1"/>
  <c r="X53" i="22"/>
  <c r="X58" i="22" s="1"/>
  <c r="W53" i="22"/>
  <c r="W58" i="22" s="1"/>
  <c r="V53" i="22"/>
  <c r="V58" i="22" s="1"/>
  <c r="K53" i="22"/>
  <c r="K58" i="22" s="1"/>
  <c r="AI53" i="22"/>
  <c r="AI58" i="22" s="1"/>
  <c r="S53" i="22"/>
  <c r="S58" i="22" s="1"/>
  <c r="AA53" i="22"/>
  <c r="AA58" i="22" s="1"/>
  <c r="Y59" i="22"/>
  <c r="W59" i="22"/>
  <c r="N59" i="22"/>
  <c r="Z59" i="22"/>
  <c r="K59" i="22"/>
  <c r="AA59" i="22"/>
  <c r="L59" i="22"/>
  <c r="AB59" i="22"/>
  <c r="M59" i="22"/>
  <c r="AC59" i="22"/>
  <c r="AP6" i="22"/>
  <c r="AR6" i="22" s="1"/>
  <c r="AP10" i="22"/>
  <c r="AR10" i="22" s="1"/>
  <c r="AP14" i="22"/>
  <c r="AR14" i="22" s="1"/>
  <c r="AP42" i="22"/>
  <c r="AR42" i="22" s="1"/>
  <c r="AP4" i="22"/>
  <c r="AR4" i="22" s="1"/>
  <c r="AP8" i="22"/>
  <c r="AR8" i="22" s="1"/>
  <c r="AP12" i="22"/>
  <c r="AR12" i="22" s="1"/>
  <c r="U59" i="22"/>
  <c r="I15" i="22"/>
  <c r="I31" i="22"/>
  <c r="X59" i="22"/>
  <c r="AN59" i="22"/>
  <c r="AP7" i="22"/>
  <c r="AR7" i="22" s="1"/>
  <c r="AP9" i="22"/>
  <c r="AR9" i="22" s="1"/>
  <c r="AP11" i="22"/>
  <c r="AR11" i="22" s="1"/>
  <c r="AP13" i="22"/>
  <c r="AR13" i="22" s="1"/>
  <c r="AP15" i="22"/>
  <c r="AR15" i="22" s="1"/>
  <c r="AP17" i="22"/>
  <c r="AR17" i="22" s="1"/>
  <c r="AP19" i="22"/>
  <c r="AR19" i="22" s="1"/>
  <c r="AP23" i="22"/>
  <c r="AR23" i="22" s="1"/>
  <c r="AP25" i="22"/>
  <c r="AR25" i="22" s="1"/>
  <c r="AP27" i="22"/>
  <c r="AR27" i="22" s="1"/>
  <c r="AP31" i="22"/>
  <c r="AR31" i="22" s="1"/>
  <c r="AP33" i="22"/>
  <c r="AR33" i="22" s="1"/>
  <c r="AP35" i="22"/>
  <c r="AR35" i="22" s="1"/>
  <c r="AP39" i="22"/>
  <c r="AR39" i="22" s="1"/>
  <c r="V59" i="22"/>
  <c r="I27" i="22"/>
  <c r="I43" i="22"/>
  <c r="AM59" i="22"/>
  <c r="AP24" i="22"/>
  <c r="AR24" i="22" s="1"/>
  <c r="I23" i="22"/>
  <c r="AP28" i="22"/>
  <c r="AR28" i="22" s="1"/>
  <c r="I11" i="22"/>
  <c r="I22" i="22"/>
  <c r="I28" i="22"/>
  <c r="AP44" i="22"/>
  <c r="AR44" i="22" s="1"/>
  <c r="AP18" i="22"/>
  <c r="AR18" i="22" s="1"/>
  <c r="I20" i="22"/>
  <c r="AP37" i="22"/>
  <c r="AR37" i="22" s="1"/>
  <c r="AP41" i="22"/>
  <c r="AR41" i="22" s="1"/>
  <c r="AP43" i="22"/>
  <c r="AR43" i="22" s="1"/>
  <c r="AK59" i="22"/>
  <c r="I14" i="22"/>
  <c r="AL59" i="22"/>
  <c r="I26" i="22"/>
  <c r="I32" i="22"/>
  <c r="I38" i="22"/>
  <c r="I7" i="22"/>
  <c r="I9" i="22"/>
  <c r="I30" i="22"/>
  <c r="I36" i="22"/>
  <c r="AP16" i="22"/>
  <c r="AR16" i="22" s="1"/>
  <c r="AP20" i="22"/>
  <c r="AR20" i="22" s="1"/>
  <c r="AP22" i="22"/>
  <c r="AR22" i="22" s="1"/>
  <c r="AP26" i="22"/>
  <c r="AR26" i="22" s="1"/>
  <c r="AP30" i="22"/>
  <c r="AR30" i="22" s="1"/>
  <c r="AQ56" i="22"/>
  <c r="I19" i="22"/>
  <c r="I25" i="22"/>
  <c r="AP32" i="22"/>
  <c r="AR32" i="22" s="1"/>
  <c r="AP36" i="22"/>
  <c r="AR36" i="22" s="1"/>
  <c r="AP38" i="22"/>
  <c r="AR38" i="22" s="1"/>
  <c r="I40" i="22"/>
  <c r="AR56" i="22"/>
  <c r="AP5" i="22"/>
  <c r="AR5" i="22" s="1"/>
  <c r="I17" i="22"/>
  <c r="AP34" i="22"/>
  <c r="AR34" i="22" s="1"/>
  <c r="AD59" i="22"/>
  <c r="I35" i="22"/>
  <c r="AP40" i="22"/>
  <c r="AR40" i="22" s="1"/>
  <c r="I6" i="22"/>
  <c r="I41" i="22"/>
  <c r="I4" i="22"/>
  <c r="I10" i="22"/>
  <c r="I33" i="22"/>
  <c r="I12" i="22"/>
  <c r="AP21" i="22"/>
  <c r="AR21" i="22" s="1"/>
  <c r="AP29" i="22"/>
  <c r="AR29" i="22" s="1"/>
  <c r="I39" i="22"/>
  <c r="I24" i="22"/>
  <c r="I37" i="22"/>
  <c r="I8" i="22"/>
  <c r="I42" i="22"/>
  <c r="I21" i="22"/>
  <c r="I34" i="22"/>
  <c r="I5" i="22"/>
  <c r="I18" i="22"/>
  <c r="O59" i="22"/>
  <c r="AE59" i="22"/>
  <c r="P59" i="22"/>
  <c r="AF59" i="22"/>
  <c r="Q59" i="22"/>
  <c r="AG59" i="22"/>
  <c r="R59" i="22"/>
  <c r="AH59" i="22"/>
  <c r="I16" i="22"/>
  <c r="I29" i="22"/>
  <c r="S59" i="22"/>
  <c r="AI59" i="22"/>
  <c r="T59" i="22"/>
  <c r="AJ59" i="22"/>
  <c r="I13" i="22"/>
  <c r="AH54" i="2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L1" i="24" l="1"/>
  <c r="K1" i="22"/>
  <c r="AW18" i="2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BF99E6B-3398-481A-B16C-E2FC2352133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3792104-B2F2-49B2-9877-DF39ED3913D9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C2" authorId="1" shapeId="0" xr:uid="{8B090237-EA9E-437F-A7A3-05FBAF5676B7}">
      <text>
        <r>
          <rPr>
            <b/>
            <sz val="14"/>
            <color indexed="81"/>
            <rFont val="Tahoma"/>
            <family val="2"/>
          </rPr>
          <t xml:space="preserve">端午節
</t>
        </r>
      </text>
    </comment>
    <comment ref="J4" authorId="2" shapeId="0" xr:uid="{2FF028EB-0D16-463E-9805-9B593CC7913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F7D4D19-24B9-4670-B1F5-10B54D2488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4" authorId="2" shapeId="0" xr:uid="{1CF58F9A-933E-4A2B-B785-B7BC728E57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3276B831-04FD-4925-9F5D-722A0A2D5A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4" authorId="2" shapeId="0" xr:uid="{844CEBB6-765A-45A9-9D5E-48B5437ED7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排班允許的話，麻煩請排"3"或"X"
</t>
        </r>
      </text>
    </comment>
    <comment ref="AD4" authorId="2" shapeId="0" xr:uid="{973FAA06-9F8E-4A8F-82FF-D1E74B2C76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4" authorId="2" shapeId="0" xr:uid="{9BF361E9-859C-42D1-9DAB-A7DDE3FB32F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5" authorId="2" shapeId="0" xr:uid="{08000CF1-C10F-4948-9FAF-2E701D28B85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5" authorId="2" shapeId="0" xr:uid="{12E4D4F7-BC10-4114-A347-CBADFEC94B3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5" authorId="2" shapeId="0" xr:uid="{CE40DED3-3972-4EEB-A39A-DF3C4E574B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2" shapeId="0" xr:uid="{CCDD1713-CFFE-4A1E-82E4-0C358EC6E7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2" shapeId="0" xr:uid="{DB23A367-BE1E-4524-9965-4EAE047334E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3E9127EA-8632-447A-8B32-ACBC2104E68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2" shapeId="0" xr:uid="{B35D0A38-E721-409A-B6F7-07B8ADF0E52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85432CA-25EC-4E4A-ACDA-C3EBB5558C7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E46A2DF6-1F41-44D4-B1A3-9F83F797C8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下午要回診
</t>
        </r>
      </text>
    </comment>
    <comment ref="V6" authorId="2" shapeId="0" xr:uid="{0BD8DE48-5A37-4D97-993F-E7A79E998E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下午去內湖指導總經理投球
</t>
        </r>
      </text>
    </comment>
    <comment ref="W6" authorId="2" shapeId="0" xr:uid="{90852D4F-225B-4FAD-9A50-EFCC657600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AB6" authorId="2" shapeId="0" xr:uid="{4A78742E-E562-4006-8A76-CF218FC3A792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J7" authorId="2" shapeId="0" xr:uid="{62F7E22F-BC8D-42CB-968C-45BB63380B3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7" authorId="2" shapeId="0" xr:uid="{7189874F-7AF1-4AE7-BF9C-36534F310E8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F7" authorId="2" shapeId="0" xr:uid="{F3861219-6DEF-421E-8AE0-6EB1AE3C2F5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7" authorId="1" shapeId="0" xr:uid="{319558FC-C71B-4070-9EC7-2E35180E56D3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7" authorId="1" shapeId="0" xr:uid="{9F77C1D0-7607-4381-A618-C635DF56DBF1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9" authorId="2" shapeId="0" xr:uid="{0EBE489D-3C08-4E1F-BFC0-597686BEE5E3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P9" authorId="2" shapeId="0" xr:uid="{FF8332F6-C8F3-4450-85D9-CCFE1F67DCC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Q9" authorId="2" shapeId="0" xr:uid="{F44D130D-E2D2-4C86-B32D-54CEB76090F8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AB9" authorId="2" shapeId="0" xr:uid="{FAFD3E26-2BE2-4AD7-AD95-B1E0CA25ED90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D9" authorId="2" shapeId="0" xr:uid="{4963D68C-BAAD-4DED-A0AB-D178AA844A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J10" authorId="2" shapeId="0" xr:uid="{F24E292B-8608-4BE7-A534-40A4B536764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Y10" authorId="2" shapeId="0" xr:uid="{EF2C5147-9682-4921-B0F6-B0C6EA7DEBA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EBEA97C3-6905-4269-A67B-04275A11C09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C303013B-A2F2-43C4-9FB2-772EF3C8D6D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D5582510-378E-4376-AE34-D54801AAE501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2" shapeId="0" xr:uid="{9AF6B1A9-B55A-4E20-BFE0-E834C4A3F6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Q11" authorId="2" shapeId="0" xr:uid="{B726C0A0-D117-4BD6-9F86-E7D4AB7359B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V11" authorId="2" shapeId="0" xr:uid="{33979AA4-91EE-4824-8C02-E5F38D2E61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E11" authorId="2" shapeId="0" xr:uid="{9772AD2C-45A3-41C0-805F-7D62BC588CC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2" shapeId="0" xr:uid="{6DF1005C-9DAB-4C7E-9A36-E8262A4D3A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J11" authorId="2" shapeId="0" xr:uid="{C0A9A915-E7C5-4CB7-B06C-DA9A0973BC3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2" authorId="1" shapeId="0" xr:uid="{98EEF7D8-6909-4843-8FCF-3AA52C72E912}">
      <text>
        <r>
          <rPr>
            <b/>
            <sz val="11"/>
            <color indexed="81"/>
            <rFont val="Tahoma"/>
            <family val="2"/>
          </rPr>
          <t>病假</t>
        </r>
      </text>
    </comment>
    <comment ref="P12" authorId="2" shapeId="0" xr:uid="{059E0232-52CC-4935-996D-D698A632FE60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Q12" authorId="2" shapeId="0" xr:uid="{8696B22A-89DE-4EC1-9289-BA4351F85D8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AL12" authorId="2" shapeId="0" xr:uid="{4C037B00-FC05-463D-9C67-3774112DD65F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M12" authorId="2" shapeId="0" xr:uid="{DDF0C5C8-E3C2-48C4-B819-169BF7E3EB62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S13" authorId="2" shapeId="0" xr:uid="{78F546B7-EB13-43F5-AAA3-9D60586DE8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3" authorId="2" shapeId="0" xr:uid="{4F03FF90-F52F-439C-B838-4EA937D576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4" authorId="2" shapeId="0" xr:uid="{D40C7296-C367-43E2-BFA2-63E758442B8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1C5A3421-AC2A-40C1-8EFF-529D5D860A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D1A8E840-8322-4B82-B7F7-940E28095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0B48D518-AD9F-4A9A-9E53-B4A2EF97FD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1C1E3EB5-AD67-46E9-9E84-F666018BF4B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4" authorId="2" shapeId="0" xr:uid="{C43717B4-848F-4674-88B3-E344CE68E7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7802ACA7-308D-4E21-9DF4-542B46F1DE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04A1ADC3-1C64-406C-B49F-B67AB3D3905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96248A30-3DE9-4D1A-9D2A-FFF18561E4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3624F237-F01A-480E-8670-DC8604973C3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E14" authorId="2" shapeId="0" xr:uid="{282E2C65-1C6F-40E8-BBAC-C0A61AD419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A7A76471-40BF-4D2C-AF64-8BC0E43767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2" shapeId="0" xr:uid="{0D9CD0C9-F828-4A4F-A5A7-D5034FA15A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629E9722-FA75-4B78-9CE9-5C5BCEEF3E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AA24F651-BD46-4A69-BEEA-8BFEC2826F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D682B76-63B2-489D-8EE4-E4F6B528B7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CCDAA266-10E6-4D99-835F-3908697A102C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S15" authorId="2" shapeId="0" xr:uid="{BE702ED3-94BB-4C8E-A710-A8994607BE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DC872C43-B4FD-434E-9004-B91644B99DAE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F15" authorId="2" shapeId="0" xr:uid="{5302A49B-5A1A-4225-B2B2-5E7A6414E7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F1F2D0FC-6976-4568-95CE-C7F693592911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3" shapeId="0" xr:uid="{B737AC49-F6FF-4CD7-A5EB-99D1ECC28B4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64BDF16E-BBB5-4ED1-BA24-CA43775655FB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老婆公司活動，如果可以的話請排休假
</t>
        </r>
      </text>
    </comment>
    <comment ref="T16" authorId="2" shapeId="0" xr:uid="{315779F4-E2AD-4E0D-AD57-24B7B969A70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U16" authorId="2" shapeId="0" xr:uid="{A7DAAA38-C76F-4FEA-83CD-4FE3F5B0193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W16" authorId="2" shapeId="0" xr:uid="{059AE51F-B94C-464B-8D55-11BF49B1C352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X16" authorId="2" shapeId="0" xr:uid="{B26B98A1-87D2-46FE-90DD-56F627792B70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Y16" authorId="2" shapeId="0" xr:uid="{8AF0969D-5B80-46C6-8867-16F6AEF6FF2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Z16" authorId="2" shapeId="0" xr:uid="{25127BAE-948E-4A8C-B3F4-A723A87093D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A16" authorId="2" shapeId="0" xr:uid="{791128C7-0E83-4520-8188-F1750C3549D1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B16" authorId="2" shapeId="0" xr:uid="{8D20659B-79B8-42AD-B264-82AAD47AE38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H16" authorId="2" shapeId="0" xr:uid="{07C1F8DE-9EE6-4C18-AB58-87A7E0533CE3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J16" authorId="2" shapeId="0" xr:uid="{98E53400-CF14-4C19-A460-A6C904B22FBF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AK16" authorId="2" shapeId="0" xr:uid="{E361279A-49F4-410A-B39A-F70D4C2D808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AL16" authorId="2" shapeId="0" xr:uid="{565A40C5-BCE5-4C21-800C-03EC7AD024D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K17" authorId="2" shapeId="0" xr:uid="{4E904F32-AD0B-4502-A744-35BCF1FEBBEC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L17" authorId="2" shapeId="0" xr:uid="{394C11F0-742F-4F93-A88B-673FBDB3A503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B17" authorId="2" shapeId="0" xr:uid="{54512824-2C45-4F7D-8877-A563028D7DC4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I17" authorId="2" shapeId="0" xr:uid="{DBF3D6DF-C0F9-4ED1-8626-D1C6E6F7689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F18" authorId="2" shapeId="0" xr:uid="{9B6C1AA6-E959-4E32-860B-5611C03321B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9" authorId="2" shapeId="0" xr:uid="{2B1EA016-EAD9-4B04-B054-DA0BF626462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U20" authorId="2" shapeId="0" xr:uid="{945ECFC0-EDB8-4A94-8EEC-940CDB08496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0" authorId="2" shapeId="0" xr:uid="{75EB0B44-12D9-4794-BB9C-79B8C9964A2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2" shapeId="0" xr:uid="{7F357BB7-854C-4081-BCF5-ED43372D42E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Q21" authorId="2" shapeId="0" xr:uid="{AB7483FB-41CD-4730-821C-F425ADF791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U21" authorId="2" shapeId="0" xr:uid="{4194A20F-1F73-44A5-AF34-AFD432C2FF06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21" authorId="2" shapeId="0" xr:uid="{08D9C80E-2F06-40E5-93AF-42277B8AAF90}">
      <text>
        <r>
          <rPr>
            <b/>
            <sz val="14"/>
            <color indexed="81"/>
            <rFont val="細明體"/>
            <family val="3"/>
            <charset val="136"/>
          </rPr>
          <t xml:space="preserve">防災演練
</t>
        </r>
      </text>
    </comment>
    <comment ref="AM21" authorId="2" shapeId="0" xr:uid="{CE87BBD4-DC9C-43CC-8163-82882C23B9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sir:早上要抽血，請幫我排小夜或大夜,謝謝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994F7BD-582C-487D-901D-FDAA77E1F62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A0886AC8-CD3D-4597-8E05-C8C2438C00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149D853-6D56-4D79-A299-800ABD67B2F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ACCB59C9-7832-4F67-B315-8752ECC458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L22" authorId="2" shapeId="0" xr:uid="{198EDE43-F997-4691-BF2B-BEB87421B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23" authorId="2" shapeId="0" xr:uid="{6E99B2D1-B2D1-4400-96ED-BD242B065FB4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>Dear sir: 
如排班允許請多排3，謝謝。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23" authorId="2" shapeId="0" xr:uid="{064CD357-81BC-4D21-B27A-F6A27805A8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3" authorId="2" shapeId="0" xr:uid="{EBC0DD13-586B-4B76-A4C8-086D93431865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J23" authorId="2" shapeId="0" xr:uid="{33883EC6-BAAA-4747-8BDB-86A0EE426F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3" authorId="2" shapeId="0" xr:uid="{339035D8-A51E-4937-8AD0-5E3365359ABF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H24" authorId="2" shapeId="0" xr:uid="{501782A0-58A5-4771-B137-C933B2FB4F3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6" authorId="2" shapeId="0" xr:uid="{3D48ACFB-4A00-4EEF-B425-1B1B6D4BE0C4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Q26" authorId="2" shapeId="0" xr:uid="{48C558DD-4481-4665-85F1-D88CD0CB58F0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D26" authorId="2" shapeId="0" xr:uid="{50AE2FA9-6BEB-47B9-806E-9EA62E834D53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E26" authorId="2" shapeId="0" xr:uid="{6AD501A9-918B-4C1E-BEAA-8D617D83E146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N26" authorId="2" shapeId="0" xr:uid="{A9DCAF60-C54C-4AC3-9F8E-188570BEE21B}">
      <text>
        <r>
          <rPr>
            <b/>
            <sz val="12"/>
            <color indexed="81"/>
            <rFont val="細明體"/>
            <family val="3"/>
            <charset val="136"/>
          </rPr>
          <t>1改S</t>
        </r>
      </text>
    </comment>
    <comment ref="J27" authorId="2" shapeId="0" xr:uid="{D1647D24-BFFA-4B2A-BC15-96E8DF7C723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R27" authorId="2" shapeId="0" xr:uid="{647E0515-7877-45E1-9B72-F05C9D92AAC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V27" authorId="2" shapeId="0" xr:uid="{AC8B4877-FC45-4E4E-B4E0-0D781259709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2" shapeId="0" xr:uid="{76DB5777-7571-4AF0-B378-A3928C0221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E561711A-26CB-454C-938A-281DC938C1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7" authorId="2" shapeId="0" xr:uid="{A9CAD038-3504-4EAF-8A56-4A3029D07B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7" authorId="2" shapeId="0" xr:uid="{6ABDE330-EEAF-498F-B271-756EF4135D3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7" authorId="2" shapeId="0" xr:uid="{EA82F59B-1F14-4786-80C0-0A50639FE9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8" authorId="2" shapeId="0" xr:uid="{A2B01842-B20B-470A-8BC7-2C767F6B34A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2" shapeId="0" xr:uid="{43DDB107-F7BB-4BBD-A064-EFD25554671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P28" authorId="2" shapeId="0" xr:uid="{B4D91AF2-EB16-4C46-BF0C-77AA8A111759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F53E8374-D517-4434-B16A-EDD328A0704A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78539B53-8C25-4CAC-BB29-9E1D8711A6D4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Z28" authorId="2" shapeId="0" xr:uid="{D32C74B7-9B96-4A75-A7DB-CF94FCA7804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G28" authorId="2" shapeId="0" xr:uid="{34245FB9-1D4D-46EE-B44C-A5A9A7931EB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N28" authorId="2" shapeId="0" xr:uid="{39F2AEA4-C6DC-4942-8B01-E3635DDA470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O29" authorId="2" shapeId="0" xr:uid="{0FE3F326-CAC8-48FC-8730-2A38D4476E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S29" authorId="2" shapeId="0" xr:uid="{298303D3-0AD2-4441-BA84-DCEA9C1EEF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V29" authorId="2" shapeId="0" xr:uid="{AB067F08-84B1-469D-BA78-4387691AED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AC29" authorId="2" shapeId="0" xr:uid="{8849145A-A745-46B0-9092-2593CD34AE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9" authorId="2" shapeId="0" xr:uid="{7210F495-6127-4AE0-98D4-F0BAB1C77C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O30" authorId="2" shapeId="0" xr:uid="{13B99E48-C6EF-4300-8D7F-4111C773E254}">
      <text>
        <r>
          <rPr>
            <b/>
            <sz val="9"/>
            <color indexed="81"/>
            <rFont val="細明體"/>
            <family val="3"/>
            <charset val="136"/>
          </rPr>
          <t xml:space="preserve">喪假
</t>
        </r>
      </text>
    </comment>
    <comment ref="AH31" authorId="2" shapeId="0" xr:uid="{54CF7597-E47F-45B6-94F6-E936BED91AA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I31" authorId="2" shapeId="0" xr:uid="{12F685B7-305A-4457-92C8-121F8C2721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M31" authorId="2" shapeId="0" xr:uid="{C0A1A9CA-7964-4E63-B445-8ACB0FE0AA3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W32" authorId="2" shapeId="0" xr:uid="{5EEEE4B4-646F-4DB2-AFEB-2B977B776D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2" authorId="2" shapeId="0" xr:uid="{CA212AF6-5EF5-40F4-9BC5-0B1DBF7D59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2" authorId="2" shapeId="0" xr:uid="{FC73FD60-0A27-4ED5-BB8F-74F5DA3968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2" authorId="2" shapeId="0" xr:uid="{D6EF6E64-09D8-4034-9DAA-6700D50BB8B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2" shapeId="0" xr:uid="{B3A5EC17-646A-46AF-969D-860225BEA8B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3" authorId="2" shapeId="0" xr:uid="{1DE19B41-37DA-400F-9601-856EA0A206EB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3" authorId="2" shapeId="0" xr:uid="{2C29FDCA-9312-49B6-91ED-9BF98A145B4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3" authorId="2" shapeId="0" xr:uid="{A34322B0-400F-4066-838E-F06B614C8723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L33" authorId="2" shapeId="0" xr:uid="{EB8B64F5-CDBC-4A0F-887C-61262D767C4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M33" authorId="2" shapeId="0" xr:uid="{FD6E39DE-13E9-4125-9F52-1C3A8EE151D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4" authorId="2" shapeId="0" xr:uid="{A5BAF759-9506-4D37-880D-9EFF6E11868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S34" authorId="2" shapeId="0" xr:uid="{A2FA1BEA-69C1-4B7C-BADA-8CD431B2BF3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U34" authorId="2" shapeId="0" xr:uid="{16E7DEC7-12EB-4C3C-AC7E-D409453A321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C34" authorId="2" shapeId="0" xr:uid="{B88ACAD7-3F8D-4A08-91A5-900AC9C3AC7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47558343-794B-49F7-828E-3FF836FFEC6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23B6EEFD-5F43-455A-B8FD-755DC712D2C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2" shapeId="0" xr:uid="{97A29D8C-7B28-4101-9661-C40667EE19C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AK34" authorId="2" shapeId="0" xr:uid="{B3CCA60B-C8C7-48FC-9A8A-5FE5D2C7FB2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AN34" authorId="2" shapeId="0" xr:uid="{B0D67B06-EB41-45F5-867E-DBFD893BBED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J35" authorId="4" shapeId="0" xr:uid="{37555F5D-B307-4654-BB70-3A2A41A1E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S36" authorId="2" shapeId="0" xr:uid="{B8715D72-04F1-4626-89B3-0ABBC2B072C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36" authorId="2" shapeId="0" xr:uid="{1233419F-2A53-4D74-BB18-C2689F8AF01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F36" authorId="2" shapeId="0" xr:uid="{54C3EC52-16FB-423A-AC2B-2F6B0C05A7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7" authorId="2" shapeId="0" xr:uid="{8D70309E-EAA2-43FF-A5A6-E6C692A0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7" authorId="2" shapeId="0" xr:uid="{C87BBDE1-D78A-4337-89D3-8F017F817D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2" shapeId="0" xr:uid="{40D2B723-3890-496A-B97B-5E6E3331D4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2" shapeId="0" xr:uid="{0F023D76-2A79-48A6-AB34-90C075D1B8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2" shapeId="0" xr:uid="{E58CF912-82AF-4D22-B462-AD0348C37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7" authorId="2" shapeId="0" xr:uid="{6CD05A8E-2E47-4703-A7B6-A95C063043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2" shapeId="0" xr:uid="{D8B44D0F-57FE-4E41-BC8E-62118ACC09E4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7" authorId="2" shapeId="0" xr:uid="{F8CD0949-E1AE-4FC7-A000-972F39EB7A0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Y37" authorId="2" shapeId="0" xr:uid="{7763D408-060C-43FE-9A7F-D2C1E8BC11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2" shapeId="0" xr:uid="{AD5F16AA-9CC7-403C-93A7-88D7E33CB8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2" shapeId="0" xr:uid="{55674ADA-56DB-43B2-A5BC-AAC60B9A2D0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2" shapeId="0" xr:uid="{4B87124D-57EA-46B0-857F-A6C366C46B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7" authorId="2" shapeId="0" xr:uid="{B05B962B-7133-40C7-AB76-426DE8E918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7" authorId="2" shapeId="0" xr:uid="{5AACA5F2-9C40-4BBC-9679-F7DAE7E592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2" shapeId="0" xr:uid="{B9BCC7F4-E2D8-4A54-B463-DDAEBEC242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7" authorId="2" shapeId="0" xr:uid="{714138CD-C153-4D4D-9A29-60B6D9D5043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8" authorId="2" shapeId="0" xr:uid="{48F67D65-168D-4961-A3D0-3A14DAAA6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若班表允許請幫我多排"晚"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8" authorId="2" shapeId="0" xr:uid="{DC1010A1-CB66-41C7-B310-80FD929291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38" authorId="2" shapeId="0" xr:uid="{206A8578-01A3-4049-83E0-151FB3F56C5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38" authorId="2" shapeId="0" xr:uid="{7843EEE0-01DE-4687-90A6-891F83BFD03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38" authorId="2" shapeId="0" xr:uid="{E4E5AC8B-83AD-4883-8CD1-0A7B2C2E466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8" authorId="2" shapeId="0" xr:uid="{46DC9855-DA8F-4259-80C0-95B0A5A09F7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8" authorId="2" shapeId="0" xr:uid="{37606FEB-532F-4F54-8D8D-BBD2AC996A7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2" shapeId="0" xr:uid="{1387DE6E-441A-4F41-B434-A4E84588FEF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2" shapeId="0" xr:uid="{F0A71736-C4F1-4290-AB34-35CA019A825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38" authorId="2" shapeId="0" xr:uid="{3C2895BC-34BC-4905-B342-882419BF86C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38" authorId="2" shapeId="0" xr:uid="{4EDD2541-671A-4175-A3CA-9CB2F95481F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8" authorId="2" shapeId="0" xr:uid="{0A9CFA94-039F-410C-A415-BCF775D95B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8" authorId="2" shapeId="0" xr:uid="{41980383-CC41-43A2-891D-CF107131E3F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38" authorId="2" shapeId="0" xr:uid="{EED9F335-C3C1-47D9-80A7-5FFCC7F05CF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N38" authorId="2" shapeId="0" xr:uid="{F1C279A4-E4EA-4458-B883-2F01764E0C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816E8634-D84C-4870-BAA6-6A8728F4E4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B39" authorId="2" shapeId="0" xr:uid="{E192ED36-AB76-4559-A3FF-5E986552378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39" authorId="2" shapeId="0" xr:uid="{AA3414A5-002F-41BF-8E2B-2B5178B736E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39" authorId="2" shapeId="0" xr:uid="{7301F2A7-BAF3-4B65-9D51-24953C712255}">
      <text>
        <r>
          <rPr>
            <b/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I39" authorId="2" shapeId="0" xr:uid="{03F009CE-F583-48AB-ABE4-FED097A9D10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J39" authorId="2" shapeId="0" xr:uid="{10723B02-AD59-4478-B319-75CE672EB3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M39" authorId="2" shapeId="0" xr:uid="{2165A599-191F-4D68-B827-B1817A15079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N39" authorId="2" shapeId="0" xr:uid="{28366FE9-92AD-47E4-AA56-E6CB576CC88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J40" authorId="2" shapeId="0" xr:uid="{597AFD13-E1B5-4502-B90E-F0C5E1C751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AJ40" authorId="2" shapeId="0" xr:uid="{8C2D1DA8-B12C-498B-9621-FF46EB7189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R41" authorId="2" shapeId="0" xr:uid="{7CE37F05-E05E-4133-A40F-C047A3E22C5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1" authorId="2" shapeId="0" xr:uid="{4CD110AF-1374-48E2-B644-72317762544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1" authorId="2" shapeId="0" xr:uid="{CF51BC5D-7865-4CDD-A7B9-AB782D50A9F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M41" authorId="2" shapeId="0" xr:uid="{195477E8-A345-4CDF-B227-971B1AAC98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1" authorId="2" shapeId="0" xr:uid="{F601D432-A1CB-473F-B7C5-8B12BDC77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P43" authorId="2" shapeId="0" xr:uid="{37E14DB7-1CEB-4910-B564-839CB78D0ED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Q43" authorId="2" shapeId="0" xr:uid="{25DB6503-32D3-4E2A-BE96-5067109BBF5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V43" authorId="2" shapeId="0" xr:uid="{155F1C0C-31D6-4272-A836-85A024A4C1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晚上看醫生，請不要排中班。
</t>
        </r>
      </text>
    </comment>
    <comment ref="AF44" authorId="2" shapeId="0" xr:uid="{A8910E12-3BEC-43BA-9399-DB06BC2F80C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請幫忙安排正常班或是小夜班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Jiang, Tony 江宇東 (598753)</author>
    <author>User</author>
  </authors>
  <commentList>
    <comment ref="G2" authorId="0" shapeId="0" xr:uid="{B60BC405-259C-4A09-A078-3EA563CD176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" authorId="0" shapeId="0" xr:uid="{B6EC2F19-8302-4390-8495-22AD89951F9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4" authorId="1" shapeId="0" xr:uid="{BD0DFBC8-EC0D-41D9-B233-67D85A9966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W4" authorId="1" shapeId="0" xr:uid="{FA1F6A6A-ED6A-4B29-82CA-21CC1F8EEB86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1" shapeId="0" xr:uid="{F5694B8C-5396-46B5-A0E5-12F921AF10C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5" authorId="1" shapeId="0" xr:uid="{0666AB29-5DFB-4F2C-AA68-261DE3E1A8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2" shapeId="0" xr:uid="{8214B481-3122-49AE-B523-06124641DA1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M6" authorId="1" shapeId="0" xr:uid="{CC65A243-00EA-479C-B969-6B19A748BBEF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N6" authorId="1" shapeId="0" xr:uid="{5F4B8C01-4D7E-456E-8C06-1FDE17F9DF4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Q6" authorId="2" shapeId="0" xr:uid="{6F5AC926-3089-4ABD-BEDE-1A77CAC25BF3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R6" authorId="2" shapeId="0" xr:uid="{3CD709B2-9139-47A9-ABE2-B852D00C3E5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S6" authorId="1" shapeId="0" xr:uid="{22615884-3CFB-44E2-8AE1-BE21AB977F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6" authorId="2" shapeId="0" xr:uid="{2D6506A0-1D2E-45D3-B73B-DDBE7C907AFF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Y6" authorId="1" shapeId="0" xr:uid="{523E8FCA-AC7C-4C1E-B17D-5CDB85797DC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B6" authorId="2" shapeId="0" xr:uid="{38076562-BE8B-4249-AAC0-ED175C6AE71C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I6" authorId="2" shapeId="0" xr:uid="{4D48E577-AF4B-4982-A56E-5F43EC141772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P6" authorId="2" shapeId="0" xr:uid="{F0C2A01E-A7B8-451B-A0EF-EB4511364273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K7" authorId="1" shapeId="0" xr:uid="{766B41D5-4E9A-45E6-B00F-CDCCFEAE488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2" shapeId="0" xr:uid="{99D0EC23-6967-4450-AF47-BE372FF5B7AB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7" authorId="2" shapeId="0" xr:uid="{DC5E583D-0416-45C7-887A-FEC5648138A4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7" authorId="2" shapeId="0" xr:uid="{24291FE1-43A1-4BEC-BF55-4EA2DE33CAA9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2C1F70E7-9840-4C73-84B9-89096234BD9F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Q8" authorId="1" shapeId="0" xr:uid="{A9BA5175-B6C3-4CA1-8F0F-E7BAEA578BC1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P9" authorId="1" shapeId="0" xr:uid="{491137BB-F4F3-468D-B541-A5681BA47284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Q9" authorId="1" shapeId="0" xr:uid="{510C91FF-D223-4527-BB64-6446D73252FF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R9" authorId="1" shapeId="0" xr:uid="{FD802A4D-091C-4590-A173-BC7B30304A43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S9" authorId="1" shapeId="0" xr:uid="{00582BA2-0080-40D7-9BE3-29C2B5A09F2A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T9" authorId="1" shapeId="0" xr:uid="{C3AFB8DE-EFDC-4FA0-8CCE-DFE31B40CA85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V9" authorId="1" shapeId="0" xr:uid="{FDDF7E3D-14F9-42BF-B572-853C9CC813CB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早上從台中回台北，請排小夜或X…謝謝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Y9" authorId="1" shapeId="0" xr:uid="{517E2F9B-F843-441C-80D7-0A91728147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C9" authorId="1" shapeId="0" xr:uid="{D7F458C3-4DA9-45C1-A039-0E083AE05C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D9" authorId="1" shapeId="0" xr:uid="{6025B84D-0FAA-443D-8214-9E42C394EC94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要參加公司籃球比賽要團練，排班允許的話，麻煩請排</t>
        </r>
        <r>
          <rPr>
            <b/>
            <sz val="16"/>
            <color indexed="81"/>
            <rFont val="Tahoma"/>
            <family val="2"/>
          </rPr>
          <t xml:space="preserve">"X"
</t>
        </r>
        <r>
          <rPr>
            <b/>
            <sz val="16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0" authorId="1" shapeId="0" xr:uid="{199DEC1A-1C67-4270-89A1-17173C0F43D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L10" authorId="1" shapeId="0" xr:uid="{ABEC3B28-FA17-49AE-8B41-E548AAC6972B}">
      <text>
        <r>
          <rPr>
            <b/>
            <sz val="14"/>
            <color indexed="81"/>
            <rFont val="細明體"/>
            <family val="3"/>
            <charset val="136"/>
          </rPr>
          <t>批判性思維</t>
        </r>
      </text>
    </comment>
    <comment ref="AA10" authorId="1" shapeId="0" xr:uid="{4BFD3D74-B076-4F40-8A86-CE0A216FD8A1}">
      <text>
        <r>
          <rPr>
            <b/>
            <sz val="14"/>
            <color indexed="81"/>
            <rFont val="細明體"/>
            <family val="3"/>
            <charset val="136"/>
          </rPr>
          <t>簡報力</t>
        </r>
        <r>
          <rPr>
            <b/>
            <sz val="14"/>
            <color indexed="81"/>
            <rFont val="Tahoma"/>
            <family val="2"/>
          </rPr>
          <t>UP_10</t>
        </r>
        <r>
          <rPr>
            <b/>
            <sz val="14"/>
            <color indexed="81"/>
            <rFont val="細明體"/>
            <family val="3"/>
            <charset val="136"/>
          </rPr>
          <t>個</t>
        </r>
        <r>
          <rPr>
            <b/>
            <sz val="14"/>
            <color indexed="81"/>
            <rFont val="Tahoma"/>
            <family val="2"/>
          </rPr>
          <t>PPT</t>
        </r>
        <r>
          <rPr>
            <b/>
            <sz val="14"/>
            <color indexed="81"/>
            <rFont val="細明體"/>
            <family val="3"/>
            <charset val="136"/>
          </rPr>
          <t>功能打造專業簡報</t>
        </r>
      </text>
    </comment>
    <comment ref="AL10" authorId="1" shapeId="0" xr:uid="{0E9EA8A4-E32D-4CEF-AFA5-CB3A73C2768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1" shapeId="0" xr:uid="{CBF792EB-757B-4FA7-9C78-5A966BA61D4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N10" authorId="1" shapeId="0" xr:uid="{F655FC2C-56B3-45F4-A4B9-A944A1F79B3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1" shapeId="0" xr:uid="{DBC57AFC-F442-41B2-9DBA-4F8FF01FF55C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1" shapeId="0" xr:uid="{C97E25D0-B72E-4887-A6ED-1EC53B72C7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B11" authorId="1" shapeId="0" xr:uid="{CAE5C5DD-7923-4618-AB77-6F821F2568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C11" authorId="1" shapeId="0" xr:uid="{65E4DEE1-F87A-48BD-A504-95ABA50EDA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16635161-AC8E-48B3-8728-0B69F89A3F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
謝謝
</t>
        </r>
      </text>
    </comment>
    <comment ref="AG11" authorId="1" shapeId="0" xr:uid="{9DD445C7-87C4-4C6C-9B4D-F89410D5225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I11" authorId="1" shapeId="0" xr:uid="{B55011E6-58A5-45DD-8BBA-CD3C7BB450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P11" authorId="1" shapeId="0" xr:uid="{BAD863B0-BE2C-48C1-B41A-E321724D76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S12" authorId="2" shapeId="0" xr:uid="{ED77DE07-71C0-4AAE-942F-FCDFFB7A9C8C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V12" authorId="1" shapeId="0" xr:uid="{ECDE9079-9456-44DB-928E-11A87176FD8F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W12" authorId="1" shapeId="0" xr:uid="{DFD4EF17-8985-446B-85CA-F00E7F98E5B8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13" authorId="1" shapeId="0" xr:uid="{A7603B26-9166-4110-9303-157AD1ED8E1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P13" authorId="1" shapeId="0" xr:uid="{0C9C4C22-01CB-498D-8A1F-D637DCE6933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R13" authorId="1" shapeId="0" xr:uid="{6C3A4153-40A9-44B6-97F2-6D00BCEC50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A13" authorId="1" shapeId="0" xr:uid="{7D5803E2-7AFD-4990-A726-78521296F9F3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AC13" authorId="2" shapeId="0" xr:uid="{E44B9C56-4BEC-4AA7-9E0E-4879E6FCEA83}">
      <text>
        <r>
          <rPr>
            <b/>
            <sz val="9"/>
            <color indexed="81"/>
            <rFont val="Tahoma"/>
            <family val="2"/>
          </rPr>
          <t>Shift X</t>
        </r>
      </text>
    </comment>
    <comment ref="AF13" authorId="1" shapeId="0" xr:uid="{C75C11AB-D70C-4AAB-8D2A-CB804BFE69C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13" authorId="1" shapeId="0" xr:uid="{44EA53F4-1C39-41AD-B97A-1902974E89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K14" authorId="1" shapeId="0" xr:uid="{FAC2609D-A250-43EB-A383-342653CEE0E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O14" authorId="1" shapeId="0" xr:uid="{E5FBB6D9-76BA-48FC-B5C8-C59CC56B16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1" shapeId="0" xr:uid="{B6E78BCF-514D-4553-925E-DDF8D5953B0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1" shapeId="0" xr:uid="{FDEDF8AB-0F47-4E38-9124-46B52928AE2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1" shapeId="0" xr:uid="{24FCACF7-276D-4A91-966D-DD4C456B58F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4" authorId="1" shapeId="0" xr:uid="{B3E84DC2-1C96-4280-821C-8389C47A21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511922E8-F242-4478-BD2E-A0B55FBFE2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196111EB-EDD9-4ED2-AD7D-B1E93FF03A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542E4958-11A1-4B09-A000-73EA1F3FE1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C3893DF5-E21A-4DB7-AE91-FEBAB49C0E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1" shapeId="0" xr:uid="{778EAD16-A6BD-4B14-8E14-2B6E6D3C5F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1" shapeId="0" xr:uid="{38B65E85-766B-41FA-BC1B-2A7A7584C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1" shapeId="0" xr:uid="{98DEEC93-4208-47E6-9032-008EBB99C2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1" shapeId="0" xr:uid="{47930F90-AFBF-4EA0-A56F-E2AC7DA1CE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DA98124-2DF0-45A3-B505-444125E253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40449CDC-4917-46E8-89ED-0CF06D5034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AA9FF012-ECF8-43F1-AF61-86BD2CD19B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1" shapeId="0" xr:uid="{FFB09FB1-6767-4BF6-86BE-D685FE02DC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AB69631B-A231-49C5-949A-4A2C49DE08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7184EDF9-78B2-459E-A24F-20E9DDC6189D}">
      <text/>
    </comment>
    <comment ref="N15" authorId="1" shapeId="0" xr:uid="{0D788A11-F227-456A-8C05-A9240D864A84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R15" authorId="1" shapeId="0" xr:uid="{0537C892-E43B-4B21-9FA1-46D54E7A467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5" authorId="1" shapeId="0" xr:uid="{A099F6AE-CE7E-4987-8E38-C5D3B78515A9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  <r>
          <rPr>
            <b/>
            <sz val="14"/>
            <color indexed="81"/>
            <rFont val="細明體"/>
            <family val="3"/>
            <charset val="136"/>
          </rPr>
          <t xml:space="preserve">下午HR 課程
</t>
        </r>
      </text>
    </comment>
    <comment ref="Z15" authorId="1" shapeId="0" xr:uid="{DDDB129B-19CB-4922-A707-77340C267C6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5" authorId="1" shapeId="0" xr:uid="{9A702040-BD36-48DE-80DC-E4929FD6C6B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6" authorId="3" shapeId="0" xr:uid="{E28FDE59-EE0C-4AE9-A365-2440B734466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1" shapeId="0" xr:uid="{AD76B7E9-7FB2-4DA0-829F-0EB6625150E8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M16" authorId="2" shapeId="0" xr:uid="{0AF5F51C-4423-4169-A94F-3500D314E9B6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N16" authorId="2" shapeId="0" xr:uid="{C9BA6245-491D-4927-BF70-FEA60CB4A601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P16" authorId="1" shapeId="0" xr:uid="{D483E4F8-E7EC-4D7E-A658-E2C6805DA192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Q16" authorId="1" shapeId="0" xr:uid="{F7FA0D04-8766-46FB-A40D-E56EE5260FF3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S16" authorId="1" shapeId="0" xr:uid="{5B06EFCD-9C59-46BC-86F1-6E5ADE36AD8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6" authorId="1" shapeId="0" xr:uid="{87BEFD5D-DDAA-44B2-8F0E-1F00AD82777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Y16" authorId="1" shapeId="0" xr:uid="{10F31849-99FA-4427-8263-2D40228A4E07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Z16" authorId="1" shapeId="0" xr:uid="{42A5F6EF-8DB2-4986-B16F-B2CD8056AA5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AA16" authorId="1" shapeId="0" xr:uid="{311313E8-6CF2-4852-A454-B5BBCC00931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16" authorId="1" shapeId="0" xr:uid="{40823DFF-F64D-4D5F-BC29-D44712B307C3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D16" authorId="1" shapeId="0" xr:uid="{AD0702C8-B40E-4094-897E-7B9EBC2B9640}">
      <text>
        <r>
          <rPr>
            <b/>
            <sz val="16"/>
            <color indexed="81"/>
            <rFont val="細明體"/>
            <family val="3"/>
            <charset val="136"/>
          </rPr>
          <t xml:space="preserve">出遊
</t>
        </r>
      </text>
    </comment>
    <comment ref="AG16" authorId="1" shapeId="0" xr:uid="{AE409E8B-B100-4A7B-B625-0CA93DCB8686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AH16" authorId="1" shapeId="0" xr:uid="{5D64C821-9F42-47BC-9E7F-D2A4349172BF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Y17" authorId="1" shapeId="0" xr:uid="{F4742180-E503-4794-BD51-29531903B57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N18" authorId="1" shapeId="0" xr:uid="{63E9B104-364A-4BEB-90CD-8A804634D13D}">
      <text>
        <r>
          <rPr>
            <b/>
            <sz val="18"/>
            <color indexed="81"/>
            <rFont val="細明體"/>
            <family val="3"/>
            <charset val="136"/>
          </rPr>
          <t>病假
耕莘醫院預約回診－生化檢驗</t>
        </r>
        <r>
          <rPr>
            <b/>
            <sz val="22"/>
            <color indexed="81"/>
            <rFont val="細明體"/>
            <family val="3"/>
            <charset val="136"/>
          </rPr>
          <t xml:space="preserve">
</t>
        </r>
      </text>
    </comment>
    <comment ref="K19" authorId="1" shapeId="0" xr:uid="{611B5BE3-0EA2-4133-B620-6943B37A8E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Q20" authorId="1" shapeId="0" xr:uid="{5962325F-D1A2-4609-B350-36E76172668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V20" authorId="1" shapeId="0" xr:uid="{A5182CFE-54FD-44E2-80D7-8E695AC6B0E4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AA20" authorId="1" shapeId="0" xr:uid="{A00B35B5-66B6-4BF3-BEBF-DA6EBC529F2C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0" authorId="1" shapeId="0" xr:uid="{B79E22C8-1981-4F92-BA6E-62120A414696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H20" authorId="1" shapeId="0" xr:uid="{412B43E2-42ED-43DF-88A8-B77A206E0DB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Q21" authorId="1" shapeId="0" xr:uid="{619031D5-C468-4581-95E2-839DAA7537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1" authorId="1" shapeId="0" xr:uid="{0CAC8603-F370-4456-A242-C960FE6BA1BD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K22" authorId="1" shapeId="0" xr:uid="{AA2F23FB-D48C-431A-827C-B35AE5D68D3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1" shapeId="0" xr:uid="{1504F71C-4685-4FCB-A8F6-3292E280C5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V22" authorId="1" shapeId="0" xr:uid="{5BCBD5C0-8DC2-4A1B-A5FD-6FD003BFE1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1" shapeId="0" xr:uid="{1BCBE64E-645D-4BF9-B187-D7FFD71C363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4" authorId="4" shapeId="0" xr:uid="{5A2B4192-127E-4F51-AA63-62567C3DE4F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S24" authorId="4" shapeId="0" xr:uid="{726321AE-E3D4-4504-B84E-93A3F6AC7B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Y24" authorId="4" shapeId="0" xr:uid="{239AE5A4-F188-452A-94CD-7D3CB103264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Z24" authorId="4" shapeId="0" xr:uid="{F13288CC-0BD7-447D-A18B-139956CB128D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F24" authorId="4" shapeId="0" xr:uid="{342149E0-2A63-4214-9EDD-DFCA560E13D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G24" authorId="4" shapeId="0" xr:uid="{60368828-4410-47EA-871E-EC48F714CE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H24" authorId="1" shapeId="0" xr:uid="{9A55218D-E799-4395-8B35-047690AB775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M24" authorId="4" shapeId="0" xr:uid="{0497D50F-FEAA-4499-952A-9027B0F8485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N24" authorId="4" shapeId="0" xr:uid="{7B35E4E6-5B67-4CB8-BFBA-8002B4792E4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X25" authorId="1" shapeId="0" xr:uid="{1601E8E0-42CB-459E-A03C-6B989A316CE1}">
      <text>
        <r>
          <rPr>
            <b/>
            <sz val="12"/>
            <color indexed="81"/>
            <rFont val="Microsoft YaHei"/>
            <family val="2"/>
          </rPr>
          <t>Dear Jason Sir,
若排班允許，
請幫我排 "2"或 "中"謝謝！！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26" authorId="1" shapeId="0" xr:uid="{4364B77A-9952-47EB-ADF6-CA7DB5C27FA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26" authorId="1" shapeId="0" xr:uid="{4D99155C-9B84-41D5-AF6D-E373AC99C91D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26" authorId="1" shapeId="0" xr:uid="{AEC6EE03-9C83-449B-B8A0-D71A2C4BE8E2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T26" authorId="1" shapeId="0" xr:uid="{D36FA0E8-6854-4801-8511-D91A96CA0B73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X26" authorId="1" shapeId="0" xr:uid="{44BAB7E3-F86A-4D2B-8F5C-2A8255BD241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26" authorId="1" shapeId="0" xr:uid="{E4E4DCFD-AF37-4C47-8BFC-99394E24CF8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B26" authorId="1" shapeId="0" xr:uid="{3EF9B639-C72A-4C18-AA02-74CD5C2FE455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5646469D-E9E1-435C-82C7-1EDC0C49D30A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6" authorId="1" shapeId="0" xr:uid="{7B3E67D1-8B42-4FE0-AFF8-C3B3A6DCAF4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26" authorId="1" shapeId="0" xr:uid="{DD9F2777-8D99-4C37-B85B-BFD7F630B29C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J26" authorId="1" shapeId="0" xr:uid="{67A9765E-7531-4463-9125-23A14E20BF0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K26" authorId="1" shapeId="0" xr:uid="{79442643-A0EF-42AB-805F-9D4C6B3DFDFE}">
      <text>
        <r>
          <rPr>
            <b/>
            <sz val="12"/>
            <color indexed="81"/>
            <rFont val="Microsoft YaHei"/>
            <family val="2"/>
          </rPr>
          <t xml:space="preserve">Dear Jason Sir,
與 Howard 換週
</t>
        </r>
      </text>
    </comment>
    <comment ref="AL26" authorId="1" shapeId="0" xr:uid="{0D90C75C-8B49-43DE-AFC8-BAAF1765C54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O26" authorId="1" shapeId="0" xr:uid="{6B38B724-D5BF-4508-A071-9A9D7CE3ED6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K27" authorId="1" shapeId="0" xr:uid="{76FE6F67-0017-4B33-ACC2-65D743E3E2D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O27" authorId="1" shapeId="0" xr:uid="{3028BD72-D589-4A70-A140-F9B70641FE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P27" authorId="1" shapeId="0" xr:uid="{1FE628CD-72AB-48F8-94E4-4A749BD5D8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U27" authorId="1" shapeId="0" xr:uid="{D7C1A209-A360-405F-9D49-116F0EA3CAE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BD8D233-E211-4326-BDC3-70D6BEB7B2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1" shapeId="0" xr:uid="{5EA8F4FE-E3F1-427F-8C14-1FE0E9084C7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D27" authorId="1" shapeId="0" xr:uid="{34C2E95A-17BA-454C-B9EB-7EC9A3B8DD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I27" authorId="1" shapeId="0" xr:uid="{E2844122-0881-4ED0-80DA-2458709F3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35F59DC6-9E4F-4283-9D7C-4ED1376DC0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K28" authorId="1" shapeId="0" xr:uid="{7DD54C24-ADF7-4AF1-A733-6CACFDC78BA0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V28" authorId="1" shapeId="0" xr:uid="{62A85246-D420-4E60-A7BE-4050C6FB81E7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W28" authorId="1" shapeId="0" xr:uid="{FE7DAD7D-B985-4B28-B273-109ECBB61BC3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29" authorId="1" shapeId="0" xr:uid="{3FC299A7-7709-4F09-8F9E-886E0AA9B4E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9" authorId="1" shapeId="0" xr:uid="{A00784E0-09B4-4529-B30B-1CE948DE068F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C29" authorId="1" shapeId="0" xr:uid="{2A640826-CE5E-42DC-99B2-B7EB2F01E4E6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D29" authorId="1" shapeId="0" xr:uid="{70FDDA24-1142-4687-BC6E-A2FBADFE161B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I29" authorId="1" shapeId="0" xr:uid="{3ADE6EC4-D61A-4732-81CD-C174943F884A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</t>
        </r>
      </text>
    </comment>
    <comment ref="AJ29" authorId="1" shapeId="0" xr:uid="{8AF52FDA-4A75-4E47-965F-BCF37F8F60B3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1" shapeId="0" xr:uid="{571D38C2-F662-4D21-B7C0-9CE531973E02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2" authorId="1" shapeId="0" xr:uid="{4B8B2040-4893-49F9-83B5-7DA320D13C1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2" authorId="1" shapeId="0" xr:uid="{773D6FE6-03C7-4EE4-9778-D67B02DD853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2" authorId="1" shapeId="0" xr:uid="{60184099-6CE6-41BA-B7D1-C757AA13DF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2" authorId="1" shapeId="0" xr:uid="{9E05925A-13A9-4EF9-BF47-FD969B9B7D5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2" authorId="1" shapeId="0" xr:uid="{49626921-FEF4-47CA-9111-10604716EB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2" authorId="1" shapeId="0" xr:uid="{0F4FB2E6-17F9-43FF-88DA-E58E3AA25B6E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K32" authorId="1" shapeId="0" xr:uid="{42EBF2FC-AB21-4F4D-A6FE-3F3AB2845FD9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O32" authorId="1" shapeId="0" xr:uid="{F32C3ACA-383A-45B1-994C-94B2ECB4587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CBC82D70-BCF2-4EA4-B60D-1EB300ABE8C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M33" authorId="1" shapeId="0" xr:uid="{08043C16-0397-4AB8-86E0-E9B3DE48D2B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N33" authorId="1" shapeId="0" xr:uid="{33F16CE3-577B-41AA-8E1A-30B81775EBCC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Q33" authorId="1" shapeId="0" xr:uid="{1398C485-BD4F-4CCD-8C65-5EA4788A2C46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R33" authorId="1" shapeId="0" xr:uid="{F32858E7-CB01-475B-814E-CB0703DF2C2B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S33" authorId="1" shapeId="0" xr:uid="{89DC1E84-4A31-49E9-9EED-ACEC73639C4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T33" authorId="1" shapeId="0" xr:uid="{AE2256AB-5118-4931-A2E1-D31C017B6943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V33" authorId="1" shapeId="0" xr:uid="{A8B432EA-1316-469A-8CD6-6B0E9F13A0D7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33" authorId="1" shapeId="0" xr:uid="{B5326C7D-930D-47B8-BFA0-B162BD9750C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X33" authorId="1" shapeId="0" xr:uid="{3FD20A6F-82A2-4E9F-99D9-AA2B1E88E1D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Y33" authorId="1" shapeId="0" xr:uid="{AC5C97DF-9E72-49F3-8809-2FD596D5999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K34" authorId="1" shapeId="0" xr:uid="{1AF14D25-F280-439A-8ED7-C5312B5B910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O34" authorId="1" shapeId="0" xr:uid="{A171C4C2-696C-4BC7-A063-D0FAE5EFB78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BC0315A8-6D58-4BC6-8602-5C34C1316A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5" authorId="5" shapeId="0" xr:uid="{70697543-904A-4843-AE51-25709546106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R36" authorId="1" shapeId="0" xr:uid="{843EC157-1DB8-42ED-B779-04D5B294648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36" authorId="1" shapeId="0" xr:uid="{59779640-4567-4E6A-A2D6-4482BF354A1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AF36" authorId="1" shapeId="0" xr:uid="{9E906A8E-D185-43F9-9558-FAB48EE6767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7" authorId="2" shapeId="0" xr:uid="{53F952FF-F52E-4DE6-993E-312E985A3DE8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7" authorId="1" shapeId="0" xr:uid="{9FF1D9F7-C930-4615-BEFC-9D534C219FEB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O37" authorId="1" shapeId="0" xr:uid="{680902C2-A116-4A3C-9EA0-8FB79D2A945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1" shapeId="0" xr:uid="{C56DC1BA-8BB8-4B23-8DAF-661A71603D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1" shapeId="0" xr:uid="{487EBBE0-58FA-46CB-AD0C-F206EDFB10A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1" shapeId="0" xr:uid="{65C65B78-CAD4-458F-B8D0-9CEC81E60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7" authorId="1" shapeId="0" xr:uid="{B35CDE2F-0E74-4B04-B732-25F3AB615E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7" authorId="1" shapeId="0" xr:uid="{DCB79E7E-6B08-440C-BB63-F4307876A34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7" authorId="1" shapeId="0" xr:uid="{13C6E5C6-4BB4-4297-AA7C-B3E84C55C4E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7" authorId="1" shapeId="0" xr:uid="{8512E3AD-AA1A-492C-8F56-681E99E666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1" shapeId="0" xr:uid="{1E111562-018D-4FD3-A1BF-CA3677CD0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1" shapeId="0" xr:uid="{1FCB1DDA-8EEB-4FC0-97B6-72629FD442EE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7" authorId="1" shapeId="0" xr:uid="{32E6B508-E7E5-4930-BD66-6E20EF2035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7" authorId="1" shapeId="0" xr:uid="{A5672753-D152-4D09-9A1B-55835C5241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1" shapeId="0" xr:uid="{E03E15F1-B902-4D5E-AC04-1C13EEDBFB4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8" authorId="1" shapeId="0" xr:uid="{8A7DB4D7-CAC6-4B39-90AD-C8CCEE8392A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M38" authorId="1" shapeId="0" xr:uid="{70AC8311-057B-48CD-A9E3-A4100869AFC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N38" authorId="1" shapeId="0" xr:uid="{1339D126-64E3-46C7-9DF6-5EBA860B5C3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O38" authorId="1" shapeId="0" xr:uid="{DD955EA9-9D71-4561-8780-75EE5B4F3A23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P38" authorId="1" shapeId="0" xr:uid="{6135DD75-9597-4D62-BF5A-B5FF30F43EED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V38" authorId="1" shapeId="0" xr:uid="{7B8B7812-9B3D-4B10-BEB1-3D73AD808585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W38" authorId="1" shapeId="0" xr:uid="{32F31252-B073-4E94-919C-B42CEF7E48A1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X38" authorId="1" shapeId="0" xr:uid="{B1E7AFF9-4F6E-45E0-B991-4EBA95F8F49B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Z38" authorId="1" shapeId="0" xr:uid="{AFC0BD07-1F6E-490D-A1C3-B470F30C23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1" shapeId="0" xr:uid="{573EC256-21D5-48F4-88F5-5FE9C67565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1" shapeId="0" xr:uid="{C2D0503F-5D5B-479C-9656-F330EBBEE1F8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D38" authorId="1" shapeId="0" xr:uid="{3CF9825C-0B93-49AF-9A73-492427252DF2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E38" authorId="1" shapeId="0" xr:uid="{A863D2FC-35E3-42AB-9F61-984306CA7A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38" authorId="1" shapeId="0" xr:uid="{1097273C-2A34-4DDD-8597-FC5675E7C37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38" authorId="1" shapeId="0" xr:uid="{CB2C665E-375A-4AAC-BB1B-3393096383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8" authorId="1" shapeId="0" xr:uid="{40F037B8-CE03-42B8-94F8-4DDDA71136CA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J38" authorId="1" shapeId="0" xr:uid="{DAE3D13A-60D6-46BD-ABA2-60E8D49D1EB6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K38" authorId="1" shapeId="0" xr:uid="{A55807A9-5235-4E7B-9BF8-8B707A591094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L38" authorId="1" shapeId="0" xr:uid="{D48502E9-52AB-4F8F-BFAF-0EB912294619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O38" authorId="1" shapeId="0" xr:uid="{73A6F878-0197-4A78-BD3B-CE719E27FE0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39" authorId="1" shapeId="0" xr:uid="{544AD27E-196F-4227-8EDA-62506971F048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R39" authorId="1" shapeId="0" xr:uid="{06B5B217-DBCE-42FA-9CDE-F0BAB3BC47C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請排大夜
</t>
        </r>
      </text>
    </comment>
    <comment ref="Z39" authorId="1" shapeId="0" xr:uid="{1AF8A903-4082-4D74-8093-A26CCF7728EF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A39" authorId="1" shapeId="0" xr:uid="{D7787586-1EA8-4CFF-8EDD-7CB88B227CD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B39" authorId="1" shapeId="0" xr:uid="{3B275E4B-AB78-47EF-BC91-6D011C3F832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C39" authorId="1" shapeId="0" xr:uid="{B4C6E3B2-D860-4617-87C4-18C01E1ED11B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39" authorId="1" shapeId="0" xr:uid="{288D3A7A-7F20-425C-88C8-F07DD3144E4D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F39" authorId="1" shapeId="0" xr:uid="{6456E317-C0BA-4E94-A6DF-910FC8A7F35A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G39" authorId="1" shapeId="0" xr:uid="{61E64C7A-1760-4CD8-9707-17225143F206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H39" authorId="1" shapeId="0" xr:uid="{E625DEEF-A3D4-411F-82F2-8255B973A038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I39" authorId="1" shapeId="0" xr:uid="{403B066A-6E23-41A0-A567-C5852DCE9C7C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41" authorId="1" shapeId="0" xr:uid="{825147BC-7A35-45F6-BB50-DCA91FA9CB51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41" authorId="1" shapeId="0" xr:uid="{AF48FFE1-A0C7-4446-9D6B-972FCD88BCA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41" authorId="1" shapeId="0" xr:uid="{765F97C2-2D8D-4345-B0D2-FA586E265F3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H41" authorId="1" shapeId="0" xr:uid="{2BD9B1B1-8220-4CE9-9F10-591585960B6D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I41" authorId="1" shapeId="0" xr:uid="{7E266AA5-3C9B-4AC7-ACF8-68751B983F8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L41" authorId="1" shapeId="0" xr:uid="{8A69C732-59B7-4B42-9023-C9DD7FBEADC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3" authorId="1" shapeId="0" xr:uid="{50A790B9-8545-44B7-B6A2-70CBE6C8BB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V43" authorId="1" shapeId="0" xr:uid="{7B5F0129-F283-4211-A3D2-CA28C7B4A3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W43" authorId="1" shapeId="0" xr:uid="{CCA683AC-3943-4D3B-AD4C-0F90965327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J43" authorId="1" shapeId="0" xr:uid="{E05B3FFD-F931-4603-A6E3-2A31015681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K43" authorId="1" shapeId="0" xr:uid="{5BFB9C1B-2191-497E-9A2A-9193FE00A16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K44" authorId="1" shapeId="0" xr:uid="{9A5BA3C6-2297-4BE6-AC15-BB88AF7B7F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4" authorId="1" shapeId="0" xr:uid="{74CA4840-4F07-48E0-95A2-9B9C2B8A96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下午要看牙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V44" authorId="1" shapeId="0" xr:uid="{AE6D9E9F-31B8-44DD-B04F-B3EDC78A7B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小孩眼睛回診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P44" authorId="1" shapeId="0" xr:uid="{E5848EFD-BCA7-41C8-9472-C431433CD2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Huang, Simon 黃明達 (518538)</author>
    <author>Admin</author>
    <author>Jiang, Tony 江宇東 (598753)</author>
    <author>User</author>
  </authors>
  <commentList>
    <comment ref="F2" authorId="0" shapeId="0" xr:uid="{AD241209-7F4C-40E8-B789-5674A5F10CE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EE3C5BDA-9F39-412B-9D58-83B30CA9679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D4B64C2-A2F4-4167-A120-F44125E33BA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R4" authorId="1" shapeId="0" xr:uid="{FEBD309B-2BBA-4342-B083-97A54344AE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EF689DD0-D115-4B39-90BB-0336EDB871A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5" authorId="1" shapeId="0" xr:uid="{FDF3F05A-EBCB-4CC6-B66E-8705DD50C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1" shapeId="0" xr:uid="{C17712E1-35DE-4BE2-A3BF-4A534C19FEE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6" authorId="1" shapeId="0" xr:uid="{FD839559-F38B-428E-91CF-706F0DF25C82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N6" authorId="1" shapeId="0" xr:uid="{015E0958-E2F5-4940-8C3C-53FFC78A5B4F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6" authorId="1" shapeId="0" xr:uid="{89BF3742-821D-427C-AABB-80619B9D9E42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S6" authorId="1" shapeId="0" xr:uid="{7E665106-6DC6-48B9-BF6F-ABD03C76A0BB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AA6" authorId="1" shapeId="0" xr:uid="{0D42D4E0-BE21-4214-8D89-D1C3BAA86C9E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F6" authorId="1" shapeId="0" xr:uid="{08FD4A08-8242-426B-921D-47BD94A871E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AG6" authorId="1" shapeId="0" xr:uid="{4E065F6B-55FD-42E4-98C8-ED574BA36D20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H6" authorId="1" shapeId="0" xr:uid="{D9721CB4-E66E-4D2E-A2C6-C4FD8E56C02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I6" authorId="1" shapeId="0" xr:uid="{F0495D4D-9362-4C38-9B33-D14E118CB0D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J6" authorId="1" shapeId="0" xr:uid="{82D83745-F776-4750-ADD3-4BF76D0639A4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K6" authorId="1" shapeId="0" xr:uid="{841C7790-08D9-451D-AB79-099F912429A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L6" authorId="1" shapeId="0" xr:uid="{61F84D8A-3CAE-43D8-8C71-944E282A8E4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5A4DBC91-F1EB-4B7B-8ECD-21128745E2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1" shapeId="0" xr:uid="{09BE3D25-E033-4E0E-8517-6F2A71F6CFF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9" authorId="1" shapeId="0" xr:uid="{BBE68773-0FD4-4EB8-8207-56EEAE1D67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9" authorId="1" shapeId="0" xr:uid="{55AF8B52-9C96-4E79-8ECC-5E1B120672C6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9" authorId="1" shapeId="0" xr:uid="{F58E1B6B-0866-46A0-9A72-0DAEDDDC43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9" authorId="1" shapeId="0" xr:uid="{94E16B0B-0AC5-416E-A389-ED0D661704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sir:早上小孩學校有活動，請幫我排"2"或"中",謝謝</t>
        </r>
      </text>
    </comment>
    <comment ref="Z9" authorId="1" shapeId="0" xr:uid="{02A57606-6AAD-4B20-A333-0E7FCE00B978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J10" authorId="1" shapeId="0" xr:uid="{54E215BD-14F4-407D-9B87-5F28819C98F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0" authorId="1" shapeId="0" xr:uid="{A843FAA2-AC9E-4A17-9318-AB1896B0508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R10" authorId="1" shapeId="0" xr:uid="{CA27D3C2-0685-4CE5-9983-763F626A9D6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S10" authorId="1" shapeId="0" xr:uid="{0C10C38B-ABEB-4299-808E-70E5D287571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0" authorId="1" shapeId="0" xr:uid="{8037825C-0224-4F41-8E51-EEB843C782E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C10" authorId="1" shapeId="0" xr:uid="{1DFB46B0-4419-4EF4-A267-03B0DD8A46F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1" shapeId="0" xr:uid="{AFCEFFEF-DEB7-48A2-880A-8249E855E0C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1" shapeId="0" xr:uid="{054FF107-B1EC-46AE-949C-55F63FBFFF0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1" shapeId="0" xr:uid="{9799B296-3440-44FB-A884-63F7F9F0AD92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K11" authorId="1" shapeId="0" xr:uid="{581C770E-8824-4A92-B77E-81509860B53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L11" authorId="1" shapeId="0" xr:uid="{F16BFB09-E5E4-4E0B-B26A-E6C030B0B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Y11" authorId="1" shapeId="0" xr:uid="{8B0DA4A1-06BD-4D6E-A734-BF00E85F16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8E427785-9505-4E2B-B661-73CE67E7E187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AM11" authorId="1" shapeId="0" xr:uid="{5CB31787-EF53-4A24-95D5-7F8C138A036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若可以請排X,
</t>
        </r>
      </text>
    </comment>
    <comment ref="AN11" authorId="1" shapeId="0" xr:uid="{C62FC14D-0E94-4089-A83F-73B2CC0F70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3" shapeId="0" xr:uid="{B844B76C-32E0-460D-B049-7E9217183C8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L13" authorId="3" shapeId="0" xr:uid="{B184F626-544B-4869-9994-6F60E0B0E916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13" authorId="1" shapeId="0" xr:uid="{65DDF3C6-C509-4BAD-BFF1-D3F198BC9B8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A13" authorId="1" shapeId="0" xr:uid="{3F208440-1D84-4F36-AF19-3D17EA8C7C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3" authorId="1" shapeId="0" xr:uid="{B39081A2-2CDC-4D99-A618-84B511ADC8B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E13" authorId="2" shapeId="0" xr:uid="{9C082444-5560-45D0-B991-8B249CCE92D4}">
      <text>
        <r>
          <rPr>
            <b/>
            <sz val="9"/>
            <color indexed="81"/>
            <rFont val="Tahoma"/>
            <family val="2"/>
          </rPr>
          <t>原T早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1" shapeId="0" xr:uid="{BEE12825-8A1E-4762-9F7F-55E0255B10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097040E4-AE75-4D39-8215-B53CF780D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1" shapeId="0" xr:uid="{699FC1DE-0AE0-4833-B99E-BE9CBE1A245A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R14" authorId="1" shapeId="0" xr:uid="{BB813373-7C87-41A7-A273-F55EB86CA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11BB19D3-4E20-4EAF-AD2B-DBFEFAA14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C3335D55-7988-45A3-96AD-389E4E82F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4D4D51A5-03C7-46B4-AED3-48A56B548E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0A1783CA-5FAD-456A-8CF9-0D2B4950C4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1" shapeId="0" xr:uid="{CE2F4757-708A-4054-AB27-D7186D87269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C14" authorId="1" shapeId="0" xr:uid="{891DC5F7-F2DC-477C-9461-D971B34C68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BFB9C619-167A-4C04-876F-76102E0546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3EF8E56F-272B-42D8-A7E8-2ADFAFE628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26DA81C-84C6-4E4F-A998-A4FE688146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B3740AD0-C1BB-43C8-BE08-4CE047C1C6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0D20F5B2-B424-49B6-929E-E85B011DF7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1" shapeId="0" xr:uid="{451E748A-E21C-4B70-8A5F-1BF2CC093C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1" shapeId="0" xr:uid="{5442D14E-087F-42AB-B02D-7847DF344189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Q15" authorId="1" shapeId="0" xr:uid="{24F3B301-865D-457F-862E-EB775F5D831E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W15" authorId="1" shapeId="0" xr:uid="{930B8CD3-05CD-48FA-9A48-F0FBC6294627}">
      <text>
        <r>
          <rPr>
            <b/>
            <sz val="14"/>
            <color indexed="81"/>
            <rFont val="Tahoma"/>
            <family val="2"/>
          </rPr>
          <t xml:space="preserve">ETSC PN Coding
原T早
</t>
        </r>
      </text>
    </comment>
    <comment ref="AA15" authorId="1" shapeId="0" xr:uid="{C4392CE5-CD33-4287-A98F-E8246606B34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5" authorId="1" shapeId="0" xr:uid="{D1DE5CB3-1468-4A35-9792-7C63DA0A860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5" authorId="1" shapeId="0" xr:uid="{4D6BA47D-68C5-46F3-9371-B77E8D6B97B7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6" authorId="4" shapeId="0" xr:uid="{F79DADB8-247D-498A-8537-4010B13B74A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N16" authorId="2" shapeId="0" xr:uid="{6F7FC7D2-9CF8-4567-8398-D19F11465BDF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O16" authorId="1" shapeId="0" xr:uid="{DB30EC61-2991-4E46-AAB9-1E936CB18839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V16" authorId="1" shapeId="0" xr:uid="{357242DC-7B80-4294-9170-0FAD2C0B825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C16" authorId="1" shapeId="0" xr:uid="{63A1F4AF-6C85-4D9C-B123-4DFDB1AF6A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J16" authorId="1" shapeId="0" xr:uid="{89956348-4209-43C1-82A9-E7D5A0141B2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N17" authorId="1" shapeId="0" xr:uid="{42F75026-8175-4076-A867-32FBB6DBC7ED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I17" authorId="1" shapeId="0" xr:uid="{84F0DB6C-B19C-47BD-B975-4E9C4463265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N18" authorId="1" shapeId="0" xr:uid="{026EC86D-3E49-493D-A128-4D42A2B5C707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Q18" authorId="1" shapeId="0" xr:uid="{55029E12-C46B-4470-B3D1-D5C59D3C42F3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B18" authorId="1" shapeId="0" xr:uid="{AA36D77F-3CC1-4313-AFC4-08A0BB3B5E8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8" authorId="1" shapeId="0" xr:uid="{B16706E9-F238-4655-BE2E-25254732AA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9" authorId="1" shapeId="0" xr:uid="{66A5DD3A-D240-455E-8BA8-414AC3B3B83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，謝謝。</t>
        </r>
      </text>
    </comment>
    <comment ref="J20" authorId="1" shapeId="0" xr:uid="{5EDE8D04-558D-4208-830A-7C249283AA9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或中謝謝
</t>
        </r>
      </text>
    </comment>
    <comment ref="R20" authorId="3" shapeId="0" xr:uid="{2418A37E-D586-468B-9AC0-7053AC4AE95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S20" authorId="3" shapeId="0" xr:uid="{75AA9A0F-1864-4076-B136-77AE6DA0CF7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V20" authorId="1" shapeId="0" xr:uid="{BB56C9A3-54C9-4AE4-9FD4-F3E11C9DCDB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J20" authorId="1" shapeId="0" xr:uid="{83F46347-7363-447C-8176-F4D259D943D0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K21" authorId="3" shapeId="0" xr:uid="{9BDA6557-66A7-418A-940F-C9CC400C9CA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21" authorId="3" shapeId="0" xr:uid="{2F585590-9D9D-4F84-9594-FBE97251B0F3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AC21" authorId="1" shapeId="0" xr:uid="{7C310BBC-9FF0-4614-A325-A7D90014BBE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1" shapeId="0" xr:uid="{ECAF0D97-FD0E-4D5F-A7C0-F116B55A2DE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2" authorId="1" shapeId="0" xr:uid="{9A730565-4BA5-4EFE-A6C6-C72E27F79C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09F46B06-8A9E-43C5-B48F-2FEF2B8A475D}">
      <text>
        <r>
          <rPr>
            <b/>
            <sz val="9"/>
            <color indexed="81"/>
            <rFont val="Tahoma"/>
            <family val="2"/>
          </rPr>
          <t>Shift 3</t>
        </r>
      </text>
    </comment>
    <comment ref="AJ22" authorId="2" shapeId="0" xr:uid="{5E46B9BA-E327-402A-8C3E-B48B71D59B29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AL22" authorId="1" shapeId="0" xr:uid="{CFCD37AC-FD9B-4973-803F-DC2F7A4A94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O22" authorId="2" shapeId="0" xr:uid="{FCB6E3DD-9D7D-426E-B3BA-FBEF7F53C716}">
      <text>
        <r>
          <rPr>
            <b/>
            <sz val="9"/>
            <color indexed="81"/>
            <rFont val="Tahoma"/>
            <family val="2"/>
          </rPr>
          <t>Shift 3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3" authorId="1" shapeId="0" xr:uid="{0F85BABA-66A2-434E-83F4-65227D00C0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3" authorId="1" shapeId="0" xr:uid="{0A234C4B-5FEC-4C6D-ADE3-9A2F0586CEA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E23" authorId="1" shapeId="0" xr:uid="{B9DA112F-81DF-4C12-B30D-7136A600CCC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3" authorId="1" shapeId="0" xr:uid="{17D6C3B4-5214-4359-9D95-190D718AB61E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N24" authorId="5" shapeId="0" xr:uid="{B66DF6AE-EEA1-44C7-BE4D-5A0D52684AF5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4" authorId="5" shapeId="0" xr:uid="{035501EC-460E-4975-A30E-DF45967840A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U24" authorId="5" shapeId="0" xr:uid="{F626D090-19A1-4ABD-B1E9-9E3363E6040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V24" authorId="5" shapeId="0" xr:uid="{4D501F86-9F0B-416D-89A8-1E169B0C68EE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B24" authorId="5" shapeId="0" xr:uid="{97B78F93-AD3F-4DB7-A55D-88457C532FE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C24" authorId="5" shapeId="0" xr:uid="{BE3CF841-6496-40D9-9E97-B5CAB1C72EC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I24" authorId="5" shapeId="0" xr:uid="{B0FE1F39-776B-4C8A-8A5B-9287F009CEB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J24" authorId="5" shapeId="0" xr:uid="{A8CF6C16-5265-44E9-AA34-E2812A99144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5" authorId="1" shapeId="0" xr:uid="{4D381A49-8656-484A-9623-40C74EDECB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若排班方便請排"早"or 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6" authorId="1" shapeId="0" xr:uid="{83AA607C-DD7C-4412-8557-1AD27AE5D6C5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admin:
</t>
        </r>
      </text>
    </comment>
    <comment ref="N26" authorId="1" shapeId="0" xr:uid="{0395B4B8-D408-4BFE-B37C-5385BEDCC37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6" authorId="1" shapeId="0" xr:uid="{D5DB135F-FCD0-4D14-961C-00A2D1F0A1B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6" authorId="1" shapeId="0" xr:uid="{2AD508CB-972B-4DE3-A6B4-F656EDF1101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W26" authorId="1" shapeId="0" xr:uid="{476F2266-8123-48FD-90A1-610E88D3C7F3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coding
</t>
        </r>
      </text>
    </comment>
    <comment ref="Y26" authorId="1" shapeId="0" xr:uid="{0F78DBF7-C835-43D4-A352-37E5BF59C8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6" authorId="1" shapeId="0" xr:uid="{981FB475-B8CE-4E45-AD99-A199A6B878F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6" authorId="1" shapeId="0" xr:uid="{84462FA7-23E7-40D7-B84B-04330ECF264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6" authorId="1" shapeId="0" xr:uid="{87C046BE-21D1-4600-BE9F-99239431CC5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6" authorId="1" shapeId="0" xr:uid="{5C224B0B-B152-49FD-B8A4-33FAC9F33D6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N26" authorId="1" shapeId="0" xr:uid="{47846B77-0931-4478-B74A-80FA5EB03E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J27" authorId="1" shapeId="0" xr:uid="{B6824D40-FC65-4CAE-899D-461C5BE4E3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CD5B8A51-4A8E-4F55-A3A2-3C85301AD7A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7" authorId="1" shapeId="0" xr:uid="{CA6E0140-7E41-44B4-8C52-4E70B3C5CC42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S27" authorId="1" shapeId="0" xr:uid="{2D8214E3-BE2E-4798-B323-C9F361FC0D30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U27" authorId="1" shapeId="0" xr:uid="{A4F22F18-0751-4ADF-8C77-F06FA033522E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B27" authorId="1" shapeId="0" xr:uid="{97D8D48A-6B9E-424A-B797-7823617A2A4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I27" authorId="1" shapeId="0" xr:uid="{CC5FA912-29DF-4CED-B2A9-2838FDF7658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P28" authorId="1" shapeId="0" xr:uid="{B34FE7E7-B8B0-49BE-9632-659439D039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U28" authorId="1" shapeId="0" xr:uid="{288A617C-C6E2-456B-8C0A-8D61E75247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J30" authorId="1" shapeId="0" xr:uid="{5A5BE453-3236-422C-AB46-8DBD4F4772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若排班許可，平日盡量多排"2"，謝謝。
</t>
        </r>
      </text>
    </comment>
    <comment ref="R33" authorId="1" shapeId="0" xr:uid="{AADB57B0-E422-4898-BC85-1C1772F194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3" authorId="1" shapeId="0" xr:uid="{013E53D9-7C9C-443E-A460-55891F1E9D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3" authorId="1" shapeId="0" xr:uid="{A79C90AB-E358-4E97-8C5F-7D3F000929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3" authorId="1" shapeId="0" xr:uid="{74811770-A682-4712-A3A6-F6E4454812B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3" authorId="1" shapeId="0" xr:uid="{93DD36FE-BEDF-4E6B-AFC5-789A81D7602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DC460442-0A8F-498D-84B6-AE9573318FB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G34" authorId="1" shapeId="0" xr:uid="{D21EB2A6-BA65-497D-971F-32EEFAA6CEA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H34" authorId="1" shapeId="0" xr:uid="{BC3F8FC5-8C48-492B-A14D-9172237F179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I34" authorId="1" shapeId="0" xr:uid="{6EB1B6D5-1A42-43EF-A0DD-76EBD20399E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J34" authorId="1" shapeId="0" xr:uid="{B27D4497-6C53-4F30-8DA8-9AD66B41F8E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4" authorId="1" shapeId="0" xr:uid="{67310B23-C421-4235-B092-C6245EA53FC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5" authorId="1" shapeId="0" xr:uid="{4813D58F-8407-4C21-A694-C3C3B8401B1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U35" authorId="2" shapeId="0" xr:uid="{8E5E3B59-3E5C-4E22-89DA-59B3F70B73C5}">
      <text>
        <r>
          <rPr>
            <b/>
            <sz val="9"/>
            <color indexed="81"/>
            <rFont val="Tahoma"/>
            <family val="2"/>
          </rPr>
          <t>Shift 2</t>
        </r>
      </text>
    </comment>
    <comment ref="J36" authorId="6" shapeId="0" xr:uid="{55192E3D-3491-462A-B677-052E89D75EF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O37" authorId="1" shapeId="0" xr:uid="{F7C54028-5345-4283-A8F8-25697E03761D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AB37" authorId="1" shapeId="0" xr:uid="{E9B4BD90-EEC4-4477-863B-2A9B54B3CB5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8" authorId="1" shapeId="0" xr:uid="{8013E057-B44F-412F-9BDE-43FEDC71F5EC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38" authorId="1" shapeId="0" xr:uid="{BA5BAD64-2E05-429E-B372-3FEB8F617A76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38" authorId="1" shapeId="0" xr:uid="{CEC43B76-F938-4290-8D6C-9EEAF446D1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F27BB459-890E-4270-AECD-518A98E4F23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7FD5BD7E-22B6-408E-A4F6-8FEBEB7541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1" shapeId="0" xr:uid="{3E3ACD4A-D317-449E-B8CF-8673EADBCB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8160CBD5-FA53-41AD-9735-6A1A114321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1" shapeId="0" xr:uid="{4DD53004-956B-4978-8E3B-A100FAC1FE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8" authorId="1" shapeId="0" xr:uid="{A76151AE-5350-4760-B20A-24B01E227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FF52EA52-5A82-4088-8F7A-1729DA4945B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1" shapeId="0" xr:uid="{FB1735FE-2C64-4145-A092-6DA912419C6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1" shapeId="0" xr:uid="{1AD2C0E6-EB82-4B34-A601-4CE4DD055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8" authorId="1" shapeId="0" xr:uid="{741B1848-62B7-47A9-97F8-518D4BC227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8" authorId="1" shapeId="0" xr:uid="{8DFA1ECF-0D43-4E28-8149-A621438111D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8" authorId="1" shapeId="0" xr:uid="{F7EFA7A3-EF46-4E64-B6A0-95A47EEDFE1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38" authorId="1" shapeId="0" xr:uid="{5380D02D-1E75-4EE9-98C0-AF8F6024557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39" authorId="1" shapeId="0" xr:uid="{099B5A8C-97A7-4161-A129-B90C1CD2C23A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39" authorId="1" shapeId="0" xr:uid="{30177976-4EE4-442C-8B5D-CDC2584248D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O39" authorId="1" shapeId="0" xr:uid="{C4D09DF8-0600-4912-A475-6C01A4C1D6F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P39" authorId="1" shapeId="0" xr:uid="{A5F828C3-DE31-4354-B09B-0E3D6B163C0F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Q39" authorId="1" shapeId="0" xr:uid="{AF93F473-938F-4C22-9CFB-30468139BAA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39" authorId="1" shapeId="0" xr:uid="{9E37511A-6631-4022-AFB2-455EE3E9A81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Y39" authorId="1" shapeId="0" xr:uid="{B70F8D96-7ECC-4C75-AFB6-45E15CBBCC3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Z39" authorId="1" shapeId="0" xr:uid="{459C3B49-EE9C-4CDE-A19F-EE0008AEBE7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A39" authorId="1" shapeId="0" xr:uid="{A11EFD8D-A3B8-4234-BD1A-27F281E1D47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D39" authorId="1" shapeId="0" xr:uid="{7A4487D7-7898-45E7-ADA0-E9E9EF23EC2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H39" authorId="1" shapeId="0" xr:uid="{89C057B7-B7D1-4BE3-8DB2-3FDE0206386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9" authorId="1" shapeId="0" xr:uid="{BA7BF821-1CAC-42DF-A324-935317BC53B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39" authorId="1" shapeId="0" xr:uid="{B0737186-04AF-4295-ABA9-982147233B0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39" authorId="1" shapeId="0" xr:uid="{6375BE0E-D095-4AC8-B296-9D5F24A1D1A4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M39" authorId="1" shapeId="0" xr:uid="{E91F24DD-C973-4837-BA03-3573B6DC4A21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N39" authorId="1" shapeId="0" xr:uid="{09F0C138-B2D4-4CFF-9B51-4FBF560F341B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O39" authorId="1" shapeId="0" xr:uid="{E39863E1-ABEE-44CB-95C2-036599F0FE1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J40" authorId="1" shapeId="0" xr:uid="{0ADD3999-753A-4F28-8A92-37902CC9F2A6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AI40" authorId="1" shapeId="0" xr:uid="{DA7EE8E5-6CC5-4B6C-8455-AA17FCC1B0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M42" authorId="1" shapeId="0" xr:uid="{CCCD0983-D220-45AA-A98E-8D16F62663F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P42" authorId="1" shapeId="0" xr:uid="{C13DDF10-5C6E-48B6-89C1-41E6416869C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Q42" authorId="1" shapeId="0" xr:uid="{0C301A28-D644-4361-B8BF-FAECADA05AC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R42" authorId="1" shapeId="0" xr:uid="{E9A2BED4-8E7B-4D1A-B204-EA1573EEEB9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S42" authorId="1" shapeId="0" xr:uid="{D1388316-9B9E-452D-9DAD-518EF778F4EF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T42" authorId="1" shapeId="0" xr:uid="{7AE2E4B5-9004-4FAC-9185-47B537F99AA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2" authorId="1" shapeId="0" xr:uid="{11A04FBB-2A01-416D-9D24-BD27D39D65F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1" shapeId="0" xr:uid="{ADE62530-9CBD-4533-927D-143F195F0C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O42" authorId="1" shapeId="0" xr:uid="{47F7428E-65C7-4296-A1C0-E629E3FDF14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1" shapeId="0" xr:uid="{8640309B-1185-4C83-8995-B71B75CF4B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Z44" authorId="1" shapeId="0" xr:uid="{F28BF763-ECFB-4D41-A2AF-277AEF6134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I44" authorId="1" shapeId="0" xr:uid="{0A5DB05C-8620-4B6B-8700-51CED95DD4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M44" authorId="1" shapeId="0" xr:uid="{E720680F-FFEC-48A1-AB37-D432A90786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N44" authorId="1" shapeId="0" xr:uid="{D8944814-9548-4FC2-AE39-61CD81859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J45" authorId="1" shapeId="0" xr:uid="{8FB75A1A-38C2-4DA8-95B1-D35A9FB13F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5" authorId="1" shapeId="0" xr:uid="{933EC965-38D4-4A5B-AF92-98838952A5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  <comment ref="L45" authorId="1" shapeId="0" xr:uid="{5BE9351A-3BDE-4DC5-AB0C-AFE778BF1E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Teng, Kevin 鄧硯駿 (598171)</author>
    <author>Jiang, Tony 江宇東 (598753)</author>
    <author>User</author>
    <author>Shen, Wayne 沈暐軒 (598844)</author>
  </authors>
  <commentList>
    <comment ref="F2" authorId="0" shapeId="0" xr:uid="{9DCB1210-6646-4051-A467-C561D6A15FB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80C62AF3-4648-4007-AAF5-6DC9DA384D4D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I2" authorId="1" shapeId="0" xr:uid="{4DDB6F01-258D-426A-9FDF-4EBBA18B449B}">
      <text>
        <r>
          <rPr>
            <b/>
            <sz val="14"/>
            <color indexed="81"/>
            <rFont val="Tahoma"/>
            <family val="2"/>
          </rPr>
          <t>中秋節</t>
        </r>
      </text>
    </comment>
    <comment ref="AL2" authorId="1" shapeId="0" xr:uid="{4DDBF60A-FF65-4160-AAC3-0A5FA91C2F1F}">
      <text>
        <r>
          <rPr>
            <b/>
            <sz val="14"/>
            <color indexed="81"/>
            <rFont val="Tahoma"/>
            <family val="2"/>
          </rPr>
          <t>教師節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7055DA20-A3AD-4972-AC4F-4CFFA62353F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>感謝</t>
        </r>
      </text>
    </comment>
    <comment ref="N4" authorId="2" shapeId="0" xr:uid="{FCE31E9A-FAD4-4045-AE8D-7D36036A5C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2" shapeId="0" xr:uid="{2ADCD212-EECE-42C4-AB55-8ACD2366DE13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AI4" authorId="2" shapeId="0" xr:uid="{012F4914-3422-442C-A9B7-5CB46D44E7C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2" shapeId="0" xr:uid="{27D44266-FF57-4A1E-9EBE-96432B06EB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4" authorId="2" shapeId="0" xr:uid="{E9341B41-568B-40AD-A576-2BB35BF0F0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4C5B4C24-F98E-40C6-8ED9-6B1E3AC868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5" authorId="2" shapeId="0" xr:uid="{7ED7E776-ECC1-44C3-9715-C2EEF11AE84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3009B4E5-CDBA-4730-8E66-EA8E748B24B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請幫忙</t>
        </r>
        <r>
          <rPr>
            <b/>
            <sz val="12"/>
            <color indexed="10"/>
            <rFont val="新細明體"/>
            <family val="1"/>
            <charset val="136"/>
          </rPr>
          <t>排小夜或2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AA5" authorId="2" shapeId="0" xr:uid="{B4345206-189D-434F-B05B-DE8BF3D8697C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K5" authorId="2" shapeId="0" xr:uid="{DF0D19B6-95C2-45BE-86B3-DFA1DDB7F4D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C39B9A7-8DFA-434F-85BC-8384B14B3D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L6" authorId="2" shapeId="0" xr:uid="{317F952C-FC7B-407F-B498-7FF54FCD079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M6" authorId="2" shapeId="0" xr:uid="{B9120B0F-6589-4C78-A266-980440E2734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Y6" authorId="2" shapeId="0" xr:uid="{014C084F-69FA-4E9E-9BEE-A2F7E5242ED3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6" authorId="2" shapeId="0" xr:uid="{F07EDD71-1837-4B23-8AA0-8EE87D094B24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J7" authorId="2" shapeId="0" xr:uid="{B94997B2-2EFF-41BF-BABE-B9BB4FE7053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N7" authorId="2" shapeId="0" xr:uid="{6B055AAA-CEC9-4AD5-A083-4615D360F63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O8" authorId="2" shapeId="0" xr:uid="{81D33CC8-7B98-4276-8217-990741EC9F06}">
      <text>
        <r>
          <rPr>
            <b/>
            <sz val="16"/>
            <color indexed="81"/>
            <rFont val="新細明體"/>
            <family val="1"/>
            <charset val="136"/>
          </rPr>
          <t>Dear Jason:
早上要參加家長會，請幫忙排中或2,謝謝</t>
        </r>
      </text>
    </comment>
    <comment ref="P8" authorId="3" shapeId="0" xr:uid="{72D68E8E-AA39-435A-BDAC-01E19F7780C9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V8" authorId="2" shapeId="0" xr:uid="{75F3EA06-A39E-4518-AB4F-22B1345524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8" authorId="2" shapeId="0" xr:uid="{E494BC74-2322-4457-9B02-F9B92B2D4C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J9" authorId="2" shapeId="0" xr:uid="{B56E879C-6831-40C5-8B24-8438A22C381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9" authorId="2" shapeId="0" xr:uid="{0346A225-66F0-46ED-B44F-7C0CBDC6D378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U9" authorId="2" shapeId="0" xr:uid="{27D67499-95F7-4D6E-B240-1760A51EB11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G9" authorId="2" shapeId="0" xr:uid="{7C9EFC2E-D150-4665-930B-C429BF84DAD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9" authorId="2" shapeId="0" xr:uid="{3C089794-5091-4424-ABEA-5744329A6238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36D555AD-C292-4EBA-AA4B-D28324F08266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S10" authorId="2" shapeId="0" xr:uid="{F3051E88-7275-4DA4-A178-43DA86A4C62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G10" authorId="2" shapeId="0" xr:uid="{A3673BF8-CE5C-464D-B227-8AF49F647A0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10" authorId="2" shapeId="0" xr:uid="{21BFD6E4-8850-49D9-B781-00264D16DD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1" authorId="3" shapeId="0" xr:uid="{45D23442-7C83-4509-BCE5-40049587B2F7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P11" authorId="3" shapeId="0" xr:uid="{12538A85-F675-4A3B-8B24-8B17562A91CE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L12" authorId="2" shapeId="0" xr:uid="{78D61C31-70C8-4FEE-9324-F0CE204E1174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2" authorId="2" shapeId="0" xr:uid="{28D4A428-63FD-49DE-9AD3-0E76B43A73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2" authorId="3" shapeId="0" xr:uid="{38101A37-DB7B-40C9-89D3-3111146D6E36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K12" authorId="3" shapeId="0" xr:uid="{27A6D2FF-E384-49B8-9E63-B08A582E2F02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13" authorId="2" shapeId="0" xr:uid="{C592E900-56FC-4C58-AC89-86D2B000541A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124B9CF2-3ED6-41B6-B3F5-1A289F7C7E0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3" authorId="2" shapeId="0" xr:uid="{451C3B08-27B8-4D39-95BC-9DAC3A5283F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088FCFDF-B2C3-4909-B49D-D82AC8320E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" authorId="2" shapeId="0" xr:uid="{14D1ACC3-234A-4BA4-92FE-B86973721B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F7C92F0-01DB-4B5F-BEE3-025E59C74D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13" authorId="2" shapeId="0" xr:uid="{96E43742-2195-41EF-81C7-9109FA029C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77D14280-9C40-4066-BE46-C339B5DA4A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0C9F5D39-2425-4ECA-B6F4-0C54D1D9F7B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3" authorId="2" shapeId="0" xr:uid="{36ECB3B2-4B67-4345-A317-32FF10B247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3" authorId="2" shapeId="0" xr:uid="{FBB8858B-F4BB-49B9-844C-247502E331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6EC64B9C-1F85-4A69-8126-11B90B5C701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F7D2C0C2-4095-48D3-AF1E-B2921F37E2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3" authorId="2" shapeId="0" xr:uid="{03375753-A437-43C8-AD51-7746E3F97C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3" authorId="2" shapeId="0" xr:uid="{1DDE248A-E748-41FA-A1B7-F1C8B2461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3" authorId="2" shapeId="0" xr:uid="{25C6CB15-4282-4873-A238-CDC6D59A036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3" authorId="2" shapeId="0" xr:uid="{CFE6463D-E285-4D00-ABB0-B194623970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7EC0BA70-8EE9-4F71-A28A-A368F90F1D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3" authorId="2" shapeId="0" xr:uid="{D488E410-023F-42F3-9EF1-1D32657B3F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3" authorId="2" shapeId="0" xr:uid="{ACDCFB6B-43C3-4BEE-8BD5-A75EADA2B5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3" authorId="2" shapeId="0" xr:uid="{9AC23CD7-D041-43A6-AD8B-C1501182CA1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2" shapeId="0" xr:uid="{3B8D810F-E7AC-454F-A6F3-9F607A4EC2BB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4" authorId="2" shapeId="0" xr:uid="{0A666949-24B8-426E-B38D-1CD4701C3BC9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4" authorId="2" shapeId="0" xr:uid="{7D4DA676-276A-4273-BD2F-DCAF4C55108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BDDDE480-513D-4A55-979D-346BBCAC6C40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5" authorId="4" shapeId="0" xr:uid="{D2F66E2A-9747-4B65-8AD6-F9A3D2E631B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5" authorId="2" shapeId="0" xr:uid="{BFBAFE92-7B34-493D-BA66-464F8CBA17F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請一定要排</t>
        </r>
        <r>
          <rPr>
            <b/>
            <sz val="16"/>
            <color indexed="81"/>
            <rFont val="Tahoma"/>
            <family val="2"/>
          </rPr>
          <t xml:space="preserve">1 or </t>
        </r>
        <r>
          <rPr>
            <b/>
            <sz val="16"/>
            <color indexed="81"/>
            <rFont val="細明體"/>
            <family val="3"/>
            <charset val="136"/>
          </rPr>
          <t xml:space="preserve">早，晚上有事情，感謝
</t>
        </r>
      </text>
    </comment>
    <comment ref="L15" authorId="2" shapeId="0" xr:uid="{CC004956-B3F2-4DEB-A08C-26CEA155742B}">
      <text>
        <r>
          <rPr>
            <b/>
            <sz val="12"/>
            <color indexed="81"/>
            <rFont val="Tahoma"/>
            <family val="2"/>
          </rPr>
          <t xml:space="preserve">HR </t>
        </r>
        <r>
          <rPr>
            <b/>
            <sz val="12"/>
            <color indexed="81"/>
            <rFont val="細明體"/>
            <family val="3"/>
            <charset val="136"/>
          </rPr>
          <t xml:space="preserve">下午半天課程
</t>
        </r>
      </text>
    </comment>
    <comment ref="M15" authorId="2" shapeId="0" xr:uid="{52B67B48-50E1-4928-9FA5-D8E32239F3F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N15" authorId="2" shapeId="0" xr:uid="{C0353E2A-F73B-4746-B5DA-1C86C32277B9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O15" authorId="2" shapeId="0" xr:uid="{8560F535-889E-48F5-8101-3F3A53C3C033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Ming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S15" authorId="2" shapeId="0" xr:uid="{D7C31351-8115-4166-BD1A-9D939F88B28A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T15" authorId="2" shapeId="0" xr:uid="{B44C6FDB-E18D-4158-B49E-5A9609BF479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U15" authorId="2" shapeId="0" xr:uid="{7460FFCC-0F0A-4147-A1AB-7E24084E84D2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X15" authorId="2" shapeId="0" xr:uid="{C7D2D24A-8440-4AB0-BC81-44A5A01A77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15" authorId="2" shapeId="0" xr:uid="{67C12659-1AAE-45AB-AD42-60951256976E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E15" authorId="2" shapeId="0" xr:uid="{B81B3E32-1402-4EBF-BB84-9F1B452701E0}">
      <text>
        <r>
          <rPr>
            <b/>
            <sz val="12"/>
            <color indexed="81"/>
            <rFont val="細明體"/>
            <family val="3"/>
            <charset val="136"/>
          </rPr>
          <t xml:space="preserve">家裡安排
有事
</t>
        </r>
      </text>
    </comment>
    <comment ref="AG15" authorId="2" shapeId="0" xr:uid="{7C20ECBC-915E-4971-A7FA-2BBA6678D20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17" authorId="2" shapeId="0" xr:uid="{42463C56-5EF4-445F-92B7-941E36FB4691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7" authorId="2" shapeId="0" xr:uid="{BC91003B-73B1-4F7E-8C32-C6BCE5AB9786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N17" authorId="2" shapeId="0" xr:uid="{1970E715-67EF-48CE-99B5-8E063BEBE10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J18" authorId="2" shapeId="0" xr:uid="{A41DD545-AFCC-4AD9-9B22-CA20C18224D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0BF46565-E683-4B9A-A2D3-BB2D13DAFACB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L19" authorId="2" shapeId="0" xr:uid="{DC90B7C8-C15B-46F1-AB03-D77CBDD1AD3B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 xml:space="preserve">全日課程
</t>
        </r>
      </text>
    </comment>
    <comment ref="T19" authorId="2" shapeId="0" xr:uid="{36A7EC4B-FFF9-4074-90AD-A6D35DBD0EC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Z19" authorId="5" shapeId="0" xr:uid="{9A2652ED-3EE3-49CF-BDCB-C7556C651BBE}">
      <text>
        <r>
          <rPr>
            <sz val="12"/>
            <color indexed="81"/>
            <rFont val="Tahoma"/>
            <family val="2"/>
          </rPr>
          <t xml:space="preserve">Dear Jason
</t>
        </r>
        <r>
          <rPr>
            <sz val="12"/>
            <color indexed="81"/>
            <rFont val="細明體"/>
            <family val="3"/>
            <charset val="136"/>
          </rPr>
          <t>如果方便請排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AG19" authorId="2" shapeId="0" xr:uid="{D8B61221-1179-431E-8063-A7013BDD733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M20" authorId="2" shapeId="0" xr:uid="{27196865-AD9C-4E8C-BCC6-FA5934A8C673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O20" authorId="2" shapeId="0" xr:uid="{EC1D6D6D-3EBB-4579-9A45-096536134A19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P20" authorId="2" shapeId="0" xr:uid="{EC5F4D78-77BD-4A74-824F-564A6C74CDF7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J21" authorId="2" shapeId="0" xr:uid="{F39B97F2-4964-475A-BFC7-6008AE3EAD1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BAE56654-AE91-4832-8B29-FB3739C3E1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F9D3AA89-CE77-4C82-9A02-AB91E4AA302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1" authorId="2" shapeId="0" xr:uid="{D2049EAB-00BE-47AF-8D27-D0053632AEF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1" authorId="2" shapeId="0" xr:uid="{445FD3C7-D21C-49E2-A748-9E1BF1A4FE71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J22" authorId="2" shapeId="0" xr:uid="{2D5520E9-0FAB-4411-9770-9A5C9E663D2A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>Dear Jason:排班如果許可的話，請幫我多排2及3，謝謝。</t>
        </r>
      </text>
    </comment>
    <comment ref="AH22" authorId="2" shapeId="0" xr:uid="{A3F71009-4605-43FB-99E3-0BBA18BD7B6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2" shapeId="0" xr:uid="{CE4EB623-95C4-4786-96FD-5F6422BBA06B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K22" authorId="2" shapeId="0" xr:uid="{7E1827B3-924B-4EB5-8478-AAFB160832F7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M22" authorId="2" shapeId="0" xr:uid="{87363884-DEFA-4E72-813B-77DBCD35734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3" authorId="2" shapeId="0" xr:uid="{AC6765BB-9007-4144-8A2B-C385D6DDEA65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4" authorId="6" shapeId="0" xr:uid="{3288585D-5878-4BA8-A2CD-A28A6CC58960}">
      <text>
        <r>
          <rPr>
            <b/>
            <sz val="9"/>
            <color indexed="81"/>
            <rFont val="Tahoma"/>
            <family val="2"/>
          </rPr>
          <t xml:space="preserve">Jason,
</t>
        </r>
        <r>
          <rPr>
            <b/>
            <sz val="9"/>
            <color indexed="81"/>
            <rFont val="細明體"/>
            <family val="3"/>
            <charset val="136"/>
          </rPr>
          <t>若許可請協助排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或早班，謝謝
</t>
        </r>
      </text>
    </comment>
    <comment ref="J25" authorId="2" shapeId="0" xr:uid="{35589250-EEF3-4FCC-91CA-2730635C504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N25" authorId="2" shapeId="0" xr:uid="{FF86AF85-C02A-4B84-ACA0-02E8B008A7A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T25" authorId="2" shapeId="0" xr:uid="{187598B9-FC12-42F3-8DF1-EE82F307B962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D1C906E1-CEC7-415B-88F0-089B457388B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CAA5B6E9-36EC-4466-94BB-69BF2FFD142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5" authorId="2" shapeId="0" xr:uid="{38B13555-5D3F-4EB6-898B-5C59895E0B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H25" authorId="2" shapeId="0" xr:uid="{62DAF20E-C392-4261-81D0-611B6C13EB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N25" authorId="2" shapeId="0" xr:uid="{3B0633B0-8D52-4678-9C61-D1AB653C9E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F4BF970B-2FDD-4102-AB59-91666550924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5B621AC1-55A9-41F6-A580-3CB5B7EC78CA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6" authorId="2" shapeId="0" xr:uid="{CCB79248-2D93-4F84-9E1C-1399F459F730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V26" authorId="2" shapeId="0" xr:uid="{CA66238C-F344-4C10-8E1A-6EA65D53EEC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W26" authorId="2" shapeId="0" xr:uid="{4BB93B37-F077-4CF2-AD8F-20917FB3F77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Y26" authorId="2" shapeId="0" xr:uid="{1F266909-2653-4FBC-ADC5-4148E830CCC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F26" authorId="2" shapeId="0" xr:uid="{8DDFA4C2-F58D-480B-9B7A-CEE23223243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M26" authorId="2" shapeId="0" xr:uid="{24E9F154-32C3-4D6B-A889-9FA5024254A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O27" authorId="2" shapeId="0" xr:uid="{DB641948-F93C-4198-A0CC-7E13FCC34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7" authorId="2" shapeId="0" xr:uid="{6F6FA1AC-66B3-4809-872B-69BFC9A3868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7" authorId="2" shapeId="0" xr:uid="{32301037-BA5F-494D-AA8E-8B8FA32F047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7" authorId="2" shapeId="0" xr:uid="{D416D8D0-12EB-47D9-B512-9E78D8E9B3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2" shapeId="0" xr:uid="{EF6FC196-B340-4F73-8111-24F17E985DC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2" shapeId="0" xr:uid="{23AD093B-C357-4053-A0C7-FFA0B01E00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7" authorId="2" shapeId="0" xr:uid="{56E00E98-F840-4A50-AA31-906E7858104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7" authorId="2" shapeId="0" xr:uid="{A48D5E31-8D9A-4198-B399-D24B49FAD50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2" shapeId="0" xr:uid="{A1417C11-EF6A-4A44-85ED-8D059F12BBE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28" authorId="2" shapeId="0" xr:uid="{E4BEC374-FFB3-424A-8F5C-AE8B20CFC346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28" authorId="2" shapeId="0" xr:uid="{71CB992C-9A78-4950-8672-AA9028ED205A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I28" authorId="2" shapeId="0" xr:uid="{F07D68C0-FF50-4B4E-816D-F8EC90CFDFC2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J28" authorId="2" shapeId="0" xr:uid="{A69FDA04-E7E9-4E3B-AD94-5DDFF9BF0549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K28" authorId="2" shapeId="0" xr:uid="{0C18D54B-9B13-4753-AD8E-D97D6BDB7BB0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L28" authorId="2" shapeId="0" xr:uid="{D57F0DCB-B0D0-4EE6-9117-C74DBA1B6FF5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J29" authorId="2" shapeId="0" xr:uid="{6C033224-6B40-4EE4-9F38-DBA3A3323B2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"1"排在假日，謝謝。
</t>
        </r>
      </text>
    </comment>
    <comment ref="O29" authorId="2" shapeId="0" xr:uid="{7873AB61-320F-4877-8EBB-C90EB1F95A0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P29" authorId="2" shapeId="0" xr:uid="{4BBA2C66-31F5-4EA9-9BAB-838F5C70623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AF29" authorId="2" shapeId="0" xr:uid="{3425E00B-4684-4D3F-8281-C38E7420D80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H29" authorId="2" shapeId="0" xr:uid="{2115C132-9B0B-4BC4-9CAA-EDC912E86B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K32" authorId="2" shapeId="0" xr:uid="{70A31562-17A1-41A0-AC3A-4089392DBD55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L32" authorId="2" shapeId="0" xr:uid="{64093AF4-4355-496B-8344-E9F2258DA07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M32" authorId="2" shapeId="0" xr:uid="{9E0D863E-2980-4D2B-94B0-442608F654C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N32" authorId="2" shapeId="0" xr:uid="{025EB851-2C7A-4DA9-868F-29402692ED5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Q32" authorId="1" shapeId="0" xr:uid="{21BBE7EA-6651-4DA5-857C-E73218FB9E1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R32" authorId="1" shapeId="0" xr:uid="{E0636788-3FA2-45F3-ACB6-7CCFBEB4880F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S32" authorId="1" shapeId="0" xr:uid="{3FA72B38-4CA3-44CF-94F1-515886C21A2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T32" authorId="1" shapeId="0" xr:uid="{DB2165A8-745E-4C6A-AED0-9A7CCAB3F4C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U32" authorId="1" shapeId="0" xr:uid="{7DA2DDA5-80A7-450D-9E3A-A42132144E4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2" authorId="1" shapeId="0" xr:uid="{404F811A-E26C-42D0-A075-B1C920A2C832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Y32" authorId="1" shapeId="0" xr:uid="{E74CD93E-2EA3-4A7D-8E0D-23CE2C23A92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Z32" authorId="1" shapeId="0" xr:uid="{F88A99AA-5E92-4FF7-9BBB-47290941811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2" authorId="1" shapeId="0" xr:uid="{67A8EEB5-D4D1-4A1C-BDE3-D1AB4A959B3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2" authorId="1" shapeId="0" xr:uid="{4FA918A1-D40E-4A8B-9E7C-21A735BC8EB6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2" authorId="1" shapeId="0" xr:uid="{35D3B5B2-8CB9-446F-8D08-4A7486D565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2" authorId="1" shapeId="0" xr:uid="{B77FBD55-5670-465D-B097-B821A06F7B8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2" authorId="1" shapeId="0" xr:uid="{9AF118A7-EBAE-4CCB-A7A0-E87FF1595CC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2" authorId="1" shapeId="0" xr:uid="{45ABAB6E-18ED-4400-AFE6-4B9F2464AA2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2" authorId="1" shapeId="0" xr:uid="{BD3173A5-1A3B-498E-B2F8-36EF0C4616F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2" authorId="1" shapeId="0" xr:uid="{FB8C25A4-E538-40DE-8383-5C1C17072C0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3" authorId="2" shapeId="0" xr:uid="{C3E8E923-F178-40F6-B210-A95AC8C3331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Y33" authorId="2" shapeId="0" xr:uid="{DD675DEF-50D6-4E81-9EF7-DFAB7693375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Z33" authorId="2" shapeId="0" xr:uid="{3F34E486-21FC-46F5-9701-55BC66460388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AA33" authorId="1" shapeId="0" xr:uid="{4F4DEC78-0D96-4EB6-9CF5-4334043056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3" authorId="1" shapeId="0" xr:uid="{720CDB80-2026-4847-95A2-5D31A78B0F5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3" authorId="1" shapeId="0" xr:uid="{42125CB4-A59A-4064-A055-8E2818CE4505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3" authorId="1" shapeId="0" xr:uid="{1E04E78C-46FA-4719-9C33-76E04A825143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3" authorId="1" shapeId="0" xr:uid="{7CA606EC-E399-46B4-8AA4-362D15D82581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3" authorId="1" shapeId="0" xr:uid="{F151F985-C8B2-45CA-9248-B722F06F991C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3" authorId="1" shapeId="0" xr:uid="{E3F6FFB7-D221-409E-977F-732FFE9499C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3" authorId="1" shapeId="0" xr:uid="{269BA4CF-7C9E-4331-B5AD-1132D456899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34" authorId="2" shapeId="0" xr:uid="{4EFE1681-0515-4B00-B908-B93511943E8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P34" authorId="2" shapeId="0" xr:uid="{F80DC2EA-FB1A-4D7D-AE5E-7EFE3D05A7A3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Q34" authorId="2" shapeId="0" xr:uid="{19A01009-6F5D-41BC-843F-6EB7CC0FE0D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737B2EC0-3DB8-4F5E-B499-334F793E0B6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2" shapeId="0" xr:uid="{3A6722B0-062D-4AA0-A1B6-C6743F04F56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2" shapeId="0" xr:uid="{A6CD1E52-6613-4D85-8148-98D7C73105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C31FD0E8-449A-46FB-A895-29F70B83293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0B56792F-6CC5-47A0-ABD4-5FA10F73100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4C493A18-F179-4665-9584-57D3E0A90AE0}">
      <text>
        <r>
          <rPr>
            <b/>
            <sz val="14"/>
            <color indexed="81"/>
            <rFont val="Arial"/>
            <family val="2"/>
          </rPr>
          <t xml:space="preserve">Dear sir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如果排班方便，請幫我多排中班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K35" authorId="2" shapeId="0" xr:uid="{14DC4885-587E-4CB3-9B71-4BDD3401401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5" authorId="2" shapeId="0" xr:uid="{7D38A4A7-F02A-40F2-AF38-05EF4CC31754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35" authorId="2" shapeId="0" xr:uid="{84C776FA-978A-41CF-B397-54B29C733A0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5" authorId="2" shapeId="0" xr:uid="{B09800EA-B1C5-4C65-A563-D0B38DF7C9F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D35" authorId="2" shapeId="0" xr:uid="{EB6FF0AA-1BC9-4548-8B8F-A1447DB5F949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I35" authorId="2" shapeId="0" xr:uid="{1662BD8F-15DC-4528-A83E-5ECB96B04258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5" authorId="2" shapeId="0" xr:uid="{07D089DA-45B0-4756-8DAA-024CF85170BA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5" authorId="2" shapeId="0" xr:uid="{2D1B427A-FF93-467E-B1E7-86670CD9619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5" authorId="2" shapeId="0" xr:uid="{669493BC-84D6-47FE-97D5-D4A7A1ACC7B1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6" authorId="2" shapeId="0" xr:uid="{3FD8BE1F-7AC0-4D99-A528-7875CCE35F4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I36" authorId="2" shapeId="0" xr:uid="{9F0E08D9-C717-4B40-97D2-48BDD7148D39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6" authorId="2" shapeId="0" xr:uid="{E8B87322-8B77-4DA5-9E74-1AFA33DE60F0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6" authorId="2" shapeId="0" xr:uid="{FD9FAED9-CAC8-44DD-9BDA-EC97EE174B9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6" authorId="2" shapeId="0" xr:uid="{27FA356A-BFAC-4BAC-ACCB-5B683A75E51D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7" authorId="7" shapeId="0" xr:uid="{C17A1B0E-C519-4F7C-9A0B-9AA8367E79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Y38" authorId="2" shapeId="0" xr:uid="{E473AE98-D1C4-4CC9-AAC8-AEA2369616C0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F38" authorId="2" shapeId="0" xr:uid="{48392D55-3246-4F5E-B643-2165A0DD101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N39" authorId="2" shapeId="0" xr:uid="{74F4E38A-68B9-44B3-BC9F-9BF8EC51A8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2" shapeId="0" xr:uid="{7DDA639B-CF9F-40E1-8ECD-DDBEE398DC4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7FF9F7A9-06F6-49DB-85AF-8D230D8E147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2" shapeId="0" xr:uid="{0C4413D6-70EC-434D-ADB5-481EB868BD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A1D51451-647F-47A3-976E-8710E9B5AB4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人力夠的話方便排N嗎，早上請兩小時，請勿排大夜，謝謝。
</t>
        </r>
      </text>
    </comment>
    <comment ref="U39" authorId="2" shapeId="0" xr:uid="{6D5E6BE7-7A4B-4F6B-90E5-ACA50751FB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V39" authorId="2" shapeId="0" xr:uid="{E1233A65-F4B4-4193-9B89-DC612EE6BA0B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39" authorId="2" shapeId="0" xr:uid="{56C67452-8B5F-470F-B4A1-50145D0D2442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3710984F-0BDA-4090-961D-99C3E05DC0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2" shapeId="0" xr:uid="{0884A64F-6D47-42A2-BD85-4D76DC35B41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C49949AE-2559-477C-8AEE-63DFB340C8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D0F64CE2-4CC2-4708-8CBD-F7B96273F4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93F4F030-F571-4368-9DB5-60CF26464D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9" authorId="2" shapeId="0" xr:uid="{D851A001-D4D7-4EF7-B59B-5D5D75DD15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4E47C667-0856-402C-90D3-B6CEA5C0F15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E27CC5E4-E76D-427B-A39F-5119E01814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58A26DA4-D616-4748-97F2-A8D8953C4EF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2" shapeId="0" xr:uid="{24CD88BA-6C65-45D5-8B68-0B70DB4490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40" authorId="2" shapeId="0" xr:uid="{5A9C512F-1EE9-4074-98B1-0F2310F8CF4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0" authorId="2" shapeId="0" xr:uid="{239A6FA7-180A-4010-8BFE-B014B84F7F0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40" authorId="2" shapeId="0" xr:uid="{C0D1A5C8-A6FB-4553-8A8B-F44C78BC17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40" authorId="2" shapeId="0" xr:uid="{64491FA9-DC38-4B9D-BA11-101E9AB48ED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40" authorId="2" shapeId="0" xr:uid="{35491188-5CD6-420E-9261-476B6EB192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40" authorId="2" shapeId="0" xr:uid="{5C6A1E9C-E55A-4FB8-80BC-63C6A51180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79648E4D-564D-4AB1-9A0E-6C23F33AD1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8" shapeId="0" xr:uid="{61A83587-79B1-4674-A81C-5E88363C8A36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V40" authorId="8" shapeId="0" xr:uid="{BBB1786B-BE8D-4AF3-B704-E7B6B31926FD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0" authorId="8" shapeId="0" xr:uid="{287749D2-7945-414F-B86C-E7CD8F08C573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0" authorId="8" shapeId="0" xr:uid="{29DC8E32-E7CF-40E3-A1A4-EE4D090C7CE1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I40" authorId="2" shapeId="0" xr:uid="{FAC726D7-FE42-436E-B7A7-425306C874C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J40" authorId="2" shapeId="0" xr:uid="{2EE4A997-3820-4313-8D94-735702143C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K40" authorId="2" shapeId="0" xr:uid="{E527F801-AF62-413E-8D6E-1995B3BAFD9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40" authorId="2" shapeId="0" xr:uid="{43FAB95B-5501-41D1-9FA6-D807DB77F0B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O41" authorId="2" shapeId="0" xr:uid="{CF47B2EB-E60C-41C3-BC69-D9CA9430612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1" authorId="2" shapeId="0" xr:uid="{D40A6ECB-A33F-403C-91DD-4C8AE4B3E3A8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AC41" authorId="2" shapeId="0" xr:uid="{5C0D46D3-1A1A-4A28-805F-6F72070F383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1" authorId="2" shapeId="0" xr:uid="{EDE760A6-D24C-4F4B-9426-85392F0BB50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Q43" authorId="2" shapeId="0" xr:uid="{0E5CE198-E2B0-47DB-932E-B3FA302A7C0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L44" authorId="2" shapeId="0" xr:uid="{36D38FC5-7B32-46E0-BF85-1CC040444B3C}">
      <text>
        <r>
          <rPr>
            <b/>
            <sz val="14"/>
            <color indexed="81"/>
            <rFont val="細明體"/>
            <family val="3"/>
            <charset val="136"/>
          </rPr>
          <t xml:space="preserve">帶爸爸回診，可排中班或大夜或排休或請特休
</t>
        </r>
      </text>
    </comment>
    <comment ref="Z44" authorId="2" shapeId="0" xr:uid="{7C5ACACF-CC6E-436E-8BB4-D8C96FD67908}">
      <text>
        <r>
          <rPr>
            <b/>
            <sz val="14"/>
            <color indexed="81"/>
            <rFont val="細明體"/>
            <family val="3"/>
            <charset val="136"/>
          </rPr>
          <t xml:space="preserve">帶媽媽回診，排休或請特休
</t>
        </r>
      </text>
    </comment>
    <comment ref="M45" authorId="2" shapeId="0" xr:uid="{37548C4B-F064-400A-A7B5-DE96936DB7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需要看醫生只能早班
</t>
        </r>
      </text>
    </comment>
    <comment ref="O45" authorId="2" shapeId="0" xr:uid="{EF92A33D-618E-426D-9F32-84B028AB2E0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P45" authorId="2" shapeId="0" xr:uid="{6B0674A3-7D30-47AF-97AB-EC62FEA52D0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S45" authorId="2" shapeId="0" xr:uid="{5ABB314E-4C8D-43F9-B424-545DA2837EF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6906C2A6-9AA8-43DE-A3DB-D959CBABA56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Z45" authorId="2" shapeId="0" xr:uid="{4C1E6E10-F57D-4B98-9CC9-0F7D6C3D0B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可以的話請幫忙排小夜或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G45" authorId="2" shapeId="0" xr:uid="{9915BE8F-292A-46C8-BE85-35B51A3A72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45" authorId="2" shapeId="0" xr:uid="{0F8B9C46-DBC0-4928-91EC-8696570180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只能早班或N
</t>
        </r>
      </text>
    </comment>
    <comment ref="J46" authorId="2" shapeId="0" xr:uid="{3E100147-F7A0-4155-815D-44BD40B4A9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3C14B9C1-020F-4287-9167-AC6951CF9E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CAA025B0-26E1-44EA-98CA-38C94A55D5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44066171-5431-4A57-8D59-D4088CD951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U46" authorId="2" shapeId="0" xr:uid="{5AF49DDC-54FB-4506-A245-EFA3CE5B4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1500</t>
        </r>
        <r>
          <rPr>
            <sz val="9"/>
            <color indexed="81"/>
            <rFont val="細明體"/>
            <family val="3"/>
            <charset val="136"/>
          </rPr>
          <t>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Jiang, Tony 江宇東 (598753)</author>
    <author>Mao, Richie 毛睿群 ()</author>
    <author>User</author>
    <author>Lin, Key 林守麒 (597352)</author>
  </authors>
  <commentList>
    <comment ref="F2" authorId="0" shapeId="0" xr:uid="{2449D8E6-F9FC-4EF9-B520-914D06B9526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BB543EB4-F122-4E1A-A7FC-7022F720A20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S2" authorId="1" shapeId="0" xr:uid="{A66641EB-9846-468A-9689-05F3037AB501}">
      <text>
        <r>
          <rPr>
            <b/>
            <sz val="14"/>
            <color indexed="81"/>
            <rFont val="細明體"/>
            <family val="3"/>
            <charset val="136"/>
          </rPr>
          <t>國慶日補假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" authorId="1" shapeId="0" xr:uid="{4E62A3A3-D057-4D63-B0F0-93793625A76A}">
      <text>
        <r>
          <rPr>
            <b/>
            <sz val="9"/>
            <color indexed="81"/>
            <rFont val="Tahoma"/>
            <family val="2"/>
          </rPr>
          <t>光復節補假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8E316BD3-186A-4F20-B6AB-396A63382C2E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admin:
</t>
        </r>
      </text>
    </comment>
    <comment ref="T4" authorId="2" shapeId="0" xr:uid="{31B603CB-AF5A-4710-B6C7-B7D2C419C5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4" authorId="2" shapeId="0" xr:uid="{6393D035-2A7A-4610-BF65-4BFB1F61A6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4" authorId="2" shapeId="0" xr:uid="{564BDEEF-2404-4405-BF5B-1AA4D1BDAD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4" authorId="2" shapeId="0" xr:uid="{A4723B54-ACF9-434C-8798-FFEAB18396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5" authorId="2" shapeId="0" xr:uid="{C2C424FC-7AEC-4239-B5F8-5962D0A1D60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U5" authorId="2" shapeId="0" xr:uid="{593B366D-E98E-49C5-B9C4-737879F855D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2" shapeId="0" xr:uid="{7FDA618A-2D9B-42D9-BC3F-84DCFAD3A66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1" shapeId="0" xr:uid="{D49C3F15-E5E5-45BA-AE01-CE4482EB32A8}">
      <text>
        <r>
          <rPr>
            <b/>
            <sz val="14"/>
            <color indexed="81"/>
            <rFont val="Tahoma"/>
            <family val="2"/>
          </rPr>
          <t xml:space="preserve">新人教育訓練 講師
</t>
        </r>
      </text>
    </comment>
    <comment ref="R6" authorId="2" shapeId="0" xr:uid="{4F237587-FE16-4C70-ADF7-AAFDE1408AE6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W6" authorId="2" shapeId="0" xr:uid="{D98BD7AA-6928-4C8F-A193-25E332652311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Y6" authorId="2" shapeId="0" xr:uid="{C0D5155C-CDC1-467F-9D7B-50B467FADA3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6" authorId="2" shapeId="0" xr:uid="{4DB2E52D-8557-4D85-BF07-3410CF0C1D8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6" authorId="2" shapeId="0" xr:uid="{A4A5B3D6-02F2-4C2A-B35F-EE0A5A526EB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7" authorId="2" shapeId="0" xr:uid="{C1E03540-3D22-4652-8832-E5BB6FA1E501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8" authorId="2" shapeId="0" xr:uid="{B9A27DEF-E477-4245-9FDC-F9A3DC3C55B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R8" authorId="2" shapeId="0" xr:uid="{9CC996C7-D718-4AC8-B2A2-F335A0A3392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AB8" authorId="2" shapeId="0" xr:uid="{3184F06B-70E1-4B81-95FF-9D309413224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sir:要帶小孩去做校外服務，若排班方便請幫我排"X"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8" authorId="2" shapeId="0" xr:uid="{6FC71033-B191-40A4-9ED3-FEFB23D9830F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與大D換班
</t>
        </r>
      </text>
    </comment>
    <comment ref="J9" authorId="2" shapeId="0" xr:uid="{5286408A-06AE-4FD5-8B16-466AAC1FD46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P9" authorId="2" shapeId="0" xr:uid="{14D5FBC9-1FF2-4645-AB59-0187ECF53E9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Q9" authorId="2" shapeId="0" xr:uid="{22C558B6-80B7-4FE5-B343-D2EEBF15EF0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R9" authorId="2" shapeId="0" xr:uid="{008E80D0-62A3-44FB-8545-510C5D6840B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F271273F-5EE6-4324-BD4C-41A636E235CA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N10" authorId="2" shapeId="0" xr:uid="{58300817-4C2C-46CB-92E8-F9BDF85375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0" authorId="2" shapeId="0" xr:uid="{45A408B1-FB80-43B3-93B8-FE65FF1D16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10" authorId="2" shapeId="0" xr:uid="{F4B45B84-EB46-4F7D-873E-E19D6E3DD50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10" authorId="2" shapeId="0" xr:uid="{77E25355-71C1-435A-AF70-E383FF4E6636}">
      <text>
        <r>
          <rPr>
            <b/>
            <sz val="16"/>
            <color indexed="81"/>
            <rFont val="細明體"/>
            <family val="3"/>
            <charset val="136"/>
          </rPr>
          <t xml:space="preserve">與KK換週
</t>
        </r>
      </text>
    </comment>
    <comment ref="W10" authorId="2" shapeId="0" xr:uid="{C1D418D6-C0CA-4013-9885-36A2140B62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10" authorId="2" shapeId="0" xr:uid="{A7A10E47-0BF7-40D6-8CA1-3B9217CA438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B10" authorId="2" shapeId="0" xr:uid="{77DC14B5-3166-489C-B6CC-B0A697ECE8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0" authorId="2" shapeId="0" xr:uid="{7B36728A-915A-4DE7-91EA-13B3475025F0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>課程</t>
        </r>
        <r>
          <rPr>
            <b/>
            <sz val="12"/>
            <color indexed="81"/>
            <rFont val="Tahoma"/>
            <family val="2"/>
          </rPr>
          <t>-TPKC_7F_701</t>
        </r>
        <r>
          <rPr>
            <b/>
            <sz val="12"/>
            <color indexed="81"/>
            <rFont val="細明體"/>
            <family val="3"/>
            <charset val="136"/>
          </rPr>
          <t xml:space="preserve">教室
</t>
        </r>
      </text>
    </comment>
    <comment ref="M11" authorId="2" shapeId="0" xr:uid="{C3173D2D-10D8-46DD-ACE7-347B03AD6B0A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N11" authorId="2" shapeId="0" xr:uid="{DB2D27F9-C46E-4ECB-B827-F1AE7110C26E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O12" authorId="2" shapeId="0" xr:uid="{10977710-3977-4445-837E-E5EBD6D4583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12" authorId="2" shapeId="0" xr:uid="{75770599-9117-4CA8-A5C0-8F47942EAFB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2" authorId="2" shapeId="0" xr:uid="{59061E04-E90F-4AB9-86E0-A3DCE27BE90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2" authorId="2" shapeId="0" xr:uid="{F5DD5310-EF65-46BA-AE62-68871DBF0C86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F12" authorId="2" shapeId="0" xr:uid="{73134E29-D8DA-4442-A796-49685A167883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2" authorId="2" shapeId="0" xr:uid="{CCCDF0A3-0261-4C78-B18D-4B638C6BCFE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3" authorId="2" shapeId="0" xr:uid="{3115FCAA-92EC-42A5-83C0-9EE26B6F547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8561E860-EDA3-4955-9533-D5DA907718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DAFB80D8-BEC0-4129-BB64-3B64B4E85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B34E8F7-6FE5-4B5E-8670-C3BB53806B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17B4193D-5A4D-4193-8ACB-BB5B6B3CE2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3" authorId="2" shapeId="0" xr:uid="{0A7002D5-C011-49B8-BEEC-0471CC9F5F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B9027001-E0FC-421B-8B63-41BABF0E8EC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B13" authorId="2" shapeId="0" xr:uid="{B59CB93F-FEDD-4AA7-9C18-7FAEDCEAC08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3" authorId="2" shapeId="0" xr:uid="{3A60E12F-6AB4-4B29-8886-FDAD5390CA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240B895B-378B-4603-BCFE-9E5F1DF3D9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3" authorId="2" shapeId="0" xr:uid="{33233473-B29E-4363-ADC3-D8B058E1DF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3" authorId="2" shapeId="0" xr:uid="{88408AF4-62BD-4720-85DE-2B14518EF3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533B3397-365D-4998-9997-E52214ABFA6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59890979-3B8D-4056-89A9-CDCC6C32E1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D769D20F-2BC6-4F06-80AF-64A00E32CD9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Z14" authorId="2" shapeId="0" xr:uid="{81B7F82C-4887-4E55-A34C-F70E65D44BA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4" authorId="2" shapeId="0" xr:uid="{EE00F1C7-3B13-474A-92D3-AF65AD08C00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4" authorId="2" shapeId="0" xr:uid="{A4F3D86F-1FC3-4B83-A83B-561E9EC03B8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4" authorId="2" shapeId="0" xr:uid="{D9CF7873-E0F5-4CDA-BC37-386CCFA2EC8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4" authorId="2" shapeId="0" xr:uid="{E6B532BF-B23A-4528-9FDE-D486A0F795CE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15" authorId="3" shapeId="0" xr:uid="{986BA7E7-6F13-4ADE-B880-95A1CF5DBF03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5" authorId="2" shapeId="0" xr:uid="{E0208049-2C44-4B39-95F8-27E2922F9658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晚上</t>
        </r>
        <r>
          <rPr>
            <b/>
            <sz val="14"/>
            <color indexed="81"/>
            <rFont val="Tahoma"/>
            <family val="2"/>
          </rPr>
          <t>7</t>
        </r>
        <r>
          <rPr>
            <b/>
            <sz val="14"/>
            <color indexed="81"/>
            <rFont val="細明體"/>
            <family val="3"/>
            <charset val="136"/>
          </rPr>
          <t>點參加學校家長委員會，麻煩請排1 or 早
新人教育訓練講師</t>
        </r>
      </text>
    </comment>
    <comment ref="M15" authorId="2" shapeId="0" xr:uid="{22CEC6BF-D733-4401-B8BA-2433A3607CDD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admin:
公司家庭日
</t>
        </r>
      </text>
    </comment>
    <comment ref="N15" authorId="2" shapeId="0" xr:uid="{3657B4C4-3477-472C-858D-4B7CC326A29B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5" authorId="1" shapeId="0" xr:uid="{BE7B061D-41C2-4419-8137-964B237CDD7A}">
      <text>
        <r>
          <rPr>
            <b/>
            <sz val="14"/>
            <color indexed="81"/>
            <rFont val="Tahoma"/>
            <family val="2"/>
          </rPr>
          <t xml:space="preserve">新人教育訓練講師
</t>
        </r>
      </text>
    </comment>
    <comment ref="Q15" authorId="2" shapeId="0" xr:uid="{E7C653F8-7BDF-41C8-8327-548E5D7D1C09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R15" authorId="2" shapeId="0" xr:uid="{4CDE05E5-F54E-4F9D-8EF4-70CBC5E2526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X15" authorId="2" shapeId="0" xr:uid="{456740EF-63A8-401E-836E-2BFACF45C99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A15" authorId="4" shapeId="0" xr:uid="{86260BFE-7B13-4B89-85F8-3464D20534DC}">
      <text>
        <r>
          <rPr>
            <b/>
            <sz val="9"/>
            <color indexed="81"/>
            <rFont val="Tahoma"/>
            <family val="2"/>
          </rPr>
          <t xml:space="preserve">Tin, France </t>
        </r>
        <r>
          <rPr>
            <b/>
            <sz val="9"/>
            <color indexed="81"/>
            <rFont val="細明體"/>
            <family val="3"/>
            <charset val="136"/>
          </rPr>
          <t>丁嘉威</t>
        </r>
        <r>
          <rPr>
            <b/>
            <sz val="9"/>
            <color indexed="81"/>
            <rFont val="Tahoma"/>
            <family val="2"/>
          </rPr>
          <t xml:space="preserve"> (599510):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臨時有事，可否請幫忙排休假
</t>
        </r>
      </text>
    </comment>
    <comment ref="AL15" authorId="2" shapeId="0" xr:uid="{44C9561B-4ACB-4E25-8383-C639C70BFFD8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K16" authorId="2" shapeId="0" xr:uid="{08A87FAF-5EC1-4D18-BD97-76E90344921F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L16" authorId="2" shapeId="0" xr:uid="{3729D8DC-E823-47B3-8973-1E6E32C5F4B4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R16" authorId="2" shapeId="0" xr:uid="{377FE3AE-FCF6-45E2-AB83-E26136619FB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R17" authorId="2" shapeId="0" xr:uid="{D18AC942-F462-4A67-AFBC-224E879421A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7" authorId="2" shapeId="0" xr:uid="{38058CB0-00ED-4953-9202-541160E2C4C0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AF17" authorId="2" shapeId="0" xr:uid="{016E150E-93F2-404A-9FF4-02DD18714A89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17" authorId="2" shapeId="0" xr:uid="{0C037CA9-5280-4C9A-A9C2-F56450880D1D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8" authorId="2" shapeId="0" xr:uid="{D86B4163-C266-4CE5-AA94-6A78E9D27CD1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8DB82987-5EE1-490B-B691-E1098D9CE6F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 xml:space="preserve">2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M19" authorId="2" shapeId="0" xr:uid="{B91867AB-B909-40CE-9D95-211050F2102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joy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Q19" authorId="2" shapeId="0" xr:uid="{313AAD0E-2D43-44C2-89FD-81E69F24A18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19" authorId="2" shapeId="0" xr:uid="{67405DAD-6B4D-4C13-BB17-080CC183974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20" authorId="2" shapeId="0" xr:uid="{B0A079FB-27E3-4392-85D3-B6C4E1A2AA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早班"，謝謝。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0" authorId="2" shapeId="0" xr:uid="{8F66A77E-A163-42F4-B5FA-9C5D27183528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T20" authorId="2" shapeId="0" xr:uid="{1FBA7A61-89C7-45AD-A30E-4E7F0AA7893D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AH20" authorId="2" shapeId="0" xr:uid="{4C2765DA-5ED8-4C94-B1B0-9B19898E8E51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J21" authorId="2" shapeId="0" xr:uid="{BAA88CCF-3366-4F0C-BEA6-A06F95ECEB83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2" shapeId="0" xr:uid="{1B3EB4BB-2303-4214-86EC-4238BC981E3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65B24DB7-5E4F-41FB-B625-56F216461937}">
      <text>
        <r>
          <rPr>
            <b/>
            <sz val="14"/>
            <color indexed="81"/>
            <rFont val="新細明體"/>
            <family val="1"/>
            <charset val="136"/>
          </rPr>
          <t>Dear Jason:
白天有事麻煩排3或晚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1" authorId="2" shapeId="0" xr:uid="{3030AF9E-54DB-4735-B53F-3D19D97D177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2" shapeId="0" xr:uid="{6DBFC160-4E35-4793-8F2F-91059F7806E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2" shapeId="0" xr:uid="{F68CD2CF-B909-48A9-B328-7B00C7D77B9D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支援阿西並且下午可能請假需排N8班
</t>
        </r>
      </text>
    </comment>
    <comment ref="X23" authorId="2" shapeId="0" xr:uid="{C00F6486-CDBD-4AED-9464-9E703E32CC9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L23" authorId="5" shapeId="0" xr:uid="{7AA9D245-0F2B-4C85-A3D6-C3102ABEB2A6}">
      <text>
        <r>
          <rPr>
            <b/>
            <sz val="9"/>
            <color indexed="81"/>
            <rFont val="Tahoma"/>
            <family val="2"/>
          </rPr>
          <t xml:space="preserve">Jiang, Tony </t>
        </r>
        <r>
          <rPr>
            <b/>
            <sz val="9"/>
            <color indexed="81"/>
            <rFont val="細明體"/>
            <family val="3"/>
            <charset val="136"/>
          </rPr>
          <t>江宇東</t>
        </r>
        <r>
          <rPr>
            <b/>
            <sz val="9"/>
            <color indexed="81"/>
            <rFont val="Tahoma"/>
            <family val="2"/>
          </rPr>
          <t xml:space="preserve"> (598753):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下午請假帶媽媽回診
</t>
        </r>
      </text>
    </comment>
    <comment ref="AM23" authorId="5" shapeId="0" xr:uid="{D3B70165-18D1-4897-86A6-7AE21837D02E}">
      <text>
        <r>
          <rPr>
            <b/>
            <sz val="11"/>
            <color indexed="81"/>
            <rFont val="Tahoma"/>
            <family val="2"/>
          </rPr>
          <t xml:space="preserve">Jiang, Tony </t>
        </r>
        <r>
          <rPr>
            <b/>
            <sz val="11"/>
            <color indexed="81"/>
            <rFont val="細明體"/>
            <family val="3"/>
            <charset val="136"/>
          </rPr>
          <t>江宇東</t>
        </r>
        <r>
          <rPr>
            <b/>
            <sz val="11"/>
            <color indexed="81"/>
            <rFont val="Tahoma"/>
            <family val="2"/>
          </rPr>
          <t xml:space="preserve"> (598753):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2026/10/29 09:30-17:30
</t>
        </r>
        <r>
          <rPr>
            <sz val="12"/>
            <color indexed="81"/>
            <rFont val="細明體"/>
            <family val="3"/>
            <charset val="136"/>
          </rPr>
          <t>課程名稱</t>
        </r>
        <r>
          <rPr>
            <sz val="12"/>
            <color indexed="81"/>
            <rFont val="Tahoma"/>
            <family val="2"/>
          </rPr>
          <t xml:space="preserve">: </t>
        </r>
        <r>
          <rPr>
            <sz val="12"/>
            <color indexed="81"/>
            <rFont val="細明體"/>
            <family val="3"/>
            <charset val="136"/>
          </rPr>
          <t xml:space="preserve">問題分析與決策制定
</t>
        </r>
      </text>
    </comment>
    <comment ref="V24" authorId="2" shapeId="0" xr:uid="{65674F5B-783C-4C71-933F-556397D0264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5" authorId="2" shapeId="0" xr:uid="{BBEC93BF-1C72-4655-B8EC-4DDB88B1DC78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>，若1請盡量假日，謝謝。</t>
        </r>
      </text>
    </comment>
    <comment ref="L25" authorId="2" shapeId="0" xr:uid="{70711236-EAA1-4500-B60D-F02357B57A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5" authorId="2" shapeId="0" xr:uid="{72134022-7A23-4605-B253-90DC9F97129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5" authorId="2" shapeId="0" xr:uid="{6A699C9B-75C8-4947-8FCF-AD5C67082FB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62E8F6CC-FF11-40E6-9B05-524B5CD99CC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A8A91552-283C-4CB2-B450-88033A606C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B25" authorId="2" shapeId="0" xr:uid="{A37B102C-8850-4371-8875-9E961A64E7E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D25" authorId="2" shapeId="0" xr:uid="{9386A6A8-E6AC-43D5-81C5-E6A803CF99A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F25" authorId="2" shapeId="0" xr:uid="{223E286B-8367-4DEE-8283-3ED54745E85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5" authorId="2" shapeId="0" xr:uid="{356E7C9C-BA54-4B1A-81BB-10C4CF4C5A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5" authorId="2" shapeId="0" xr:uid="{3F24D452-3C9F-415B-B616-3F845D3D9A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9F29E8E0-B3B1-4DDE-8F41-65763D7C1C1F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9392DC93-12DA-4544-B7EE-8AB673ECDE85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轉正報到日
</t>
        </r>
      </text>
    </comment>
    <comment ref="M26" authorId="2" shapeId="0" xr:uid="{EC965443-85EE-4D1F-8C6A-85D9CE6BF35E}">
      <text>
        <r>
          <rPr>
            <b/>
            <sz val="16"/>
            <color indexed="81"/>
            <rFont val="細明體"/>
            <family val="3"/>
            <charset val="136"/>
          </rPr>
          <t xml:space="preserve">與Tommy換週
</t>
        </r>
      </text>
    </comment>
    <comment ref="P26" authorId="2" shapeId="0" xr:uid="{13905CD9-A0B9-4A53-93E8-2C7460FE749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W26" authorId="2" shapeId="0" xr:uid="{D92E08F3-84D8-46D8-92CA-71BB211CC95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D26" authorId="2" shapeId="0" xr:uid="{40D82F68-39B2-4037-970E-034411CA9DE3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K26" authorId="2" shapeId="0" xr:uid="{C2E222F4-B8A4-44AD-8084-83B8FBD7184C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T27" authorId="2" shapeId="0" xr:uid="{FAAC404F-77A7-4A0B-B1E7-E6ED7F8C9AF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U27" authorId="2" shapeId="0" xr:uid="{40DEC879-2879-488A-9B9E-304CC434C2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Z27" authorId="2" shapeId="0" xr:uid="{D38D9729-C5EB-458A-93A8-7FC69D9390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7" authorId="2" shapeId="0" xr:uid="{2EFF07E1-0F78-48EB-92B5-7A6F8FBBCE7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O27" authorId="2" shapeId="0" xr:uid="{E364C3C3-C48F-44BB-B13D-173AEBE2F05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方便的話,請排3，謝謝
</t>
        </r>
      </text>
    </comment>
    <comment ref="J29" authorId="2" shapeId="0" xr:uid="{0FE8309D-A269-4F92-BBD0-4B33F035E0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需排"1"請排在假日，謝謝。
</t>
        </r>
      </text>
    </comment>
    <comment ref="AN30" authorId="2" shapeId="0" xr:uid="{4763C82D-EE28-44EF-B796-07BCFFA857A3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P31" authorId="2" shapeId="0" xr:uid="{5B7265F1-5017-4D42-BB93-F864E1ED84D9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AN31" authorId="2" shapeId="0" xr:uid="{90BE55B9-72CF-4C41-B241-AAA952C3604B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K32" authorId="6" shapeId="0" xr:uid="{2BAA4260-B03E-4B98-B63D-874E494F4090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Dear Jason:</t>
        </r>
        <r>
          <rPr>
            <b/>
            <sz val="11"/>
            <color indexed="81"/>
            <rFont val="新細明體"/>
            <family val="1"/>
            <charset val="136"/>
            <scheme val="minor"/>
          </rPr>
          <t xml:space="preserve">
1~4希望能小夜(2)，中間不休假，謝謝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P32" authorId="6" shapeId="0" xr:uid="{A63463ED-4051-4127-8F7E-A95E4B522D59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 xml:space="preserve">6~9希望能小夜，中間不休假，謝謝
</t>
        </r>
      </text>
    </comment>
    <comment ref="V32" authorId="6" shapeId="0" xr:uid="{A0B6496A-4C71-4217-A41A-D532363535B0}">
      <text>
        <r>
          <rPr>
            <b/>
            <sz val="12"/>
            <color indexed="81"/>
            <rFont val="細明體"/>
            <family val="3"/>
            <charset val="136"/>
          </rPr>
          <t>希望12~18能小夜(2)，中間不休假</t>
        </r>
      </text>
    </comment>
    <comment ref="AD32" authorId="2" shapeId="0" xr:uid="{B010E349-4BFA-4D28-9D1F-FFB06068E20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希望20~23能小夜(2)，謝謝</t>
        </r>
      </text>
    </comment>
    <comment ref="AJ32" authorId="6" shapeId="0" xr:uid="{A827D3C9-0E67-44ED-9BB0-F72E7CE6A0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希望</t>
        </r>
        <r>
          <rPr>
            <b/>
            <sz val="11"/>
            <color indexed="81"/>
            <rFont val="Tahoma"/>
            <family val="2"/>
          </rPr>
          <t>26~31</t>
        </r>
        <r>
          <rPr>
            <b/>
            <sz val="11"/>
            <color indexed="81"/>
            <rFont val="細明體"/>
            <family val="3"/>
            <charset val="136"/>
          </rPr>
          <t>能早班(1)，中間可以有休假，謝謝</t>
        </r>
      </text>
    </comment>
    <comment ref="K33" authorId="1" shapeId="0" xr:uid="{2E0F633E-DC7B-4B4E-8E26-1D8850A2CBF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L33" authorId="1" shapeId="0" xr:uid="{0E051E36-DB1D-4657-B936-5DEC6ACF6A85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3" authorId="1" shapeId="0" xr:uid="{F5D16205-AB2D-4509-8137-BE3B90F24C19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P33" authorId="1" shapeId="0" xr:uid="{1708F21F-CBB0-4EA0-8EDB-F14A240D0CFF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Q33" authorId="1" shapeId="0" xr:uid="{C5167C27-AC8C-4AF8-A39E-B288983429F2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3" authorId="1" shapeId="0" xr:uid="{F21DC95C-6080-4FDF-B1B4-57C6974A3BA0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K34" authorId="1" shapeId="0" xr:uid="{9630685E-3341-4595-B257-DD78EA46324E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L34" authorId="1" shapeId="0" xr:uid="{BE7E5ACF-B217-4F00-BD8A-A5E6E1209FE1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O34" authorId="1" shapeId="0" xr:uid="{C674C2C1-3536-4A1E-9FFD-F3A8ADBF05A7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P34" authorId="1" shapeId="0" xr:uid="{E7453765-D7B0-4BA0-AC43-0D97FE95084B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Q34" authorId="1" shapeId="0" xr:uid="{9F450DD3-C66A-4E8B-BFDB-69390A3D6D0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4" authorId="1" shapeId="0" xr:uid="{8E73E738-9BC1-4928-A178-D37E44B15BFC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V34" authorId="1" shapeId="0" xr:uid="{DE6BBE84-F520-4108-B1F1-E2CD410F914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W34" authorId="1" shapeId="0" xr:uid="{7245BE69-AEE3-44DB-A9C6-A1ABA6B53C5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X34" authorId="1" shapeId="0" xr:uid="{824C2ECA-3D4F-4C1C-A99F-9B51C1783016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Y34" authorId="1" shapeId="0" xr:uid="{78CB7E3F-22FA-40DC-8A25-5457E451951C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Z34" authorId="1" shapeId="0" xr:uid="{C78EB625-7BFA-4805-ACED-3D27CEF9B73B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C34" authorId="1" shapeId="0" xr:uid="{3F1F7AC7-09A9-4E83-AC99-52C5897CE3A7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D34" authorId="1" shapeId="0" xr:uid="{2B33F818-6F33-4E98-B82A-C16603AA02A1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E34" authorId="1" shapeId="0" xr:uid="{FD48F9CD-14A0-41CB-8745-BFA54F67E5B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BA5F9F1E-830B-47A1-A7C0-4A3B8A2A449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A71C1F6A-5CD7-4F75-836B-1AC04EE5FC9F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16D725B2-C10A-412A-B966-73341841C39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L34" authorId="1" shapeId="0" xr:uid="{E2178CF7-8B5D-49B8-8EA3-A81141C487E1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M34" authorId="1" shapeId="0" xr:uid="{E8026B36-A808-4D8E-BD2C-23EBAE7F8D6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N34" authorId="1" shapeId="0" xr:uid="{09E8B000-0586-45A6-A5EA-603AF09F31E9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M35" authorId="2" shapeId="0" xr:uid="{AB86DADD-879A-485D-B6C6-2D4187DD27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5" authorId="2" shapeId="0" xr:uid="{E6126674-647A-4BEC-90C1-4C9662FE74F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5" authorId="2" shapeId="0" xr:uid="{0136F0AB-B54A-448B-9B70-B4475889B3A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5" authorId="2" shapeId="0" xr:uid="{31208B1D-E69F-464F-9BCB-DFC954026F6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6B21A815-F19A-4A64-88DA-9C42F6B2E1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56A20221-F96D-4CC8-B158-E4FA59B683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E7C11CC2-9F68-4338-831E-93F09E4F73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B3FCA960-556F-4138-81BE-F2A13FB536F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5" authorId="2" shapeId="0" xr:uid="{2423B4EC-56B3-451B-81B2-AEF32024DFC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2" shapeId="0" xr:uid="{E2161447-C2D1-4358-B97F-FD6666172D2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2" shapeId="0" xr:uid="{E4666BBE-C9B8-433E-B9D8-26ACD32D1B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1545D7EE-CFD2-4C01-859B-EDC7A42851F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X37" authorId="2" shapeId="0" xr:uid="{A9E46411-CD99-4068-8AF1-3DE6EF5D86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上課時間: 2026/10/14 13:30-17:30
AI診療室系列_省時省力！AI讓您輕鬆搞定日常任務
講師: 潘庭莉 Tingli Pan / 柯成龍 Jackie Ko
班次: HR_20261014_板橋
聯絡人: 蔡亞玲 Rachel Tsai(597240)
活動地點: 板橋TPKC_7F_701教室
16:00~17:30 Tommy M1 代班</t>
        </r>
        <r>
          <rPr>
            <sz val="16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J38" authorId="7" shapeId="0" xr:uid="{80197AD9-DF1F-465F-BA84-F8A97E3958A4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W39" authorId="2" shapeId="0" xr:uid="{6584CE71-85BA-4CF0-AA76-67EDE48E1D2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K39" authorId="2" shapeId="0" xr:uid="{2865CB0B-94B2-4268-9EF1-84ABA6E388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L40" authorId="2" shapeId="0" xr:uid="{625ADF3D-681D-4570-A41B-3239E60B38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40" authorId="2" shapeId="0" xr:uid="{E1B56E0F-3E10-42EE-BF45-AB7959EB33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40" authorId="2" shapeId="0" xr:uid="{707EC900-820D-472D-9DB1-CA74109051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0" authorId="2" shapeId="0" xr:uid="{E666C4BC-8D41-489B-8175-1986FA1E08D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40" authorId="2" shapeId="0" xr:uid="{2AF030DF-5699-4F99-A866-73204E9B57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0" authorId="2" shapeId="0" xr:uid="{368D2AA0-8536-4485-8014-5998AD0F55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0" authorId="2" shapeId="0" xr:uid="{5CE34CD9-7F2E-4128-B860-8C84D1BF18D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40" authorId="2" shapeId="0" xr:uid="{861AA979-2467-4B89-935E-9B0E4B30AD4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0" authorId="2" shapeId="0" xr:uid="{AAA87F9D-1A33-41A1-83F9-A22D2165ED8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0" authorId="8" shapeId="0" xr:uid="{B8A848BE-C63B-4CA4-A937-7F1A01A47F46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I40" authorId="8" shapeId="0" xr:uid="{C1B3FCB3-0621-46EB-A8D8-6F463313C211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M40" authorId="2" shapeId="0" xr:uid="{7ACB250F-5312-4225-BD19-75591BC420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0" authorId="2" shapeId="0" xr:uid="{7968E8A7-42DE-4B84-8A98-DE79FFC840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40" authorId="2" shapeId="0" xr:uid="{C94D98D6-413F-47B1-A815-341D6E05AC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1" authorId="2" shapeId="0" xr:uid="{5EB21A29-3CE1-44E6-AF5C-DFF1CD76C6C0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M41" authorId="2" shapeId="0" xr:uid="{FDBAA4AE-4223-4D2D-AA97-9245412B300F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AFCBB156-2229-4A4F-9A2F-780A907763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A41" authorId="2" shapeId="0" xr:uid="{C93B64F0-DB25-42A6-9F46-02EE87BE43C5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O41" authorId="2" shapeId="0" xr:uid="{63ACCFC3-41E4-41C5-A5F1-4894B3E9A80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2" authorId="2" shapeId="0" xr:uid="{18F2C43D-30C7-4293-B7E2-459427EB2552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O43" authorId="2" shapeId="0" xr:uid="{F1194F15-9350-4374-8D36-90C23867CC8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2" shapeId="0" xr:uid="{C263B305-9D74-4555-B44D-321703FA8B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再麻煩排大夜謝謝
</t>
        </r>
      </text>
    </comment>
    <comment ref="P45" authorId="2" shapeId="0" xr:uid="{34EFCF88-D773-4493-B2B7-1BFE4D38A3C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45" authorId="2" shapeId="0" xr:uid="{2ED36101-742A-4807-82FA-451FC76310A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D975F590-B866-4553-BF46-BDB310A8DCA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U45" authorId="2" shapeId="0" xr:uid="{08F90519-0651-4917-B98B-A1FFB69E32B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W45" authorId="2" shapeId="0" xr:uid="{7CB909E6-AC03-456F-813C-66915276CD8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45" authorId="2" shapeId="0" xr:uid="{F4DFF45A-9C62-4C90-BDAD-D015E7D361B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F45" authorId="2" shapeId="0" xr:uid="{D6878817-9E9C-407A-8A43-9EF874D3D6B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G45" authorId="2" shapeId="0" xr:uid="{AF760345-20F0-4DB7-807A-A1BF3B6482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H45" authorId="2" shapeId="0" xr:uid="{98E02D5E-748B-4450-97D7-31C69F8937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I45" authorId="2" shapeId="0" xr:uid="{297899C7-2878-42B9-B0B4-C18C5BA099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J46" authorId="2" shapeId="0" xr:uid="{53D8CAA7-8DDB-4750-AA71-FEA6C60997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6" authorId="2" shapeId="0" xr:uid="{7222DBC4-1C36-4C4C-8FC1-3CBB17CB1D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O46" authorId="2" shapeId="0" xr:uid="{2DDCB8FE-5468-4523-B321-FAEDA2E854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P46" authorId="2" shapeId="0" xr:uid="{4800C0A1-EC72-4075-9B21-080466E207F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AC3ACF60-7463-4981-9F81-1DAD0069D5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6" authorId="2" shapeId="0" xr:uid="{725DEC3C-7508-4BB3-81AF-A6717EBAFD7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M46" authorId="2" shapeId="0" xr:uid="{21371229-361C-4553-A13E-7E78E4EADAD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<sst xmlns="http://schemas.openxmlformats.org/spreadsheetml/2006/main" count="11605" uniqueCount="179">
  <si>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</si>
  <si>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</si>
  <si>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</si>
  <si>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</si>
  <si>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</si>
  <si>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</si>
  <si>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</si>
  <si>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</si>
  <si>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</si>
  <si>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</si>
  <si>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</si>
  <si>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</si>
  <si>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</si>
  <si>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</si>
  <si>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</si>
  <si>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</si>
  <si>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</si>
  <si>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</si>
  <si>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</si>
  <si>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</si>
  <si>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</si>
  <si>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</si>
  <si>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</si>
  <si>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</si>
  <si>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</si>
  <si>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</si>
  <si>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</si>
  <si>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</si>
  <si>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</si>
  <si>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</si>
  <si>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</si>
  <si>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</si>
  <si>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</si>
  <si>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</si>
  <si>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</si>
  <si>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</si>
  <si>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</si>
  <si>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</si>
  <si>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</si>
  <si>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</si>
  <si>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</si>
  <si>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</si>
  <si>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</si>
  <si>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</si>
  <si>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</si>
  <si>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</si>
  <si>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</si>
  <si>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</si>
  <si>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</si>
  <si>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</si>
  <si>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</si>
  <si>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</si>
  <si>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</si>
  <si>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</si>
  <si>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</si>
  <si>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</si>
  <si>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</si>
  <si>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</si>
  <si>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</si>
  <si>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</si>
  <si>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</si>
  <si>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</si>
  <si>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</si>
  <si>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</si>
  <si>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</si>
  <si>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</si>
  <si>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</si>
  <si>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</si>
  <si>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</si>
  <si>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</si>
  <si>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</si>
  <si>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</si>
  <si>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</si>
  <si>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</si>
  <si>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</si>
  <si>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</si>
  <si>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</si>
  <si>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</si>
  <si>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</si>
  <si>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</si>
  <si>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</si>
  <si>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</si>
  <si>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</si>
  <si>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</si>
  <si>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</si>
  <si>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</si>
  <si>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</si>
  <si>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</si>
  <si>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</si>
  <si>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</si>
  <si>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</si>
  <si>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</si>
  <si>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</si>
  <si>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</si>
  <si>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</si>
  <si>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</si>
  <si>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</si>
  <si>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</si>
  <si>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</si>
  <si>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</si>
  <si>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</si>
  <si>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</si>
  <si>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</si>
  <si>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</si>
  <si>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</si>
  <si>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</si>
  <si>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</si>
  <si>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</si>
  <si>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</si>
  <si>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</si>
  <si>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</si>
  <si>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</si>
  <si>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</si>
  <si>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</si>
  <si>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</si>
  <si>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</si>
  <si>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</si>
  <si>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</si>
  <si>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</si>
  <si>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</si>
  <si>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</si>
  <si>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</si>
  <si>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</si>
  <si>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</si>
  <si>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</si>
  <si>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</si>
  <si>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</si>
  <si>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</si>
  <si>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</si>
  <si>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</si>
  <si>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</si>
  <si>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</si>
  <si>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</si>
  <si>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</si>
  <si>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</si>
  <si>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</si>
  <si>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</si>
  <si>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</si>
  <si>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</si>
  <si>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</si>
  <si>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</si>
  <si>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</si>
  <si>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</si>
  <si>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</si>
  <si>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</si>
  <si>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</si>
  <si>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</si>
  <si>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</si>
  <si>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</si>
  <si>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</si>
  <si>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</si>
  <si>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</si>
  <si>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</si>
  <si>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</si>
  <si>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</si>
  <si>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</si>
  <si>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</si>
  <si>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</si>
  <si>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</si>
  <si>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N</t>
    <phoneticPr fontId="89" type="noConversion"/>
  </si>
  <si>
    <t xml:space="preserve"> </t>
    <phoneticPr fontId="89" type="noConversion"/>
  </si>
  <si>
    <r>
      <t xml:space="preserve">七月
</t>
    </r>
    <r>
      <rPr>
        <b/>
        <sz val="14"/>
        <color rgb="FFFF0000"/>
        <rFont val="新細明體"/>
        <family val="1"/>
        <charset val="136"/>
      </rPr>
      <t>6/22 鎖定</t>
    </r>
  </si>
  <si>
    <r>
      <t>T</t>
    </r>
    <r>
      <rPr>
        <sz val="12"/>
        <color rgb="FFFF0000"/>
        <rFont val="細明體"/>
        <family val="3"/>
        <charset val="136"/>
      </rPr>
      <t>早</t>
    </r>
  </si>
  <si>
    <t>T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</si>
  <si>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7/20 鎖定</t>
    </r>
  </si>
  <si>
    <t>Tony Jiang</t>
    <phoneticPr fontId="89" type="noConversion"/>
  </si>
  <si>
    <t>Zuo-Yu Wu</t>
  </si>
  <si>
    <t>Yong-Xiang Lai</t>
  </si>
  <si>
    <t>n</t>
  </si>
  <si>
    <r>
      <t>九月</t>
    </r>
    <r>
      <rPr>
        <b/>
        <sz val="14"/>
        <color rgb="FFFF0000"/>
        <rFont val="新細明體"/>
        <family val="1"/>
        <charset val="136"/>
      </rPr>
      <t xml:space="preserve">
8/20 鎖定</t>
    </r>
  </si>
  <si>
    <t>Richie Mao</t>
  </si>
  <si>
    <t>Charlie Liao</t>
  </si>
  <si>
    <r>
      <t>十月</t>
    </r>
    <r>
      <rPr>
        <b/>
        <sz val="14"/>
        <color rgb="FFFF0000"/>
        <rFont val="新細明體"/>
        <family val="1"/>
        <charset val="136"/>
      </rPr>
      <t xml:space="preserve">
9/21 鎖定</t>
    </r>
  </si>
  <si>
    <t>Jason Huang</t>
    <phoneticPr fontId="14" type="noConversion"/>
  </si>
  <si>
    <t>(1/3)</t>
  </si>
  <si>
    <t>Jet Lin</t>
  </si>
  <si>
    <r>
      <t>T</t>
    </r>
    <r>
      <rPr>
        <sz val="12"/>
        <color rgb="FFFF0000"/>
        <rFont val="Arial"/>
        <family val="2"/>
      </rPr>
      <t>早</t>
    </r>
  </si>
  <si>
    <t>(2/4)</t>
  </si>
  <si>
    <t>On Job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</si>
</sst>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17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Malgun Gothic Semilight"/>
      <family val="2"/>
      <charset val="136"/>
    </font>
    <font>
      <sz val="12"/>
      <color rgb="FFFF0000"/>
      <name val="細明體"/>
      <family val="3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10"/>
      <name val="新細明體"/>
      <family val="1"/>
      <charset val="136"/>
    </font>
    <font>
      <b/>
      <sz val="12"/>
      <color indexed="81"/>
      <name val="新細明體"/>
      <family val="1"/>
      <charset val="136"/>
      <scheme val="major"/>
    </font>
    <font>
      <b/>
      <sz val="14"/>
      <color indexed="81"/>
      <name val="Arial"/>
      <family val="2"/>
    </font>
    <font>
      <b/>
      <sz val="16"/>
      <color indexed="81"/>
      <name val="新細明體"/>
      <family val="1"/>
      <charset val="136"/>
      <scheme val="maj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indexed="81"/>
      <name val="新細明體"/>
      <family val="1"/>
      <charset val="136"/>
      <scheme val="minor"/>
    </font>
    <font>
      <b/>
      <sz val="11"/>
      <color indexed="81"/>
      <name val="新細明體"/>
      <family val="1"/>
      <charset val="136"/>
      <scheme val="minor"/>
    </font>
    <font>
      <sz val="16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15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9" fillId="0" borderId="21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18" fillId="0" borderId="43" xfId="1" applyFont="1" applyBorder="1" applyAlignment="1">
      <alignment horizontal="center" vertical="center"/>
    </xf>
    <xf numFmtId="0" fontId="9" fillId="0" borderId="44" xfId="1" applyFont="1" applyBorder="1" applyAlignment="1">
      <alignment horizontal="center" vertical="center" wrapText="1"/>
    </xf>
    <xf numFmtId="0" fontId="26" fillId="9" borderId="49" xfId="1" applyFont="1" applyFill="1" applyBorder="1" applyAlignment="1">
      <alignment horizontal="center" vertical="center"/>
    </xf>
    <xf numFmtId="0" fontId="18" fillId="0" borderId="45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0" fontId="23" fillId="0" borderId="50" xfId="1" applyFont="1" applyBorder="1" applyAlignment="1">
      <alignment horizontal="center" vertical="center"/>
    </xf>
    <xf numFmtId="0" fontId="18" fillId="12" borderId="45" xfId="1" applyFont="1" applyFill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3" fillId="6" borderId="9" xfId="1" applyFont="1" applyFill="1" applyBorder="1" applyAlignment="1">
      <alignment horizontal="center" vertical="center"/>
    </xf>
    <xf numFmtId="0" fontId="23" fillId="6" borderId="42" xfId="1" applyFont="1" applyFill="1" applyBorder="1" applyAlignment="1">
      <alignment horizontal="center" vertical="center"/>
    </xf>
    <xf numFmtId="0" fontId="23" fillId="6" borderId="57" xfId="1" applyFont="1" applyFill="1" applyBorder="1" applyAlignment="1">
      <alignment horizontal="center" vertical="center"/>
    </xf>
    <xf numFmtId="165" fontId="21" fillId="11" borderId="15" xfId="1" applyNumberFormat="1" applyFont="1" applyFill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3" fillId="22" borderId="13" xfId="1" applyFont="1" applyFill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165" fontId="23" fillId="12" borderId="52" xfId="1" applyNumberFormat="1" applyFont="1" applyFill="1" applyBorder="1" applyAlignment="1">
      <alignment horizontal="center" vertical="center"/>
    </xf>
    <xf numFmtId="165" fontId="23" fillId="12" borderId="53" xfId="1" applyNumberFormat="1" applyFont="1" applyFill="1" applyBorder="1" applyAlignment="1">
      <alignment horizontal="center" vertical="center"/>
    </xf>
    <xf numFmtId="165" fontId="23" fillId="12" borderId="34" xfId="1" applyNumberFormat="1" applyFont="1" applyFill="1" applyBorder="1" applyAlignment="1">
      <alignment horizontal="center" vertical="center"/>
    </xf>
    <xf numFmtId="0" fontId="18" fillId="8" borderId="24" xfId="1" applyFont="1" applyFill="1" applyBorder="1" applyAlignment="1">
      <alignment horizontal="center" vertical="center" wrapText="1"/>
    </xf>
    <xf numFmtId="0" fontId="18" fillId="0" borderId="5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23" fillId="22" borderId="16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3" fillId="8" borderId="44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103" fillId="6" borderId="13" xfId="1" applyFont="1" applyFill="1" applyBorder="1" applyAlignment="1">
      <alignment horizontal="center" vertical="center"/>
    </xf>
    <xf numFmtId="0" fontId="77" fillId="7" borderId="59" xfId="1" applyFont="1" applyFill="1" applyBorder="1" applyAlignment="1">
      <alignment horizontal="center" vertical="center"/>
    </xf>
    <xf numFmtId="0" fontId="22" fillId="9" borderId="56" xfId="1" applyFont="1" applyFill="1" applyBorder="1" applyAlignment="1">
      <alignment horizontal="center" vertical="center"/>
    </xf>
    <xf numFmtId="0" fontId="22" fillId="7" borderId="56" xfId="1" applyFont="1" applyFill="1" applyBorder="1" applyAlignment="1">
      <alignment horizontal="center" vertical="center"/>
    </xf>
    <xf numFmtId="0" fontId="25" fillId="7" borderId="56" xfId="1" applyFont="1" applyFill="1" applyBorder="1" applyAlignment="1">
      <alignment horizontal="center" vertical="center"/>
    </xf>
    <xf numFmtId="0" fontId="77" fillId="7" borderId="56" xfId="1" applyFont="1" applyFill="1" applyBorder="1" applyAlignment="1">
      <alignment horizontal="center" vertical="center"/>
    </xf>
    <xf numFmtId="0" fontId="25" fillId="7" borderId="56" xfId="0" applyFont="1" applyFill="1" applyBorder="1" applyAlignment="1">
      <alignment horizontal="center" vertical="center"/>
    </xf>
    <xf numFmtId="0" fontId="22" fillId="7" borderId="60" xfId="1" applyFont="1" applyFill="1" applyBorder="1" applyAlignment="1">
      <alignment horizontal="center" vertical="center"/>
    </xf>
    <xf numFmtId="0" fontId="26" fillId="7" borderId="61" xfId="1" applyFont="1" applyFill="1" applyBorder="1" applyAlignment="1">
      <alignment horizontal="center" vertical="center"/>
    </xf>
    <xf numFmtId="0" fontId="27" fillId="7" borderId="56" xfId="1" applyFont="1" applyFill="1" applyBorder="1" applyAlignment="1">
      <alignment horizontal="center" vertical="center"/>
    </xf>
    <xf numFmtId="0" fontId="26" fillId="9" borderId="56" xfId="1" applyFont="1" applyFill="1" applyBorder="1" applyAlignment="1">
      <alignment horizontal="center" vertical="center"/>
    </xf>
    <xf numFmtId="0" fontId="26" fillId="7" borderId="56" xfId="1" applyFont="1" applyFill="1" applyBorder="1" applyAlignment="1">
      <alignment horizontal="center" vertical="center"/>
    </xf>
    <xf numFmtId="0" fontId="27" fillId="9" borderId="56" xfId="1" applyFont="1" applyFill="1" applyBorder="1" applyAlignment="1">
      <alignment horizontal="center" vertical="center"/>
    </xf>
    <xf numFmtId="0" fontId="27" fillId="9" borderId="60" xfId="1" applyFont="1" applyFill="1" applyBorder="1" applyAlignment="1">
      <alignment horizontal="center" vertical="center"/>
    </xf>
    <xf numFmtId="0" fontId="26" fillId="7" borderId="59" xfId="1" applyFont="1" applyFill="1" applyBorder="1" applyAlignment="1">
      <alignment horizontal="center" vertical="center"/>
    </xf>
    <xf numFmtId="0" fontId="29" fillId="7" borderId="56" xfId="1" applyFont="1" applyFill="1" applyBorder="1" applyAlignment="1">
      <alignment horizontal="center" vertical="center"/>
    </xf>
    <xf numFmtId="0" fontId="26" fillId="7" borderId="60" xfId="1" applyFont="1" applyFill="1" applyBorder="1" applyAlignment="1">
      <alignment horizontal="center" vertical="center"/>
    </xf>
    <xf numFmtId="0" fontId="31" fillId="9" borderId="36" xfId="1" applyFont="1" applyFill="1" applyBorder="1" applyAlignment="1">
      <alignment horizontal="center" vertical="center"/>
    </xf>
    <xf numFmtId="0" fontId="32" fillId="7" borderId="37" xfId="1" applyFont="1" applyFill="1" applyBorder="1" applyAlignment="1">
      <alignment horizontal="center" vertical="center"/>
    </xf>
    <xf numFmtId="0" fontId="31" fillId="9" borderId="37" xfId="1" applyFont="1" applyFill="1" applyBorder="1" applyAlignment="1">
      <alignment horizontal="center" vertical="center"/>
    </xf>
    <xf numFmtId="0" fontId="31" fillId="9" borderId="38" xfId="1" applyFont="1" applyFill="1" applyBorder="1" applyAlignment="1">
      <alignment horizontal="center" vertical="center"/>
    </xf>
    <xf numFmtId="165" fontId="21" fillId="0" borderId="42" xfId="1" applyNumberFormat="1" applyFont="1" applyBorder="1" applyAlignment="1">
      <alignment horizontal="center" vertical="center"/>
    </xf>
    <xf numFmtId="0" fontId="21" fillId="0" borderId="43" xfId="1" applyFont="1" applyBorder="1" applyAlignment="1">
      <alignment horizontal="center" vertical="center"/>
    </xf>
    <xf numFmtId="165" fontId="21" fillId="0" borderId="43" xfId="1" applyNumberFormat="1" applyFont="1" applyBorder="1" applyAlignment="1">
      <alignment horizontal="center" vertical="center"/>
    </xf>
    <xf numFmtId="165" fontId="21" fillId="0" borderId="44" xfId="1" applyNumberFormat="1" applyFont="1" applyBorder="1" applyAlignment="1">
      <alignment horizontal="center" vertical="center"/>
    </xf>
    <xf numFmtId="0" fontId="18" fillId="0" borderId="55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 wrapText="1"/>
    </xf>
    <xf numFmtId="0" fontId="9" fillId="0" borderId="7" xfId="1" applyFont="1" applyBorder="1" applyAlignment="1">
      <alignment horizontal="center" vertical="center" wrapText="1"/>
    </xf>
    <xf numFmtId="165" fontId="21" fillId="0" borderId="7" xfId="1" applyNumberFormat="1" applyFont="1" applyBorder="1" applyAlignment="1">
      <alignment horizontal="center" vertical="center"/>
    </xf>
    <xf numFmtId="0" fontId="95" fillId="6" borderId="2" xfId="1" applyFont="1" applyFill="1" applyBorder="1" applyAlignment="1">
      <alignment horizontal="center" vertical="center"/>
    </xf>
    <xf numFmtId="0" fontId="95" fillId="6" borderId="3" xfId="1" applyFont="1" applyFill="1" applyBorder="1" applyAlignment="1">
      <alignment horizontal="center" vertical="center"/>
    </xf>
    <xf numFmtId="0" fontId="95" fillId="8" borderId="4" xfId="1" applyFont="1" applyFill="1" applyBorder="1" applyAlignment="1">
      <alignment horizontal="center" vertical="center"/>
    </xf>
    <xf numFmtId="0" fontId="96" fillId="6" borderId="13" xfId="1" applyFont="1" applyFill="1" applyBorder="1" applyAlignment="1">
      <alignment horizontal="center" vertical="center"/>
    </xf>
    <xf numFmtId="0" fontId="95" fillId="22" borderId="13" xfId="1" applyFont="1" applyFill="1" applyBorder="1" applyAlignment="1">
      <alignment horizontal="center" vertical="center"/>
    </xf>
    <xf numFmtId="0" fontId="95" fillId="10" borderId="22" xfId="1" applyFont="1" applyFill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22" borderId="3" xfId="1" applyFont="1" applyFill="1" applyBorder="1" applyAlignment="1">
      <alignment horizontal="center" vertical="center"/>
    </xf>
    <xf numFmtId="0" fontId="95" fillId="5" borderId="21" xfId="1" applyFont="1" applyFill="1" applyBorder="1" applyAlignment="1">
      <alignment horizontal="center" vertical="center"/>
    </xf>
    <xf numFmtId="0" fontId="95" fillId="5" borderId="25" xfId="1" applyFont="1" applyFill="1" applyBorder="1" applyAlignment="1">
      <alignment horizontal="center" vertical="center"/>
    </xf>
    <xf numFmtId="0" fontId="95" fillId="5" borderId="4" xfId="1" applyFont="1" applyFill="1" applyBorder="1" applyAlignment="1">
      <alignment horizontal="center" vertical="center"/>
    </xf>
    <xf numFmtId="165" fontId="21" fillId="11" borderId="52" xfId="1" applyNumberFormat="1" applyFont="1" applyFill="1" applyBorder="1" applyAlignment="1">
      <alignment horizontal="center" vertical="center"/>
    </xf>
    <xf numFmtId="165" fontId="21" fillId="11" borderId="53" xfId="1" applyNumberFormat="1" applyFont="1" applyFill="1" applyBorder="1" applyAlignment="1">
      <alignment horizontal="center" vertical="center"/>
    </xf>
    <xf numFmtId="165" fontId="21" fillId="11" borderId="34" xfId="1" applyNumberFormat="1" applyFont="1" applyFill="1" applyBorder="1" applyAlignment="1">
      <alignment horizontal="center" vertical="center"/>
    </xf>
    <xf numFmtId="0" fontId="21" fillId="11" borderId="42" xfId="1" applyFont="1" applyFill="1" applyBorder="1" applyAlignment="1">
      <alignment horizontal="center" vertical="center"/>
    </xf>
    <xf numFmtId="0" fontId="21" fillId="11" borderId="43" xfId="1" applyFont="1" applyFill="1" applyBorder="1" applyAlignment="1">
      <alignment horizontal="center" vertical="center"/>
    </xf>
    <xf numFmtId="0" fontId="21" fillId="11" borderId="44" xfId="1" applyFont="1" applyFill="1" applyBorder="1" applyAlignment="1">
      <alignment horizontal="center" vertical="center"/>
    </xf>
    <xf numFmtId="165" fontId="21" fillId="11" borderId="24" xfId="1" applyNumberFormat="1" applyFont="1" applyFill="1" applyBorder="1" applyAlignment="1">
      <alignment horizontal="center" vertical="center"/>
    </xf>
    <xf numFmtId="165" fontId="21" fillId="11" borderId="22" xfId="1" applyNumberFormat="1" applyFont="1" applyFill="1" applyBorder="1" applyAlignment="1">
      <alignment horizontal="center" vertical="center"/>
    </xf>
    <xf numFmtId="165" fontId="21" fillId="11" borderId="25" xfId="1" applyNumberFormat="1" applyFont="1" applyFill="1" applyBorder="1" applyAlignment="1">
      <alignment horizontal="center" vertical="center"/>
    </xf>
    <xf numFmtId="165" fontId="21" fillId="11" borderId="42" xfId="1" applyNumberFormat="1" applyFont="1" applyFill="1" applyBorder="1" applyAlignment="1">
      <alignment horizontal="center" vertical="center"/>
    </xf>
    <xf numFmtId="165" fontId="21" fillId="11" borderId="43" xfId="1" applyNumberFormat="1" applyFont="1" applyFill="1" applyBorder="1" applyAlignment="1">
      <alignment horizontal="center" vertical="center"/>
    </xf>
    <xf numFmtId="165" fontId="21" fillId="11" borderId="44" xfId="1" applyNumberFormat="1" applyFont="1" applyFill="1" applyBorder="1" applyAlignment="1">
      <alignment horizontal="center" vertical="center"/>
    </xf>
    <xf numFmtId="0" fontId="21" fillId="11" borderId="16" xfId="1" applyFont="1" applyFill="1" applyBorder="1" applyAlignment="1">
      <alignment horizontal="center" vertical="center"/>
    </xf>
    <xf numFmtId="0" fontId="21" fillId="11" borderId="13" xfId="1" applyFont="1" applyFill="1" applyBorder="1" applyAlignment="1">
      <alignment horizontal="center" vertical="center"/>
    </xf>
    <xf numFmtId="0" fontId="21" fillId="11" borderId="21" xfId="1" applyFont="1" applyFill="1" applyBorder="1" applyAlignment="1">
      <alignment horizontal="center" vertical="center"/>
    </xf>
    <xf numFmtId="0" fontId="21" fillId="0" borderId="50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0" fontId="20" fillId="6" borderId="0" xfId="1" applyFont="1" applyFill="1" applyAlignment="1">
      <alignment horizontal="center" vertical="center" wrapText="1"/>
    </xf>
    <xf numFmtId="0" fontId="95" fillId="11" borderId="22" xfId="1" applyFont="1" applyFill="1" applyBorder="1" applyAlignment="1">
      <alignment horizontal="center" vertical="center"/>
    </xf>
    <xf numFmtId="0" fontId="95" fillId="11" borderId="25" xfId="1" applyFont="1" applyFill="1" applyBorder="1" applyAlignment="1">
      <alignment horizontal="center" vertical="center"/>
    </xf>
    <xf numFmtId="0" fontId="95" fillId="6" borderId="4" xfId="1" applyFont="1" applyFill="1" applyBorder="1" applyAlignment="1">
      <alignment horizontal="center" vertical="center"/>
    </xf>
    <xf numFmtId="0" fontId="95" fillId="8" borderId="50" xfId="1" applyFont="1" applyFill="1" applyBorder="1" applyAlignment="1">
      <alignment horizontal="center" vertical="center"/>
    </xf>
    <xf numFmtId="0" fontId="23" fillId="8" borderId="50" xfId="1" applyFont="1" applyFill="1" applyBorder="1" applyAlignment="1">
      <alignment horizontal="center" vertical="center"/>
    </xf>
    <xf numFmtId="0" fontId="23" fillId="5" borderId="50" xfId="1" applyFont="1" applyFill="1" applyBorder="1" applyAlignment="1">
      <alignment horizontal="center" vertical="center"/>
    </xf>
    <xf numFmtId="0" fontId="95" fillId="8" borderId="42" xfId="1" applyFont="1" applyFill="1" applyBorder="1" applyAlignment="1">
      <alignment horizontal="center" vertical="center"/>
    </xf>
    <xf numFmtId="0" fontId="95" fillId="10" borderId="16" xfId="1" applyFont="1" applyFill="1" applyBorder="1" applyAlignment="1">
      <alignment horizontal="center" vertical="center"/>
    </xf>
    <xf numFmtId="0" fontId="95" fillId="22" borderId="21" xfId="1" applyFont="1" applyFill="1" applyBorder="1" applyAlignment="1">
      <alignment horizontal="center" vertical="center"/>
    </xf>
    <xf numFmtId="0" fontId="97" fillId="6" borderId="16" xfId="1" applyFont="1" applyFill="1" applyBorder="1" applyAlignment="1">
      <alignment horizontal="center" vertical="center"/>
    </xf>
    <xf numFmtId="0" fontId="18" fillId="0" borderId="42" xfId="1" applyFont="1" applyBorder="1" applyAlignment="1">
      <alignment horizontal="center" vertical="center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46" xfId="1" applyFont="1" applyFill="1" applyBorder="1" applyAlignment="1">
      <alignment horizontal="center" vertical="center"/>
    </xf>
    <xf numFmtId="165" fontId="21" fillId="11" borderId="38" xfId="1" applyNumberFormat="1" applyFont="1" applyFill="1" applyBorder="1" applyAlignment="1">
      <alignment horizontal="center" vertical="center"/>
    </xf>
    <xf numFmtId="165" fontId="21" fillId="11" borderId="46" xfId="1" applyNumberFormat="1" applyFont="1" applyFill="1" applyBorder="1" applyAlignment="1">
      <alignment horizontal="center" vertical="center"/>
    </xf>
    <xf numFmtId="0" fontId="21" fillId="11" borderId="37" xfId="1" applyFont="1" applyFill="1" applyBorder="1" applyAlignment="1">
      <alignment horizontal="center" vertical="center"/>
    </xf>
    <xf numFmtId="0" fontId="33" fillId="0" borderId="15" xfId="1" applyFont="1" applyBorder="1" applyAlignment="1">
      <alignment horizontal="center" vertical="center"/>
    </xf>
    <xf numFmtId="0" fontId="95" fillId="0" borderId="5" xfId="1" applyFont="1" applyBorder="1" applyAlignment="1">
      <alignment horizontal="center" vertical="center"/>
    </xf>
    <xf numFmtId="0" fontId="95" fillId="10" borderId="6" xfId="1" applyFont="1" applyFill="1" applyBorder="1" applyAlignment="1">
      <alignment horizontal="center" vertical="center"/>
    </xf>
    <xf numFmtId="0" fontId="95" fillId="0" borderId="62" xfId="1" applyFont="1" applyBorder="1" applyAlignment="1">
      <alignment horizontal="center" vertical="center"/>
    </xf>
    <xf numFmtId="0" fontId="95" fillId="10" borderId="62" xfId="1" applyFont="1" applyFill="1" applyBorder="1" applyAlignment="1">
      <alignment horizontal="center" vertical="center"/>
    </xf>
    <xf numFmtId="0" fontId="95" fillId="0" borderId="6" xfId="1" applyFont="1" applyBorder="1" applyAlignment="1">
      <alignment horizontal="center" vertical="center"/>
    </xf>
    <xf numFmtId="0" fontId="95" fillId="5" borderId="62" xfId="1" applyFont="1" applyFill="1" applyBorder="1" applyAlignment="1">
      <alignment horizontal="center" vertical="center"/>
    </xf>
    <xf numFmtId="0" fontId="95" fillId="6" borderId="62" xfId="1" applyFont="1" applyFill="1" applyBorder="1" applyAlignment="1">
      <alignment horizontal="center" vertical="center"/>
    </xf>
    <xf numFmtId="0" fontId="95" fillId="8" borderId="62" xfId="1" applyFont="1" applyFill="1" applyBorder="1" applyAlignment="1">
      <alignment horizontal="center" vertical="center"/>
    </xf>
    <xf numFmtId="0" fontId="95" fillId="5" borderId="6" xfId="1" applyFont="1" applyFill="1" applyBorder="1" applyAlignment="1">
      <alignment horizontal="center" vertical="center"/>
    </xf>
    <xf numFmtId="0" fontId="95" fillId="8" borderId="6" xfId="1" applyFont="1" applyFill="1" applyBorder="1" applyAlignment="1">
      <alignment horizontal="center" vertical="center"/>
    </xf>
    <xf numFmtId="0" fontId="95" fillId="22" borderId="7" xfId="1" applyFont="1" applyFill="1" applyBorder="1" applyAlignment="1">
      <alignment horizontal="center" vertical="center"/>
    </xf>
    <xf numFmtId="0" fontId="18" fillId="12" borderId="42" xfId="1" applyFont="1" applyFill="1" applyBorder="1" applyAlignment="1">
      <alignment horizontal="center" vertical="center"/>
    </xf>
    <xf numFmtId="0" fontId="95" fillId="10" borderId="21" xfId="1" applyFont="1" applyFill="1" applyBorder="1" applyAlignment="1">
      <alignment horizontal="center" vertical="center"/>
    </xf>
    <xf numFmtId="0" fontId="95" fillId="16" borderId="24" xfId="1" applyFont="1" applyFill="1" applyBorder="1" applyAlignment="1">
      <alignment horizontal="center" vertical="center"/>
    </xf>
    <xf numFmtId="0" fontId="95" fillId="16" borderId="28" xfId="1" applyFont="1" applyFill="1" applyBorder="1" applyAlignment="1">
      <alignment horizontal="center" vertical="center"/>
    </xf>
    <xf numFmtId="0" fontId="95" fillId="16" borderId="22" xfId="1" applyFont="1" applyFill="1" applyBorder="1" applyAlignment="1">
      <alignment horizontal="center" vertical="center"/>
    </xf>
    <xf numFmtId="0" fontId="95" fillId="10" borderId="25" xfId="1" applyFont="1" applyFill="1" applyBorder="1" applyAlignment="1">
      <alignment horizontal="center" vertical="center"/>
    </xf>
    <xf numFmtId="0" fontId="16" fillId="3" borderId="4" xfId="1" applyFont="1" applyFill="1" applyBorder="1" applyAlignment="1">
      <alignment horizontal="center" vertical="center"/>
    </xf>
    <xf numFmtId="0" fontId="22" fillId="9" borderId="37" xfId="1" applyFont="1" applyFill="1" applyBorder="1" applyAlignment="1">
      <alignment horizontal="center" vertical="center"/>
    </xf>
    <xf numFmtId="0" fontId="22" fillId="7" borderId="37" xfId="1" applyFont="1" applyFill="1" applyBorder="1" applyAlignment="1">
      <alignment horizontal="center" vertical="center"/>
    </xf>
    <xf numFmtId="0" fontId="25" fillId="7" borderId="37" xfId="1" applyFont="1" applyFill="1" applyBorder="1" applyAlignment="1">
      <alignment horizontal="center" vertical="center"/>
    </xf>
    <xf numFmtId="0" fontId="22" fillId="7" borderId="47" xfId="1" applyFont="1" applyFill="1" applyBorder="1" applyAlignment="1">
      <alignment horizontal="center" vertical="center"/>
    </xf>
    <xf numFmtId="0" fontId="95" fillId="0" borderId="7" xfId="1" applyFont="1" applyBorder="1" applyAlignment="1">
      <alignment horizontal="center" vertical="center"/>
    </xf>
    <xf numFmtId="0" fontId="95" fillId="8" borderId="2" xfId="1" applyFont="1" applyFill="1" applyBorder="1" applyAlignment="1">
      <alignment horizontal="center" vertical="center"/>
    </xf>
    <xf numFmtId="0" fontId="95" fillId="19" borderId="13" xfId="1" applyFont="1" applyFill="1" applyBorder="1" applyAlignment="1">
      <alignment horizontal="center" vertical="center"/>
    </xf>
    <xf numFmtId="0" fontId="96" fillId="19" borderId="13" xfId="1" applyFont="1" applyFill="1" applyBorder="1" applyAlignment="1">
      <alignment horizontal="center" vertical="center"/>
    </xf>
    <xf numFmtId="165" fontId="21" fillId="0" borderId="67" xfId="1" applyNumberFormat="1" applyFont="1" applyBorder="1" applyAlignment="1">
      <alignment horizontal="center" vertical="center"/>
    </xf>
    <xf numFmtId="0" fontId="26" fillId="7" borderId="46" xfId="1" applyFont="1" applyFill="1" applyBorder="1" applyAlignment="1">
      <alignment horizontal="center" vertical="center"/>
    </xf>
    <xf numFmtId="0" fontId="26" fillId="7" borderId="37" xfId="1" applyFont="1" applyFill="1" applyBorder="1" applyAlignment="1">
      <alignment horizontal="center" vertical="center"/>
    </xf>
    <xf numFmtId="0" fontId="95" fillId="6" borderId="6" xfId="1" applyFont="1" applyFill="1" applyBorder="1" applyAlignment="1">
      <alignment horizontal="center" vertical="center"/>
    </xf>
    <xf numFmtId="165" fontId="21" fillId="11" borderId="57" xfId="1" applyNumberFormat="1" applyFont="1" applyFill="1" applyBorder="1" applyAlignment="1">
      <alignment horizontal="center" vertical="center"/>
    </xf>
    <xf numFmtId="0" fontId="95" fillId="22" borderId="16" xfId="1" applyFont="1" applyFill="1" applyBorder="1" applyAlignment="1">
      <alignment horizontal="center" vertical="center"/>
    </xf>
    <xf numFmtId="0" fontId="95" fillId="8" borderId="16" xfId="1" applyFont="1" applyFill="1" applyBorder="1" applyAlignment="1">
      <alignment horizontal="center" vertical="center"/>
    </xf>
    <xf numFmtId="0" fontId="95" fillId="22" borderId="24" xfId="1" applyFont="1" applyFill="1" applyBorder="1" applyAlignment="1">
      <alignment horizontal="center" vertical="center"/>
    </xf>
    <xf numFmtId="0" fontId="95" fillId="22" borderId="22" xfId="1" applyFont="1" applyFill="1" applyBorder="1" applyAlignment="1">
      <alignment horizontal="center" vertical="center"/>
    </xf>
    <xf numFmtId="0" fontId="95" fillId="5" borderId="12" xfId="1" applyFont="1" applyFill="1" applyBorder="1" applyAlignment="1">
      <alignment horizontal="center" vertical="center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66" xfId="1" applyFont="1" applyBorder="1" applyAlignment="1">
      <alignment horizontal="center" vertical="center" wrapText="1"/>
    </xf>
    <xf numFmtId="0" fontId="4" fillId="0" borderId="63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6" fillId="0" borderId="63" xfId="1" applyFont="1" applyBorder="1" applyAlignment="1">
      <alignment horizontal="center" vertical="center"/>
    </xf>
    <xf numFmtId="0" fontId="6" fillId="0" borderId="32" xfId="1" applyFont="1" applyBorder="1" applyAlignment="1">
      <alignment horizontal="center" vertical="center"/>
    </xf>
    <xf numFmtId="0" fontId="7" fillId="0" borderId="32" xfId="1" applyFont="1" applyBorder="1" applyAlignment="1">
      <alignment horizontal="center" vertical="center"/>
    </xf>
    <xf numFmtId="164" fontId="8" fillId="0" borderId="32" xfId="1" applyNumberFormat="1" applyFont="1" applyBorder="1" applyAlignment="1">
      <alignment horizontal="center" vertical="center"/>
    </xf>
    <xf numFmtId="0" fontId="11" fillId="0" borderId="65" xfId="1" applyFont="1" applyBorder="1" applyAlignment="1">
      <alignment horizontal="center" vertical="center"/>
    </xf>
    <xf numFmtId="0" fontId="11" fillId="0" borderId="57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 wrapText="1"/>
    </xf>
    <xf numFmtId="0" fontId="11" fillId="0" borderId="64" xfId="1" applyFont="1" applyBorder="1" applyAlignment="1">
      <alignment horizontal="center" vertical="center"/>
    </xf>
    <xf numFmtId="0" fontId="11" fillId="0" borderId="58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1" fillId="0" borderId="50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 shrinkToFit="1"/>
    </xf>
    <xf numFmtId="0" fontId="11" fillId="0" borderId="50" xfId="1" applyFont="1" applyBorder="1" applyAlignment="1">
      <alignment horizontal="center" vertical="center" shrinkToFit="1"/>
    </xf>
    <xf numFmtId="0" fontId="12" fillId="0" borderId="9" xfId="1" applyFont="1" applyBorder="1" applyAlignment="1">
      <alignment horizontal="center" vertical="center" shrinkToFit="1"/>
    </xf>
    <xf numFmtId="0" fontId="12" fillId="0" borderId="50" xfId="1" applyFont="1" applyBorder="1" applyAlignment="1">
      <alignment horizontal="center" vertical="center" shrinkToFit="1"/>
    </xf>
  </cellXfs>
  <cellStyles count="2">
    <cellStyle name="一般" xfId="0" builtinId="0"/>
    <cellStyle name="一般 2" xfId="1" xr:uid="{49B4DAFB-6DB6-4F0B-A98F-E68CAA2AC64E}"/>
  </cellStyles>
  <dxfs count="377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008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ill>
        <patternFill>
          <bgColor theme="0" tint="-0.49998474074526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24994659260841701"/>
        </patternFill>
      </fill>
    </dxf>
    <dxf>
      <fill>
        <patternFill>
          <bgColor theme="3" tint="0.89996032593768116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6" tint="-0.499984740745262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5" sqref="U1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474" t="str">
        <f>"TPKC剩餘人力："&amp;AR59&amp;" / NK剩餘人力："&amp;AS59&amp;" /  N班人力："&amp;AR53</f>
        <v>TPKC剩餘人力：0 / NK剩餘人力：0 /  N班人力：92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60</v>
      </c>
      <c r="E2" s="489" t="s">
        <v>61</v>
      </c>
      <c r="F2" s="8" t="s">
        <v>62</v>
      </c>
      <c r="G2" s="8" t="s">
        <v>63</v>
      </c>
      <c r="H2" s="8" t="s">
        <v>64</v>
      </c>
      <c r="I2" s="479" t="s">
        <v>65</v>
      </c>
      <c r="J2" s="493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491" t="s">
        <v>48</v>
      </c>
      <c r="AW2" s="492"/>
      <c r="AX2" s="492"/>
    </row>
    <row r="3" spans="1:226" ht="24.6" customHeight="1" thickBot="1">
      <c r="A3" s="484"/>
      <c r="B3" s="486"/>
      <c r="C3" s="486"/>
      <c r="D3" s="488"/>
      <c r="E3" s="490"/>
      <c r="F3" s="15" t="s">
        <v>74</v>
      </c>
      <c r="G3" s="15" t="s">
        <v>75</v>
      </c>
      <c r="H3" s="16" t="s">
        <v>76</v>
      </c>
      <c r="I3" s="480"/>
      <c r="J3" s="494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cellIs" dxfId="376" priority="1" operator="equal">
      <formula>"大夜"</formula>
    </cfRule>
    <cfRule type="cellIs" dxfId="375" priority="2" operator="equal">
      <formula>"晚"</formula>
    </cfRule>
    <cfRule type="cellIs" dxfId="374" priority="3" operator="equal">
      <formula>3</formula>
    </cfRule>
    <cfRule type="cellIs" dxfId="373" priority="4" operator="equal">
      <formula>"小夜"</formula>
    </cfRule>
    <cfRule type="cellIs" dxfId="372" priority="5" operator="equal">
      <formula>"T中"</formula>
    </cfRule>
    <cfRule type="cellIs" dxfId="371" priority="6" operator="equal">
      <formula>"中"</formula>
    </cfRule>
    <cfRule type="cellIs" dxfId="370" priority="7" operator="equal">
      <formula>2</formula>
    </cfRule>
    <cfRule type="cellIs" dxfId="369" priority="8" operator="equal">
      <formula>"日"</formula>
    </cfRule>
    <cfRule type="cellIs" dxfId="368" priority="9" operator="equal">
      <formula>"T早"</formula>
    </cfRule>
    <cfRule type="cellIs" dxfId="367" priority="10" operator="equal">
      <formula>"早"</formula>
    </cfRule>
    <cfRule type="cellIs" dxfId="366" priority="11" operator="equal">
      <formula>"M1"</formula>
    </cfRule>
    <cfRule type="cellIs" dxfId="365" priority="12" operator="equal">
      <formula>1</formula>
    </cfRule>
    <cfRule type="expression" dxfId="364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63" priority="4256" operator="equal">
      <formula>5</formula>
    </cfRule>
    <cfRule type="cellIs" dxfId="362" priority="4257" operator="equal">
      <formula>4</formula>
    </cfRule>
    <cfRule type="cellIs" dxfId="361" priority="4258" operator="equal">
      <formula>3</formula>
    </cfRule>
    <cfRule type="cellIs" dxfId="360" priority="4259" operator="equal">
      <formula>2</formula>
    </cfRule>
    <cfRule type="cellIs" dxfId="359" priority="4260" operator="equal">
      <formula>1</formula>
    </cfRule>
  </conditionalFormatting>
  <conditionalFormatting sqref="K53:AO55">
    <cfRule type="cellIs" dxfId="358" priority="4261" operator="equal">
      <formula>"T中"</formula>
    </cfRule>
  </conditionalFormatting>
  <conditionalFormatting sqref="AP25">
    <cfRule type="cellIs" dxfId="357" priority="4564" operator="equal">
      <formula>"大夜"</formula>
    </cfRule>
    <cfRule type="cellIs" dxfId="356" priority="4565" operator="equal">
      <formula>"晚"</formula>
    </cfRule>
    <cfRule type="cellIs" dxfId="355" priority="4566" operator="equal">
      <formula>3</formula>
    </cfRule>
    <cfRule type="cellIs" dxfId="354" priority="4567" operator="equal">
      <formula>"小夜"</formula>
    </cfRule>
    <cfRule type="cellIs" dxfId="353" priority="4568" operator="equal">
      <formula>"T中"</formula>
    </cfRule>
    <cfRule type="cellIs" dxfId="352" priority="4569" operator="equal">
      <formula>"中"</formula>
    </cfRule>
    <cfRule type="cellIs" dxfId="351" priority="4570" operator="equal">
      <formula>"M2"</formula>
    </cfRule>
    <cfRule type="cellIs" dxfId="350" priority="4571" operator="equal">
      <formula>2</formula>
    </cfRule>
    <cfRule type="cellIs" dxfId="349" priority="4572" operator="equal">
      <formula>"日"</formula>
    </cfRule>
    <cfRule type="cellIs" dxfId="348" priority="4573" operator="equal">
      <formula>"T早"</formula>
    </cfRule>
    <cfRule type="cellIs" dxfId="347" priority="4574" operator="equal">
      <formula>"早"</formula>
    </cfRule>
    <cfRule type="cellIs" dxfId="346" priority="4575" operator="equal">
      <formula>"M1"</formula>
    </cfRule>
    <cfRule type="cellIs" dxfId="345" priority="4576" operator="equal">
      <formula>1</formula>
    </cfRule>
  </conditionalFormatting>
  <conditionalFormatting sqref="AS4:AS46">
    <cfRule type="cellIs" dxfId="344" priority="4562" operator="equal">
      <formula>-2</formula>
    </cfRule>
    <cfRule type="cellIs" dxfId="343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474" t="str">
        <f>"TPKC剩餘人力："&amp;AO59&amp;" / NK剩餘人力："&amp;AP59&amp;" /  N班人力："&amp;AO54</f>
        <v>TPKC剩餘人力：0 / NK剩餘人力：0 /  N班人力：32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183"/>
      <c r="AO1" s="6"/>
      <c r="AP1" s="7"/>
    </row>
    <row r="2" spans="1:223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5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491" t="s">
        <v>48</v>
      </c>
      <c r="AT2" s="492"/>
      <c r="AU2" s="492"/>
    </row>
    <row r="3" spans="1:223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6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342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341" priority="1">
      <formula>OR(K4=3, K4="晚",  K4="大夜")</formula>
    </cfRule>
    <cfRule type="expression" dxfId="340" priority="2">
      <formula>OR(K4="M2", K4=2, K4="中", K4="T中", K4="小夜")</formula>
    </cfRule>
    <cfRule type="expression" dxfId="339" priority="4">
      <formula>OR(K4="M1", K4=1, K4="早", K4="T早", K4="日")</formula>
    </cfRule>
  </conditionalFormatting>
  <conditionalFormatting sqref="K47:AL55">
    <cfRule type="cellIs" dxfId="338" priority="214" operator="equal">
      <formula>5</formula>
    </cfRule>
    <cfRule type="cellIs" dxfId="337" priority="215" operator="equal">
      <formula>4</formula>
    </cfRule>
    <cfRule type="cellIs" dxfId="336" priority="216" operator="equal">
      <formula>3</formula>
    </cfRule>
    <cfRule type="cellIs" dxfId="335" priority="217" operator="equal">
      <formula>2</formula>
    </cfRule>
    <cfRule type="cellIs" dxfId="334" priority="218" operator="equal">
      <formula>1</formula>
    </cfRule>
  </conditionalFormatting>
  <conditionalFormatting sqref="K53:AL55">
    <cfRule type="cellIs" dxfId="333" priority="219" operator="equal">
      <formula>"T中"</formula>
    </cfRule>
  </conditionalFormatting>
  <conditionalFormatting sqref="AM25">
    <cfRule type="cellIs" dxfId="332" priority="228" operator="equal">
      <formula>"大夜"</formula>
    </cfRule>
    <cfRule type="cellIs" dxfId="331" priority="229" operator="equal">
      <formula>"晚"</formula>
    </cfRule>
    <cfRule type="cellIs" dxfId="330" priority="230" operator="equal">
      <formula>3</formula>
    </cfRule>
    <cfRule type="cellIs" dxfId="329" priority="231" operator="equal">
      <formula>"小夜"</formula>
    </cfRule>
    <cfRule type="cellIs" dxfId="328" priority="232" operator="equal">
      <formula>"T中"</formula>
    </cfRule>
    <cfRule type="cellIs" dxfId="327" priority="233" operator="equal">
      <formula>"中"</formula>
    </cfRule>
    <cfRule type="cellIs" dxfId="326" priority="234" operator="equal">
      <formula>"M2"</formula>
    </cfRule>
    <cfRule type="cellIs" dxfId="325" priority="235" operator="equal">
      <formula>2</formula>
    </cfRule>
    <cfRule type="cellIs" dxfId="324" priority="236" operator="equal">
      <formula>"日"</formula>
    </cfRule>
    <cfRule type="cellIs" dxfId="323" priority="237" operator="equal">
      <formula>"T早"</formula>
    </cfRule>
    <cfRule type="cellIs" dxfId="322" priority="238" operator="equal">
      <formula>"早"</formula>
    </cfRule>
    <cfRule type="cellIs" dxfId="321" priority="239" operator="equal">
      <formula>"M1"</formula>
    </cfRule>
    <cfRule type="cellIs" dxfId="320" priority="240" operator="equal">
      <formula>1</formula>
    </cfRule>
  </conditionalFormatting>
  <conditionalFormatting sqref="AP4:AP46">
    <cfRule type="cellIs" dxfId="319" priority="226" operator="equal">
      <formula>-2</formula>
    </cfRule>
    <cfRule type="cellIs" dxfId="318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74" t="str">
        <f>"TPKC剩餘人力："&amp;AR58&amp;" / NK剩餘人力："&amp;AS58&amp;" /  N班人力："&amp;AR53</f>
        <v>TPKC剩餘人力：2 / NK剩餘人力：0 /  N班人力：114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7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491" t="s">
        <v>48</v>
      </c>
      <c r="AW2" s="492"/>
      <c r="AX2" s="492"/>
    </row>
    <row r="3" spans="1:226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8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expression" dxfId="317" priority="1">
      <formula>OR(K4=3, K4="晚",  K4="大夜")</formula>
    </cfRule>
    <cfRule type="expression" dxfId="316" priority="2">
      <formula>OR(K4="M2", K4=2, K4="中", K4="T中", K4="小夜")</formula>
    </cfRule>
    <cfRule type="expression" dxfId="315" priority="3">
      <formula>OR(K4="M1", K4=1, K4="早", K4="T早", K4="日")</formula>
    </cfRule>
    <cfRule type="expression" dxfId="314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13" priority="202" operator="equal">
      <formula>5</formula>
    </cfRule>
    <cfRule type="cellIs" dxfId="312" priority="203" operator="equal">
      <formula>4</formula>
    </cfRule>
    <cfRule type="cellIs" dxfId="311" priority="204" operator="equal">
      <formula>3</formula>
    </cfRule>
    <cfRule type="cellIs" dxfId="310" priority="205" operator="equal">
      <formula>2</formula>
    </cfRule>
    <cfRule type="cellIs" dxfId="309" priority="206" operator="equal">
      <formula>1</formula>
    </cfRule>
  </conditionalFormatting>
  <conditionalFormatting sqref="K53:AO55">
    <cfRule type="cellIs" dxfId="308" priority="207" operator="equal">
      <formula>"T中"</formula>
    </cfRule>
  </conditionalFormatting>
  <conditionalFormatting sqref="AP25">
    <cfRule type="cellIs" dxfId="307" priority="210" operator="equal">
      <formula>"大夜"</formula>
    </cfRule>
    <cfRule type="cellIs" dxfId="306" priority="211" operator="equal">
      <formula>"晚"</formula>
    </cfRule>
    <cfRule type="cellIs" dxfId="305" priority="212" operator="equal">
      <formula>3</formula>
    </cfRule>
    <cfRule type="cellIs" dxfId="304" priority="213" operator="equal">
      <formula>"小夜"</formula>
    </cfRule>
    <cfRule type="cellIs" dxfId="303" priority="214" operator="equal">
      <formula>"T中"</formula>
    </cfRule>
    <cfRule type="cellIs" dxfId="302" priority="215" operator="equal">
      <formula>"中"</formula>
    </cfRule>
    <cfRule type="cellIs" dxfId="301" priority="216" operator="equal">
      <formula>"M2"</formula>
    </cfRule>
    <cfRule type="cellIs" dxfId="300" priority="217" operator="equal">
      <formula>2</formula>
    </cfRule>
    <cfRule type="cellIs" dxfId="299" priority="218" operator="equal">
      <formula>"日"</formula>
    </cfRule>
    <cfRule type="cellIs" dxfId="298" priority="219" operator="equal">
      <formula>"T早"</formula>
    </cfRule>
    <cfRule type="cellIs" dxfId="297" priority="220" operator="equal">
      <formula>"早"</formula>
    </cfRule>
    <cfRule type="cellIs" dxfId="296" priority="221" operator="equal">
      <formula>"M1"</formula>
    </cfRule>
    <cfRule type="cellIs" dxfId="295" priority="222" operator="equal">
      <formula>1</formula>
    </cfRule>
  </conditionalFormatting>
  <conditionalFormatting sqref="AS4:AS46">
    <cfRule type="cellIs" dxfId="294" priority="208" operator="equal">
      <formula>-2</formula>
    </cfRule>
    <cfRule type="cellIs" dxfId="293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19" sqref="J19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74" t="str">
        <f>"TPKC剩餘人力："&amp;AQ58&amp;" / NK剩餘人力："&amp;AR58&amp;" /  N班人力："&amp;AQ53</f>
        <v>TPKC剩餘人力：0 / NK剩餘人力：0 /  N班人力：76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Q1" s="6"/>
      <c r="AR1" s="7"/>
    </row>
    <row r="2" spans="1:224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3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491" t="s">
        <v>48</v>
      </c>
      <c r="AV2" s="492"/>
      <c r="AW2" s="492"/>
    </row>
    <row r="3" spans="1:224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9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17</v>
      </c>
      <c r="E8" s="41">
        <f t="shared" si="4"/>
        <v>3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32" t="s">
        <v>1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1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0" t="s">
        <v>52</v>
      </c>
      <c r="AL9" s="30" t="s">
        <v>3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6</v>
      </c>
      <c r="AM56" s="296">
        <f t="shared" si="48"/>
        <v>1</v>
      </c>
      <c r="AN56" s="99">
        <f t="shared" si="48"/>
        <v>1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14</v>
      </c>
      <c r="AL57" s="24">
        <f t="shared" si="49"/>
        <v>8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2</v>
      </c>
      <c r="AL58" s="39">
        <f t="shared" si="50"/>
        <v>4</v>
      </c>
      <c r="AM58" s="39">
        <f t="shared" si="50"/>
        <v>2</v>
      </c>
      <c r="AN58" s="83">
        <f t="shared" si="50"/>
        <v>4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7 K8:AL8 AN8 K9:AN46">
    <cfRule type="expression" dxfId="292" priority="65">
      <formula>OR(K4="T中", K4="中", K4=2, K4="小夜")</formula>
    </cfRule>
    <cfRule type="expression" dxfId="291" priority="66">
      <formula>OR(K4="T早", K4="早", K4="M1", K4=1, K4="日")</formula>
    </cfRule>
  </conditionalFormatting>
  <conditionalFormatting sqref="K4:AN46">
    <cfRule type="expression" dxfId="290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89" priority="4">
      <formula>OR(K4="晚", K4=3, K4="大夜")</formula>
    </cfRule>
  </conditionalFormatting>
  <conditionalFormatting sqref="K47:AN55">
    <cfRule type="cellIs" dxfId="288" priority="71" operator="equal">
      <formula>5</formula>
    </cfRule>
    <cfRule type="cellIs" dxfId="287" priority="72" operator="equal">
      <formula>4</formula>
    </cfRule>
    <cfRule type="cellIs" dxfId="286" priority="73" operator="equal">
      <formula>3</formula>
    </cfRule>
    <cfRule type="cellIs" dxfId="285" priority="74" operator="equal">
      <formula>2</formula>
    </cfRule>
    <cfRule type="cellIs" dxfId="284" priority="75" operator="equal">
      <formula>1</formula>
    </cfRule>
  </conditionalFormatting>
  <conditionalFormatting sqref="K53:AN55">
    <cfRule type="cellIs" dxfId="283" priority="76" operator="equal">
      <formula>"T中"</formula>
    </cfRule>
  </conditionalFormatting>
  <conditionalFormatting sqref="AM8:AN8">
    <cfRule type="expression" dxfId="282" priority="2">
      <formula>OR(AM8="T中", AM8="中", AM8=2, AM8="小夜")</formula>
    </cfRule>
    <cfRule type="expression" dxfId="281" priority="3">
      <formula>OR(AM8="T早", AM8="早", AM8="M1", AM8=1, AM8="日")</formula>
    </cfRule>
  </conditionalFormatting>
  <conditionalFormatting sqref="AO25">
    <cfRule type="cellIs" dxfId="280" priority="83" operator="equal">
      <formula>"大夜"</formula>
    </cfRule>
    <cfRule type="cellIs" dxfId="279" priority="84" operator="equal">
      <formula>"晚"</formula>
    </cfRule>
    <cfRule type="cellIs" dxfId="278" priority="85" operator="equal">
      <formula>3</formula>
    </cfRule>
    <cfRule type="cellIs" dxfId="277" priority="86" operator="equal">
      <formula>"小夜"</formula>
    </cfRule>
    <cfRule type="cellIs" dxfId="276" priority="87" operator="equal">
      <formula>"T中"</formula>
    </cfRule>
    <cfRule type="cellIs" dxfId="275" priority="88" operator="equal">
      <formula>"中"</formula>
    </cfRule>
    <cfRule type="cellIs" dxfId="274" priority="89" operator="equal">
      <formula>"M2"</formula>
    </cfRule>
    <cfRule type="cellIs" dxfId="273" priority="90" operator="equal">
      <formula>2</formula>
    </cfRule>
    <cfRule type="cellIs" dxfId="272" priority="91" operator="equal">
      <formula>"日"</formula>
    </cfRule>
    <cfRule type="cellIs" dxfId="271" priority="92" operator="equal">
      <formula>"T早"</formula>
    </cfRule>
    <cfRule type="cellIs" dxfId="270" priority="93" operator="equal">
      <formula>"早"</formula>
    </cfRule>
    <cfRule type="cellIs" dxfId="269" priority="94" operator="equal">
      <formula>"M1"</formula>
    </cfRule>
    <cfRule type="cellIs" dxfId="268" priority="95" operator="equal">
      <formula>1</formula>
    </cfRule>
  </conditionalFormatting>
  <conditionalFormatting sqref="AR4:AR46">
    <cfRule type="cellIs" dxfId="267" priority="81" operator="equal">
      <formula>-2</formula>
    </cfRule>
    <cfRule type="cellIs" dxfId="266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4" sqref="K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74" t="str">
        <f>"TPKC剩餘人力："&amp;AR57&amp;" / NK剩餘人力："&amp;AS57&amp;" /  N班人力："&amp;AR52</f>
        <v>TPKC剩餘人力：0 / NK剩餘人力：0 /  N班人力：79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3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471" t="s">
        <v>48</v>
      </c>
      <c r="AX2" s="472"/>
      <c r="AY2" s="473"/>
    </row>
    <row r="3" spans="1:226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9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17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3</v>
      </c>
      <c r="B5" s="39">
        <f t="shared" ref="B5:B39" si="3">COUNTIF(K5:AO5,2)+COUNTIF(K5:AO5,"中")+COUNTIF(K5:AO5,"M2")+COUNTIF(K5:AO5,"T中")+COUNTIF(K5:AO5,"小夜")</f>
        <v>2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0">
        <v>3</v>
      </c>
      <c r="AJ5" s="120">
        <v>3</v>
      </c>
      <c r="AK5" s="120">
        <v>3</v>
      </c>
      <c r="AL5" s="30" t="s">
        <v>0</v>
      </c>
      <c r="AM5" s="32" t="s">
        <v>0</v>
      </c>
      <c r="AN5" s="121" t="s">
        <v>38</v>
      </c>
      <c r="AO5" s="126" t="s">
        <v>38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12</v>
      </c>
      <c r="B6" s="39">
        <f t="shared" si="3"/>
        <v>1</v>
      </c>
      <c r="C6" s="40">
        <f t="shared" si="4"/>
        <v>0</v>
      </c>
      <c r="D6" s="39">
        <f t="shared" si="5"/>
        <v>7</v>
      </c>
      <c r="E6" s="41">
        <f t="shared" si="6"/>
        <v>0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0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3</v>
      </c>
      <c r="AK6" s="53" t="s">
        <v>3</v>
      </c>
      <c r="AL6" s="30" t="s">
        <v>36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14</v>
      </c>
      <c r="E8" s="41">
        <f t="shared" si="6"/>
        <v>5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121">
        <v>1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2" t="s">
        <v>1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14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3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 t="s">
        <v>3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32" t="s">
        <v>1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36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 t="s">
        <v>36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>
        <v>1</v>
      </c>
      <c r="AJ10" s="30" t="s">
        <v>3</v>
      </c>
      <c r="AK10" s="30" t="s">
        <v>36</v>
      </c>
      <c r="AL10" s="17" t="s">
        <v>0</v>
      </c>
      <c r="AM10" s="30" t="s">
        <v>36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</v>
      </c>
      <c r="AF12" s="30" t="s">
        <v>36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0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0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10</v>
      </c>
      <c r="B15" s="39">
        <f t="shared" si="3"/>
        <v>3</v>
      </c>
      <c r="C15" s="40">
        <f t="shared" si="4"/>
        <v>0</v>
      </c>
      <c r="D15" s="39">
        <f t="shared" si="5"/>
        <v>4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>
        <v>1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124" t="s">
        <v>5</v>
      </c>
      <c r="AK16" s="53" t="s">
        <v>3</v>
      </c>
      <c r="AL16" s="30" t="s">
        <v>0</v>
      </c>
      <c r="AM16" s="30" t="s">
        <v>38</v>
      </c>
      <c r="AN16" s="30">
        <v>2</v>
      </c>
      <c r="AO16" s="17" t="s">
        <v>0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0</v>
      </c>
      <c r="AX16" s="6">
        <v>4</v>
      </c>
      <c r="AY16" s="6">
        <f t="shared" si="13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60" t="s">
        <v>0</v>
      </c>
      <c r="AK18" s="160">
        <v>1</v>
      </c>
      <c r="AL18" s="160" t="s">
        <v>36</v>
      </c>
      <c r="AM18" s="160" t="s">
        <v>0</v>
      </c>
      <c r="AN18" s="171">
        <v>1</v>
      </c>
      <c r="AO18" s="181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-1</v>
      </c>
      <c r="AX18" s="6">
        <v>3</v>
      </c>
      <c r="AY18" s="6">
        <f t="shared" si="13"/>
        <v>2</v>
      </c>
    </row>
    <row r="19" spans="1:226" s="50" customFormat="1" ht="25.5" customHeight="1">
      <c r="A19" s="23">
        <f t="shared" si="2"/>
        <v>1</v>
      </c>
      <c r="B19" s="24">
        <f t="shared" si="3"/>
        <v>13</v>
      </c>
      <c r="C19" s="25">
        <f t="shared" si="4"/>
        <v>3</v>
      </c>
      <c r="D19" s="24">
        <f t="shared" si="5"/>
        <v>0</v>
      </c>
      <c r="E19" s="26">
        <f t="shared" si="6"/>
        <v>3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33" t="s">
        <v>1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6</v>
      </c>
      <c r="B20" s="39">
        <f t="shared" si="3"/>
        <v>8</v>
      </c>
      <c r="C20" s="40">
        <f t="shared" si="4"/>
        <v>5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30">
        <v>1</v>
      </c>
      <c r="AH20" s="30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>
        <v>3</v>
      </c>
      <c r="AN20" s="44" t="s">
        <v>0</v>
      </c>
      <c r="AO20" s="44" t="s">
        <v>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5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4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>
        <v>3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44" t="s">
        <v>0</v>
      </c>
      <c r="AH21" s="44" t="s">
        <v>0</v>
      </c>
      <c r="AI21" s="30" t="s">
        <v>38</v>
      </c>
      <c r="AJ21" s="30" t="s">
        <v>38</v>
      </c>
      <c r="AK21" s="30" t="s">
        <v>38</v>
      </c>
      <c r="AL21" s="30">
        <v>2</v>
      </c>
      <c r="AM21" s="30" t="s">
        <v>0</v>
      </c>
      <c r="AN21" s="30">
        <v>1</v>
      </c>
      <c r="AO21" s="30">
        <v>2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6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>
        <v>1</v>
      </c>
      <c r="R25" s="30" t="s">
        <v>3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 t="s">
        <v>3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3</v>
      </c>
      <c r="B26" s="39">
        <f>COUNTIF(K26:AO26,2)+COUNTIF(K26:AO26,"中")+COUNTIF(K26:AO26,"M2")+COUNTIF(K26:AO26,"T中")+COUNTIF(K26:AO26,"小夜")</f>
        <v>7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>
        <v>2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1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3</v>
      </c>
      <c r="C30" s="40">
        <f t="shared" si="4"/>
        <v>5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 t="s">
        <v>0</v>
      </c>
      <c r="AH30" s="30">
        <v>1</v>
      </c>
      <c r="AI30" s="30">
        <v>2</v>
      </c>
      <c r="AJ30" s="30">
        <v>2</v>
      </c>
      <c r="AK30" s="41">
        <v>2</v>
      </c>
      <c r="AL30" s="46" t="s">
        <v>0</v>
      </c>
      <c r="AM30" s="46" t="s">
        <v>0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>
        <v>2</v>
      </c>
      <c r="AF32" s="60" t="s">
        <v>0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2</v>
      </c>
      <c r="B35" s="39">
        <f t="shared" si="3"/>
        <v>18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36</v>
      </c>
      <c r="AJ35" s="30" t="s">
        <v>36</v>
      </c>
      <c r="AK35" s="41" t="s">
        <v>0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2</v>
      </c>
      <c r="E43" s="41">
        <f t="shared" si="38"/>
        <v>1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2" t="s">
        <v>1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79</v>
      </c>
      <c r="AS52" s="91" cm="1">
        <f t="array" ref="AS52">SUMPRODUCT(COUNTIF(K40:AO45,{"N";"N8"}))</f>
        <v>22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65</v>
      </c>
      <c r="AS53" s="75">
        <f>SUMPRODUCT(COUNTIF(K40:AO45,{"S"}))</f>
        <v>5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4</v>
      </c>
      <c r="Y55" s="96">
        <f t="shared" si="56"/>
        <v>1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4</v>
      </c>
      <c r="AG55" s="96">
        <f t="shared" si="56"/>
        <v>0</v>
      </c>
      <c r="AH55" s="96">
        <f t="shared" si="56"/>
        <v>0</v>
      </c>
      <c r="AI55" s="96">
        <f t="shared" si="56"/>
        <v>5</v>
      </c>
      <c r="AJ55" s="96">
        <f t="shared" si="56"/>
        <v>6</v>
      </c>
      <c r="AK55" s="96">
        <f t="shared" si="56"/>
        <v>7</v>
      </c>
      <c r="AL55" s="96">
        <f t="shared" si="56"/>
        <v>5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19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9</v>
      </c>
      <c r="AF56" s="24">
        <f t="shared" si="57"/>
        <v>11</v>
      </c>
      <c r="AG56" s="24">
        <f t="shared" si="57"/>
        <v>21</v>
      </c>
      <c r="AH56" s="24">
        <f t="shared" si="57"/>
        <v>23</v>
      </c>
      <c r="AI56" s="24">
        <f t="shared" si="57"/>
        <v>14</v>
      </c>
      <c r="AJ56" s="24">
        <f t="shared" si="57"/>
        <v>12</v>
      </c>
      <c r="AK56" s="24">
        <f t="shared" si="57"/>
        <v>10</v>
      </c>
      <c r="AL56" s="24">
        <f t="shared" si="57"/>
        <v>12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4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3</v>
      </c>
      <c r="Y57" s="39">
        <f t="shared" si="58"/>
        <v>6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2</v>
      </c>
      <c r="AF57" s="39">
        <f t="shared" si="58"/>
        <v>4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0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1</v>
      </c>
      <c r="R63" s="230" cm="1">
        <f t="array" ref="R63">SUMPRODUCT(COUNTIF(R4:R18,{"1";"M1"}))</f>
        <v>2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1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autoFilter ref="AT3:AT58" xr:uid="{00000000-0009-0000-0000-000004000000}"/>
  <mergeCells count="11">
    <mergeCell ref="K1:AH1"/>
    <mergeCell ref="AI1:AK1"/>
    <mergeCell ref="AL1:AN1"/>
    <mergeCell ref="AW2:AY2"/>
    <mergeCell ref="I2:I3"/>
    <mergeCell ref="J2:J3"/>
    <mergeCell ref="A2:A3"/>
    <mergeCell ref="B2:B3"/>
    <mergeCell ref="C2:C3"/>
    <mergeCell ref="D2:D3"/>
    <mergeCell ref="E2:E3"/>
  </mergeCells>
  <conditionalFormatting sqref="K4:AO45">
    <cfRule type="expression" dxfId="265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64" priority="6">
      <formula>OR(K4="T中", K4="中", K4=2, K4="小夜")</formula>
    </cfRule>
    <cfRule type="expression" dxfId="263" priority="7">
      <formula>OR(K4="T早", K4="早", K4="M1", K4=1, K4="日")</formula>
    </cfRule>
    <cfRule type="expression" dxfId="262" priority="8">
      <formula>OR(K4="晚", K4=3, K4="大夜")</formula>
    </cfRule>
  </conditionalFormatting>
  <conditionalFormatting sqref="K46:AO54">
    <cfRule type="cellIs" dxfId="261" priority="727" operator="equal">
      <formula>5</formula>
    </cfRule>
    <cfRule type="cellIs" dxfId="260" priority="728" operator="equal">
      <formula>4</formula>
    </cfRule>
    <cfRule type="cellIs" dxfId="259" priority="729" operator="equal">
      <formula>3</formula>
    </cfRule>
    <cfRule type="cellIs" dxfId="258" priority="730" operator="equal">
      <formula>2</formula>
    </cfRule>
    <cfRule type="cellIs" dxfId="257" priority="731" operator="equal">
      <formula>1</formula>
    </cfRule>
  </conditionalFormatting>
  <conditionalFormatting sqref="K52:AO54">
    <cfRule type="cellIs" dxfId="256" priority="732" operator="equal">
      <formula>"T中"</formula>
    </cfRule>
  </conditionalFormatting>
  <conditionalFormatting sqref="AP25">
    <cfRule type="cellIs" dxfId="255" priority="735" operator="equal">
      <formula>"大夜"</formula>
    </cfRule>
    <cfRule type="cellIs" dxfId="254" priority="736" operator="equal">
      <formula>"晚"</formula>
    </cfRule>
    <cfRule type="cellIs" dxfId="253" priority="737" operator="equal">
      <formula>3</formula>
    </cfRule>
    <cfRule type="cellIs" dxfId="252" priority="738" operator="equal">
      <formula>"小夜"</formula>
    </cfRule>
    <cfRule type="cellIs" dxfId="251" priority="739" operator="equal">
      <formula>"T中"</formula>
    </cfRule>
    <cfRule type="cellIs" dxfId="250" priority="740" operator="equal">
      <formula>"中"</formula>
    </cfRule>
    <cfRule type="cellIs" dxfId="249" priority="741" operator="equal">
      <formula>"M2"</formula>
    </cfRule>
    <cfRule type="cellIs" dxfId="248" priority="742" operator="equal">
      <formula>2</formula>
    </cfRule>
    <cfRule type="cellIs" dxfId="247" priority="743" operator="equal">
      <formula>"日"</formula>
    </cfRule>
    <cfRule type="cellIs" dxfId="246" priority="744" operator="equal">
      <formula>"T早"</formula>
    </cfRule>
    <cfRule type="cellIs" dxfId="245" priority="745" operator="equal">
      <formula>"早"</formula>
    </cfRule>
    <cfRule type="cellIs" dxfId="244" priority="746" operator="equal">
      <formula>"M1"</formula>
    </cfRule>
    <cfRule type="cellIs" dxfId="243" priority="747" operator="equal">
      <formula>1</formula>
    </cfRule>
  </conditionalFormatting>
  <conditionalFormatting sqref="AS4:AS45">
    <cfRule type="cellIs" dxfId="242" priority="733" operator="equal">
      <formula>-2</formula>
    </cfRule>
    <cfRule type="cellIs" dxfId="241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751E-7321-45E3-8BB6-A62B4A952722}">
  <sheetPr>
    <pageSetUpPr fitToPage="1"/>
  </sheetPr>
  <dimension ref="A1:HQ11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C61" sqref="AC6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74" t="str">
        <f>"TPKC剩餘人力："&amp;AQ56&amp;" / NK剩餘人力："&amp;AR56&amp;" /  N班人力："&amp;AQ51</f>
        <v>TPKC剩餘人力：-2 / NK剩餘人力：0 /  N班人力：100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Q1" s="6"/>
      <c r="AR1" s="7"/>
    </row>
    <row r="2" spans="1:224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3" t="s">
        <v>158</v>
      </c>
      <c r="K2" s="340" t="s">
        <v>112</v>
      </c>
      <c r="L2" s="12" t="s">
        <v>113</v>
      </c>
      <c r="M2" s="12" t="s">
        <v>114</v>
      </c>
      <c r="N2" s="12" t="s">
        <v>115</v>
      </c>
      <c r="O2" s="13" t="s">
        <v>116</v>
      </c>
      <c r="P2" s="14" t="s">
        <v>117</v>
      </c>
      <c r="Q2" s="14" t="s">
        <v>111</v>
      </c>
      <c r="R2" s="9" t="s">
        <v>112</v>
      </c>
      <c r="S2" s="9" t="s">
        <v>113</v>
      </c>
      <c r="T2" s="9" t="s">
        <v>114</v>
      </c>
      <c r="U2" s="9" t="s">
        <v>115</v>
      </c>
      <c r="V2" s="10" t="s">
        <v>116</v>
      </c>
      <c r="W2" s="11" t="s">
        <v>117</v>
      </c>
      <c r="X2" s="11" t="s">
        <v>111</v>
      </c>
      <c r="Y2" s="12" t="s">
        <v>112</v>
      </c>
      <c r="Z2" s="12" t="s">
        <v>113</v>
      </c>
      <c r="AA2" s="12" t="s">
        <v>114</v>
      </c>
      <c r="AB2" s="12" t="s">
        <v>115</v>
      </c>
      <c r="AC2" s="13" t="s">
        <v>116</v>
      </c>
      <c r="AD2" s="14" t="s">
        <v>117</v>
      </c>
      <c r="AE2" s="14" t="s">
        <v>111</v>
      </c>
      <c r="AF2" s="9" t="s">
        <v>112</v>
      </c>
      <c r="AG2" s="9" t="s">
        <v>113</v>
      </c>
      <c r="AH2" s="9" t="s">
        <v>114</v>
      </c>
      <c r="AI2" s="9" t="s">
        <v>115</v>
      </c>
      <c r="AJ2" s="10" t="s">
        <v>116</v>
      </c>
      <c r="AK2" s="11" t="s">
        <v>117</v>
      </c>
      <c r="AL2" s="11" t="s">
        <v>111</v>
      </c>
      <c r="AM2" s="12" t="s">
        <v>112</v>
      </c>
      <c r="AN2" s="341" t="s">
        <v>113</v>
      </c>
      <c r="AQ2" s="6"/>
      <c r="AU2" s="471" t="s">
        <v>48</v>
      </c>
      <c r="AV2" s="472"/>
      <c r="AW2" s="473"/>
    </row>
    <row r="3" spans="1:224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9"/>
      <c r="K3" s="286">
        <v>1</v>
      </c>
      <c r="L3" s="63">
        <v>2</v>
      </c>
      <c r="M3" s="63">
        <v>3</v>
      </c>
      <c r="N3" s="63">
        <v>4</v>
      </c>
      <c r="O3" s="63">
        <v>5</v>
      </c>
      <c r="P3" s="221">
        <v>6</v>
      </c>
      <c r="Q3" s="221">
        <v>7</v>
      </c>
      <c r="R3" s="63">
        <v>8</v>
      </c>
      <c r="S3" s="63">
        <v>9</v>
      </c>
      <c r="T3" s="63">
        <v>10</v>
      </c>
      <c r="U3" s="63">
        <v>11</v>
      </c>
      <c r="V3" s="63">
        <v>12</v>
      </c>
      <c r="W3" s="221">
        <v>13</v>
      </c>
      <c r="X3" s="221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221">
        <v>21</v>
      </c>
      <c r="AF3" s="63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5" customHeight="1">
      <c r="A4" s="23">
        <f t="shared" ref="A4:A43" si="0">COUNTIF(K4:AN4,1)+COUNTIF(K4:AN4,"早")+COUNTIF(K4:AN4,"M1")+COUNTIF(K4:AN4,"T早")+COUNTIF(K4:AN4,"日")</f>
        <v>0</v>
      </c>
      <c r="B4" s="24">
        <f t="shared" ref="B4:B43" si="1">COUNTIF(K4:AN4,2)+COUNTIF(K4:AN4,"中")+COUNTIF(K4:AN4,"M2")+COUNTIF(K4:AN4,"T中")+COUNTIF(K4:AN4,"小夜")</f>
        <v>0</v>
      </c>
      <c r="C4" s="25">
        <f t="shared" ref="C4:C43" si="2">COUNTIF(K4:AN4,3)+COUNTIF(K4:AN4,"晚")+COUNTIF(K4:AN4,"大夜")</f>
        <v>16</v>
      </c>
      <c r="D4" s="24">
        <f t="shared" ref="D4:D43" si="3">COUNTIF(K4:AN4,"N")+COUNTIF(K4:AN4,"N8")</f>
        <v>0</v>
      </c>
      <c r="E4" s="26">
        <f t="shared" ref="E4:E43" si="4">COUNTIF(K4:AN4,"S")</f>
        <v>5</v>
      </c>
      <c r="F4" s="26">
        <f t="shared" ref="F4:F43" si="5">COUNTIF(K4:AN4,"X")</f>
        <v>4</v>
      </c>
      <c r="G4" s="26">
        <f t="shared" ref="G4:G43" si="6">COUNTIF(K4:AN4,"Y")</f>
        <v>4</v>
      </c>
      <c r="H4" s="26">
        <f t="shared" ref="H4:H43" si="7">COUNTIF(K4:AN4,"Z")</f>
        <v>1</v>
      </c>
      <c r="I4" s="27">
        <f t="shared" ref="I4:I38" si="8">SUM(A4:H4)</f>
        <v>30</v>
      </c>
      <c r="J4" s="282" t="s">
        <v>152</v>
      </c>
      <c r="K4" s="198">
        <v>3</v>
      </c>
      <c r="L4" s="118">
        <v>3</v>
      </c>
      <c r="M4" s="118">
        <v>3</v>
      </c>
      <c r="N4" s="33" t="s">
        <v>52</v>
      </c>
      <c r="O4" s="33" t="s">
        <v>53</v>
      </c>
      <c r="P4" s="31" t="s">
        <v>52</v>
      </c>
      <c r="Q4" s="33" t="s">
        <v>1</v>
      </c>
      <c r="R4" s="33" t="s">
        <v>1</v>
      </c>
      <c r="S4" s="33" t="s">
        <v>1</v>
      </c>
      <c r="T4" s="33" t="s">
        <v>1</v>
      </c>
      <c r="U4" s="33" t="s">
        <v>1</v>
      </c>
      <c r="V4" s="31" t="s">
        <v>0</v>
      </c>
      <c r="W4" s="29">
        <v>3</v>
      </c>
      <c r="X4" s="29">
        <v>3</v>
      </c>
      <c r="Y4" s="118">
        <v>3</v>
      </c>
      <c r="Z4" s="29" t="s">
        <v>52</v>
      </c>
      <c r="AA4" s="343" t="s">
        <v>40</v>
      </c>
      <c r="AB4" s="343" t="s">
        <v>40</v>
      </c>
      <c r="AC4" s="118">
        <v>3</v>
      </c>
      <c r="AD4" s="118">
        <v>3</v>
      </c>
      <c r="AE4" s="29" t="s">
        <v>0</v>
      </c>
      <c r="AF4" s="118">
        <v>3</v>
      </c>
      <c r="AG4" s="118">
        <v>3</v>
      </c>
      <c r="AH4" s="118">
        <v>3</v>
      </c>
      <c r="AI4" s="118">
        <v>3</v>
      </c>
      <c r="AJ4" s="118">
        <v>3</v>
      </c>
      <c r="AK4" s="31" t="s">
        <v>52</v>
      </c>
      <c r="AL4" s="31" t="s">
        <v>0</v>
      </c>
      <c r="AM4" s="29" t="s">
        <v>0</v>
      </c>
      <c r="AN4" s="119">
        <v>3</v>
      </c>
      <c r="AO4" s="35">
        <v>0</v>
      </c>
      <c r="AP4" s="36">
        <f t="shared" ref="AP4:AP44" si="9">$F4+$G4+H4-$I$1</f>
        <v>0</v>
      </c>
      <c r="AQ4" s="36">
        <v>0</v>
      </c>
      <c r="AR4" s="26">
        <f>SUM(AO4:AQ4)</f>
        <v>0</v>
      </c>
      <c r="AS4" s="328" t="s">
        <v>126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>AU4+AV4</f>
        <v>3</v>
      </c>
    </row>
    <row r="5" spans="1:224" ht="25.5" customHeight="1">
      <c r="A5" s="38">
        <f t="shared" si="0"/>
        <v>0</v>
      </c>
      <c r="B5" s="39">
        <f t="shared" si="1"/>
        <v>10</v>
      </c>
      <c r="C5" s="40">
        <f t="shared" si="2"/>
        <v>11</v>
      </c>
      <c r="D5" s="39">
        <f t="shared" si="3"/>
        <v>0</v>
      </c>
      <c r="E5" s="41">
        <f t="shared" si="4"/>
        <v>0</v>
      </c>
      <c r="F5" s="41">
        <f t="shared" si="5"/>
        <v>4</v>
      </c>
      <c r="G5" s="41">
        <f t="shared" si="6"/>
        <v>4</v>
      </c>
      <c r="H5" s="41">
        <f t="shared" si="7"/>
        <v>1</v>
      </c>
      <c r="I5" s="42">
        <f t="shared" si="8"/>
        <v>30</v>
      </c>
      <c r="J5" s="208" t="s">
        <v>2</v>
      </c>
      <c r="K5" s="49">
        <v>2</v>
      </c>
      <c r="L5" s="30">
        <v>2</v>
      </c>
      <c r="M5" s="30" t="s">
        <v>52</v>
      </c>
      <c r="N5" s="121">
        <v>3</v>
      </c>
      <c r="O5" s="30">
        <v>3</v>
      </c>
      <c r="P5" s="44" t="s">
        <v>53</v>
      </c>
      <c r="Q5" s="44" t="s">
        <v>0</v>
      </c>
      <c r="R5" s="121">
        <v>3</v>
      </c>
      <c r="S5" s="121">
        <v>3</v>
      </c>
      <c r="T5" s="121">
        <v>3</v>
      </c>
      <c r="U5" s="121">
        <v>3</v>
      </c>
      <c r="V5" s="121">
        <v>3</v>
      </c>
      <c r="W5" s="44" t="s">
        <v>52</v>
      </c>
      <c r="X5" s="121">
        <v>2</v>
      </c>
      <c r="Y5" s="30">
        <v>2</v>
      </c>
      <c r="Z5" s="30">
        <v>2</v>
      </c>
      <c r="AA5" s="30" t="s">
        <v>0</v>
      </c>
      <c r="AB5" s="121">
        <v>2</v>
      </c>
      <c r="AC5" s="30">
        <v>2</v>
      </c>
      <c r="AD5" s="44" t="s">
        <v>0</v>
      </c>
      <c r="AE5" s="121">
        <v>3</v>
      </c>
      <c r="AF5" s="121">
        <v>2</v>
      </c>
      <c r="AG5" s="121">
        <v>2</v>
      </c>
      <c r="AH5" s="121">
        <v>2</v>
      </c>
      <c r="AI5" s="30" t="s">
        <v>52</v>
      </c>
      <c r="AJ5" s="30" t="s">
        <v>0</v>
      </c>
      <c r="AK5" s="120">
        <v>3</v>
      </c>
      <c r="AL5" s="121">
        <v>3</v>
      </c>
      <c r="AM5" s="121">
        <v>3</v>
      </c>
      <c r="AN5" s="327" t="s">
        <v>52</v>
      </c>
      <c r="AO5" s="45">
        <v>0</v>
      </c>
      <c r="AP5" s="46">
        <f t="shared" si="9"/>
        <v>0</v>
      </c>
      <c r="AQ5" s="46">
        <v>0</v>
      </c>
      <c r="AR5" s="41">
        <f t="shared" ref="AR5:AR44" si="10">SUM(AO5:AQ5)</f>
        <v>0</v>
      </c>
      <c r="AS5" s="329" t="s">
        <v>128</v>
      </c>
    </row>
    <row r="6" spans="1:224" ht="25.2" customHeight="1">
      <c r="A6" s="38">
        <f t="shared" si="0"/>
        <v>9</v>
      </c>
      <c r="B6" s="39">
        <f t="shared" si="1"/>
        <v>0</v>
      </c>
      <c r="C6" s="40">
        <f t="shared" si="2"/>
        <v>0</v>
      </c>
      <c r="D6" s="39">
        <f t="shared" si="3"/>
        <v>11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1</v>
      </c>
      <c r="I6" s="42">
        <f t="shared" si="8"/>
        <v>30</v>
      </c>
      <c r="J6" s="209" t="s">
        <v>129</v>
      </c>
      <c r="K6" s="49" t="s">
        <v>41</v>
      </c>
      <c r="L6" s="30" t="s">
        <v>41</v>
      </c>
      <c r="M6" s="30" t="s">
        <v>41</v>
      </c>
      <c r="N6" s="30" t="s">
        <v>52</v>
      </c>
      <c r="O6" s="164" t="s">
        <v>36</v>
      </c>
      <c r="P6" s="44" t="s">
        <v>52</v>
      </c>
      <c r="Q6" s="44" t="s">
        <v>0</v>
      </c>
      <c r="R6" s="164" t="s">
        <v>36</v>
      </c>
      <c r="S6" s="30" t="s">
        <v>41</v>
      </c>
      <c r="T6" s="30" t="s">
        <v>53</v>
      </c>
      <c r="U6" s="30" t="s">
        <v>41</v>
      </c>
      <c r="V6" s="30" t="s">
        <v>159</v>
      </c>
      <c r="W6" s="30" t="s">
        <v>52</v>
      </c>
      <c r="X6" s="164" t="s">
        <v>36</v>
      </c>
      <c r="Y6" s="164" t="s">
        <v>36</v>
      </c>
      <c r="Z6" s="164" t="s">
        <v>36</v>
      </c>
      <c r="AA6" s="30" t="s">
        <v>41</v>
      </c>
      <c r="AB6" s="53" t="s">
        <v>3</v>
      </c>
      <c r="AC6" s="32" t="s">
        <v>1</v>
      </c>
      <c r="AD6" s="44" t="s">
        <v>52</v>
      </c>
      <c r="AE6" s="44" t="s">
        <v>0</v>
      </c>
      <c r="AF6" s="30" t="s">
        <v>41</v>
      </c>
      <c r="AG6" s="30" t="s">
        <v>41</v>
      </c>
      <c r="AH6" s="30" t="s">
        <v>0</v>
      </c>
      <c r="AI6" s="30" t="s">
        <v>41</v>
      </c>
      <c r="AJ6" s="164" t="s">
        <v>36</v>
      </c>
      <c r="AK6" s="216" t="s">
        <v>36</v>
      </c>
      <c r="AL6" s="216" t="s">
        <v>36</v>
      </c>
      <c r="AM6" s="121">
        <v>1</v>
      </c>
      <c r="AN6" s="48" t="s">
        <v>0</v>
      </c>
      <c r="AO6" s="4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128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1</v>
      </c>
      <c r="AW6" s="6">
        <f t="shared" ref="AW6:AW7" si="11">AU6+AV6</f>
        <v>1</v>
      </c>
    </row>
    <row r="7" spans="1:224" ht="25.5" customHeight="1">
      <c r="A7" s="38">
        <f t="shared" si="0"/>
        <v>9</v>
      </c>
      <c r="B7" s="39">
        <f t="shared" si="1"/>
        <v>1</v>
      </c>
      <c r="C7" s="40">
        <f t="shared" si="2"/>
        <v>0</v>
      </c>
      <c r="D7" s="39">
        <f t="shared" si="3"/>
        <v>4</v>
      </c>
      <c r="E7" s="41">
        <f t="shared" si="4"/>
        <v>7</v>
      </c>
      <c r="F7" s="41">
        <f t="shared" si="5"/>
        <v>4</v>
      </c>
      <c r="G7" s="41">
        <f t="shared" si="6"/>
        <v>4</v>
      </c>
      <c r="H7" s="41">
        <f t="shared" si="7"/>
        <v>1</v>
      </c>
      <c r="I7" s="42">
        <f t="shared" si="8"/>
        <v>30</v>
      </c>
      <c r="J7" s="209" t="s">
        <v>130</v>
      </c>
      <c r="K7" s="344" t="s">
        <v>36</v>
      </c>
      <c r="L7" s="30" t="s">
        <v>52</v>
      </c>
      <c r="M7" s="164" t="s">
        <v>36</v>
      </c>
      <c r="N7" s="164" t="s">
        <v>36</v>
      </c>
      <c r="O7" s="32" t="s">
        <v>1</v>
      </c>
      <c r="P7" s="32" t="s">
        <v>1</v>
      </c>
      <c r="Q7" s="44" t="s">
        <v>0</v>
      </c>
      <c r="R7" s="216" t="s">
        <v>36</v>
      </c>
      <c r="S7" s="216" t="s">
        <v>36</v>
      </c>
      <c r="T7" s="216" t="s">
        <v>36</v>
      </c>
      <c r="U7" s="53" t="s">
        <v>3</v>
      </c>
      <c r="V7" s="44" t="s">
        <v>52</v>
      </c>
      <c r="W7" s="164" t="s">
        <v>36</v>
      </c>
      <c r="X7" s="164" t="s">
        <v>36</v>
      </c>
      <c r="Y7" s="44" t="s">
        <v>0</v>
      </c>
      <c r="Z7" s="32" t="s">
        <v>1</v>
      </c>
      <c r="AA7" s="32" t="s">
        <v>1</v>
      </c>
      <c r="AB7" s="32" t="s">
        <v>1</v>
      </c>
      <c r="AC7" s="32" t="s">
        <v>1</v>
      </c>
      <c r="AD7" s="32" t="s">
        <v>1</v>
      </c>
      <c r="AE7" s="44" t="s">
        <v>0</v>
      </c>
      <c r="AF7" s="53" t="s">
        <v>3</v>
      </c>
      <c r="AG7" s="30" t="s">
        <v>52</v>
      </c>
      <c r="AH7" s="30" t="s">
        <v>52</v>
      </c>
      <c r="AI7" s="30" t="s">
        <v>53</v>
      </c>
      <c r="AJ7" s="164" t="s">
        <v>36</v>
      </c>
      <c r="AK7" s="121">
        <v>2</v>
      </c>
      <c r="AL7" s="30" t="s">
        <v>0</v>
      </c>
      <c r="AM7" s="348" t="s">
        <v>41</v>
      </c>
      <c r="AN7" s="348" t="s">
        <v>41</v>
      </c>
      <c r="AO7" s="4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128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2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1</v>
      </c>
      <c r="I8" s="42">
        <f t="shared" si="8"/>
        <v>30</v>
      </c>
      <c r="J8" s="209" t="s">
        <v>132</v>
      </c>
      <c r="K8" s="49" t="s">
        <v>3</v>
      </c>
      <c r="L8" s="30" t="s">
        <v>3</v>
      </c>
      <c r="M8" s="121">
        <v>1</v>
      </c>
      <c r="N8" s="30" t="s">
        <v>3</v>
      </c>
      <c r="O8" s="121">
        <v>1</v>
      </c>
      <c r="P8" s="44" t="s">
        <v>52</v>
      </c>
      <c r="Q8" s="44" t="s">
        <v>0</v>
      </c>
      <c r="R8" s="30" t="s">
        <v>3</v>
      </c>
      <c r="S8" s="30" t="s">
        <v>3</v>
      </c>
      <c r="T8" s="30" t="s">
        <v>3</v>
      </c>
      <c r="U8" s="30" t="s">
        <v>3</v>
      </c>
      <c r="V8" s="30" t="s">
        <v>3</v>
      </c>
      <c r="W8" s="44" t="s">
        <v>52</v>
      </c>
      <c r="X8" s="44" t="s">
        <v>0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53</v>
      </c>
      <c r="AD8" s="44" t="s">
        <v>52</v>
      </c>
      <c r="AE8" s="44" t="s">
        <v>0</v>
      </c>
      <c r="AF8" s="30" t="s">
        <v>3</v>
      </c>
      <c r="AG8" s="30" t="s">
        <v>3</v>
      </c>
      <c r="AH8" s="30" t="s">
        <v>3</v>
      </c>
      <c r="AI8" s="30" t="s">
        <v>3</v>
      </c>
      <c r="AJ8" s="30" t="s">
        <v>3</v>
      </c>
      <c r="AK8" s="44" t="s">
        <v>52</v>
      </c>
      <c r="AL8" s="44" t="s">
        <v>0</v>
      </c>
      <c r="AM8" s="30" t="s">
        <v>3</v>
      </c>
      <c r="AN8" s="48" t="s">
        <v>3</v>
      </c>
      <c r="AO8" s="4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133</v>
      </c>
    </row>
    <row r="9" spans="1:224" s="50" customFormat="1" ht="24.75" customHeight="1">
      <c r="A9" s="38">
        <f t="shared" si="0"/>
        <v>11</v>
      </c>
      <c r="B9" s="39">
        <f t="shared" si="1"/>
        <v>3</v>
      </c>
      <c r="C9" s="40">
        <f t="shared" si="2"/>
        <v>0</v>
      </c>
      <c r="D9" s="39">
        <f t="shared" si="3"/>
        <v>6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1</v>
      </c>
      <c r="I9" s="42">
        <f t="shared" si="8"/>
        <v>30</v>
      </c>
      <c r="J9" s="209" t="s">
        <v>4</v>
      </c>
      <c r="K9" s="335" t="s">
        <v>5</v>
      </c>
      <c r="L9" s="30" t="s">
        <v>3</v>
      </c>
      <c r="M9" s="164" t="s">
        <v>36</v>
      </c>
      <c r="N9" s="164" t="s">
        <v>36</v>
      </c>
      <c r="O9" s="32" t="s">
        <v>52</v>
      </c>
      <c r="P9" s="121">
        <v>2</v>
      </c>
      <c r="Q9" s="30">
        <v>2</v>
      </c>
      <c r="R9" s="30" t="s">
        <v>52</v>
      </c>
      <c r="S9" s="30" t="s">
        <v>3</v>
      </c>
      <c r="T9" s="164" t="s">
        <v>36</v>
      </c>
      <c r="U9" s="164" t="s">
        <v>36</v>
      </c>
      <c r="V9" s="30" t="s">
        <v>3</v>
      </c>
      <c r="W9" s="121">
        <v>2</v>
      </c>
      <c r="X9" s="44" t="s">
        <v>0</v>
      </c>
      <c r="Y9" s="30" t="s">
        <v>53</v>
      </c>
      <c r="Z9" s="164" t="s">
        <v>36</v>
      </c>
      <c r="AA9" s="30" t="s">
        <v>3</v>
      </c>
      <c r="AB9" s="53" t="s">
        <v>3</v>
      </c>
      <c r="AC9" s="32" t="s">
        <v>1</v>
      </c>
      <c r="AD9" s="30" t="s">
        <v>52</v>
      </c>
      <c r="AE9" s="44" t="s">
        <v>0</v>
      </c>
      <c r="AF9" s="164" t="s">
        <v>36</v>
      </c>
      <c r="AG9" s="164" t="s">
        <v>36</v>
      </c>
      <c r="AH9" s="164" t="s">
        <v>36</v>
      </c>
      <c r="AI9" s="124" t="s">
        <v>5</v>
      </c>
      <c r="AJ9" s="30" t="s">
        <v>3</v>
      </c>
      <c r="AK9" s="44" t="s">
        <v>52</v>
      </c>
      <c r="AL9" s="44" t="s">
        <v>0</v>
      </c>
      <c r="AM9" s="164" t="s">
        <v>36</v>
      </c>
      <c r="AN9" s="290" t="s">
        <v>0</v>
      </c>
      <c r="AO9" s="4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2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2</v>
      </c>
      <c r="E10" s="41">
        <f t="shared" si="4"/>
        <v>3</v>
      </c>
      <c r="F10" s="41">
        <f t="shared" si="5"/>
        <v>4</v>
      </c>
      <c r="G10" s="41">
        <f t="shared" si="6"/>
        <v>4</v>
      </c>
      <c r="H10" s="41">
        <f t="shared" si="7"/>
        <v>1</v>
      </c>
      <c r="I10" s="42">
        <f t="shared" si="8"/>
        <v>30</v>
      </c>
      <c r="J10" s="210" t="s">
        <v>134</v>
      </c>
      <c r="K10" s="163" t="s">
        <v>36</v>
      </c>
      <c r="L10" s="164" t="s">
        <v>36</v>
      </c>
      <c r="M10" s="44" t="s">
        <v>52</v>
      </c>
      <c r="N10" s="32" t="s">
        <v>1</v>
      </c>
      <c r="O10" s="32" t="s">
        <v>1</v>
      </c>
      <c r="P10" s="32" t="s">
        <v>1</v>
      </c>
      <c r="Q10" s="44" t="s">
        <v>0</v>
      </c>
      <c r="R10" s="121">
        <v>1</v>
      </c>
      <c r="S10" s="164" t="s">
        <v>36</v>
      </c>
      <c r="T10" s="30" t="s">
        <v>3</v>
      </c>
      <c r="U10" s="164" t="s">
        <v>36</v>
      </c>
      <c r="V10" s="164" t="s">
        <v>36</v>
      </c>
      <c r="W10" s="164" t="s">
        <v>36</v>
      </c>
      <c r="X10" s="30" t="s">
        <v>0</v>
      </c>
      <c r="Y10" s="136" t="s">
        <v>3</v>
      </c>
      <c r="Z10" s="136" t="s">
        <v>36</v>
      </c>
      <c r="AA10" s="121">
        <v>2</v>
      </c>
      <c r="AB10" s="32" t="s">
        <v>52</v>
      </c>
      <c r="AC10" s="32" t="s">
        <v>53</v>
      </c>
      <c r="AD10" s="44" t="s">
        <v>52</v>
      </c>
      <c r="AE10" s="44" t="s">
        <v>0</v>
      </c>
      <c r="AF10" s="216" t="s">
        <v>36</v>
      </c>
      <c r="AG10" s="216" t="s">
        <v>36</v>
      </c>
      <c r="AH10" s="30" t="s">
        <v>0</v>
      </c>
      <c r="AI10" s="164" t="s">
        <v>52</v>
      </c>
      <c r="AJ10" s="121">
        <v>1</v>
      </c>
      <c r="AK10" s="164" t="s">
        <v>36</v>
      </c>
      <c r="AL10" s="164" t="s">
        <v>36</v>
      </c>
      <c r="AM10" s="164" t="s">
        <v>36</v>
      </c>
      <c r="AN10" s="327" t="s">
        <v>36</v>
      </c>
      <c r="AO10" s="4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5.2" customHeight="1">
      <c r="A11" s="38">
        <f t="shared" si="0"/>
        <v>18</v>
      </c>
      <c r="B11" s="39">
        <f t="shared" si="1"/>
        <v>0</v>
      </c>
      <c r="C11" s="40">
        <f t="shared" si="2"/>
        <v>0</v>
      </c>
      <c r="D11" s="39">
        <f t="shared" si="3"/>
        <v>2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1</v>
      </c>
      <c r="I11" s="42">
        <f t="shared" si="8"/>
        <v>30</v>
      </c>
      <c r="J11" s="209" t="s">
        <v>6</v>
      </c>
      <c r="K11" s="163" t="s">
        <v>36</v>
      </c>
      <c r="L11" s="164" t="s">
        <v>36</v>
      </c>
      <c r="M11" s="164" t="s">
        <v>36</v>
      </c>
      <c r="N11" s="124" t="s">
        <v>5</v>
      </c>
      <c r="O11" s="32" t="s">
        <v>0</v>
      </c>
      <c r="P11" s="30" t="s">
        <v>36</v>
      </c>
      <c r="Q11" s="30" t="s">
        <v>36</v>
      </c>
      <c r="R11" s="164" t="s">
        <v>52</v>
      </c>
      <c r="S11" s="164" t="s">
        <v>36</v>
      </c>
      <c r="T11" s="30" t="s">
        <v>3</v>
      </c>
      <c r="U11" s="124" t="s">
        <v>5</v>
      </c>
      <c r="V11" s="30" t="s">
        <v>0</v>
      </c>
      <c r="W11" s="44" t="s">
        <v>52</v>
      </c>
      <c r="X11" s="44" t="s">
        <v>53</v>
      </c>
      <c r="Y11" s="121">
        <v>1</v>
      </c>
      <c r="Z11" s="30" t="s">
        <v>3</v>
      </c>
      <c r="AA11" s="164" t="s">
        <v>36</v>
      </c>
      <c r="AB11" s="124" t="s">
        <v>5</v>
      </c>
      <c r="AC11" s="44" t="s">
        <v>52</v>
      </c>
      <c r="AD11" s="121">
        <v>1</v>
      </c>
      <c r="AE11" s="30" t="s">
        <v>36</v>
      </c>
      <c r="AF11" s="164" t="s">
        <v>36</v>
      </c>
      <c r="AG11" s="164" t="s">
        <v>36</v>
      </c>
      <c r="AH11" s="30" t="s">
        <v>36</v>
      </c>
      <c r="AI11" s="164" t="s">
        <v>36</v>
      </c>
      <c r="AJ11" s="30" t="s">
        <v>0</v>
      </c>
      <c r="AK11" s="44" t="s">
        <v>52</v>
      </c>
      <c r="AL11" s="32" t="s">
        <v>1</v>
      </c>
      <c r="AM11" s="30" t="s">
        <v>0</v>
      </c>
      <c r="AN11" s="30">
        <v>1</v>
      </c>
      <c r="AO11" s="45">
        <v>0</v>
      </c>
      <c r="AP11" s="46">
        <f t="shared" si="9"/>
        <v>0</v>
      </c>
      <c r="AQ11" s="46">
        <v>0</v>
      </c>
      <c r="AR11" s="41">
        <f t="shared" si="10"/>
        <v>0</v>
      </c>
      <c r="AS11" s="329" t="s">
        <v>126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-1</v>
      </c>
      <c r="AV11" s="6">
        <v>5</v>
      </c>
      <c r="AW11" s="6">
        <f t="shared" si="12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14</v>
      </c>
      <c r="B12" s="39">
        <f t="shared" si="1"/>
        <v>2</v>
      </c>
      <c r="C12" s="40">
        <f t="shared" si="2"/>
        <v>0</v>
      </c>
      <c r="D12" s="39">
        <f t="shared" si="3"/>
        <v>2</v>
      </c>
      <c r="E12" s="41">
        <f t="shared" si="4"/>
        <v>3</v>
      </c>
      <c r="F12" s="41">
        <f t="shared" si="5"/>
        <v>4</v>
      </c>
      <c r="G12" s="41">
        <f t="shared" si="6"/>
        <v>4</v>
      </c>
      <c r="H12" s="41">
        <f t="shared" si="7"/>
        <v>1</v>
      </c>
      <c r="I12" s="42">
        <f t="shared" si="8"/>
        <v>30</v>
      </c>
      <c r="J12" s="209" t="s">
        <v>135</v>
      </c>
      <c r="K12" s="32" t="s">
        <v>1</v>
      </c>
      <c r="L12" s="164" t="s">
        <v>36</v>
      </c>
      <c r="M12" s="164" t="s">
        <v>36</v>
      </c>
      <c r="N12" s="30" t="s">
        <v>52</v>
      </c>
      <c r="O12" s="164" t="s">
        <v>36</v>
      </c>
      <c r="P12" s="30">
        <v>2</v>
      </c>
      <c r="Q12" s="121">
        <v>2</v>
      </c>
      <c r="R12" s="30" t="s">
        <v>0</v>
      </c>
      <c r="S12" s="164" t="s">
        <v>36</v>
      </c>
      <c r="T12" s="216">
        <v>1</v>
      </c>
      <c r="U12" s="164" t="s">
        <v>36</v>
      </c>
      <c r="V12" s="164" t="s">
        <v>36</v>
      </c>
      <c r="W12" s="44" t="s">
        <v>53</v>
      </c>
      <c r="X12" s="44" t="s">
        <v>0</v>
      </c>
      <c r="Y12" s="164" t="s">
        <v>36</v>
      </c>
      <c r="Z12" s="121">
        <v>1</v>
      </c>
      <c r="AA12" s="121">
        <v>1</v>
      </c>
      <c r="AB12" s="164" t="s">
        <v>36</v>
      </c>
      <c r="AC12" s="32" t="s">
        <v>52</v>
      </c>
      <c r="AD12" s="30" t="s">
        <v>0</v>
      </c>
      <c r="AE12" s="164" t="s">
        <v>36</v>
      </c>
      <c r="AF12" s="121">
        <v>1</v>
      </c>
      <c r="AG12" s="30" t="s">
        <v>3</v>
      </c>
      <c r="AH12" s="30" t="s">
        <v>52</v>
      </c>
      <c r="AI12" s="164" t="s">
        <v>36</v>
      </c>
      <c r="AJ12" s="30" t="s">
        <v>3</v>
      </c>
      <c r="AK12" s="44" t="s">
        <v>52</v>
      </c>
      <c r="AL12" s="32" t="s">
        <v>1</v>
      </c>
      <c r="AM12" s="32" t="s">
        <v>1</v>
      </c>
      <c r="AN12" s="123" t="s">
        <v>0</v>
      </c>
      <c r="AO12" s="45">
        <v>0</v>
      </c>
      <c r="AP12" s="46">
        <f t="shared" si="9"/>
        <v>0</v>
      </c>
      <c r="AQ12" s="46">
        <v>0</v>
      </c>
      <c r="AR12" s="41">
        <f t="shared" si="10"/>
        <v>0</v>
      </c>
      <c r="AS12" s="329" t="s">
        <v>128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 t="shared" si="0"/>
        <v>13</v>
      </c>
      <c r="B13" s="39">
        <f t="shared" si="1"/>
        <v>0</v>
      </c>
      <c r="C13" s="40">
        <f t="shared" si="2"/>
        <v>0</v>
      </c>
      <c r="D13" s="39">
        <f t="shared" si="3"/>
        <v>6</v>
      </c>
      <c r="E13" s="41">
        <f t="shared" si="4"/>
        <v>2</v>
      </c>
      <c r="F13" s="41">
        <f t="shared" si="5"/>
        <v>4</v>
      </c>
      <c r="G13" s="41">
        <f t="shared" si="6"/>
        <v>4</v>
      </c>
      <c r="H13" s="41">
        <f t="shared" si="7"/>
        <v>1</v>
      </c>
      <c r="I13" s="42">
        <f t="shared" si="8"/>
        <v>30</v>
      </c>
      <c r="J13" s="210" t="s">
        <v>136</v>
      </c>
      <c r="K13" s="122" t="s">
        <v>0</v>
      </c>
      <c r="L13" s="124" t="s">
        <v>58</v>
      </c>
      <c r="M13" s="216" t="s">
        <v>36</v>
      </c>
      <c r="N13" s="164" t="s">
        <v>36</v>
      </c>
      <c r="O13" s="122" t="s">
        <v>52</v>
      </c>
      <c r="P13" s="121">
        <v>1</v>
      </c>
      <c r="Q13" s="121">
        <v>1</v>
      </c>
      <c r="R13" s="164" t="s">
        <v>36</v>
      </c>
      <c r="S13" s="53" t="s">
        <v>3</v>
      </c>
      <c r="T13" s="30" t="s">
        <v>52</v>
      </c>
      <c r="U13" s="30" t="s">
        <v>3</v>
      </c>
      <c r="V13" s="124" t="s">
        <v>58</v>
      </c>
      <c r="W13" s="44" t="s">
        <v>53</v>
      </c>
      <c r="X13" s="44" t="s">
        <v>0</v>
      </c>
      <c r="Y13" s="216" t="s">
        <v>36</v>
      </c>
      <c r="Z13" s="124" t="s">
        <v>58</v>
      </c>
      <c r="AA13" s="32" t="s">
        <v>1</v>
      </c>
      <c r="AB13" s="30" t="s">
        <v>3</v>
      </c>
      <c r="AC13" s="30" t="s">
        <v>0</v>
      </c>
      <c r="AD13" s="30" t="s">
        <v>52</v>
      </c>
      <c r="AE13" s="121">
        <v>1</v>
      </c>
      <c r="AF13" s="53" t="s">
        <v>3</v>
      </c>
      <c r="AG13" s="30" t="s">
        <v>3</v>
      </c>
      <c r="AH13" s="30" t="s">
        <v>3</v>
      </c>
      <c r="AI13" s="164" t="s">
        <v>36</v>
      </c>
      <c r="AJ13" s="124" t="s">
        <v>58</v>
      </c>
      <c r="AK13" s="44" t="s">
        <v>52</v>
      </c>
      <c r="AL13" s="44" t="s">
        <v>0</v>
      </c>
      <c r="AM13" s="124" t="s">
        <v>58</v>
      </c>
      <c r="AN13" s="290" t="s">
        <v>1</v>
      </c>
      <c r="AO13" s="45">
        <v>0</v>
      </c>
      <c r="AP13" s="46">
        <f t="shared" si="9"/>
        <v>0</v>
      </c>
      <c r="AQ13" s="46">
        <v>0</v>
      </c>
      <c r="AR13" s="41">
        <f t="shared" si="10"/>
        <v>0</v>
      </c>
      <c r="AS13" s="329" t="s">
        <v>126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0</v>
      </c>
      <c r="AV13" s="6">
        <v>4</v>
      </c>
      <c r="AW13" s="6">
        <f t="shared" si="12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5" customHeight="1">
      <c r="A14" s="38">
        <f t="shared" si="0"/>
        <v>0</v>
      </c>
      <c r="B14" s="39">
        <f t="shared" si="1"/>
        <v>12</v>
      </c>
      <c r="C14" s="40">
        <f t="shared" si="2"/>
        <v>5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1</v>
      </c>
      <c r="I14" s="42">
        <f t="shared" si="8"/>
        <v>30</v>
      </c>
      <c r="J14" s="211" t="s">
        <v>7</v>
      </c>
      <c r="K14" s="200">
        <v>2</v>
      </c>
      <c r="L14" s="121">
        <v>2</v>
      </c>
      <c r="M14" s="32" t="s">
        <v>52</v>
      </c>
      <c r="N14" s="30">
        <v>2</v>
      </c>
      <c r="O14" s="121">
        <v>2</v>
      </c>
      <c r="P14" s="44" t="s">
        <v>0</v>
      </c>
      <c r="Q14" s="121">
        <v>3</v>
      </c>
      <c r="R14" s="32" t="s">
        <v>0</v>
      </c>
      <c r="S14" s="53" t="s">
        <v>3</v>
      </c>
      <c r="T14" s="121">
        <v>2</v>
      </c>
      <c r="U14" s="121">
        <v>2</v>
      </c>
      <c r="V14" s="30" t="s">
        <v>52</v>
      </c>
      <c r="W14" s="121">
        <v>3</v>
      </c>
      <c r="X14" s="121">
        <v>3</v>
      </c>
      <c r="Y14" s="121">
        <v>2</v>
      </c>
      <c r="Z14" s="121">
        <v>2</v>
      </c>
      <c r="AA14" s="30" t="s">
        <v>0</v>
      </c>
      <c r="AB14" s="53" t="s">
        <v>3</v>
      </c>
      <c r="AC14" s="121">
        <v>2</v>
      </c>
      <c r="AD14" s="44" t="s">
        <v>0</v>
      </c>
      <c r="AE14" s="30" t="s">
        <v>53</v>
      </c>
      <c r="AF14" s="53" t="s">
        <v>3</v>
      </c>
      <c r="AG14" s="32" t="s">
        <v>1</v>
      </c>
      <c r="AH14" s="32" t="s">
        <v>52</v>
      </c>
      <c r="AI14" s="121">
        <v>2</v>
      </c>
      <c r="AJ14" s="41" t="s">
        <v>52</v>
      </c>
      <c r="AK14" s="30">
        <v>3</v>
      </c>
      <c r="AL14" s="30">
        <v>3</v>
      </c>
      <c r="AM14" s="121" t="s">
        <v>38</v>
      </c>
      <c r="AN14" s="126" t="s">
        <v>38</v>
      </c>
      <c r="AO14" s="45">
        <v>0</v>
      </c>
      <c r="AP14" s="46">
        <f t="shared" si="9"/>
        <v>0</v>
      </c>
      <c r="AQ14" s="46">
        <v>0</v>
      </c>
      <c r="AR14" s="41">
        <f t="shared" si="10"/>
        <v>0</v>
      </c>
      <c r="AS14" s="329" t="s">
        <v>128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10</v>
      </c>
      <c r="B15" s="39">
        <f t="shared" si="1"/>
        <v>2</v>
      </c>
      <c r="C15" s="40">
        <f t="shared" si="2"/>
        <v>0</v>
      </c>
      <c r="D15" s="39">
        <f t="shared" si="3"/>
        <v>7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1</v>
      </c>
      <c r="I15" s="42">
        <f t="shared" si="8"/>
        <v>30</v>
      </c>
      <c r="J15" s="209" t="s">
        <v>8</v>
      </c>
      <c r="K15" s="336" t="s">
        <v>3</v>
      </c>
      <c r="L15" s="164" t="s">
        <v>36</v>
      </c>
      <c r="M15" s="30" t="s">
        <v>52</v>
      </c>
      <c r="N15" s="124" t="s">
        <v>58</v>
      </c>
      <c r="O15" s="216" t="s">
        <v>36</v>
      </c>
      <c r="P15" s="164" t="s">
        <v>36</v>
      </c>
      <c r="Q15" s="164" t="s">
        <v>36</v>
      </c>
      <c r="R15" s="30" t="s">
        <v>0</v>
      </c>
      <c r="S15" s="53" t="s">
        <v>3</v>
      </c>
      <c r="T15" s="53" t="s">
        <v>3</v>
      </c>
      <c r="U15" s="124" t="s">
        <v>58</v>
      </c>
      <c r="V15" s="121">
        <v>2</v>
      </c>
      <c r="W15" s="44" t="s">
        <v>52</v>
      </c>
      <c r="X15" s="44" t="s">
        <v>53</v>
      </c>
      <c r="Y15" s="32" t="s">
        <v>1</v>
      </c>
      <c r="Z15" s="30" t="s">
        <v>0</v>
      </c>
      <c r="AA15" s="30" t="s">
        <v>52</v>
      </c>
      <c r="AB15" s="124" t="s">
        <v>58</v>
      </c>
      <c r="AC15" s="164" t="s">
        <v>36</v>
      </c>
      <c r="AD15" s="164" t="s">
        <v>36</v>
      </c>
      <c r="AE15" s="30" t="s">
        <v>0</v>
      </c>
      <c r="AF15" s="53" t="s">
        <v>3</v>
      </c>
      <c r="AG15" s="53" t="s">
        <v>3</v>
      </c>
      <c r="AH15" s="30" t="s">
        <v>3</v>
      </c>
      <c r="AI15" s="124" t="s">
        <v>58</v>
      </c>
      <c r="AJ15" s="121">
        <v>2</v>
      </c>
      <c r="AK15" s="44" t="s">
        <v>52</v>
      </c>
      <c r="AL15" s="44" t="s">
        <v>0</v>
      </c>
      <c r="AM15" s="30" t="s">
        <v>3</v>
      </c>
      <c r="AN15" s="290" t="s">
        <v>1</v>
      </c>
      <c r="AO15" s="45">
        <v>0</v>
      </c>
      <c r="AP15" s="46">
        <f t="shared" si="9"/>
        <v>0</v>
      </c>
      <c r="AQ15" s="46">
        <v>0</v>
      </c>
      <c r="AR15" s="41">
        <f t="shared" si="10"/>
        <v>0</v>
      </c>
      <c r="AS15" s="329" t="s">
        <v>126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5</v>
      </c>
      <c r="AW15" s="6">
        <f t="shared" ref="AW15:AW18" si="13">AU15+AV15</f>
        <v>5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10</v>
      </c>
      <c r="B16" s="39">
        <f t="shared" si="1"/>
        <v>3</v>
      </c>
      <c r="C16" s="40">
        <f t="shared" si="2"/>
        <v>0</v>
      </c>
      <c r="D16" s="39">
        <f t="shared" si="3"/>
        <v>5</v>
      </c>
      <c r="E16" s="41">
        <f t="shared" si="4"/>
        <v>3</v>
      </c>
      <c r="F16" s="41">
        <f t="shared" si="5"/>
        <v>4</v>
      </c>
      <c r="G16" s="41">
        <f t="shared" si="6"/>
        <v>4</v>
      </c>
      <c r="H16" s="41">
        <f t="shared" si="7"/>
        <v>1</v>
      </c>
      <c r="I16" s="42">
        <f t="shared" si="8"/>
        <v>30</v>
      </c>
      <c r="J16" s="212" t="s">
        <v>93</v>
      </c>
      <c r="K16" s="163" t="s">
        <v>36</v>
      </c>
      <c r="L16" s="124" t="s">
        <v>5</v>
      </c>
      <c r="M16" s="124">
        <v>2</v>
      </c>
      <c r="N16" s="121">
        <v>2</v>
      </c>
      <c r="O16" s="164" t="s">
        <v>0</v>
      </c>
      <c r="P16" s="30" t="s">
        <v>52</v>
      </c>
      <c r="Q16" s="30">
        <v>1</v>
      </c>
      <c r="R16" s="30" t="s">
        <v>3</v>
      </c>
      <c r="S16" s="124" t="s">
        <v>5</v>
      </c>
      <c r="T16" s="32" t="s">
        <v>0</v>
      </c>
      <c r="U16" s="53" t="s">
        <v>3</v>
      </c>
      <c r="V16" s="30" t="s">
        <v>3</v>
      </c>
      <c r="W16" s="44" t="s">
        <v>52</v>
      </c>
      <c r="X16" s="44" t="s">
        <v>53</v>
      </c>
      <c r="Y16" s="32" t="s">
        <v>1</v>
      </c>
      <c r="Z16" s="32" t="s">
        <v>1</v>
      </c>
      <c r="AA16" s="32" t="s">
        <v>52</v>
      </c>
      <c r="AB16" s="53" t="s">
        <v>3</v>
      </c>
      <c r="AC16" s="216" t="s">
        <v>36</v>
      </c>
      <c r="AD16" s="164" t="s">
        <v>36</v>
      </c>
      <c r="AE16" s="121">
        <v>2</v>
      </c>
      <c r="AF16" s="30" t="s">
        <v>0</v>
      </c>
      <c r="AG16" s="124" t="s">
        <v>5</v>
      </c>
      <c r="AH16" s="53" t="s">
        <v>3</v>
      </c>
      <c r="AI16" s="285">
        <v>1</v>
      </c>
      <c r="AJ16" s="32" t="s">
        <v>1</v>
      </c>
      <c r="AK16" s="44" t="s">
        <v>52</v>
      </c>
      <c r="AL16" s="44" t="s">
        <v>0</v>
      </c>
      <c r="AM16" s="164" t="s">
        <v>36</v>
      </c>
      <c r="AN16" s="125" t="s">
        <v>5</v>
      </c>
      <c r="AO16" s="45">
        <v>0</v>
      </c>
      <c r="AP16" s="46">
        <f t="shared" si="9"/>
        <v>0</v>
      </c>
      <c r="AQ16" s="46">
        <v>0</v>
      </c>
      <c r="AR16" s="41">
        <f t="shared" si="10"/>
        <v>0</v>
      </c>
      <c r="AS16" s="329" t="s">
        <v>128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 thickBot="1">
      <c r="A17" s="54">
        <f t="shared" si="0"/>
        <v>4</v>
      </c>
      <c r="B17" s="55">
        <f t="shared" si="1"/>
        <v>7</v>
      </c>
      <c r="C17" s="56">
        <f t="shared" si="2"/>
        <v>4</v>
      </c>
      <c r="D17" s="55">
        <f t="shared" si="3"/>
        <v>4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1</v>
      </c>
      <c r="I17" s="57">
        <f>SUM(A17:H17)</f>
        <v>30</v>
      </c>
      <c r="J17" s="209" t="s">
        <v>9</v>
      </c>
      <c r="K17" s="336" t="s">
        <v>3</v>
      </c>
      <c r="L17" s="53" t="s">
        <v>3</v>
      </c>
      <c r="M17" s="30">
        <v>2</v>
      </c>
      <c r="N17" s="30" t="s">
        <v>52</v>
      </c>
      <c r="O17" s="121">
        <v>3</v>
      </c>
      <c r="P17" s="121">
        <v>3</v>
      </c>
      <c r="Q17" s="30" t="s">
        <v>0</v>
      </c>
      <c r="R17" s="121">
        <v>2</v>
      </c>
      <c r="S17" s="121">
        <v>2</v>
      </c>
      <c r="T17" s="30" t="s">
        <v>38</v>
      </c>
      <c r="U17" s="30" t="s">
        <v>38</v>
      </c>
      <c r="V17" s="44" t="s">
        <v>52</v>
      </c>
      <c r="W17" s="52" t="s">
        <v>1</v>
      </c>
      <c r="X17" s="44" t="s">
        <v>0</v>
      </c>
      <c r="Y17" s="160" t="s">
        <v>40</v>
      </c>
      <c r="Z17" s="171" t="s">
        <v>40</v>
      </c>
      <c r="AA17" s="30" t="s">
        <v>0</v>
      </c>
      <c r="AB17" s="53" t="s">
        <v>3</v>
      </c>
      <c r="AC17" s="164" t="s">
        <v>36</v>
      </c>
      <c r="AD17" s="124">
        <v>2</v>
      </c>
      <c r="AE17" s="30">
        <v>2</v>
      </c>
      <c r="AF17" s="30" t="s">
        <v>52</v>
      </c>
      <c r="AG17" s="30" t="s">
        <v>53</v>
      </c>
      <c r="AH17" s="121">
        <v>1</v>
      </c>
      <c r="AI17" s="53" t="s">
        <v>3</v>
      </c>
      <c r="AJ17" s="32" t="s">
        <v>1</v>
      </c>
      <c r="AK17" s="44" t="s">
        <v>52</v>
      </c>
      <c r="AL17" s="44" t="s">
        <v>0</v>
      </c>
      <c r="AM17" s="164" t="s">
        <v>36</v>
      </c>
      <c r="AN17" s="48" t="s">
        <v>36</v>
      </c>
      <c r="AO17" s="45">
        <v>0</v>
      </c>
      <c r="AP17" s="46">
        <f t="shared" si="9"/>
        <v>0</v>
      </c>
      <c r="AQ17" s="46">
        <v>0</v>
      </c>
      <c r="AR17" s="41">
        <f>SUM(AO17:AQ17)</f>
        <v>0</v>
      </c>
      <c r="AS17" s="329" t="s">
        <v>126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5</v>
      </c>
      <c r="AW17" s="6">
        <f t="shared" si="13"/>
        <v>5</v>
      </c>
    </row>
    <row r="18" spans="1:224" ht="25.5" customHeight="1" thickBot="1">
      <c r="A18" s="38">
        <f t="shared" si="0"/>
        <v>9</v>
      </c>
      <c r="B18" s="39">
        <f t="shared" si="1"/>
        <v>2</v>
      </c>
      <c r="C18" s="40">
        <f t="shared" si="2"/>
        <v>0</v>
      </c>
      <c r="D18" s="39">
        <f t="shared" si="3"/>
        <v>2</v>
      </c>
      <c r="E18" s="41">
        <f t="shared" si="4"/>
        <v>8</v>
      </c>
      <c r="F18" s="41">
        <f t="shared" si="5"/>
        <v>4</v>
      </c>
      <c r="G18" s="41">
        <f t="shared" si="6"/>
        <v>4</v>
      </c>
      <c r="H18" s="41">
        <f t="shared" si="7"/>
        <v>1</v>
      </c>
      <c r="I18" s="42">
        <f t="shared" ref="I18" si="14">SUM(A18:H18)</f>
        <v>30</v>
      </c>
      <c r="J18" s="224" t="s">
        <v>137</v>
      </c>
      <c r="K18" s="186" t="s">
        <v>52</v>
      </c>
      <c r="L18" s="52" t="s">
        <v>1</v>
      </c>
      <c r="M18" s="52" t="s">
        <v>1</v>
      </c>
      <c r="N18" s="52" t="s">
        <v>1</v>
      </c>
      <c r="O18" s="52" t="s">
        <v>1</v>
      </c>
      <c r="P18" s="309" t="s">
        <v>1</v>
      </c>
      <c r="Q18" s="59" t="s">
        <v>0</v>
      </c>
      <c r="R18" s="52" t="s">
        <v>1</v>
      </c>
      <c r="S18" s="52" t="s">
        <v>1</v>
      </c>
      <c r="T18" s="60" t="s">
        <v>52</v>
      </c>
      <c r="U18" s="337" t="s">
        <v>3</v>
      </c>
      <c r="V18" s="199">
        <v>1</v>
      </c>
      <c r="W18" s="199">
        <v>1</v>
      </c>
      <c r="X18" s="199">
        <v>1</v>
      </c>
      <c r="Y18" s="337" t="s">
        <v>36</v>
      </c>
      <c r="Z18" s="60" t="s">
        <v>0</v>
      </c>
      <c r="AA18" s="222" t="s">
        <v>36</v>
      </c>
      <c r="AB18" s="60">
        <v>2</v>
      </c>
      <c r="AC18" s="52" t="s">
        <v>52</v>
      </c>
      <c r="AD18" s="59" t="s">
        <v>53</v>
      </c>
      <c r="AE18" s="59" t="s">
        <v>0</v>
      </c>
      <c r="AF18" s="182" t="s">
        <v>3</v>
      </c>
      <c r="AG18" s="337" t="s">
        <v>36</v>
      </c>
      <c r="AH18" s="222" t="s">
        <v>36</v>
      </c>
      <c r="AI18" s="41" t="s">
        <v>52</v>
      </c>
      <c r="AJ18" s="337" t="s">
        <v>36</v>
      </c>
      <c r="AK18" s="32" t="s">
        <v>1</v>
      </c>
      <c r="AL18" s="199">
        <v>2</v>
      </c>
      <c r="AM18" s="60" t="s">
        <v>0</v>
      </c>
      <c r="AN18" s="345" t="s">
        <v>36</v>
      </c>
      <c r="AO18" s="73">
        <v>0</v>
      </c>
      <c r="AP18" s="74">
        <f t="shared" si="9"/>
        <v>0</v>
      </c>
      <c r="AQ18" s="74">
        <v>0</v>
      </c>
      <c r="AR18" s="63">
        <f t="shared" ref="AR18" si="15">SUM(AO18:AQ18)</f>
        <v>0</v>
      </c>
      <c r="AS18" s="330" t="s">
        <v>128</v>
      </c>
      <c r="AU18" s="6" cm="2">
        <f t="array" ref="AU18">SUMPRODUCT(COUNTIF(P18:Q18,{"X";"Y";"Z";"S"}))+SUMPRODUCT(COUNTIF(W18:X18,{"X";"Y";"Z";"S"}))+SUMPRODUCT(COUNTIF(AD18:AE18,{"X";"Y";"Z";"S"}))+SUMPRODUCT(COUNTIF(AK18:AL18,{"X";"Y";"Z";"S"}))-5</f>
        <v>0</v>
      </c>
      <c r="AV18" s="6">
        <v>2</v>
      </c>
      <c r="AW18" s="6">
        <f t="shared" si="13"/>
        <v>2</v>
      </c>
    </row>
    <row r="19" spans="1:224" s="50" customFormat="1" ht="25.5" customHeight="1">
      <c r="A19" s="23">
        <f>COUNTIF(K19:AN19,1)+COUNTIF(K19:AN19,"早")+COUNTIF(K19:AN19,"M1")+COUNTIF(K19:AN19,"T早")+COUNTIF(K19:AN19,"日")</f>
        <v>2</v>
      </c>
      <c r="B19" s="24">
        <f>COUNTIF(K19:AN19,2)+COUNTIF(K19:AN19,"中")+COUNTIF(K19:AN19,"M2")+COUNTIF(K19:AN19,"T中")+COUNTIF(K19:AN19,"小夜")</f>
        <v>17</v>
      </c>
      <c r="C19" s="25">
        <f>COUNTIF(K19:AN19,3)+COUNTIF(K19:AN19,"晚")+COUNTIF(K19:AN19,"大夜")</f>
        <v>0</v>
      </c>
      <c r="D19" s="24">
        <f>COUNTIF(K19:AN19,"N")+COUNTIF(K19:AN19,"N8")</f>
        <v>0</v>
      </c>
      <c r="E19" s="26">
        <f>COUNTIF(K19:AN19,"S")</f>
        <v>2</v>
      </c>
      <c r="F19" s="26">
        <f>COUNTIF(K19:AN19,"X")</f>
        <v>4</v>
      </c>
      <c r="G19" s="26">
        <f>COUNTIF(K19:AN19,"Y")</f>
        <v>4</v>
      </c>
      <c r="H19" s="26">
        <f>COUNTIF(K19:AN19,"Z")</f>
        <v>1</v>
      </c>
      <c r="I19" s="27">
        <f t="shared" si="8"/>
        <v>30</v>
      </c>
      <c r="J19" s="189" t="s">
        <v>10</v>
      </c>
      <c r="K19" s="326" t="s">
        <v>52</v>
      </c>
      <c r="L19" s="316" t="s">
        <v>1</v>
      </c>
      <c r="M19" s="316" t="s">
        <v>1</v>
      </c>
      <c r="N19" s="316" t="s">
        <v>0</v>
      </c>
      <c r="O19" s="164">
        <v>2</v>
      </c>
      <c r="P19" s="339">
        <v>2</v>
      </c>
      <c r="Q19" s="164">
        <v>2</v>
      </c>
      <c r="R19" s="164" t="s">
        <v>0</v>
      </c>
      <c r="S19" s="164" t="s">
        <v>52</v>
      </c>
      <c r="T19" s="164">
        <v>1</v>
      </c>
      <c r="U19" s="164">
        <v>2</v>
      </c>
      <c r="V19" s="164">
        <v>2</v>
      </c>
      <c r="W19" s="339">
        <v>2</v>
      </c>
      <c r="X19" s="164">
        <v>2</v>
      </c>
      <c r="Y19" s="164" t="s">
        <v>52</v>
      </c>
      <c r="Z19" s="164">
        <v>2</v>
      </c>
      <c r="AA19" s="164">
        <v>2</v>
      </c>
      <c r="AB19" s="164">
        <v>2</v>
      </c>
      <c r="AC19" s="164">
        <v>2</v>
      </c>
      <c r="AD19" s="339">
        <v>2</v>
      </c>
      <c r="AE19" s="316" t="s">
        <v>0</v>
      </c>
      <c r="AF19" s="316" t="s">
        <v>53</v>
      </c>
      <c r="AG19" s="316" t="s">
        <v>52</v>
      </c>
      <c r="AH19" s="164">
        <v>1</v>
      </c>
      <c r="AI19" s="164">
        <v>2</v>
      </c>
      <c r="AJ19" s="164">
        <v>2</v>
      </c>
      <c r="AK19" s="164">
        <v>2</v>
      </c>
      <c r="AL19" s="164">
        <v>2</v>
      </c>
      <c r="AM19" s="164" t="s">
        <v>0</v>
      </c>
      <c r="AN19" s="168">
        <v>2</v>
      </c>
      <c r="AO19" s="166">
        <v>0</v>
      </c>
      <c r="AP19" s="167">
        <f t="shared" si="9"/>
        <v>0</v>
      </c>
      <c r="AQ19" s="167">
        <v>0</v>
      </c>
      <c r="AR19" s="331">
        <f t="shared" si="10"/>
        <v>0</v>
      </c>
      <c r="AS19" s="332" t="s">
        <v>128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7</v>
      </c>
      <c r="B20" s="39">
        <f t="shared" si="1"/>
        <v>7</v>
      </c>
      <c r="C20" s="40">
        <f t="shared" si="2"/>
        <v>0</v>
      </c>
      <c r="D20" s="39">
        <f t="shared" si="3"/>
        <v>1</v>
      </c>
      <c r="E20" s="41">
        <f t="shared" si="4"/>
        <v>6</v>
      </c>
      <c r="F20" s="41">
        <f t="shared" si="5"/>
        <v>4</v>
      </c>
      <c r="G20" s="41">
        <f t="shared" si="6"/>
        <v>4</v>
      </c>
      <c r="H20" s="41">
        <f t="shared" si="7"/>
        <v>1</v>
      </c>
      <c r="I20" s="42">
        <f t="shared" si="8"/>
        <v>30</v>
      </c>
      <c r="J20" s="190" t="s">
        <v>11</v>
      </c>
      <c r="K20" s="122" t="s">
        <v>1</v>
      </c>
      <c r="L20" s="32" t="s">
        <v>1</v>
      </c>
      <c r="M20" s="30" t="s">
        <v>38</v>
      </c>
      <c r="N20" s="30" t="s">
        <v>38</v>
      </c>
      <c r="O20" s="30" t="s">
        <v>38</v>
      </c>
      <c r="P20" s="44" t="s">
        <v>52</v>
      </c>
      <c r="Q20" s="32" t="s">
        <v>1</v>
      </c>
      <c r="R20" s="32" t="s">
        <v>1</v>
      </c>
      <c r="S20" s="32" t="s">
        <v>1</v>
      </c>
      <c r="T20" s="44" t="s">
        <v>0</v>
      </c>
      <c r="U20" s="30">
        <v>2</v>
      </c>
      <c r="V20" s="30">
        <v>2</v>
      </c>
      <c r="W20" s="30" t="s">
        <v>38</v>
      </c>
      <c r="X20" s="30" t="s">
        <v>38</v>
      </c>
      <c r="Y20" s="32" t="s">
        <v>52</v>
      </c>
      <c r="Z20" s="32" t="s">
        <v>53</v>
      </c>
      <c r="AA20" s="164" t="s">
        <v>36</v>
      </c>
      <c r="AB20" s="164" t="s">
        <v>36</v>
      </c>
      <c r="AC20" s="32" t="s">
        <v>1</v>
      </c>
      <c r="AD20" s="44" t="s">
        <v>52</v>
      </c>
      <c r="AE20" s="44" t="s">
        <v>0</v>
      </c>
      <c r="AF20" s="164" t="s">
        <v>36</v>
      </c>
      <c r="AG20" s="164" t="s">
        <v>36</v>
      </c>
      <c r="AH20" s="53" t="s">
        <v>3</v>
      </c>
      <c r="AI20" s="30" t="s">
        <v>0</v>
      </c>
      <c r="AJ20" s="30" t="s">
        <v>52</v>
      </c>
      <c r="AK20" s="30">
        <v>1</v>
      </c>
      <c r="AL20" s="30">
        <v>1</v>
      </c>
      <c r="AM20" s="30" t="s">
        <v>0</v>
      </c>
      <c r="AN20" s="327" t="s">
        <v>36</v>
      </c>
      <c r="AO20" s="45">
        <v>0</v>
      </c>
      <c r="AP20" s="46">
        <f t="shared" si="9"/>
        <v>0</v>
      </c>
      <c r="AQ20" s="46">
        <v>0</v>
      </c>
      <c r="AR20" s="41">
        <f t="shared" si="10"/>
        <v>0</v>
      </c>
      <c r="AS20" s="329" t="s">
        <v>128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5</v>
      </c>
      <c r="B21" s="39">
        <f t="shared" si="1"/>
        <v>11</v>
      </c>
      <c r="C21" s="40">
        <f t="shared" si="2"/>
        <v>2</v>
      </c>
      <c r="D21" s="39">
        <f t="shared" si="3"/>
        <v>2</v>
      </c>
      <c r="E21" s="41">
        <f t="shared" si="4"/>
        <v>1</v>
      </c>
      <c r="F21" s="41">
        <f t="shared" si="5"/>
        <v>4</v>
      </c>
      <c r="G21" s="41">
        <f t="shared" si="6"/>
        <v>4</v>
      </c>
      <c r="H21" s="41">
        <f t="shared" si="7"/>
        <v>1</v>
      </c>
      <c r="I21" s="42">
        <f t="shared" si="8"/>
        <v>30</v>
      </c>
      <c r="J21" s="333" t="s">
        <v>12</v>
      </c>
      <c r="K21" s="49">
        <v>2</v>
      </c>
      <c r="L21" s="30" t="s">
        <v>0</v>
      </c>
      <c r="M21" s="30" t="s">
        <v>38</v>
      </c>
      <c r="N21" s="30">
        <v>2</v>
      </c>
      <c r="O21" s="30">
        <v>2</v>
      </c>
      <c r="P21" s="44" t="s">
        <v>52</v>
      </c>
      <c r="Q21" s="44" t="s">
        <v>0</v>
      </c>
      <c r="R21" s="160" t="s">
        <v>40</v>
      </c>
      <c r="S21" s="160" t="s">
        <v>40</v>
      </c>
      <c r="T21" s="30" t="s">
        <v>0</v>
      </c>
      <c r="U21" s="53" t="s">
        <v>3</v>
      </c>
      <c r="V21" s="164" t="s">
        <v>36</v>
      </c>
      <c r="W21" s="164" t="s">
        <v>36</v>
      </c>
      <c r="X21" s="164" t="s">
        <v>36</v>
      </c>
      <c r="Y21" s="164" t="s">
        <v>36</v>
      </c>
      <c r="Z21" s="30" t="s">
        <v>52</v>
      </c>
      <c r="AA21" s="164" t="s">
        <v>36</v>
      </c>
      <c r="AB21" s="53" t="s">
        <v>3</v>
      </c>
      <c r="AC21" s="32" t="s">
        <v>1</v>
      </c>
      <c r="AD21" s="44" t="s">
        <v>53</v>
      </c>
      <c r="AE21" s="44" t="s">
        <v>0</v>
      </c>
      <c r="AF21" s="30" t="s">
        <v>38</v>
      </c>
      <c r="AG21" s="30" t="s">
        <v>38</v>
      </c>
      <c r="AH21" s="30" t="s">
        <v>38</v>
      </c>
      <c r="AI21" s="30" t="s">
        <v>52</v>
      </c>
      <c r="AJ21" s="30" t="s">
        <v>38</v>
      </c>
      <c r="AK21" s="30" t="s">
        <v>38</v>
      </c>
      <c r="AL21" s="30" t="s">
        <v>38</v>
      </c>
      <c r="AM21" s="30" t="s">
        <v>52</v>
      </c>
      <c r="AN21" s="327">
        <v>2</v>
      </c>
      <c r="AO21" s="45">
        <v>0</v>
      </c>
      <c r="AP21" s="46">
        <f t="shared" si="9"/>
        <v>0</v>
      </c>
      <c r="AQ21" s="46">
        <v>0</v>
      </c>
      <c r="AR21" s="41">
        <f t="shared" si="10"/>
        <v>0</v>
      </c>
      <c r="AS21" s="329" t="s">
        <v>126</v>
      </c>
    </row>
    <row r="22" spans="1:224" ht="25.5" customHeight="1">
      <c r="A22" s="38">
        <f t="shared" si="0"/>
        <v>2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1</v>
      </c>
      <c r="I22" s="42">
        <f t="shared" si="8"/>
        <v>30</v>
      </c>
      <c r="J22" s="190" t="s">
        <v>13</v>
      </c>
      <c r="K22" s="49" t="s">
        <v>40</v>
      </c>
      <c r="L22" s="30" t="s">
        <v>40</v>
      </c>
      <c r="M22" s="30" t="s">
        <v>0</v>
      </c>
      <c r="N22" s="30" t="s">
        <v>40</v>
      </c>
      <c r="O22" s="30" t="s">
        <v>40</v>
      </c>
      <c r="P22" s="44" t="s">
        <v>52</v>
      </c>
      <c r="Q22" s="44" t="s">
        <v>53</v>
      </c>
      <c r="R22" s="32" t="s">
        <v>0</v>
      </c>
      <c r="S22" s="160" t="s">
        <v>40</v>
      </c>
      <c r="T22" s="160" t="s">
        <v>40</v>
      </c>
      <c r="U22" s="160" t="s">
        <v>40</v>
      </c>
      <c r="V22" s="160" t="s">
        <v>40</v>
      </c>
      <c r="W22" s="160" t="s">
        <v>40</v>
      </c>
      <c r="X22" s="160" t="s">
        <v>40</v>
      </c>
      <c r="Y22" s="30" t="s">
        <v>52</v>
      </c>
      <c r="Z22" s="160" t="s">
        <v>40</v>
      </c>
      <c r="AA22" s="160" t="s">
        <v>40</v>
      </c>
      <c r="AB22" s="160" t="s">
        <v>40</v>
      </c>
      <c r="AC22" s="30" t="s">
        <v>40</v>
      </c>
      <c r="AD22" s="44" t="s">
        <v>52</v>
      </c>
      <c r="AE22" s="44" t="s">
        <v>0</v>
      </c>
      <c r="AF22" s="160" t="s">
        <v>40</v>
      </c>
      <c r="AG22" s="160" t="s">
        <v>40</v>
      </c>
      <c r="AH22" s="160" t="s">
        <v>40</v>
      </c>
      <c r="AI22" s="160" t="s">
        <v>40</v>
      </c>
      <c r="AJ22" s="41" t="s">
        <v>52</v>
      </c>
      <c r="AK22" s="30" t="s">
        <v>36</v>
      </c>
      <c r="AL22" s="30" t="s">
        <v>36</v>
      </c>
      <c r="AM22" s="30" t="s">
        <v>0</v>
      </c>
      <c r="AN22" s="181" t="s">
        <v>40</v>
      </c>
      <c r="AO22" s="45">
        <v>0</v>
      </c>
      <c r="AP22" s="46">
        <f t="shared" si="9"/>
        <v>0</v>
      </c>
      <c r="AQ22" s="46">
        <v>0</v>
      </c>
      <c r="AR22" s="41">
        <f t="shared" si="10"/>
        <v>0</v>
      </c>
      <c r="AS22" s="329" t="s">
        <v>128</v>
      </c>
    </row>
    <row r="23" spans="1:224" s="50" customFormat="1" ht="25.5" customHeight="1">
      <c r="A23" s="38">
        <f t="shared" si="0"/>
        <v>7</v>
      </c>
      <c r="B23" s="39">
        <f t="shared" si="1"/>
        <v>8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4</v>
      </c>
      <c r="G23" s="41">
        <f t="shared" si="6"/>
        <v>4</v>
      </c>
      <c r="H23" s="41">
        <f t="shared" si="7"/>
        <v>1</v>
      </c>
      <c r="I23" s="42">
        <f t="shared" si="8"/>
        <v>30</v>
      </c>
      <c r="J23" s="301" t="s">
        <v>138</v>
      </c>
      <c r="K23" s="49" t="s">
        <v>0</v>
      </c>
      <c r="L23" s="30">
        <v>2</v>
      </c>
      <c r="M23" s="30">
        <v>2</v>
      </c>
      <c r="N23" s="30" t="s">
        <v>52</v>
      </c>
      <c r="O23" s="164" t="s">
        <v>36</v>
      </c>
      <c r="P23" s="164" t="s">
        <v>36</v>
      </c>
      <c r="Q23" s="164" t="s">
        <v>36</v>
      </c>
      <c r="R23" s="164" t="s">
        <v>36</v>
      </c>
      <c r="S23" s="160" t="s">
        <v>52</v>
      </c>
      <c r="T23" s="160" t="s">
        <v>40</v>
      </c>
      <c r="U23" s="160" t="s">
        <v>40</v>
      </c>
      <c r="V23" s="30" t="s">
        <v>40</v>
      </c>
      <c r="W23" s="44" t="s">
        <v>53</v>
      </c>
      <c r="X23" s="44" t="s">
        <v>0</v>
      </c>
      <c r="Y23" s="30" t="s">
        <v>38</v>
      </c>
      <c r="Z23" s="30" t="s">
        <v>38</v>
      </c>
      <c r="AA23" s="30" t="s">
        <v>38</v>
      </c>
      <c r="AB23" s="30" t="s">
        <v>38</v>
      </c>
      <c r="AC23" s="30" t="s">
        <v>52</v>
      </c>
      <c r="AD23" s="285">
        <v>1</v>
      </c>
      <c r="AE23" s="30">
        <v>1</v>
      </c>
      <c r="AF23" s="164" t="s">
        <v>36</v>
      </c>
      <c r="AG23" s="30" t="s">
        <v>0</v>
      </c>
      <c r="AH23" s="30">
        <v>3</v>
      </c>
      <c r="AI23" s="30">
        <v>3</v>
      </c>
      <c r="AJ23" s="30">
        <v>3</v>
      </c>
      <c r="AK23" s="44" t="s">
        <v>52</v>
      </c>
      <c r="AL23" s="44" t="s">
        <v>0</v>
      </c>
      <c r="AM23" s="30" t="s">
        <v>38</v>
      </c>
      <c r="AN23" s="48" t="s">
        <v>38</v>
      </c>
      <c r="AO23" s="45">
        <v>0</v>
      </c>
      <c r="AP23" s="46">
        <f t="shared" si="9"/>
        <v>0</v>
      </c>
      <c r="AQ23" s="46">
        <v>0</v>
      </c>
      <c r="AR23" s="41">
        <f t="shared" si="10"/>
        <v>0</v>
      </c>
      <c r="AS23" s="329" t="s">
        <v>126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8</v>
      </c>
      <c r="B24" s="39">
        <f t="shared" si="1"/>
        <v>0</v>
      </c>
      <c r="C24" s="40">
        <f t="shared" si="2"/>
        <v>0</v>
      </c>
      <c r="D24" s="39">
        <f t="shared" si="3"/>
        <v>13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1</v>
      </c>
      <c r="I24" s="42">
        <f t="shared" si="8"/>
        <v>30</v>
      </c>
      <c r="J24" s="194" t="s">
        <v>15</v>
      </c>
      <c r="K24" s="49" t="s">
        <v>3</v>
      </c>
      <c r="L24" s="30">
        <v>1</v>
      </c>
      <c r="M24" s="30">
        <v>1</v>
      </c>
      <c r="N24" s="30" t="s">
        <v>3</v>
      </c>
      <c r="O24" s="30" t="s">
        <v>3</v>
      </c>
      <c r="P24" s="44" t="s">
        <v>52</v>
      </c>
      <c r="Q24" s="44" t="s">
        <v>0</v>
      </c>
      <c r="R24" s="30" t="s">
        <v>3</v>
      </c>
      <c r="S24" s="30" t="s">
        <v>3</v>
      </c>
      <c r="T24" s="30" t="s">
        <v>3</v>
      </c>
      <c r="U24" s="30" t="s">
        <v>3</v>
      </c>
      <c r="V24" s="30" t="s">
        <v>3</v>
      </c>
      <c r="W24" s="44" t="s">
        <v>52</v>
      </c>
      <c r="X24" s="44" t="s">
        <v>0</v>
      </c>
      <c r="Y24" s="30">
        <v>1</v>
      </c>
      <c r="Z24" s="30">
        <v>1</v>
      </c>
      <c r="AA24" s="30">
        <v>1</v>
      </c>
      <c r="AB24" s="30" t="s">
        <v>3</v>
      </c>
      <c r="AC24" s="44" t="s">
        <v>53</v>
      </c>
      <c r="AD24" s="44" t="s">
        <v>52</v>
      </c>
      <c r="AE24" s="44" t="s">
        <v>0</v>
      </c>
      <c r="AF24" s="30" t="s">
        <v>3</v>
      </c>
      <c r="AG24" s="30">
        <v>1</v>
      </c>
      <c r="AH24" s="53" t="s">
        <v>3</v>
      </c>
      <c r="AI24" s="30" t="s">
        <v>3</v>
      </c>
      <c r="AJ24" s="30" t="s">
        <v>3</v>
      </c>
      <c r="AK24" s="44" t="s">
        <v>52</v>
      </c>
      <c r="AL24" s="44" t="s">
        <v>0</v>
      </c>
      <c r="AM24" s="30">
        <v>1</v>
      </c>
      <c r="AN24" s="48">
        <v>1</v>
      </c>
      <c r="AO24" s="45">
        <v>0</v>
      </c>
      <c r="AP24" s="46">
        <f t="shared" si="9"/>
        <v>0</v>
      </c>
      <c r="AQ24" s="46">
        <v>0</v>
      </c>
      <c r="AR24" s="41">
        <f t="shared" si="10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4" s="50" customFormat="1" ht="25.5" customHeight="1">
      <c r="A25" s="38">
        <f t="shared" si="0"/>
        <v>3</v>
      </c>
      <c r="B25" s="39">
        <f t="shared" si="1"/>
        <v>11</v>
      </c>
      <c r="C25" s="40">
        <f t="shared" si="2"/>
        <v>7</v>
      </c>
      <c r="D25" s="39">
        <f t="shared" si="3"/>
        <v>0</v>
      </c>
      <c r="E25" s="41">
        <f t="shared" si="4"/>
        <v>0</v>
      </c>
      <c r="F25" s="41">
        <f t="shared" si="5"/>
        <v>4</v>
      </c>
      <c r="G25" s="41">
        <f t="shared" si="6"/>
        <v>4</v>
      </c>
      <c r="H25" s="41">
        <f t="shared" si="7"/>
        <v>1</v>
      </c>
      <c r="I25" s="42">
        <f t="shared" si="8"/>
        <v>30</v>
      </c>
      <c r="J25" s="194" t="s">
        <v>16</v>
      </c>
      <c r="K25" s="122" t="s">
        <v>52</v>
      </c>
      <c r="L25" s="160" t="s">
        <v>40</v>
      </c>
      <c r="M25" s="160" t="s">
        <v>40</v>
      </c>
      <c r="N25" s="160" t="s">
        <v>40</v>
      </c>
      <c r="O25" s="30">
        <v>3</v>
      </c>
      <c r="P25" s="30">
        <v>3</v>
      </c>
      <c r="Q25" s="30" t="s">
        <v>0</v>
      </c>
      <c r="R25" s="30">
        <v>2</v>
      </c>
      <c r="S25" s="30" t="s">
        <v>38</v>
      </c>
      <c r="T25" s="30" t="s">
        <v>38</v>
      </c>
      <c r="U25" s="30" t="s">
        <v>38</v>
      </c>
      <c r="V25" s="30" t="s">
        <v>38</v>
      </c>
      <c r="W25" s="44" t="s">
        <v>52</v>
      </c>
      <c r="X25" s="44" t="s">
        <v>0</v>
      </c>
      <c r="Y25" s="32" t="s">
        <v>53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38</v>
      </c>
      <c r="AE25" s="30" t="s">
        <v>38</v>
      </c>
      <c r="AF25" s="30">
        <v>2</v>
      </c>
      <c r="AG25" s="30" t="s">
        <v>0</v>
      </c>
      <c r="AH25" s="164" t="s">
        <v>36</v>
      </c>
      <c r="AI25" s="164" t="s">
        <v>36</v>
      </c>
      <c r="AJ25" s="164" t="s">
        <v>36</v>
      </c>
      <c r="AK25" s="44" t="s">
        <v>52</v>
      </c>
      <c r="AL25" s="44" t="s">
        <v>0</v>
      </c>
      <c r="AM25" s="30" t="s">
        <v>40</v>
      </c>
      <c r="AN25" s="48" t="s">
        <v>40</v>
      </c>
      <c r="AO25" s="45">
        <v>0</v>
      </c>
      <c r="AP25" s="46">
        <f t="shared" si="9"/>
        <v>0</v>
      </c>
      <c r="AQ25" s="46">
        <v>0</v>
      </c>
      <c r="AR25" s="41">
        <f t="shared" si="10"/>
        <v>0</v>
      </c>
      <c r="AS25" s="329" t="s">
        <v>126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20</v>
      </c>
      <c r="B26" s="39">
        <f t="shared" si="1"/>
        <v>0</v>
      </c>
      <c r="C26" s="40">
        <f t="shared" si="2"/>
        <v>0</v>
      </c>
      <c r="D26" s="39">
        <f t="shared" si="3"/>
        <v>0</v>
      </c>
      <c r="E26" s="41">
        <f t="shared" si="4"/>
        <v>1</v>
      </c>
      <c r="F26" s="41">
        <f t="shared" si="5"/>
        <v>4</v>
      </c>
      <c r="G26" s="41">
        <f t="shared" si="6"/>
        <v>4</v>
      </c>
      <c r="H26" s="41">
        <f t="shared" si="7"/>
        <v>1</v>
      </c>
      <c r="I26" s="42">
        <f t="shared" si="8"/>
        <v>30</v>
      </c>
      <c r="J26" s="193" t="s">
        <v>17</v>
      </c>
      <c r="K26" s="49">
        <v>1</v>
      </c>
      <c r="L26" s="30">
        <v>1</v>
      </c>
      <c r="M26" s="30" t="s">
        <v>0</v>
      </c>
      <c r="N26" s="30">
        <v>1</v>
      </c>
      <c r="O26" s="30">
        <v>1</v>
      </c>
      <c r="P26" s="44" t="s">
        <v>52</v>
      </c>
      <c r="Q26" s="44" t="s">
        <v>53</v>
      </c>
      <c r="R26" s="30">
        <v>1</v>
      </c>
      <c r="S26" s="30">
        <v>1</v>
      </c>
      <c r="T26" s="30" t="s">
        <v>52</v>
      </c>
      <c r="U26" s="30">
        <v>1</v>
      </c>
      <c r="V26" s="30">
        <v>1</v>
      </c>
      <c r="W26" s="30">
        <v>1</v>
      </c>
      <c r="X26" s="285">
        <v>1</v>
      </c>
      <c r="Y26" s="30">
        <v>1</v>
      </c>
      <c r="Z26" s="30" t="s">
        <v>0</v>
      </c>
      <c r="AA26" s="30">
        <v>1</v>
      </c>
      <c r="AB26" s="285">
        <v>1</v>
      </c>
      <c r="AC26" s="30">
        <v>1</v>
      </c>
      <c r="AD26" s="44" t="s">
        <v>52</v>
      </c>
      <c r="AE26" s="44" t="s">
        <v>0</v>
      </c>
      <c r="AF26" s="30">
        <v>1</v>
      </c>
      <c r="AG26" s="30">
        <v>1</v>
      </c>
      <c r="AH26" s="30">
        <v>1</v>
      </c>
      <c r="AI26" s="30" t="s">
        <v>0</v>
      </c>
      <c r="AJ26" s="30" t="s">
        <v>52</v>
      </c>
      <c r="AK26" s="30">
        <v>1</v>
      </c>
      <c r="AL26" s="285">
        <v>1</v>
      </c>
      <c r="AM26" s="30">
        <v>1</v>
      </c>
      <c r="AN26" s="32" t="s">
        <v>1</v>
      </c>
      <c r="AO26" s="45">
        <v>0</v>
      </c>
      <c r="AP26" s="46">
        <f t="shared" si="9"/>
        <v>0</v>
      </c>
      <c r="AQ26" s="46">
        <v>0</v>
      </c>
      <c r="AR26" s="41">
        <f t="shared" si="10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7" customHeight="1">
      <c r="A27" s="38">
        <f t="shared" si="0"/>
        <v>4</v>
      </c>
      <c r="B27" s="39">
        <f t="shared" si="1"/>
        <v>5</v>
      </c>
      <c r="C27" s="40">
        <f t="shared" si="2"/>
        <v>7</v>
      </c>
      <c r="D27" s="39">
        <f t="shared" si="3"/>
        <v>0</v>
      </c>
      <c r="E27" s="41">
        <f t="shared" si="4"/>
        <v>5</v>
      </c>
      <c r="F27" s="41">
        <f t="shared" si="5"/>
        <v>4</v>
      </c>
      <c r="G27" s="41">
        <f t="shared" si="6"/>
        <v>4</v>
      </c>
      <c r="H27" s="41">
        <f t="shared" si="7"/>
        <v>1</v>
      </c>
      <c r="I27" s="42">
        <f t="shared" si="8"/>
        <v>30</v>
      </c>
      <c r="J27" s="194" t="s">
        <v>139</v>
      </c>
      <c r="K27" s="122" t="s">
        <v>1</v>
      </c>
      <c r="L27" s="32" t="s">
        <v>1</v>
      </c>
      <c r="M27" s="32" t="s">
        <v>1</v>
      </c>
      <c r="N27" s="32" t="s">
        <v>1</v>
      </c>
      <c r="O27" s="32" t="s">
        <v>1</v>
      </c>
      <c r="P27" s="44" t="s">
        <v>52</v>
      </c>
      <c r="Q27" s="44" t="s">
        <v>0</v>
      </c>
      <c r="R27" s="30" t="s">
        <v>0</v>
      </c>
      <c r="S27" s="30">
        <v>2</v>
      </c>
      <c r="T27" s="30">
        <v>2</v>
      </c>
      <c r="U27" s="44" t="s">
        <v>0</v>
      </c>
      <c r="V27" s="30">
        <v>3</v>
      </c>
      <c r="W27" s="30">
        <v>2</v>
      </c>
      <c r="X27" s="30">
        <v>2</v>
      </c>
      <c r="Y27" s="30">
        <v>2</v>
      </c>
      <c r="Z27" s="30" t="s">
        <v>52</v>
      </c>
      <c r="AA27" s="30" t="s">
        <v>53</v>
      </c>
      <c r="AB27" s="30">
        <v>1</v>
      </c>
      <c r="AC27" s="30">
        <v>1</v>
      </c>
      <c r="AD27" s="285">
        <v>1</v>
      </c>
      <c r="AE27" s="30">
        <v>1</v>
      </c>
      <c r="AF27" s="30" t="s">
        <v>52</v>
      </c>
      <c r="AG27" s="30">
        <v>3</v>
      </c>
      <c r="AH27" s="30">
        <v>3</v>
      </c>
      <c r="AI27" s="30">
        <v>3</v>
      </c>
      <c r="AJ27" s="30">
        <v>3</v>
      </c>
      <c r="AK27" s="44" t="s">
        <v>52</v>
      </c>
      <c r="AL27" s="44" t="s">
        <v>0</v>
      </c>
      <c r="AM27" s="30">
        <v>3</v>
      </c>
      <c r="AN27" s="48">
        <v>3</v>
      </c>
      <c r="AO27" s="45">
        <v>0</v>
      </c>
      <c r="AP27" s="46">
        <f t="shared" si="9"/>
        <v>0</v>
      </c>
      <c r="AQ27" s="46">
        <v>0</v>
      </c>
      <c r="AR27" s="41">
        <f t="shared" si="10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5" customHeight="1">
      <c r="A28" s="38">
        <f t="shared" si="0"/>
        <v>9</v>
      </c>
      <c r="B28" s="39">
        <f t="shared" si="1"/>
        <v>1</v>
      </c>
      <c r="C28" s="40">
        <f t="shared" si="2"/>
        <v>11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1</v>
      </c>
      <c r="I28" s="42">
        <f t="shared" si="8"/>
        <v>30</v>
      </c>
      <c r="J28" s="194" t="s">
        <v>140</v>
      </c>
      <c r="K28" s="49">
        <v>1</v>
      </c>
      <c r="L28" s="30" t="s">
        <v>52</v>
      </c>
      <c r="M28" s="30">
        <v>1</v>
      </c>
      <c r="N28" s="30">
        <v>1</v>
      </c>
      <c r="O28" s="30">
        <v>1</v>
      </c>
      <c r="P28" s="30">
        <v>1</v>
      </c>
      <c r="Q28" s="30" t="s">
        <v>0</v>
      </c>
      <c r="R28" s="30">
        <v>3</v>
      </c>
      <c r="S28" s="30">
        <v>3</v>
      </c>
      <c r="T28" s="30">
        <v>3</v>
      </c>
      <c r="U28" s="30">
        <v>3</v>
      </c>
      <c r="V28" s="30">
        <v>3</v>
      </c>
      <c r="W28" s="44" t="s">
        <v>52</v>
      </c>
      <c r="X28" s="44" t="s">
        <v>0</v>
      </c>
      <c r="Y28" s="30">
        <v>3</v>
      </c>
      <c r="Z28" s="30">
        <v>3</v>
      </c>
      <c r="AA28" s="30">
        <v>3</v>
      </c>
      <c r="AB28" s="30">
        <v>3</v>
      </c>
      <c r="AC28" s="30" t="s">
        <v>52</v>
      </c>
      <c r="AD28" s="44" t="s">
        <v>53</v>
      </c>
      <c r="AE28" s="44" t="s">
        <v>0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>
        <v>2</v>
      </c>
      <c r="AN28" s="48" t="s">
        <v>52</v>
      </c>
      <c r="AO28" s="62">
        <v>0</v>
      </c>
      <c r="AP28" s="46">
        <f t="shared" si="9"/>
        <v>0</v>
      </c>
      <c r="AQ28" s="46">
        <v>0</v>
      </c>
      <c r="AR28" s="41">
        <f t="shared" si="10"/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4</v>
      </c>
      <c r="B29" s="39">
        <f t="shared" si="1"/>
        <v>9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1</v>
      </c>
      <c r="I29" s="42">
        <f t="shared" si="8"/>
        <v>30</v>
      </c>
      <c r="J29" s="194" t="s">
        <v>19</v>
      </c>
      <c r="K29" s="49">
        <v>3</v>
      </c>
      <c r="L29" s="30">
        <v>3</v>
      </c>
      <c r="M29" s="30">
        <v>3</v>
      </c>
      <c r="N29" s="46">
        <v>3</v>
      </c>
      <c r="O29" s="30" t="s">
        <v>0</v>
      </c>
      <c r="P29" s="44" t="s">
        <v>52</v>
      </c>
      <c r="Q29" s="44" t="s">
        <v>53</v>
      </c>
      <c r="R29" s="30">
        <v>2</v>
      </c>
      <c r="S29" s="30">
        <v>2</v>
      </c>
      <c r="T29" s="30">
        <v>2</v>
      </c>
      <c r="U29" s="30" t="s">
        <v>0</v>
      </c>
      <c r="V29" s="30">
        <v>1</v>
      </c>
      <c r="W29" s="285">
        <v>1</v>
      </c>
      <c r="X29" s="30">
        <v>1</v>
      </c>
      <c r="Y29" s="30" t="s">
        <v>52</v>
      </c>
      <c r="Z29" s="30">
        <v>3</v>
      </c>
      <c r="AA29" s="30">
        <v>3</v>
      </c>
      <c r="AB29" s="30">
        <v>3</v>
      </c>
      <c r="AC29" s="30">
        <v>3</v>
      </c>
      <c r="AD29" s="44" t="s">
        <v>52</v>
      </c>
      <c r="AE29" s="44" t="s">
        <v>0</v>
      </c>
      <c r="AF29" s="30">
        <v>1</v>
      </c>
      <c r="AG29" s="30">
        <v>2</v>
      </c>
      <c r="AH29" s="30">
        <v>2</v>
      </c>
      <c r="AI29" s="30" t="s">
        <v>52</v>
      </c>
      <c r="AJ29" s="30">
        <v>2</v>
      </c>
      <c r="AK29" s="41">
        <v>2</v>
      </c>
      <c r="AL29" s="46">
        <v>2</v>
      </c>
      <c r="AM29" s="46">
        <v>2</v>
      </c>
      <c r="AN29" s="48" t="s">
        <v>0</v>
      </c>
      <c r="AO29" s="62">
        <v>0</v>
      </c>
      <c r="AP29" s="46">
        <f t="shared" si="9"/>
        <v>0</v>
      </c>
      <c r="AQ29" s="46">
        <v>0</v>
      </c>
      <c r="AR29" s="41">
        <f t="shared" si="10"/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si="0"/>
        <v>3</v>
      </c>
      <c r="B30" s="39">
        <f t="shared" si="1"/>
        <v>5</v>
      </c>
      <c r="C30" s="40">
        <f t="shared" si="2"/>
        <v>7</v>
      </c>
      <c r="D30" s="39">
        <f t="shared" si="3"/>
        <v>0</v>
      </c>
      <c r="E30" s="41">
        <f t="shared" si="4"/>
        <v>6</v>
      </c>
      <c r="F30" s="41">
        <f t="shared" si="5"/>
        <v>4</v>
      </c>
      <c r="G30" s="41">
        <f t="shared" si="6"/>
        <v>4</v>
      </c>
      <c r="H30" s="41">
        <f t="shared" si="7"/>
        <v>1</v>
      </c>
      <c r="I30" s="42">
        <f>SUM(A30:H30)</f>
        <v>30</v>
      </c>
      <c r="J30" s="194" t="s">
        <v>20</v>
      </c>
      <c r="K30" s="122" t="s">
        <v>1</v>
      </c>
      <c r="L30" s="32" t="s">
        <v>1</v>
      </c>
      <c r="M30" s="32" t="s">
        <v>1</v>
      </c>
      <c r="N30" s="32" t="s">
        <v>1</v>
      </c>
      <c r="O30" s="32" t="s">
        <v>1</v>
      </c>
      <c r="P30" s="30" t="s">
        <v>52</v>
      </c>
      <c r="Q30" s="30">
        <v>3</v>
      </c>
      <c r="R30" s="30">
        <v>3</v>
      </c>
      <c r="S30" s="30">
        <v>3</v>
      </c>
      <c r="T30" s="30">
        <v>3</v>
      </c>
      <c r="U30" s="30">
        <v>3</v>
      </c>
      <c r="V30" s="30" t="s">
        <v>52</v>
      </c>
      <c r="W30" s="44" t="s">
        <v>53</v>
      </c>
      <c r="X30" s="44" t="s">
        <v>0</v>
      </c>
      <c r="Y30" s="30" t="s">
        <v>0</v>
      </c>
      <c r="Z30" s="30">
        <v>1</v>
      </c>
      <c r="AA30" s="30">
        <v>2</v>
      </c>
      <c r="AB30" s="30" t="s">
        <v>52</v>
      </c>
      <c r="AC30" s="30">
        <v>1</v>
      </c>
      <c r="AD30" s="285">
        <v>2</v>
      </c>
      <c r="AE30" s="30">
        <v>2</v>
      </c>
      <c r="AF30" s="30">
        <v>2</v>
      </c>
      <c r="AG30" s="30">
        <v>2</v>
      </c>
      <c r="AH30" s="30" t="s">
        <v>0</v>
      </c>
      <c r="AI30" s="32" t="s">
        <v>1</v>
      </c>
      <c r="AJ30" s="30">
        <v>1</v>
      </c>
      <c r="AK30" s="44" t="s">
        <v>52</v>
      </c>
      <c r="AL30" s="44" t="s">
        <v>0</v>
      </c>
      <c r="AM30" s="30">
        <v>3</v>
      </c>
      <c r="AN30" s="48">
        <v>3</v>
      </c>
      <c r="AO30" s="62">
        <v>0</v>
      </c>
      <c r="AP30" s="46">
        <f t="shared" si="9"/>
        <v>0</v>
      </c>
      <c r="AQ30" s="46">
        <v>0</v>
      </c>
      <c r="AR30" s="41">
        <f>SUM(AO30:AQ30)</f>
        <v>0</v>
      </c>
      <c r="AS30" s="329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 thickBot="1">
      <c r="A31" s="54">
        <f t="shared" si="0"/>
        <v>6</v>
      </c>
      <c r="B31" s="55">
        <f t="shared" si="1"/>
        <v>4</v>
      </c>
      <c r="C31" s="56">
        <f t="shared" si="2"/>
        <v>11</v>
      </c>
      <c r="D31" s="55">
        <f t="shared" si="3"/>
        <v>0</v>
      </c>
      <c r="E31" s="17">
        <f t="shared" si="4"/>
        <v>0</v>
      </c>
      <c r="F31" s="17">
        <f t="shared" si="5"/>
        <v>4</v>
      </c>
      <c r="G31" s="17">
        <f t="shared" si="6"/>
        <v>4</v>
      </c>
      <c r="H31" s="17">
        <f t="shared" si="7"/>
        <v>1</v>
      </c>
      <c r="I31" s="57">
        <f t="shared" si="8"/>
        <v>30</v>
      </c>
      <c r="J31" s="195" t="s">
        <v>21</v>
      </c>
      <c r="K31" s="180">
        <v>3</v>
      </c>
      <c r="L31" s="160">
        <v>3</v>
      </c>
      <c r="M31" s="160">
        <v>3</v>
      </c>
      <c r="N31" s="160">
        <v>3</v>
      </c>
      <c r="O31" s="160" t="s">
        <v>52</v>
      </c>
      <c r="P31" s="160">
        <v>1</v>
      </c>
      <c r="Q31" s="160">
        <v>1</v>
      </c>
      <c r="R31" s="160">
        <v>1</v>
      </c>
      <c r="S31" s="160">
        <v>1</v>
      </c>
      <c r="T31" s="160">
        <v>1</v>
      </c>
      <c r="U31" s="160">
        <v>1</v>
      </c>
      <c r="V31" s="160" t="s">
        <v>52</v>
      </c>
      <c r="W31" s="162" t="s">
        <v>53</v>
      </c>
      <c r="X31" s="162" t="s">
        <v>0</v>
      </c>
      <c r="Y31" s="160">
        <v>3</v>
      </c>
      <c r="Z31" s="160">
        <v>3</v>
      </c>
      <c r="AA31" s="160">
        <v>3</v>
      </c>
      <c r="AB31" s="160">
        <v>3</v>
      </c>
      <c r="AC31" s="161" t="s">
        <v>52</v>
      </c>
      <c r="AD31" s="342">
        <v>3</v>
      </c>
      <c r="AE31" s="160">
        <v>3</v>
      </c>
      <c r="AF31" s="160">
        <v>3</v>
      </c>
      <c r="AG31" s="160" t="s">
        <v>0</v>
      </c>
      <c r="AH31" s="160">
        <v>2</v>
      </c>
      <c r="AI31" s="160">
        <v>2</v>
      </c>
      <c r="AJ31" s="161" t="s">
        <v>52</v>
      </c>
      <c r="AK31" s="162" t="s">
        <v>0</v>
      </c>
      <c r="AL31" s="162" t="s">
        <v>0</v>
      </c>
      <c r="AM31" s="160">
        <v>2</v>
      </c>
      <c r="AN31" s="181">
        <v>2</v>
      </c>
      <c r="AO31" s="142">
        <v>0</v>
      </c>
      <c r="AP31" s="74">
        <f t="shared" si="9"/>
        <v>0</v>
      </c>
      <c r="AQ31" s="74">
        <v>0</v>
      </c>
      <c r="AR31" s="63">
        <f t="shared" si="10"/>
        <v>0</v>
      </c>
      <c r="AS31" s="330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23">
        <f t="shared" si="0"/>
        <v>3</v>
      </c>
      <c r="B32" s="24">
        <f t="shared" si="1"/>
        <v>0</v>
      </c>
      <c r="C32" s="25">
        <f t="shared" si="2"/>
        <v>16</v>
      </c>
      <c r="D32" s="24">
        <f t="shared" si="3"/>
        <v>0</v>
      </c>
      <c r="E32" s="26">
        <f t="shared" si="4"/>
        <v>2</v>
      </c>
      <c r="F32" s="26">
        <f t="shared" si="5"/>
        <v>4</v>
      </c>
      <c r="G32" s="26">
        <f t="shared" si="6"/>
        <v>4</v>
      </c>
      <c r="H32" s="26">
        <f t="shared" si="7"/>
        <v>1</v>
      </c>
      <c r="I32" s="27">
        <f t="shared" si="8"/>
        <v>30</v>
      </c>
      <c r="J32" s="189" t="s">
        <v>22</v>
      </c>
      <c r="K32" s="28" t="s">
        <v>40</v>
      </c>
      <c r="L32" s="29" t="s">
        <v>0</v>
      </c>
      <c r="M32" s="29" t="s">
        <v>40</v>
      </c>
      <c r="N32" s="29" t="s">
        <v>40</v>
      </c>
      <c r="O32" s="29" t="s">
        <v>40</v>
      </c>
      <c r="P32" s="31" t="s">
        <v>52</v>
      </c>
      <c r="Q32" s="33" t="s">
        <v>1</v>
      </c>
      <c r="R32" s="29" t="s">
        <v>36</v>
      </c>
      <c r="S32" s="29" t="s">
        <v>36</v>
      </c>
      <c r="T32" s="29" t="s">
        <v>36</v>
      </c>
      <c r="U32" s="29" t="s">
        <v>52</v>
      </c>
      <c r="V32" s="29" t="s">
        <v>40</v>
      </c>
      <c r="W32" s="29" t="s">
        <v>40</v>
      </c>
      <c r="X32" s="29" t="s">
        <v>40</v>
      </c>
      <c r="Y32" s="29" t="s">
        <v>40</v>
      </c>
      <c r="Z32" s="29" t="s">
        <v>52</v>
      </c>
      <c r="AA32" s="29" t="s">
        <v>40</v>
      </c>
      <c r="AB32" s="29" t="s">
        <v>40</v>
      </c>
      <c r="AC32" s="33" t="s">
        <v>154</v>
      </c>
      <c r="AD32" s="31" t="s">
        <v>53</v>
      </c>
      <c r="AE32" s="31" t="s">
        <v>0</v>
      </c>
      <c r="AF32" s="33" t="s">
        <v>156</v>
      </c>
      <c r="AG32" s="29" t="s">
        <v>40</v>
      </c>
      <c r="AH32" s="29" t="s">
        <v>40</v>
      </c>
      <c r="AI32" s="29" t="s">
        <v>40</v>
      </c>
      <c r="AJ32" s="29" t="s">
        <v>40</v>
      </c>
      <c r="AK32" s="29" t="s">
        <v>40</v>
      </c>
      <c r="AL32" s="29" t="s">
        <v>40</v>
      </c>
      <c r="AM32" s="33" t="s">
        <v>52</v>
      </c>
      <c r="AN32" s="135" t="s">
        <v>0</v>
      </c>
      <c r="AO32" s="338">
        <v>0</v>
      </c>
      <c r="AP32" s="167">
        <f t="shared" si="9"/>
        <v>0</v>
      </c>
      <c r="AQ32" s="167">
        <v>0</v>
      </c>
      <c r="AR32" s="331">
        <f t="shared" si="10"/>
        <v>0</v>
      </c>
      <c r="AS32" s="332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7.75" customHeight="1">
      <c r="A33" s="38">
        <f t="shared" si="0"/>
        <v>0</v>
      </c>
      <c r="B33" s="39">
        <f t="shared" si="1"/>
        <v>17</v>
      </c>
      <c r="C33" s="40">
        <f t="shared" si="2"/>
        <v>4</v>
      </c>
      <c r="D33" s="39">
        <f t="shared" si="3"/>
        <v>0</v>
      </c>
      <c r="E33" s="41">
        <f t="shared" si="4"/>
        <v>0</v>
      </c>
      <c r="F33" s="41">
        <f t="shared" si="5"/>
        <v>4</v>
      </c>
      <c r="G33" s="41">
        <f t="shared" si="6"/>
        <v>4</v>
      </c>
      <c r="H33" s="41">
        <f t="shared" si="7"/>
        <v>1</v>
      </c>
      <c r="I33" s="42">
        <f t="shared" si="8"/>
        <v>30</v>
      </c>
      <c r="J33" s="193" t="s">
        <v>23</v>
      </c>
      <c r="K33" s="49" t="s">
        <v>38</v>
      </c>
      <c r="L33" s="30" t="s">
        <v>38</v>
      </c>
      <c r="M33" s="30" t="s">
        <v>0</v>
      </c>
      <c r="N33" s="30" t="s">
        <v>38</v>
      </c>
      <c r="O33" s="30" t="s">
        <v>38</v>
      </c>
      <c r="P33" s="44" t="s">
        <v>52</v>
      </c>
      <c r="Q33" s="44" t="s">
        <v>53</v>
      </c>
      <c r="R33" s="30" t="s">
        <v>38</v>
      </c>
      <c r="S33" s="30" t="s">
        <v>38</v>
      </c>
      <c r="T33" s="30" t="s">
        <v>38</v>
      </c>
      <c r="U33" s="30" t="s">
        <v>38</v>
      </c>
      <c r="V33" s="30" t="s">
        <v>52</v>
      </c>
      <c r="W33" s="30" t="s">
        <v>38</v>
      </c>
      <c r="X33" s="30" t="s">
        <v>38</v>
      </c>
      <c r="Y33" s="30" t="s">
        <v>38</v>
      </c>
      <c r="Z33" s="30" t="s">
        <v>0</v>
      </c>
      <c r="AA33" s="30" t="s">
        <v>38</v>
      </c>
      <c r="AB33" s="30" t="s">
        <v>38</v>
      </c>
      <c r="AC33" s="30" t="s">
        <v>38</v>
      </c>
      <c r="AD33" s="44" t="s">
        <v>52</v>
      </c>
      <c r="AE33" s="44" t="s">
        <v>0</v>
      </c>
      <c r="AF33" s="30" t="s">
        <v>38</v>
      </c>
      <c r="AG33" s="30" t="s">
        <v>38</v>
      </c>
      <c r="AH33" s="30" t="s">
        <v>38</v>
      </c>
      <c r="AI33" s="30" t="s">
        <v>52</v>
      </c>
      <c r="AJ33" s="30" t="s">
        <v>40</v>
      </c>
      <c r="AK33" s="30" t="s">
        <v>40</v>
      </c>
      <c r="AL33" s="30" t="s">
        <v>40</v>
      </c>
      <c r="AM33" s="30" t="s">
        <v>40</v>
      </c>
      <c r="AN33" s="290" t="s">
        <v>0</v>
      </c>
      <c r="AO33" s="45">
        <v>0</v>
      </c>
      <c r="AP33" s="46">
        <f t="shared" si="9"/>
        <v>0</v>
      </c>
      <c r="AQ33" s="46">
        <v>0</v>
      </c>
      <c r="AR33" s="41">
        <f t="shared" si="10"/>
        <v>0</v>
      </c>
      <c r="AS33" s="329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4" s="50" customFormat="1" ht="27.75" customHeight="1">
      <c r="A34" s="38">
        <f t="shared" si="0"/>
        <v>1</v>
      </c>
      <c r="B34" s="39">
        <f t="shared" si="1"/>
        <v>14</v>
      </c>
      <c r="C34" s="40">
        <f t="shared" si="2"/>
        <v>0</v>
      </c>
      <c r="D34" s="39">
        <f t="shared" si="3"/>
        <v>1</v>
      </c>
      <c r="E34" s="41">
        <f t="shared" si="4"/>
        <v>5</v>
      </c>
      <c r="F34" s="41">
        <f t="shared" si="5"/>
        <v>4</v>
      </c>
      <c r="G34" s="41">
        <f t="shared" si="6"/>
        <v>4</v>
      </c>
      <c r="H34" s="41">
        <f t="shared" si="7"/>
        <v>1</v>
      </c>
      <c r="I34" s="42">
        <f t="shared" si="8"/>
        <v>30</v>
      </c>
      <c r="J34" s="193" t="s">
        <v>24</v>
      </c>
      <c r="K34" s="122" t="s">
        <v>1</v>
      </c>
      <c r="L34" s="32" t="s">
        <v>1</v>
      </c>
      <c r="M34" s="32" t="s">
        <v>1</v>
      </c>
      <c r="N34" s="32" t="s">
        <v>52</v>
      </c>
      <c r="O34" s="30" t="s">
        <v>36</v>
      </c>
      <c r="P34" s="30" t="s">
        <v>38</v>
      </c>
      <c r="Q34" s="30" t="s">
        <v>38</v>
      </c>
      <c r="R34" s="30" t="s">
        <v>38</v>
      </c>
      <c r="S34" s="30" t="s">
        <v>38</v>
      </c>
      <c r="T34" s="30" t="s">
        <v>0</v>
      </c>
      <c r="U34" s="53" t="s">
        <v>3</v>
      </c>
      <c r="V34" s="30" t="s">
        <v>38</v>
      </c>
      <c r="W34" s="44" t="s">
        <v>52</v>
      </c>
      <c r="X34" s="44" t="s">
        <v>53</v>
      </c>
      <c r="Y34" s="30" t="s">
        <v>38</v>
      </c>
      <c r="Z34" s="30" t="s">
        <v>38</v>
      </c>
      <c r="AA34" s="30" t="s">
        <v>0</v>
      </c>
      <c r="AB34" s="30" t="s">
        <v>52</v>
      </c>
      <c r="AC34" s="30" t="s">
        <v>38</v>
      </c>
      <c r="AD34" s="30" t="s">
        <v>38</v>
      </c>
      <c r="AE34" s="30" t="s">
        <v>38</v>
      </c>
      <c r="AF34" s="30" t="s">
        <v>38</v>
      </c>
      <c r="AG34" s="30" t="s">
        <v>38</v>
      </c>
      <c r="AH34" s="30" t="s">
        <v>0</v>
      </c>
      <c r="AI34" s="30" t="s">
        <v>38</v>
      </c>
      <c r="AJ34" s="30" t="s">
        <v>38</v>
      </c>
      <c r="AK34" s="44" t="s">
        <v>52</v>
      </c>
      <c r="AL34" s="32" t="s">
        <v>1</v>
      </c>
      <c r="AM34" s="32" t="s">
        <v>1</v>
      </c>
      <c r="AN34" s="123" t="s">
        <v>0</v>
      </c>
      <c r="AO34" s="45">
        <v>0</v>
      </c>
      <c r="AP34" s="46">
        <f t="shared" si="9"/>
        <v>0</v>
      </c>
      <c r="AQ34" s="46">
        <v>0</v>
      </c>
      <c r="AR34" s="41">
        <f t="shared" si="10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4" s="50" customFormat="1" ht="27.6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2</v>
      </c>
      <c r="F35" s="41">
        <f t="shared" si="5"/>
        <v>4</v>
      </c>
      <c r="G35" s="41">
        <f t="shared" si="6"/>
        <v>4</v>
      </c>
      <c r="H35" s="41">
        <f t="shared" si="7"/>
        <v>1</v>
      </c>
      <c r="I35" s="42">
        <f t="shared" si="8"/>
        <v>30</v>
      </c>
      <c r="J35" s="214" t="s">
        <v>25</v>
      </c>
      <c r="K35" s="49" t="s">
        <v>38</v>
      </c>
      <c r="L35" s="30" t="s">
        <v>38</v>
      </c>
      <c r="M35" s="30" t="s">
        <v>38</v>
      </c>
      <c r="N35" s="30" t="s">
        <v>52</v>
      </c>
      <c r="O35" s="30" t="s">
        <v>53</v>
      </c>
      <c r="P35" s="30" t="s">
        <v>26</v>
      </c>
      <c r="Q35" s="30" t="s">
        <v>38</v>
      </c>
      <c r="R35" s="30" t="s">
        <v>38</v>
      </c>
      <c r="S35" s="30" t="s">
        <v>0</v>
      </c>
      <c r="T35" s="30" t="s">
        <v>40</v>
      </c>
      <c r="U35" s="30" t="s">
        <v>40</v>
      </c>
      <c r="V35" s="30" t="s">
        <v>52</v>
      </c>
      <c r="W35" s="30" t="s">
        <v>38</v>
      </c>
      <c r="X35" s="30" t="s">
        <v>38</v>
      </c>
      <c r="Y35" s="30" t="s">
        <v>0</v>
      </c>
      <c r="Z35" s="30" t="s">
        <v>52</v>
      </c>
      <c r="AA35" s="32" t="s">
        <v>1</v>
      </c>
      <c r="AB35" s="30" t="s">
        <v>36</v>
      </c>
      <c r="AC35" s="30" t="s">
        <v>38</v>
      </c>
      <c r="AD35" s="30" t="s">
        <v>26</v>
      </c>
      <c r="AE35" s="30" t="s">
        <v>38</v>
      </c>
      <c r="AF35" s="30" t="s">
        <v>0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26</v>
      </c>
      <c r="AL35" s="30" t="s">
        <v>38</v>
      </c>
      <c r="AM35" s="32" t="s">
        <v>0</v>
      </c>
      <c r="AN35" s="290" t="s">
        <v>1</v>
      </c>
      <c r="AO35" s="45">
        <v>0</v>
      </c>
      <c r="AP35" s="46">
        <f t="shared" si="9"/>
        <v>0</v>
      </c>
      <c r="AQ35" s="46">
        <v>0</v>
      </c>
      <c r="AR35" s="41">
        <f t="shared" si="10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4" customHeight="1">
      <c r="A36" s="38">
        <f t="shared" si="0"/>
        <v>6</v>
      </c>
      <c r="B36" s="39">
        <f t="shared" si="1"/>
        <v>11</v>
      </c>
      <c r="C36" s="40">
        <f t="shared" si="2"/>
        <v>0</v>
      </c>
      <c r="D36" s="39">
        <f t="shared" si="3"/>
        <v>3</v>
      </c>
      <c r="E36" s="41">
        <f t="shared" si="4"/>
        <v>1</v>
      </c>
      <c r="F36" s="41">
        <f t="shared" si="5"/>
        <v>4</v>
      </c>
      <c r="G36" s="41">
        <f t="shared" si="6"/>
        <v>4</v>
      </c>
      <c r="H36" s="41">
        <f t="shared" si="7"/>
        <v>1</v>
      </c>
      <c r="I36" s="42">
        <f t="shared" si="8"/>
        <v>30</v>
      </c>
      <c r="J36" s="193" t="s">
        <v>27</v>
      </c>
      <c r="K36" s="49" t="s">
        <v>38</v>
      </c>
      <c r="L36" s="30" t="s">
        <v>38</v>
      </c>
      <c r="M36" s="32" t="s">
        <v>52</v>
      </c>
      <c r="N36" s="30" t="s">
        <v>38</v>
      </c>
      <c r="O36" s="30" t="s">
        <v>38</v>
      </c>
      <c r="P36" s="30" t="s">
        <v>38</v>
      </c>
      <c r="Q36" s="30" t="s">
        <v>38</v>
      </c>
      <c r="R36" s="30" t="s">
        <v>0</v>
      </c>
      <c r="S36" s="53" t="s">
        <v>3</v>
      </c>
      <c r="T36" s="30" t="s">
        <v>36</v>
      </c>
      <c r="U36" s="32" t="s">
        <v>0</v>
      </c>
      <c r="V36" s="32" t="s">
        <v>1</v>
      </c>
      <c r="W36" s="44" t="s">
        <v>52</v>
      </c>
      <c r="X36" s="44" t="s">
        <v>0</v>
      </c>
      <c r="Y36" s="32" t="s">
        <v>53</v>
      </c>
      <c r="Z36" s="30" t="s">
        <v>36</v>
      </c>
      <c r="AA36" s="30" t="s">
        <v>36</v>
      </c>
      <c r="AB36" s="53" t="s">
        <v>3</v>
      </c>
      <c r="AC36" s="30" t="s">
        <v>52</v>
      </c>
      <c r="AD36" s="30" t="s">
        <v>36</v>
      </c>
      <c r="AE36" s="30" t="s">
        <v>36</v>
      </c>
      <c r="AF36" s="53" t="s">
        <v>3</v>
      </c>
      <c r="AG36" s="30" t="s">
        <v>0</v>
      </c>
      <c r="AH36" s="30" t="s">
        <v>36</v>
      </c>
      <c r="AI36" s="30" t="s">
        <v>38</v>
      </c>
      <c r="AJ36" s="30" t="s">
        <v>52</v>
      </c>
      <c r="AK36" s="30" t="s">
        <v>38</v>
      </c>
      <c r="AL36" s="30" t="s">
        <v>38</v>
      </c>
      <c r="AM36" s="30" t="s">
        <v>38</v>
      </c>
      <c r="AN36" s="48" t="s">
        <v>38</v>
      </c>
      <c r="AO36" s="306" t="s">
        <v>38</v>
      </c>
      <c r="AP36" s="46">
        <f t="shared" si="9"/>
        <v>0</v>
      </c>
      <c r="AQ36" s="46">
        <v>0</v>
      </c>
      <c r="AR36" s="41">
        <f t="shared" si="10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ht="25.5" customHeight="1">
      <c r="A37" s="38">
        <f t="shared" si="0"/>
        <v>0</v>
      </c>
      <c r="B37" s="39">
        <f t="shared" si="1"/>
        <v>1</v>
      </c>
      <c r="C37" s="40">
        <f t="shared" si="2"/>
        <v>17</v>
      </c>
      <c r="D37" s="39">
        <f t="shared" si="3"/>
        <v>3</v>
      </c>
      <c r="E37" s="41">
        <f t="shared" si="4"/>
        <v>0</v>
      </c>
      <c r="F37" s="41">
        <f t="shared" si="5"/>
        <v>4</v>
      </c>
      <c r="G37" s="41">
        <f t="shared" si="6"/>
        <v>4</v>
      </c>
      <c r="H37" s="41">
        <f t="shared" si="7"/>
        <v>1</v>
      </c>
      <c r="I37" s="42">
        <f t="shared" si="8"/>
        <v>30</v>
      </c>
      <c r="J37" s="193" t="s">
        <v>57</v>
      </c>
      <c r="K37" s="49" t="s">
        <v>40</v>
      </c>
      <c r="L37" s="30" t="s">
        <v>40</v>
      </c>
      <c r="M37" s="30" t="s">
        <v>40</v>
      </c>
      <c r="N37" s="30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2" t="s">
        <v>0</v>
      </c>
      <c r="U37" s="53" t="s">
        <v>3</v>
      </c>
      <c r="V37" s="30" t="s">
        <v>38</v>
      </c>
      <c r="W37" s="44" t="s">
        <v>52</v>
      </c>
      <c r="X37" s="44" t="s">
        <v>0</v>
      </c>
      <c r="Y37" s="30" t="s">
        <v>40</v>
      </c>
      <c r="Z37" s="30" t="s">
        <v>40</v>
      </c>
      <c r="AA37" s="30" t="s">
        <v>0</v>
      </c>
      <c r="AB37" s="30" t="s">
        <v>52</v>
      </c>
      <c r="AC37" s="30" t="s">
        <v>40</v>
      </c>
      <c r="AD37" s="30" t="s">
        <v>40</v>
      </c>
      <c r="AE37" s="30" t="s">
        <v>40</v>
      </c>
      <c r="AF37" s="30" t="s">
        <v>40</v>
      </c>
      <c r="AG37" s="32" t="s">
        <v>52</v>
      </c>
      <c r="AH37" s="30" t="s">
        <v>40</v>
      </c>
      <c r="AI37" s="30" t="s">
        <v>40</v>
      </c>
      <c r="AJ37" s="30" t="s">
        <v>40</v>
      </c>
      <c r="AK37" s="44" t="s">
        <v>53</v>
      </c>
      <c r="AL37" s="44" t="s">
        <v>0</v>
      </c>
      <c r="AM37" s="30" t="s">
        <v>3</v>
      </c>
      <c r="AN37" s="30" t="s">
        <v>3</v>
      </c>
      <c r="AO37" s="45">
        <v>0</v>
      </c>
      <c r="AP37" s="46">
        <f t="shared" si="9"/>
        <v>0</v>
      </c>
      <c r="AQ37" s="46">
        <v>0</v>
      </c>
      <c r="AR37" s="41">
        <f t="shared" si="10"/>
        <v>0</v>
      </c>
      <c r="AS37" s="329" t="s">
        <v>126</v>
      </c>
    </row>
    <row r="38" spans="1:224" ht="25.5" customHeight="1" thickBot="1">
      <c r="A38" s="54">
        <f t="shared" si="0"/>
        <v>5</v>
      </c>
      <c r="B38" s="55">
        <f t="shared" si="1"/>
        <v>0</v>
      </c>
      <c r="C38" s="56">
        <f t="shared" si="2"/>
        <v>9</v>
      </c>
      <c r="D38" s="55">
        <f t="shared" si="3"/>
        <v>4</v>
      </c>
      <c r="E38" s="17">
        <f t="shared" si="4"/>
        <v>3</v>
      </c>
      <c r="F38" s="17">
        <f t="shared" si="5"/>
        <v>4</v>
      </c>
      <c r="G38" s="17">
        <f t="shared" si="6"/>
        <v>4</v>
      </c>
      <c r="H38" s="17">
        <f t="shared" si="7"/>
        <v>1</v>
      </c>
      <c r="I38" s="57">
        <f t="shared" si="8"/>
        <v>30</v>
      </c>
      <c r="J38" s="215" t="s">
        <v>28</v>
      </c>
      <c r="K38" s="325" t="s">
        <v>0</v>
      </c>
      <c r="L38" s="182" t="s">
        <v>3</v>
      </c>
      <c r="M38" s="32" t="s">
        <v>1</v>
      </c>
      <c r="N38" s="60" t="s">
        <v>36</v>
      </c>
      <c r="O38" s="60" t="s">
        <v>52</v>
      </c>
      <c r="P38" s="60" t="s">
        <v>40</v>
      </c>
      <c r="Q38" s="60" t="s">
        <v>40</v>
      </c>
      <c r="R38" s="60" t="s">
        <v>40</v>
      </c>
      <c r="S38" s="60" t="s">
        <v>52</v>
      </c>
      <c r="T38" s="164" t="s">
        <v>36</v>
      </c>
      <c r="U38" s="60" t="s">
        <v>36</v>
      </c>
      <c r="V38" s="60" t="s">
        <v>36</v>
      </c>
      <c r="W38" s="59" t="s">
        <v>53</v>
      </c>
      <c r="X38" s="59" t="s">
        <v>0</v>
      </c>
      <c r="Y38" s="32" t="s">
        <v>1</v>
      </c>
      <c r="Z38" s="182" t="s">
        <v>3</v>
      </c>
      <c r="AA38" s="182" t="s">
        <v>3</v>
      </c>
      <c r="AB38" s="60" t="s">
        <v>36</v>
      </c>
      <c r="AC38" s="60" t="s">
        <v>52</v>
      </c>
      <c r="AD38" s="60" t="s">
        <v>40</v>
      </c>
      <c r="AE38" s="60" t="s">
        <v>40</v>
      </c>
      <c r="AF38" s="60" t="s">
        <v>40</v>
      </c>
      <c r="AG38" s="60" t="s">
        <v>40</v>
      </c>
      <c r="AH38" s="60" t="s">
        <v>0</v>
      </c>
      <c r="AI38" s="182" t="s">
        <v>3</v>
      </c>
      <c r="AJ38" s="32" t="s">
        <v>1</v>
      </c>
      <c r="AK38" s="59" t="s">
        <v>52</v>
      </c>
      <c r="AL38" s="59" t="s">
        <v>0</v>
      </c>
      <c r="AM38" s="60" t="s">
        <v>40</v>
      </c>
      <c r="AN38" s="61" t="s">
        <v>40</v>
      </c>
      <c r="AO38" s="73">
        <v>0</v>
      </c>
      <c r="AP38" s="74">
        <f t="shared" si="9"/>
        <v>0</v>
      </c>
      <c r="AQ38" s="74">
        <v>0</v>
      </c>
      <c r="AR38" s="63">
        <f t="shared" si="10"/>
        <v>0</v>
      </c>
      <c r="AS38" s="330" t="s">
        <v>126</v>
      </c>
    </row>
    <row r="39" spans="1:224" s="50" customFormat="1" ht="24.75" customHeight="1">
      <c r="A39" s="23">
        <f t="shared" si="0"/>
        <v>2</v>
      </c>
      <c r="B39" s="24">
        <f t="shared" si="1"/>
        <v>0</v>
      </c>
      <c r="C39" s="25">
        <f t="shared" si="2"/>
        <v>12</v>
      </c>
      <c r="D39" s="24">
        <f t="shared" si="3"/>
        <v>6</v>
      </c>
      <c r="E39" s="26">
        <f t="shared" si="4"/>
        <v>1</v>
      </c>
      <c r="F39" s="26">
        <f t="shared" si="5"/>
        <v>4</v>
      </c>
      <c r="G39" s="26">
        <f t="shared" si="6"/>
        <v>4</v>
      </c>
      <c r="H39" s="26">
        <f t="shared" si="7"/>
        <v>1</v>
      </c>
      <c r="I39" s="176">
        <f>SUM(A39:H39)</f>
        <v>30</v>
      </c>
      <c r="J39" s="66" t="s">
        <v>142</v>
      </c>
      <c r="K39" s="163" t="s">
        <v>0</v>
      </c>
      <c r="L39" s="164" t="s">
        <v>3</v>
      </c>
      <c r="M39" s="164" t="s">
        <v>3</v>
      </c>
      <c r="N39" s="164" t="s">
        <v>3</v>
      </c>
      <c r="O39" s="164" t="s">
        <v>54</v>
      </c>
      <c r="P39" s="165" t="s">
        <v>52</v>
      </c>
      <c r="Q39" s="165" t="s">
        <v>0</v>
      </c>
      <c r="R39" s="164" t="s">
        <v>54</v>
      </c>
      <c r="S39" s="164" t="s">
        <v>3</v>
      </c>
      <c r="T39" s="164" t="s">
        <v>3</v>
      </c>
      <c r="U39" s="164" t="s">
        <v>3</v>
      </c>
      <c r="V39" s="164" t="s">
        <v>52</v>
      </c>
      <c r="W39" s="164" t="s">
        <v>55</v>
      </c>
      <c r="X39" s="164" t="s">
        <v>55</v>
      </c>
      <c r="Y39" s="164" t="s">
        <v>53</v>
      </c>
      <c r="Z39" s="316" t="s">
        <v>1</v>
      </c>
      <c r="AA39" s="164" t="s">
        <v>0</v>
      </c>
      <c r="AB39" s="164" t="s">
        <v>55</v>
      </c>
      <c r="AC39" s="164" t="s">
        <v>55</v>
      </c>
      <c r="AD39" s="164" t="s">
        <v>55</v>
      </c>
      <c r="AE39" s="164" t="s">
        <v>55</v>
      </c>
      <c r="AF39" s="164" t="s">
        <v>52</v>
      </c>
      <c r="AG39" s="164" t="s">
        <v>0</v>
      </c>
      <c r="AH39" s="164" t="s">
        <v>52</v>
      </c>
      <c r="AI39" s="164" t="s">
        <v>55</v>
      </c>
      <c r="AJ39" s="164" t="s">
        <v>55</v>
      </c>
      <c r="AK39" s="164" t="s">
        <v>55</v>
      </c>
      <c r="AL39" s="164" t="s">
        <v>55</v>
      </c>
      <c r="AM39" s="164" t="s">
        <v>55</v>
      </c>
      <c r="AN39" s="327" t="s">
        <v>55</v>
      </c>
      <c r="AO39" s="334">
        <v>0</v>
      </c>
      <c r="AP39" s="167">
        <f t="shared" si="9"/>
        <v>0</v>
      </c>
      <c r="AQ39" s="167">
        <v>0</v>
      </c>
      <c r="AR39" s="331">
        <f t="shared" si="10"/>
        <v>0</v>
      </c>
      <c r="AS39" s="332" t="s">
        <v>128</v>
      </c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</row>
    <row r="40" spans="1:224" s="50" customFormat="1" ht="24.75" customHeight="1">
      <c r="A40" s="38">
        <f t="shared" si="0"/>
        <v>1</v>
      </c>
      <c r="B40" s="39">
        <f t="shared" si="1"/>
        <v>13</v>
      </c>
      <c r="C40" s="40">
        <f t="shared" si="2"/>
        <v>0</v>
      </c>
      <c r="D40" s="39">
        <f t="shared" si="3"/>
        <v>4</v>
      </c>
      <c r="E40" s="41">
        <f t="shared" si="4"/>
        <v>3</v>
      </c>
      <c r="F40" s="41">
        <f t="shared" si="5"/>
        <v>4</v>
      </c>
      <c r="G40" s="41">
        <f t="shared" si="6"/>
        <v>4</v>
      </c>
      <c r="H40" s="41">
        <f t="shared" si="7"/>
        <v>1</v>
      </c>
      <c r="I40" s="177">
        <f t="shared" ref="I40:I43" si="16">SUM(A40:H40)</f>
        <v>30</v>
      </c>
      <c r="J40" s="67" t="s">
        <v>29</v>
      </c>
      <c r="K40" s="49" t="s">
        <v>3</v>
      </c>
      <c r="L40" s="30" t="s">
        <v>56</v>
      </c>
      <c r="M40" s="30" t="s">
        <v>56</v>
      </c>
      <c r="N40" s="30" t="s">
        <v>56</v>
      </c>
      <c r="O40" s="30" t="s">
        <v>56</v>
      </c>
      <c r="P40" s="44" t="s">
        <v>52</v>
      </c>
      <c r="Q40" s="44" t="s">
        <v>53</v>
      </c>
      <c r="R40" s="30" t="s">
        <v>0</v>
      </c>
      <c r="S40" s="30" t="s">
        <v>3</v>
      </c>
      <c r="T40" s="30" t="s">
        <v>56</v>
      </c>
      <c r="U40" s="30" t="s">
        <v>56</v>
      </c>
      <c r="V40" s="30" t="s">
        <v>56</v>
      </c>
      <c r="W40" s="30" t="s">
        <v>56</v>
      </c>
      <c r="X40" s="30" t="s">
        <v>56</v>
      </c>
      <c r="Y40" s="30" t="s">
        <v>52</v>
      </c>
      <c r="Z40" s="30" t="s">
        <v>3</v>
      </c>
      <c r="AA40" s="32" t="s">
        <v>1</v>
      </c>
      <c r="AB40" s="32" t="s">
        <v>1</v>
      </c>
      <c r="AC40" s="30" t="s">
        <v>0</v>
      </c>
      <c r="AD40" s="44" t="s">
        <v>52</v>
      </c>
      <c r="AE40" s="44" t="s">
        <v>0</v>
      </c>
      <c r="AF40" s="32" t="s">
        <v>1</v>
      </c>
      <c r="AG40" s="30" t="s">
        <v>56</v>
      </c>
      <c r="AH40" s="30" t="s">
        <v>56</v>
      </c>
      <c r="AI40" s="30" t="s">
        <v>52</v>
      </c>
      <c r="AJ40" s="53" t="s">
        <v>3</v>
      </c>
      <c r="AK40" s="30" t="s">
        <v>56</v>
      </c>
      <c r="AL40" s="30" t="s">
        <v>56</v>
      </c>
      <c r="AM40" s="30" t="s">
        <v>0</v>
      </c>
      <c r="AN40" s="48" t="s">
        <v>54</v>
      </c>
      <c r="AO40" s="45">
        <v>0</v>
      </c>
      <c r="AP40" s="46">
        <f t="shared" si="9"/>
        <v>0</v>
      </c>
      <c r="AQ40" s="46">
        <v>0</v>
      </c>
      <c r="AR40" s="41">
        <f t="shared" si="10"/>
        <v>0</v>
      </c>
      <c r="AS40" s="329" t="s">
        <v>128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</row>
    <row r="41" spans="1:224" ht="25.5" customHeight="1">
      <c r="A41" s="38">
        <f t="shared" si="0"/>
        <v>9</v>
      </c>
      <c r="B41" s="39">
        <f t="shared" si="1"/>
        <v>2</v>
      </c>
      <c r="C41" s="40">
        <f t="shared" si="2"/>
        <v>6</v>
      </c>
      <c r="D41" s="39">
        <f t="shared" si="3"/>
        <v>3</v>
      </c>
      <c r="E41" s="41">
        <f t="shared" si="4"/>
        <v>1</v>
      </c>
      <c r="F41" s="41">
        <f t="shared" si="5"/>
        <v>4</v>
      </c>
      <c r="G41" s="41">
        <f t="shared" si="6"/>
        <v>4</v>
      </c>
      <c r="H41" s="41">
        <f t="shared" si="7"/>
        <v>1</v>
      </c>
      <c r="I41" s="177">
        <f t="shared" si="16"/>
        <v>30</v>
      </c>
      <c r="J41" s="68" t="s">
        <v>30</v>
      </c>
      <c r="K41" s="122" t="s">
        <v>52</v>
      </c>
      <c r="L41" s="30" t="s">
        <v>54</v>
      </c>
      <c r="M41" s="30" t="s">
        <v>54</v>
      </c>
      <c r="N41" s="30" t="s">
        <v>3</v>
      </c>
      <c r="O41" s="30" t="s">
        <v>3</v>
      </c>
      <c r="P41" s="44" t="s">
        <v>53</v>
      </c>
      <c r="Q41" s="44" t="s">
        <v>0</v>
      </c>
      <c r="R41" s="30" t="s">
        <v>55</v>
      </c>
      <c r="S41" s="30" t="s">
        <v>55</v>
      </c>
      <c r="T41" s="30" t="s">
        <v>55</v>
      </c>
      <c r="U41" s="30" t="s">
        <v>52</v>
      </c>
      <c r="V41" s="30" t="s">
        <v>54</v>
      </c>
      <c r="W41" s="30" t="s">
        <v>54</v>
      </c>
      <c r="X41" s="30" t="s">
        <v>54</v>
      </c>
      <c r="Y41" s="30" t="s">
        <v>56</v>
      </c>
      <c r="Z41" s="30" t="s">
        <v>0</v>
      </c>
      <c r="AA41" s="30" t="s">
        <v>54</v>
      </c>
      <c r="AB41" s="30" t="s">
        <v>3</v>
      </c>
      <c r="AC41" s="30" t="s">
        <v>56</v>
      </c>
      <c r="AD41" s="44" t="s">
        <v>52</v>
      </c>
      <c r="AE41" s="44" t="s">
        <v>0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54</v>
      </c>
      <c r="AK41" s="30" t="s">
        <v>54</v>
      </c>
      <c r="AL41" s="30" t="s">
        <v>54</v>
      </c>
      <c r="AM41" s="32" t="s">
        <v>1</v>
      </c>
      <c r="AN41" s="32" t="s">
        <v>52</v>
      </c>
      <c r="AO41" s="45">
        <v>0</v>
      </c>
      <c r="AP41" s="46">
        <f t="shared" si="9"/>
        <v>0</v>
      </c>
      <c r="AQ41" s="46">
        <v>0</v>
      </c>
      <c r="AR41" s="41">
        <f t="shared" si="10"/>
        <v>0</v>
      </c>
      <c r="AS41" s="329" t="s">
        <v>128</v>
      </c>
    </row>
    <row r="42" spans="1:224" s="50" customFormat="1" ht="25.5" customHeight="1">
      <c r="A42" s="38">
        <f t="shared" si="0"/>
        <v>9</v>
      </c>
      <c r="B42" s="39">
        <f t="shared" si="1"/>
        <v>0</v>
      </c>
      <c r="C42" s="40">
        <f t="shared" si="2"/>
        <v>5</v>
      </c>
      <c r="D42" s="39">
        <f t="shared" si="3"/>
        <v>4</v>
      </c>
      <c r="E42" s="41">
        <f t="shared" si="4"/>
        <v>3</v>
      </c>
      <c r="F42" s="41">
        <f t="shared" si="5"/>
        <v>4</v>
      </c>
      <c r="G42" s="41">
        <f t="shared" si="6"/>
        <v>4</v>
      </c>
      <c r="H42" s="41">
        <f t="shared" si="7"/>
        <v>1</v>
      </c>
      <c r="I42" s="177">
        <f t="shared" si="16"/>
        <v>30</v>
      </c>
      <c r="J42" s="68" t="s">
        <v>31</v>
      </c>
      <c r="K42" s="49" t="s">
        <v>55</v>
      </c>
      <c r="L42" s="30" t="s">
        <v>55</v>
      </c>
      <c r="M42" s="30" t="s">
        <v>55</v>
      </c>
      <c r="N42" s="30" t="s">
        <v>0</v>
      </c>
      <c r="O42" s="30" t="s">
        <v>52</v>
      </c>
      <c r="P42" s="30" t="s">
        <v>54</v>
      </c>
      <c r="Q42" s="30" t="s">
        <v>54</v>
      </c>
      <c r="R42" s="30" t="s">
        <v>3</v>
      </c>
      <c r="S42" s="32" t="s">
        <v>1</v>
      </c>
      <c r="T42" s="44" t="s">
        <v>0</v>
      </c>
      <c r="U42" s="30" t="s">
        <v>55</v>
      </c>
      <c r="V42" s="30" t="s">
        <v>55</v>
      </c>
      <c r="W42" s="44" t="s">
        <v>52</v>
      </c>
      <c r="X42" s="32" t="s">
        <v>1</v>
      </c>
      <c r="Y42" s="30" t="s">
        <v>3</v>
      </c>
      <c r="Z42" s="30" t="s">
        <v>54</v>
      </c>
      <c r="AA42" s="30" t="s">
        <v>53</v>
      </c>
      <c r="AB42" s="30" t="s">
        <v>54</v>
      </c>
      <c r="AC42" s="32" t="s">
        <v>1</v>
      </c>
      <c r="AD42" s="30" t="s">
        <v>52</v>
      </c>
      <c r="AE42" s="30" t="s">
        <v>54</v>
      </c>
      <c r="AF42" s="30" t="s">
        <v>54</v>
      </c>
      <c r="AG42" s="30" t="s">
        <v>54</v>
      </c>
      <c r="AH42" s="30" t="s">
        <v>54</v>
      </c>
      <c r="AI42" s="30" t="s">
        <v>54</v>
      </c>
      <c r="AJ42" s="30" t="s">
        <v>0</v>
      </c>
      <c r="AK42" s="44" t="s">
        <v>52</v>
      </c>
      <c r="AL42" s="44" t="s">
        <v>0</v>
      </c>
      <c r="AM42" s="30" t="s">
        <v>3</v>
      </c>
      <c r="AN42" s="48" t="s">
        <v>3</v>
      </c>
      <c r="AO42" s="45">
        <v>0</v>
      </c>
      <c r="AP42" s="46">
        <f t="shared" si="9"/>
        <v>0</v>
      </c>
      <c r="AQ42" s="46">
        <v>0</v>
      </c>
      <c r="AR42" s="41">
        <f t="shared" si="10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s="50" customFormat="1" ht="25.2" customHeight="1">
      <c r="A43" s="38">
        <f t="shared" si="0"/>
        <v>5</v>
      </c>
      <c r="B43" s="39">
        <f t="shared" si="1"/>
        <v>7</v>
      </c>
      <c r="C43" s="40">
        <f t="shared" si="2"/>
        <v>4</v>
      </c>
      <c r="D43" s="39">
        <f t="shared" si="3"/>
        <v>5</v>
      </c>
      <c r="E43" s="41">
        <f t="shared" si="4"/>
        <v>0</v>
      </c>
      <c r="F43" s="41">
        <f t="shared" si="5"/>
        <v>4</v>
      </c>
      <c r="G43" s="41">
        <f t="shared" si="6"/>
        <v>4</v>
      </c>
      <c r="H43" s="41">
        <f t="shared" si="7"/>
        <v>1</v>
      </c>
      <c r="I43" s="177">
        <f t="shared" si="16"/>
        <v>30</v>
      </c>
      <c r="J43" s="68" t="s">
        <v>32</v>
      </c>
      <c r="K43" s="49" t="s">
        <v>56</v>
      </c>
      <c r="L43" s="32" t="s">
        <v>52</v>
      </c>
      <c r="M43" s="30" t="s">
        <v>0</v>
      </c>
      <c r="N43" s="30" t="s">
        <v>55</v>
      </c>
      <c r="O43" s="30" t="s">
        <v>55</v>
      </c>
      <c r="P43" s="30" t="s">
        <v>55</v>
      </c>
      <c r="Q43" s="30" t="s">
        <v>55</v>
      </c>
      <c r="R43" s="32" t="s">
        <v>0</v>
      </c>
      <c r="S43" s="30" t="s">
        <v>54</v>
      </c>
      <c r="T43" s="30" t="s">
        <v>54</v>
      </c>
      <c r="U43" s="30" t="s">
        <v>54</v>
      </c>
      <c r="V43" s="30" t="s">
        <v>3</v>
      </c>
      <c r="W43" s="44" t="s">
        <v>52</v>
      </c>
      <c r="X43" s="44" t="s">
        <v>53</v>
      </c>
      <c r="Y43" s="30" t="s">
        <v>54</v>
      </c>
      <c r="Z43" s="30" t="s">
        <v>56</v>
      </c>
      <c r="AA43" s="30" t="s">
        <v>56</v>
      </c>
      <c r="AB43" s="30" t="s">
        <v>56</v>
      </c>
      <c r="AC43" s="30" t="s">
        <v>52</v>
      </c>
      <c r="AD43" s="30" t="s">
        <v>56</v>
      </c>
      <c r="AE43" s="30" t="s">
        <v>56</v>
      </c>
      <c r="AF43" s="30" t="s">
        <v>56</v>
      </c>
      <c r="AG43" s="30" t="s">
        <v>0</v>
      </c>
      <c r="AH43" s="30" t="s">
        <v>3</v>
      </c>
      <c r="AI43" s="30" t="s">
        <v>3</v>
      </c>
      <c r="AJ43" s="30" t="s">
        <v>3</v>
      </c>
      <c r="AK43" s="44" t="s">
        <v>52</v>
      </c>
      <c r="AL43" s="44" t="s">
        <v>0</v>
      </c>
      <c r="AM43" s="30" t="s">
        <v>54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41">
        <f t="shared" si="10"/>
        <v>0</v>
      </c>
      <c r="AS43" s="329" t="s">
        <v>126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</row>
    <row r="44" spans="1:224" s="50" customFormat="1" ht="25.5" customHeight="1" thickBot="1">
      <c r="A44" s="69">
        <f t="shared" ref="A44" si="17">COUNTIF(K44:AN44,1)+COUNTIF(K44:AN44,"早")+COUNTIF(K44:AN44,"M1")+COUNTIF(K44:AN44,"T早")+COUNTIF(K44:AN44,"日")</f>
        <v>4</v>
      </c>
      <c r="B44" s="70">
        <f t="shared" ref="B44" si="18">COUNTIF(K44:AN44,2)+COUNTIF(K44:AN44,"中")+COUNTIF(K44:AN44,"M2")+COUNTIF(K44:AN44,"T中")+COUNTIF(K44:AN44,"小夜")</f>
        <v>8</v>
      </c>
      <c r="C44" s="71">
        <f t="shared" ref="C44" si="19">COUNTIF(K44:AN44,3)+COUNTIF(K44:AN44,"晚")+COUNTIF(K44:AN44,"大夜")</f>
        <v>3</v>
      </c>
      <c r="D44" s="70">
        <f t="shared" ref="D44" si="20">COUNTIF(K44:AN44,"N")+COUNTIF(K44:AN44,"N8")</f>
        <v>6</v>
      </c>
      <c r="E44" s="63">
        <f t="shared" ref="E44" si="21">COUNTIF(K44:AN44,"S")</f>
        <v>0</v>
      </c>
      <c r="F44" s="63">
        <f t="shared" ref="F44" si="22">COUNTIF(K44:AN44,"X")</f>
        <v>4</v>
      </c>
      <c r="G44" s="63">
        <f t="shared" ref="G44" si="23">COUNTIF(K44:AN44,"Y")</f>
        <v>4</v>
      </c>
      <c r="H44" s="63">
        <f t="shared" ref="H44" si="24">COUNTIF(K44:AN44,"Z")</f>
        <v>1</v>
      </c>
      <c r="I44" s="178">
        <f t="shared" ref="I44" si="25">SUM(A44:H44)</f>
        <v>30</v>
      </c>
      <c r="J44" s="72" t="s">
        <v>33</v>
      </c>
      <c r="K44" s="227" t="s">
        <v>54</v>
      </c>
      <c r="L44" s="60" t="s">
        <v>3</v>
      </c>
      <c r="M44" s="60" t="s">
        <v>3</v>
      </c>
      <c r="N44" s="60" t="s">
        <v>54</v>
      </c>
      <c r="O44" s="60" t="s">
        <v>52</v>
      </c>
      <c r="P44" s="60" t="s">
        <v>56</v>
      </c>
      <c r="Q44" s="60" t="s">
        <v>56</v>
      </c>
      <c r="R44" s="60" t="s">
        <v>56</v>
      </c>
      <c r="S44" s="60" t="s">
        <v>56</v>
      </c>
      <c r="T44" s="60" t="s">
        <v>52</v>
      </c>
      <c r="U44" s="60" t="s">
        <v>3</v>
      </c>
      <c r="V44" s="60" t="s">
        <v>3</v>
      </c>
      <c r="W44" s="59" t="s">
        <v>53</v>
      </c>
      <c r="X44" s="59" t="s">
        <v>0</v>
      </c>
      <c r="Y44" s="60" t="s">
        <v>55</v>
      </c>
      <c r="Z44" s="60" t="s">
        <v>55</v>
      </c>
      <c r="AA44" s="60" t="s">
        <v>55</v>
      </c>
      <c r="AB44" s="60" t="s">
        <v>52</v>
      </c>
      <c r="AC44" s="60" t="s">
        <v>54</v>
      </c>
      <c r="AD44" s="60" t="s">
        <v>54</v>
      </c>
      <c r="AE44" s="60" t="s">
        <v>0</v>
      </c>
      <c r="AF44" s="182" t="s">
        <v>3</v>
      </c>
      <c r="AG44" s="60" t="s">
        <v>3</v>
      </c>
      <c r="AH44" s="60" t="s">
        <v>0</v>
      </c>
      <c r="AI44" s="60" t="s">
        <v>56</v>
      </c>
      <c r="AJ44" s="60" t="s">
        <v>56</v>
      </c>
      <c r="AK44" s="59" t="s">
        <v>52</v>
      </c>
      <c r="AL44" s="59" t="s">
        <v>0</v>
      </c>
      <c r="AM44" s="60" t="s">
        <v>56</v>
      </c>
      <c r="AN44" s="61" t="s">
        <v>56</v>
      </c>
      <c r="AO44" s="73">
        <v>0</v>
      </c>
      <c r="AP44" s="74">
        <f t="shared" si="9"/>
        <v>0</v>
      </c>
      <c r="AQ44" s="74">
        <v>0</v>
      </c>
      <c r="AR44" s="63">
        <f t="shared" si="10"/>
        <v>0</v>
      </c>
      <c r="AS44" s="330" t="s">
        <v>126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3</v>
      </c>
      <c r="L45" s="346" cm="2">
        <f t="array" ref="L45">SUMPRODUCT(COUNTIF(L4:L44,{"1";"M1"}))</f>
        <v>3</v>
      </c>
      <c r="M45" s="346" cm="2">
        <f t="array" ref="M45">SUMPRODUCT(COUNTIF(M4:M44,{"1";"M1"}))</f>
        <v>3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3</v>
      </c>
      <c r="R45" s="346" cm="2">
        <f t="array" ref="R45">SUMPRODUCT(COUNTIF(R4:R44,{"1";"M1"}))</f>
        <v>3</v>
      </c>
      <c r="S45" s="346" cm="2">
        <f t="array" ref="S45">SUMPRODUCT(COUNTIF(S4:S44,{"1";"M1"}))</f>
        <v>3</v>
      </c>
      <c r="T45" s="346" cm="2">
        <f t="array" ref="T45">SUMPRODUCT(COUNTIF(T4:T44,{"1";"M1"}))</f>
        <v>3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3</v>
      </c>
      <c r="Y45" s="346" cm="2">
        <f t="array" ref="Y45">SUMPRODUCT(COUNTIF(Y4:Y44,{"1";"M1"}))</f>
        <v>3</v>
      </c>
      <c r="Z45" s="346" cm="2">
        <f t="array" ref="Z45">SUMPRODUCT(COUNTIF(Z4:Z44,{"1";"M1"}))</f>
        <v>3</v>
      </c>
      <c r="AA45" s="346" cm="2">
        <f t="array" ref="AA45">SUMPRODUCT(COUNTIF(AA4:AA44,{"1";"M1"}))</f>
        <v>3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3</v>
      </c>
      <c r="AF45" s="346" cm="2">
        <f t="array" ref="AF45">SUMPRODUCT(COUNTIF(AF4:AF44,{"1";"M1"}))</f>
        <v>3</v>
      </c>
      <c r="AG45" s="346" cm="2">
        <f t="array" ref="AG45">SUMPRODUCT(COUNTIF(AG4:AG44,{"1";"M1"}))</f>
        <v>3</v>
      </c>
      <c r="AH45" s="346" cm="2">
        <f t="array" ref="AH45">SUMPRODUCT(COUNTIF(AH4:AH44,{"1";"M1"}))</f>
        <v>3</v>
      </c>
      <c r="AI45" s="346" cm="2">
        <f t="array" ref="AI45">SUMPRODUCT(COUNTIF(AI4:AI44,{"1";"M1"}))</f>
        <v>3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3</v>
      </c>
      <c r="AM45" s="346" cm="2">
        <f t="array" ref="AM45">SUMPRODUCT(COUNTIF(AM4:AM44,{"1";"M1"}))</f>
        <v>3</v>
      </c>
      <c r="AN45" s="346" cm="2">
        <f t="array" ref="AN45">SUMPRODUCT(COUNTIF(AN4:AN44,{"1";"M1"}))</f>
        <v>3</v>
      </c>
      <c r="AP45" s="50"/>
      <c r="AQ45" s="6"/>
      <c r="AR45" s="75"/>
      <c r="AS45" s="79"/>
      <c r="AU45" s="6"/>
      <c r="AV45" s="6"/>
      <c r="AW45" s="6"/>
    </row>
    <row r="46" spans="1:224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P46" s="50"/>
      <c r="AQ46" s="6" t="s">
        <v>34</v>
      </c>
      <c r="AR46" s="75" t="s">
        <v>35</v>
      </c>
      <c r="AS46" s="84"/>
      <c r="AU46" s="6"/>
      <c r="AV46" s="6"/>
      <c r="AW46" s="6"/>
    </row>
    <row r="47" spans="1:224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N47" si="26">COUNTIF(K4:K44,3)</f>
        <v>3</v>
      </c>
      <c r="L47" s="130">
        <f t="shared" si="26"/>
        <v>3</v>
      </c>
      <c r="M47" s="130">
        <f t="shared" si="26"/>
        <v>3</v>
      </c>
      <c r="N47" s="130">
        <f t="shared" si="26"/>
        <v>3</v>
      </c>
      <c r="O47" s="130">
        <f t="shared" si="26"/>
        <v>3</v>
      </c>
      <c r="P47" s="130">
        <f t="shared" si="26"/>
        <v>2</v>
      </c>
      <c r="Q47" s="130">
        <f t="shared" si="26"/>
        <v>2</v>
      </c>
      <c r="R47" s="130">
        <f t="shared" si="26"/>
        <v>3</v>
      </c>
      <c r="S47" s="130">
        <f t="shared" si="26"/>
        <v>3</v>
      </c>
      <c r="T47" s="130">
        <f t="shared" si="26"/>
        <v>3</v>
      </c>
      <c r="U47" s="130">
        <f t="shared" si="26"/>
        <v>3</v>
      </c>
      <c r="V47" s="130">
        <f t="shared" si="26"/>
        <v>3</v>
      </c>
      <c r="W47" s="130">
        <f t="shared" si="26"/>
        <v>2</v>
      </c>
      <c r="X47" s="130">
        <f t="shared" si="26"/>
        <v>2</v>
      </c>
      <c r="Y47" s="130">
        <f t="shared" si="26"/>
        <v>3</v>
      </c>
      <c r="Z47" s="130">
        <f t="shared" si="26"/>
        <v>3</v>
      </c>
      <c r="AA47" s="130">
        <f t="shared" si="26"/>
        <v>3</v>
      </c>
      <c r="AB47" s="130">
        <f t="shared" si="26"/>
        <v>3</v>
      </c>
      <c r="AC47" s="130">
        <f t="shared" si="26"/>
        <v>2</v>
      </c>
      <c r="AD47" s="130">
        <f t="shared" si="26"/>
        <v>2</v>
      </c>
      <c r="AE47" s="130">
        <f t="shared" si="26"/>
        <v>2</v>
      </c>
      <c r="AF47" s="130">
        <f t="shared" si="26"/>
        <v>3</v>
      </c>
      <c r="AG47" s="130">
        <f t="shared" si="26"/>
        <v>3</v>
      </c>
      <c r="AH47" s="130">
        <f t="shared" si="26"/>
        <v>3</v>
      </c>
      <c r="AI47" s="130">
        <f t="shared" si="26"/>
        <v>3</v>
      </c>
      <c r="AJ47" s="130">
        <f t="shared" si="26"/>
        <v>3</v>
      </c>
      <c r="AK47" s="130">
        <f t="shared" si="26"/>
        <v>2</v>
      </c>
      <c r="AL47" s="130">
        <f t="shared" si="26"/>
        <v>2</v>
      </c>
      <c r="AM47" s="130">
        <f t="shared" si="26"/>
        <v>3</v>
      </c>
      <c r="AN47" s="130">
        <f t="shared" si="26"/>
        <v>3</v>
      </c>
      <c r="AP47" s="75" t="s">
        <v>109</v>
      </c>
      <c r="AQ47" s="75">
        <f>35*30</f>
        <v>1050</v>
      </c>
      <c r="AR47" s="75">
        <f>6*30</f>
        <v>180</v>
      </c>
      <c r="AS47" s="84"/>
    </row>
    <row r="48" spans="1:224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4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5</v>
      </c>
      <c r="P48" s="128" cm="2">
        <f t="array" ref="P48">SUMPRODUCT(COUNTIF(P4:P44,{"早";"T早"}))</f>
        <v>3</v>
      </c>
      <c r="Q48" s="128" cm="2">
        <f t="array" ref="Q48">SUMPRODUCT(COUNTIF(Q4:Q44,{"早";"T早"}))</f>
        <v>3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5</v>
      </c>
      <c r="W48" s="128" cm="2">
        <f t="array" ref="W48">SUMPRODUCT(COUNTIF(W4:W44,{"早";"T早"}))</f>
        <v>3</v>
      </c>
      <c r="X48" s="128" cm="2">
        <f t="array" ref="X48">SUMPRODUCT(COUNTIF(X4:X44,{"早";"T早"}))</f>
        <v>3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3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5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3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4</v>
      </c>
      <c r="AP48" s="87" t="s">
        <v>37</v>
      </c>
      <c r="AQ48" s="75">
        <f>20*(30-I1)</f>
        <v>420</v>
      </c>
      <c r="AR48" s="75">
        <f>3*(30-I1)</f>
        <v>63</v>
      </c>
      <c r="AT48" s="84"/>
    </row>
    <row r="49" spans="1:53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P49" s="87" t="s">
        <v>39</v>
      </c>
      <c r="AQ49" s="75">
        <f>16*I1</f>
        <v>144</v>
      </c>
      <c r="AR49" s="75">
        <f>3*I1</f>
        <v>27</v>
      </c>
      <c r="AT49" s="89"/>
    </row>
    <row r="50" spans="1:53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N50" si="27">COUNTIF(K4:K44,"晚")</f>
        <v>3</v>
      </c>
      <c r="L50" s="130">
        <f t="shared" si="27"/>
        <v>3</v>
      </c>
      <c r="M50" s="130">
        <f t="shared" si="27"/>
        <v>3</v>
      </c>
      <c r="N50" s="130">
        <f t="shared" si="27"/>
        <v>3</v>
      </c>
      <c r="O50" s="130">
        <f t="shared" si="27"/>
        <v>3</v>
      </c>
      <c r="P50" s="130">
        <f t="shared" si="27"/>
        <v>2</v>
      </c>
      <c r="Q50" s="130">
        <f t="shared" si="27"/>
        <v>2</v>
      </c>
      <c r="R50" s="130">
        <f t="shared" si="27"/>
        <v>3</v>
      </c>
      <c r="S50" s="130">
        <f t="shared" si="27"/>
        <v>3</v>
      </c>
      <c r="T50" s="130">
        <f t="shared" si="27"/>
        <v>3</v>
      </c>
      <c r="U50" s="130">
        <f t="shared" si="27"/>
        <v>3</v>
      </c>
      <c r="V50" s="130">
        <f t="shared" si="27"/>
        <v>3</v>
      </c>
      <c r="W50" s="130">
        <f t="shared" si="27"/>
        <v>2</v>
      </c>
      <c r="X50" s="130">
        <f t="shared" si="27"/>
        <v>2</v>
      </c>
      <c r="Y50" s="130">
        <f t="shared" si="27"/>
        <v>3</v>
      </c>
      <c r="Z50" s="130">
        <f t="shared" si="27"/>
        <v>3</v>
      </c>
      <c r="AA50" s="130">
        <f t="shared" si="27"/>
        <v>3</v>
      </c>
      <c r="AB50" s="130">
        <f t="shared" si="27"/>
        <v>3</v>
      </c>
      <c r="AC50" s="130">
        <f t="shared" si="27"/>
        <v>2</v>
      </c>
      <c r="AD50" s="130">
        <f t="shared" si="27"/>
        <v>2</v>
      </c>
      <c r="AE50" s="130">
        <f t="shared" si="27"/>
        <v>2</v>
      </c>
      <c r="AF50" s="130">
        <f t="shared" si="27"/>
        <v>3</v>
      </c>
      <c r="AG50" s="130">
        <f t="shared" si="27"/>
        <v>3</v>
      </c>
      <c r="AH50" s="130">
        <f t="shared" si="27"/>
        <v>3</v>
      </c>
      <c r="AI50" s="130">
        <f t="shared" si="27"/>
        <v>3</v>
      </c>
      <c r="AJ50" s="130">
        <f t="shared" si="27"/>
        <v>3</v>
      </c>
      <c r="AK50" s="130">
        <f t="shared" si="27"/>
        <v>2</v>
      </c>
      <c r="AL50" s="130">
        <f t="shared" si="27"/>
        <v>2</v>
      </c>
      <c r="AM50" s="130">
        <f t="shared" si="27"/>
        <v>3</v>
      </c>
      <c r="AN50" s="130">
        <f t="shared" si="27"/>
        <v>3</v>
      </c>
      <c r="AP50" s="75" t="s">
        <v>0</v>
      </c>
      <c r="AQ50" s="91">
        <f>35*I1</f>
        <v>315</v>
      </c>
      <c r="AR50" s="75">
        <f>6*I1</f>
        <v>54</v>
      </c>
    </row>
    <row r="51" spans="1:53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N51" si="28">COUNTIF(K4:K44,"日")</f>
        <v>1</v>
      </c>
      <c r="L51" s="128">
        <f t="shared" si="28"/>
        <v>1</v>
      </c>
      <c r="M51" s="128">
        <f t="shared" si="28"/>
        <v>1</v>
      </c>
      <c r="N51" s="128">
        <f t="shared" si="28"/>
        <v>1</v>
      </c>
      <c r="O51" s="128">
        <f t="shared" si="28"/>
        <v>1</v>
      </c>
      <c r="P51" s="128">
        <f t="shared" si="28"/>
        <v>1</v>
      </c>
      <c r="Q51" s="128">
        <f t="shared" si="28"/>
        <v>1</v>
      </c>
      <c r="R51" s="128">
        <f t="shared" si="28"/>
        <v>1</v>
      </c>
      <c r="S51" s="128">
        <f t="shared" si="28"/>
        <v>1</v>
      </c>
      <c r="T51" s="128">
        <f t="shared" si="28"/>
        <v>1</v>
      </c>
      <c r="U51" s="128">
        <f t="shared" si="28"/>
        <v>1</v>
      </c>
      <c r="V51" s="128">
        <f t="shared" si="28"/>
        <v>1</v>
      </c>
      <c r="W51" s="128">
        <f t="shared" si="28"/>
        <v>1</v>
      </c>
      <c r="X51" s="128">
        <f t="shared" si="28"/>
        <v>1</v>
      </c>
      <c r="Y51" s="128">
        <f t="shared" si="28"/>
        <v>1</v>
      </c>
      <c r="Z51" s="128">
        <f t="shared" si="28"/>
        <v>1</v>
      </c>
      <c r="AA51" s="128">
        <f t="shared" si="28"/>
        <v>1</v>
      </c>
      <c r="AB51" s="128">
        <f t="shared" si="28"/>
        <v>1</v>
      </c>
      <c r="AC51" s="128">
        <f t="shared" si="28"/>
        <v>1</v>
      </c>
      <c r="AD51" s="128">
        <f t="shared" si="28"/>
        <v>1</v>
      </c>
      <c r="AE51" s="128">
        <f t="shared" si="28"/>
        <v>1</v>
      </c>
      <c r="AF51" s="128">
        <f t="shared" si="28"/>
        <v>1</v>
      </c>
      <c r="AG51" s="128">
        <f t="shared" si="28"/>
        <v>1</v>
      </c>
      <c r="AH51" s="128">
        <f t="shared" si="28"/>
        <v>1</v>
      </c>
      <c r="AI51" s="128">
        <f t="shared" si="28"/>
        <v>1</v>
      </c>
      <c r="AJ51" s="128">
        <f t="shared" si="28"/>
        <v>1</v>
      </c>
      <c r="AK51" s="128">
        <f t="shared" si="28"/>
        <v>1</v>
      </c>
      <c r="AL51" s="128">
        <f t="shared" si="28"/>
        <v>1</v>
      </c>
      <c r="AM51" s="128">
        <f t="shared" si="28"/>
        <v>1</v>
      </c>
      <c r="AN51" s="128">
        <f t="shared" si="28"/>
        <v>1</v>
      </c>
      <c r="AP51" s="50" t="s">
        <v>104</v>
      </c>
      <c r="AQ51" s="91" cm="1">
        <f t="array" ref="AQ51">SUMPRODUCT(COUNTIF(K4:AN38,{"N";"N8"}))</f>
        <v>100</v>
      </c>
      <c r="AR51" s="91" cm="1">
        <f t="array" ref="AR51">SUMPRODUCT(COUNTIF(K39:AN44,{"N";"N8"}))</f>
        <v>28</v>
      </c>
    </row>
    <row r="52" spans="1:53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N52" si="29">COUNTIF(K4:K44,"小夜")</f>
        <v>1</v>
      </c>
      <c r="L52" s="129">
        <f t="shared" si="29"/>
        <v>1</v>
      </c>
      <c r="M52" s="129">
        <f t="shared" si="29"/>
        <v>1</v>
      </c>
      <c r="N52" s="129">
        <f t="shared" si="29"/>
        <v>1</v>
      </c>
      <c r="O52" s="129">
        <f t="shared" si="29"/>
        <v>1</v>
      </c>
      <c r="P52" s="129">
        <f t="shared" si="29"/>
        <v>1</v>
      </c>
      <c r="Q52" s="129">
        <f t="shared" si="29"/>
        <v>1</v>
      </c>
      <c r="R52" s="129">
        <f t="shared" si="29"/>
        <v>1</v>
      </c>
      <c r="S52" s="129">
        <f t="shared" si="29"/>
        <v>1</v>
      </c>
      <c r="T52" s="129">
        <f t="shared" si="29"/>
        <v>1</v>
      </c>
      <c r="U52" s="129">
        <f t="shared" si="29"/>
        <v>1</v>
      </c>
      <c r="V52" s="129">
        <f t="shared" si="29"/>
        <v>1</v>
      </c>
      <c r="W52" s="129">
        <f t="shared" si="29"/>
        <v>1</v>
      </c>
      <c r="X52" s="129">
        <f t="shared" si="29"/>
        <v>1</v>
      </c>
      <c r="Y52" s="129">
        <f t="shared" si="29"/>
        <v>1</v>
      </c>
      <c r="Z52" s="129">
        <f t="shared" si="29"/>
        <v>1</v>
      </c>
      <c r="AA52" s="129">
        <f t="shared" si="29"/>
        <v>1</v>
      </c>
      <c r="AB52" s="129">
        <f t="shared" si="29"/>
        <v>1</v>
      </c>
      <c r="AC52" s="129">
        <f t="shared" si="29"/>
        <v>1</v>
      </c>
      <c r="AD52" s="129">
        <f t="shared" si="29"/>
        <v>1</v>
      </c>
      <c r="AE52" s="129">
        <f t="shared" si="29"/>
        <v>1</v>
      </c>
      <c r="AF52" s="129">
        <f t="shared" si="29"/>
        <v>1</v>
      </c>
      <c r="AG52" s="129">
        <f t="shared" si="29"/>
        <v>1</v>
      </c>
      <c r="AH52" s="129">
        <f t="shared" si="29"/>
        <v>1</v>
      </c>
      <c r="AI52" s="129">
        <f t="shared" si="29"/>
        <v>1</v>
      </c>
      <c r="AJ52" s="129">
        <f t="shared" si="29"/>
        <v>1</v>
      </c>
      <c r="AK52" s="129">
        <f t="shared" si="29"/>
        <v>1</v>
      </c>
      <c r="AL52" s="129">
        <f t="shared" si="29"/>
        <v>1</v>
      </c>
      <c r="AM52" s="129">
        <f t="shared" si="29"/>
        <v>1</v>
      </c>
      <c r="AN52" s="129">
        <f t="shared" si="29"/>
        <v>1</v>
      </c>
      <c r="AP52" s="50" t="s">
        <v>105</v>
      </c>
      <c r="AQ52" s="92">
        <f>SUMPRODUCT(COUNTIF(K4:AN38,{"S"}))</f>
        <v>73</v>
      </c>
      <c r="AR52" s="75">
        <f>SUMPRODUCT(COUNTIF(K39:AN44,{"S"}))</f>
        <v>8</v>
      </c>
    </row>
    <row r="53" spans="1:53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N53" si="30">COUNTIF(K7:K47,"大夜")</f>
        <v>1</v>
      </c>
      <c r="L53" s="130">
        <f t="shared" si="30"/>
        <v>1</v>
      </c>
      <c r="M53" s="130">
        <f t="shared" si="30"/>
        <v>1</v>
      </c>
      <c r="N53" s="130">
        <f t="shared" si="30"/>
        <v>1</v>
      </c>
      <c r="O53" s="130">
        <f t="shared" si="30"/>
        <v>1</v>
      </c>
      <c r="P53" s="130">
        <f t="shared" si="30"/>
        <v>1</v>
      </c>
      <c r="Q53" s="130">
        <f t="shared" si="30"/>
        <v>1</v>
      </c>
      <c r="R53" s="130">
        <f t="shared" si="30"/>
        <v>1</v>
      </c>
      <c r="S53" s="130">
        <f t="shared" si="30"/>
        <v>1</v>
      </c>
      <c r="T53" s="130">
        <f t="shared" si="30"/>
        <v>1</v>
      </c>
      <c r="U53" s="130">
        <f t="shared" si="30"/>
        <v>1</v>
      </c>
      <c r="V53" s="130">
        <f t="shared" si="30"/>
        <v>1</v>
      </c>
      <c r="W53" s="130">
        <f t="shared" si="30"/>
        <v>1</v>
      </c>
      <c r="X53" s="130">
        <f t="shared" si="30"/>
        <v>1</v>
      </c>
      <c r="Y53" s="130">
        <f t="shared" si="30"/>
        <v>1</v>
      </c>
      <c r="Z53" s="130">
        <f t="shared" si="30"/>
        <v>1</v>
      </c>
      <c r="AA53" s="130">
        <f t="shared" si="30"/>
        <v>1</v>
      </c>
      <c r="AB53" s="130">
        <f t="shared" si="30"/>
        <v>1</v>
      </c>
      <c r="AC53" s="130">
        <f t="shared" si="30"/>
        <v>1</v>
      </c>
      <c r="AD53" s="130">
        <f t="shared" si="30"/>
        <v>1</v>
      </c>
      <c r="AE53" s="130">
        <f t="shared" si="30"/>
        <v>1</v>
      </c>
      <c r="AF53" s="130">
        <f t="shared" si="30"/>
        <v>1</v>
      </c>
      <c r="AG53" s="130">
        <f t="shared" si="30"/>
        <v>1</v>
      </c>
      <c r="AH53" s="130">
        <f t="shared" si="30"/>
        <v>1</v>
      </c>
      <c r="AI53" s="130">
        <f t="shared" si="30"/>
        <v>1</v>
      </c>
      <c r="AJ53" s="130">
        <f t="shared" si="30"/>
        <v>1</v>
      </c>
      <c r="AK53" s="130">
        <f t="shared" si="30"/>
        <v>1</v>
      </c>
      <c r="AL53" s="130">
        <f t="shared" si="30"/>
        <v>1</v>
      </c>
      <c r="AM53" s="130">
        <f t="shared" si="30"/>
        <v>1</v>
      </c>
      <c r="AN53" s="130">
        <f t="shared" si="30"/>
        <v>1</v>
      </c>
      <c r="AP53" s="93" t="s">
        <v>145</v>
      </c>
      <c r="AQ53" s="75">
        <v>0</v>
      </c>
      <c r="AR53" s="75">
        <v>0</v>
      </c>
    </row>
    <row r="54" spans="1:53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347">
        <f t="shared" ref="K54:AN54" si="31">COUNTIF(K4:K44,"N")+COUNTIF(K4:K44,"N8")</f>
        <v>6</v>
      </c>
      <c r="L54" s="96">
        <f t="shared" si="31"/>
        <v>7</v>
      </c>
      <c r="M54" s="96">
        <f t="shared" si="31"/>
        <v>3</v>
      </c>
      <c r="N54" s="96">
        <f t="shared" si="31"/>
        <v>4</v>
      </c>
      <c r="O54" s="96">
        <f t="shared" si="31"/>
        <v>2</v>
      </c>
      <c r="P54" s="96">
        <f t="shared" si="31"/>
        <v>0</v>
      </c>
      <c r="Q54" s="96">
        <f t="shared" si="31"/>
        <v>0</v>
      </c>
      <c r="R54" s="96">
        <f t="shared" si="31"/>
        <v>4</v>
      </c>
      <c r="S54" s="96">
        <f t="shared" si="31"/>
        <v>10</v>
      </c>
      <c r="T54" s="96">
        <f t="shared" si="31"/>
        <v>6</v>
      </c>
      <c r="U54" s="96">
        <f t="shared" si="31"/>
        <v>12</v>
      </c>
      <c r="V54" s="96">
        <f t="shared" si="31"/>
        <v>7</v>
      </c>
      <c r="W54" s="96">
        <f t="shared" si="31"/>
        <v>0</v>
      </c>
      <c r="X54" s="96">
        <f t="shared" si="31"/>
        <v>0</v>
      </c>
      <c r="Y54" s="96">
        <f t="shared" si="31"/>
        <v>3</v>
      </c>
      <c r="Z54" s="96">
        <f t="shared" si="31"/>
        <v>4</v>
      </c>
      <c r="AA54" s="96">
        <f t="shared" si="31"/>
        <v>4</v>
      </c>
      <c r="AB54" s="96">
        <f t="shared" si="31"/>
        <v>11</v>
      </c>
      <c r="AC54" s="96">
        <f t="shared" si="31"/>
        <v>0</v>
      </c>
      <c r="AD54" s="96">
        <f t="shared" si="31"/>
        <v>0</v>
      </c>
      <c r="AE54" s="96">
        <f t="shared" si="31"/>
        <v>0</v>
      </c>
      <c r="AF54" s="96">
        <f t="shared" si="31"/>
        <v>10</v>
      </c>
      <c r="AG54" s="96">
        <f t="shared" si="31"/>
        <v>6</v>
      </c>
      <c r="AH54" s="96">
        <f t="shared" si="31"/>
        <v>7</v>
      </c>
      <c r="AI54" s="96">
        <f t="shared" si="31"/>
        <v>6</v>
      </c>
      <c r="AJ54" s="96">
        <f t="shared" si="31"/>
        <v>6</v>
      </c>
      <c r="AK54" s="96">
        <f t="shared" si="31"/>
        <v>0</v>
      </c>
      <c r="AL54" s="96">
        <f t="shared" si="31"/>
        <v>0</v>
      </c>
      <c r="AM54" s="97">
        <f t="shared" si="31"/>
        <v>5</v>
      </c>
      <c r="AN54" s="99">
        <f t="shared" si="31"/>
        <v>5</v>
      </c>
      <c r="AP54" s="100" t="s">
        <v>42</v>
      </c>
      <c r="AQ54" s="101">
        <v>0</v>
      </c>
      <c r="AR54" s="75">
        <v>0</v>
      </c>
    </row>
    <row r="55" spans="1:53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297">
        <f t="shared" ref="K55:AN55" si="32">COUNTIF(K4:K44,"X")+COUNTIF(K4:K44,"Y")+COUNTIF(K4:K44,"Z")</f>
        <v>8</v>
      </c>
      <c r="L55" s="24">
        <f t="shared" si="32"/>
        <v>5</v>
      </c>
      <c r="M55" s="24">
        <f t="shared" si="32"/>
        <v>9</v>
      </c>
      <c r="N55" s="24">
        <f t="shared" si="32"/>
        <v>10</v>
      </c>
      <c r="O55" s="24">
        <f t="shared" si="32"/>
        <v>11</v>
      </c>
      <c r="P55" s="24">
        <f t="shared" si="32"/>
        <v>19</v>
      </c>
      <c r="Q55" s="24">
        <f t="shared" si="32"/>
        <v>19</v>
      </c>
      <c r="R55" s="24">
        <f t="shared" si="32"/>
        <v>11</v>
      </c>
      <c r="S55" s="24">
        <f t="shared" si="32"/>
        <v>4</v>
      </c>
      <c r="T55" s="24">
        <f t="shared" si="32"/>
        <v>11</v>
      </c>
      <c r="U55" s="24">
        <f t="shared" si="32"/>
        <v>5</v>
      </c>
      <c r="V55" s="24">
        <f t="shared" si="32"/>
        <v>10</v>
      </c>
      <c r="W55" s="24">
        <f t="shared" si="32"/>
        <v>21</v>
      </c>
      <c r="X55" s="24">
        <f t="shared" si="32"/>
        <v>21</v>
      </c>
      <c r="Y55" s="24">
        <f t="shared" si="32"/>
        <v>12</v>
      </c>
      <c r="Z55" s="24">
        <f t="shared" si="32"/>
        <v>11</v>
      </c>
      <c r="AA55" s="24">
        <f t="shared" si="32"/>
        <v>10</v>
      </c>
      <c r="AB55" s="24">
        <f t="shared" si="32"/>
        <v>5</v>
      </c>
      <c r="AC55" s="24">
        <f t="shared" si="32"/>
        <v>15</v>
      </c>
      <c r="AD55" s="24">
        <f t="shared" si="32"/>
        <v>21</v>
      </c>
      <c r="AE55" s="24">
        <f t="shared" si="32"/>
        <v>22</v>
      </c>
      <c r="AF55" s="24">
        <f t="shared" si="32"/>
        <v>7</v>
      </c>
      <c r="AG55" s="24">
        <f t="shared" si="32"/>
        <v>11</v>
      </c>
      <c r="AH55" s="24">
        <f t="shared" si="32"/>
        <v>11</v>
      </c>
      <c r="AI55" s="24">
        <f t="shared" si="32"/>
        <v>11</v>
      </c>
      <c r="AJ55" s="24">
        <f t="shared" si="32"/>
        <v>9</v>
      </c>
      <c r="AK55" s="24">
        <f t="shared" si="32"/>
        <v>21</v>
      </c>
      <c r="AL55" s="24">
        <f t="shared" si="32"/>
        <v>19</v>
      </c>
      <c r="AM55" s="24">
        <f t="shared" si="32"/>
        <v>10</v>
      </c>
      <c r="AN55" s="102">
        <f t="shared" si="32"/>
        <v>10</v>
      </c>
      <c r="AP55" s="100" t="s">
        <v>146</v>
      </c>
      <c r="AQ55" s="101">
        <v>0</v>
      </c>
      <c r="AR55" s="75">
        <v>0</v>
      </c>
    </row>
    <row r="56" spans="1:53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294">
        <f t="shared" ref="K56:AN56" si="33">COUNTIF(K4:K44,"S")</f>
        <v>5</v>
      </c>
      <c r="L56" s="39">
        <f t="shared" si="33"/>
        <v>6</v>
      </c>
      <c r="M56" s="39">
        <f t="shared" si="33"/>
        <v>6</v>
      </c>
      <c r="N56" s="39">
        <f t="shared" si="33"/>
        <v>4</v>
      </c>
      <c r="O56" s="39">
        <f t="shared" si="33"/>
        <v>5</v>
      </c>
      <c r="P56" s="39">
        <f t="shared" si="33"/>
        <v>3</v>
      </c>
      <c r="Q56" s="39">
        <f t="shared" si="33"/>
        <v>3</v>
      </c>
      <c r="R56" s="39">
        <f t="shared" si="33"/>
        <v>3</v>
      </c>
      <c r="S56" s="39">
        <f t="shared" si="33"/>
        <v>4</v>
      </c>
      <c r="T56" s="39">
        <f t="shared" si="33"/>
        <v>1</v>
      </c>
      <c r="U56" s="39">
        <f t="shared" si="33"/>
        <v>1</v>
      </c>
      <c r="V56" s="39">
        <f t="shared" si="33"/>
        <v>1</v>
      </c>
      <c r="W56" s="39">
        <f t="shared" si="33"/>
        <v>1</v>
      </c>
      <c r="X56" s="39">
        <f t="shared" si="33"/>
        <v>1</v>
      </c>
      <c r="Y56" s="39">
        <f t="shared" si="33"/>
        <v>3</v>
      </c>
      <c r="Z56" s="39">
        <f t="shared" si="33"/>
        <v>3</v>
      </c>
      <c r="AA56" s="39">
        <f t="shared" si="33"/>
        <v>4</v>
      </c>
      <c r="AB56" s="39">
        <f t="shared" si="33"/>
        <v>2</v>
      </c>
      <c r="AC56" s="39">
        <f t="shared" si="33"/>
        <v>7</v>
      </c>
      <c r="AD56" s="39">
        <f t="shared" si="33"/>
        <v>1</v>
      </c>
      <c r="AE56" s="39">
        <f t="shared" si="33"/>
        <v>0</v>
      </c>
      <c r="AF56" s="39">
        <f t="shared" si="33"/>
        <v>1</v>
      </c>
      <c r="AG56" s="39">
        <f t="shared" si="33"/>
        <v>1</v>
      </c>
      <c r="AH56" s="39">
        <f t="shared" si="33"/>
        <v>0</v>
      </c>
      <c r="AI56" s="39">
        <f t="shared" si="33"/>
        <v>1</v>
      </c>
      <c r="AJ56" s="39">
        <f t="shared" si="33"/>
        <v>3</v>
      </c>
      <c r="AK56" s="39">
        <f t="shared" si="33"/>
        <v>1</v>
      </c>
      <c r="AL56" s="39">
        <f t="shared" si="33"/>
        <v>3</v>
      </c>
      <c r="AM56" s="39">
        <f t="shared" si="33"/>
        <v>3</v>
      </c>
      <c r="AN56" s="83">
        <f t="shared" si="33"/>
        <v>4</v>
      </c>
      <c r="AP56" s="107" t="s">
        <v>46</v>
      </c>
      <c r="AQ56" s="105">
        <f>AQ47-AQ48-AQ50-AQ51-AQ52-AQ53+AQ54+AQ55-AQ49</f>
        <v>-2</v>
      </c>
      <c r="AR56" s="105">
        <f>AR47-AR48-AR50-AR51-AR52-AR53+AR54+AR55-AR49</f>
        <v>0</v>
      </c>
      <c r="AS56" s="6"/>
    </row>
    <row r="57" spans="1:53" ht="18" customHeight="1" thickBot="1">
      <c r="A57" s="80"/>
      <c r="B57" s="80"/>
      <c r="C57" s="80"/>
      <c r="D57" s="80"/>
      <c r="I57" s="80"/>
      <c r="J57" s="103" t="s">
        <v>45</v>
      </c>
      <c r="K57" s="294">
        <f t="shared" ref="K57:AN57" si="34">COUNTIF(K4:K44,"T")</f>
        <v>0</v>
      </c>
      <c r="L57" s="39">
        <f t="shared" si="34"/>
        <v>0</v>
      </c>
      <c r="M57" s="39">
        <f t="shared" si="34"/>
        <v>0</v>
      </c>
      <c r="N57" s="39">
        <f t="shared" si="34"/>
        <v>0</v>
      </c>
      <c r="O57" s="39">
        <f t="shared" si="34"/>
        <v>0</v>
      </c>
      <c r="P57" s="39">
        <f t="shared" si="34"/>
        <v>0</v>
      </c>
      <c r="Q57" s="39">
        <f t="shared" si="34"/>
        <v>0</v>
      </c>
      <c r="R57" s="39">
        <f t="shared" si="34"/>
        <v>0</v>
      </c>
      <c r="S57" s="39">
        <f t="shared" si="34"/>
        <v>0</v>
      </c>
      <c r="T57" s="39">
        <f t="shared" si="34"/>
        <v>0</v>
      </c>
      <c r="U57" s="39">
        <f t="shared" si="34"/>
        <v>0</v>
      </c>
      <c r="V57" s="39">
        <f t="shared" si="34"/>
        <v>0</v>
      </c>
      <c r="W57" s="39">
        <f t="shared" si="34"/>
        <v>0</v>
      </c>
      <c r="X57" s="39">
        <f t="shared" si="34"/>
        <v>0</v>
      </c>
      <c r="Y57" s="39">
        <f t="shared" si="34"/>
        <v>0</v>
      </c>
      <c r="Z57" s="39">
        <f t="shared" si="34"/>
        <v>0</v>
      </c>
      <c r="AA57" s="39">
        <f t="shared" si="34"/>
        <v>0</v>
      </c>
      <c r="AB57" s="39">
        <f t="shared" si="34"/>
        <v>0</v>
      </c>
      <c r="AC57" s="39">
        <f t="shared" si="34"/>
        <v>0</v>
      </c>
      <c r="AD57" s="39">
        <f t="shared" si="34"/>
        <v>0</v>
      </c>
      <c r="AE57" s="39">
        <f t="shared" si="34"/>
        <v>0</v>
      </c>
      <c r="AF57" s="39">
        <f t="shared" si="34"/>
        <v>0</v>
      </c>
      <c r="AG57" s="39">
        <f t="shared" si="34"/>
        <v>0</v>
      </c>
      <c r="AH57" s="39">
        <f t="shared" si="34"/>
        <v>0</v>
      </c>
      <c r="AI57" s="39">
        <f t="shared" si="34"/>
        <v>0</v>
      </c>
      <c r="AJ57" s="39">
        <f t="shared" si="34"/>
        <v>0</v>
      </c>
      <c r="AK57" s="39">
        <f t="shared" si="34"/>
        <v>0</v>
      </c>
      <c r="AL57" s="39">
        <f t="shared" si="34"/>
        <v>0</v>
      </c>
      <c r="AM57" s="39">
        <f t="shared" si="34"/>
        <v>0</v>
      </c>
      <c r="AN57" s="83">
        <f t="shared" si="34"/>
        <v>0</v>
      </c>
      <c r="AO57" s="77"/>
      <c r="AQ57" s="50"/>
      <c r="AR57" s="111"/>
      <c r="AT57" s="77"/>
      <c r="AU57" s="77"/>
      <c r="AV57" s="77"/>
      <c r="AW57" s="77"/>
      <c r="BA57" s="6" t="s">
        <v>160</v>
      </c>
    </row>
    <row r="58" spans="1:53" ht="18" customHeight="1" thickBot="1">
      <c r="A58" s="80"/>
      <c r="B58" s="80"/>
      <c r="C58" s="80"/>
      <c r="D58" s="80"/>
      <c r="I58" s="80"/>
      <c r="J58" s="108" t="s">
        <v>109</v>
      </c>
      <c r="K58" s="298">
        <f>SUM(K45:K57)</f>
        <v>41</v>
      </c>
      <c r="L58" s="109">
        <f t="shared" ref="L58:AN58" si="35">SUM(L45:L57)</f>
        <v>41</v>
      </c>
      <c r="M58" s="109">
        <f t="shared" si="35"/>
        <v>41</v>
      </c>
      <c r="N58" s="109">
        <f t="shared" si="35"/>
        <v>41</v>
      </c>
      <c r="O58" s="109">
        <f t="shared" si="35"/>
        <v>41</v>
      </c>
      <c r="P58" s="109">
        <f t="shared" si="35"/>
        <v>41</v>
      </c>
      <c r="Q58" s="109">
        <f t="shared" si="35"/>
        <v>41</v>
      </c>
      <c r="R58" s="109">
        <f t="shared" si="35"/>
        <v>41</v>
      </c>
      <c r="S58" s="109">
        <f t="shared" si="35"/>
        <v>41</v>
      </c>
      <c r="T58" s="109">
        <f t="shared" si="35"/>
        <v>41</v>
      </c>
      <c r="U58" s="109">
        <f t="shared" si="35"/>
        <v>41</v>
      </c>
      <c r="V58" s="109">
        <f t="shared" si="35"/>
        <v>41</v>
      </c>
      <c r="W58" s="109">
        <f t="shared" si="35"/>
        <v>41</v>
      </c>
      <c r="X58" s="109">
        <f t="shared" si="35"/>
        <v>41</v>
      </c>
      <c r="Y58" s="109">
        <f t="shared" si="35"/>
        <v>41</v>
      </c>
      <c r="Z58" s="109">
        <f t="shared" si="35"/>
        <v>41</v>
      </c>
      <c r="AA58" s="109">
        <f t="shared" si="35"/>
        <v>41</v>
      </c>
      <c r="AB58" s="109">
        <f t="shared" si="35"/>
        <v>41</v>
      </c>
      <c r="AC58" s="109">
        <f t="shared" si="35"/>
        <v>41</v>
      </c>
      <c r="AD58" s="109">
        <f t="shared" si="35"/>
        <v>41</v>
      </c>
      <c r="AE58" s="109">
        <f t="shared" si="35"/>
        <v>41</v>
      </c>
      <c r="AF58" s="109">
        <f t="shared" si="35"/>
        <v>41</v>
      </c>
      <c r="AG58" s="109">
        <f t="shared" si="35"/>
        <v>41</v>
      </c>
      <c r="AH58" s="109">
        <f t="shared" si="35"/>
        <v>41</v>
      </c>
      <c r="AI58" s="109">
        <f t="shared" si="35"/>
        <v>41</v>
      </c>
      <c r="AJ58" s="109">
        <f t="shared" si="35"/>
        <v>41</v>
      </c>
      <c r="AK58" s="109">
        <f t="shared" si="35"/>
        <v>41</v>
      </c>
      <c r="AL58" s="109">
        <f t="shared" si="35"/>
        <v>41</v>
      </c>
      <c r="AM58" s="109">
        <f t="shared" si="35"/>
        <v>41</v>
      </c>
      <c r="AN58" s="110">
        <f t="shared" si="35"/>
        <v>41</v>
      </c>
      <c r="AP58" s="7"/>
      <c r="AQ58" s="6"/>
      <c r="AR58" s="111"/>
      <c r="AT58" s="37"/>
      <c r="AU58" s="77"/>
      <c r="AV58" s="77"/>
      <c r="AW58" s="77"/>
    </row>
    <row r="59" spans="1:53" ht="24.6" customHeight="1">
      <c r="A59" s="80"/>
      <c r="B59" s="80"/>
      <c r="C59" s="80"/>
      <c r="D59" s="80"/>
      <c r="G59" s="80"/>
      <c r="H59" s="112"/>
      <c r="I59" s="113"/>
      <c r="K59" s="113">
        <f>41-K54-K55-K56-23</f>
        <v>-1</v>
      </c>
      <c r="L59" s="113">
        <f t="shared" ref="L59:O59" si="36">41-L54-L55-L56-23</f>
        <v>0</v>
      </c>
      <c r="M59" s="113">
        <f t="shared" si="36"/>
        <v>0</v>
      </c>
      <c r="N59" s="113">
        <f t="shared" si="36"/>
        <v>0</v>
      </c>
      <c r="O59" s="113">
        <f t="shared" si="36"/>
        <v>0</v>
      </c>
      <c r="P59" s="113">
        <f>41-P54-P55-P56-19</f>
        <v>0</v>
      </c>
      <c r="Q59" s="113">
        <f>41-Q54-Q55-Q56-19</f>
        <v>0</v>
      </c>
      <c r="R59" s="113">
        <f>41-R54-R55-R56-23</f>
        <v>0</v>
      </c>
      <c r="S59" s="113">
        <f t="shared" ref="S59:V59" si="37">41-S54-S55-S56-23</f>
        <v>0</v>
      </c>
      <c r="T59" s="113">
        <f t="shared" si="37"/>
        <v>0</v>
      </c>
      <c r="U59" s="113">
        <f t="shared" si="37"/>
        <v>0</v>
      </c>
      <c r="V59" s="113">
        <f t="shared" si="37"/>
        <v>0</v>
      </c>
      <c r="W59" s="113">
        <f>41-W54-W55-W56-19</f>
        <v>0</v>
      </c>
      <c r="X59" s="113">
        <f>41-X54-X55-X56-19</f>
        <v>0</v>
      </c>
      <c r="Y59" s="113">
        <f>41-Y54-Y55-Y56-23</f>
        <v>0</v>
      </c>
      <c r="Z59" s="113">
        <f t="shared" ref="Z59:AB59" si="38">41-Z54-Z55-Z56-23</f>
        <v>0</v>
      </c>
      <c r="AA59" s="113">
        <f t="shared" si="38"/>
        <v>0</v>
      </c>
      <c r="AB59" s="113">
        <f t="shared" si="38"/>
        <v>0</v>
      </c>
      <c r="AC59" s="113">
        <f>41-AC54-AC55-AC56-19</f>
        <v>0</v>
      </c>
      <c r="AD59" s="113">
        <f>41-AD54-AD55-AD56-19</f>
        <v>0</v>
      </c>
      <c r="AE59" s="113">
        <f>41-AE54-AE55-AE56-19</f>
        <v>0</v>
      </c>
      <c r="AF59" s="113">
        <f>41-AF54-AF55-AF56-23</f>
        <v>0</v>
      </c>
      <c r="AG59" s="113">
        <f t="shared" ref="AG59:AJ59" si="39">41-AG54-AG55-AG56-23</f>
        <v>0</v>
      </c>
      <c r="AH59" s="113">
        <f t="shared" si="39"/>
        <v>0</v>
      </c>
      <c r="AI59" s="113">
        <f t="shared" si="39"/>
        <v>0</v>
      </c>
      <c r="AJ59" s="113">
        <f t="shared" si="39"/>
        <v>0</v>
      </c>
      <c r="AK59" s="113">
        <f>41-AK54-AK55-AK56-19</f>
        <v>0</v>
      </c>
      <c r="AL59" s="113">
        <f>41-AL54-AL55-AL56-19</f>
        <v>0</v>
      </c>
      <c r="AM59" s="113">
        <f t="shared" ref="AM59:AN59" si="40">41-AM54-AM55-AM56-23</f>
        <v>0</v>
      </c>
      <c r="AN59" s="113">
        <f t="shared" si="40"/>
        <v>-1</v>
      </c>
    </row>
    <row r="60" spans="1:53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7"/>
    </row>
    <row r="61" spans="1:53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</row>
    <row r="62" spans="1:53" ht="24.6" customHeight="1" thickBot="1">
      <c r="A62" s="80"/>
      <c r="B62" s="80"/>
      <c r="C62" s="80"/>
      <c r="D62" s="80"/>
      <c r="I62" s="80"/>
      <c r="J62" s="228" t="s">
        <v>47</v>
      </c>
      <c r="K62" s="299" cm="1">
        <f t="array" ref="K62">SUMPRODUCT(COUNTIF(K4:K18,{"1";"M1"}))</f>
        <v>1</v>
      </c>
      <c r="L62" s="230" cm="1">
        <f t="array" ref="L62">SUMPRODUCT(COUNTIF(L4:L18,{"1";"M1"}))</f>
        <v>1</v>
      </c>
      <c r="M62" s="230" cm="1">
        <f t="array" ref="M62">SUMPRODUCT(COUNTIF(M4:M18,{"1";"M1"}))</f>
        <v>1</v>
      </c>
      <c r="N62" s="230" cm="1">
        <f t="array" ref="N62">SUMPRODUCT(COUNTIF(N4:N18,{"1";"M1"}))</f>
        <v>1</v>
      </c>
      <c r="O62" s="230" cm="1">
        <f t="array" ref="O62">SUMPRODUCT(COUNTIF(O4:O18,{"1";"M1"}))</f>
        <v>1</v>
      </c>
      <c r="P62" s="231" cm="1">
        <f t="array" ref="P62">SUMPRODUCT(COUNTIF(P4:P18,{"1";"M1"}))</f>
        <v>1</v>
      </c>
      <c r="Q62" s="231" cm="1">
        <f t="array" ref="Q62">SUMPRODUCT(COUNTIF(Q4:Q18,{"1";"M1"}))</f>
        <v>2</v>
      </c>
      <c r="R62" s="230" cm="1">
        <f t="array" ref="R62">SUMPRODUCT(COUNTIF(R4:R18,{"1";"M1"}))</f>
        <v>1</v>
      </c>
      <c r="S62" s="230" cm="1">
        <f t="array" ref="S62">SUMPRODUCT(COUNTIF(S4:S18,{"1";"M1"}))</f>
        <v>1</v>
      </c>
      <c r="T62" s="230" cm="1">
        <f t="array" ref="T62">SUMPRODUCT(COUNTIF(T4:T18,{"1";"M1"}))</f>
        <v>1</v>
      </c>
      <c r="U62" s="230" cm="1">
        <f t="array" ref="U62">SUMPRODUCT(COUNTIF(U4:U18,{"1";"M1"}))</f>
        <v>1</v>
      </c>
      <c r="V62" s="230" cm="1">
        <f t="array" ref="V62">SUMPRODUCT(COUNTIF(V4:V18,{"1";"M1"}))</f>
        <v>1</v>
      </c>
      <c r="W62" s="231" cm="1">
        <f t="array" ref="W62">SUMPRODUCT(COUNTIF(W4:W18,{"1";"M1"}))</f>
        <v>1</v>
      </c>
      <c r="X62" s="231" cm="1">
        <f t="array" ref="X62">SUMPRODUCT(COUNTIF(X4:X18,{"1";"M1"}))</f>
        <v>1</v>
      </c>
      <c r="Y62" s="230" cm="1">
        <f t="array" ref="Y62">SUMPRODUCT(COUNTIF(Y4:Y18,{"1";"M1"}))</f>
        <v>1</v>
      </c>
      <c r="Z62" s="230" cm="1">
        <f t="array" ref="Z62">SUMPRODUCT(COUNTIF(Z4:Z18,{"1";"M1"}))</f>
        <v>1</v>
      </c>
      <c r="AA62" s="230" cm="1">
        <f t="array" ref="AA62">SUMPRODUCT(COUNTIF(AA4:AA18,{"1";"M1"}))</f>
        <v>1</v>
      </c>
      <c r="AB62" s="230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1</v>
      </c>
      <c r="AE62" s="231" cm="1">
        <f t="array" ref="AE62">SUMPRODUCT(COUNTIF(AE4:AE18,{"1";"M1"}))</f>
        <v>1</v>
      </c>
      <c r="AF62" s="230" cm="1">
        <f t="array" ref="AF62">SUMPRODUCT(COUNTIF(AF4:AF18,{"1";"M1"}))</f>
        <v>1</v>
      </c>
      <c r="AG62" s="230" cm="1">
        <f t="array" ref="AG62">SUMPRODUCT(COUNTIF(AG4:AG18,{"1";"M1"}))</f>
        <v>1</v>
      </c>
      <c r="AH62" s="230" cm="1">
        <f t="array" ref="AH62">SUMPRODUCT(COUNTIF(AH4:AH18,{"1";"M1"}))</f>
        <v>1</v>
      </c>
      <c r="AI62" s="230" cm="1">
        <f t="array" ref="AI62">SUMPRODUCT(COUNTIF(AI4:AI18,{"1";"M1"}))</f>
        <v>2</v>
      </c>
      <c r="AJ62" s="230" cm="1">
        <f t="array" ref="AJ62">SUMPRODUCT(COUNTIF(AJ4:AJ18,{"1";"M1"}))</f>
        <v>1</v>
      </c>
      <c r="AK62" s="231" cm="1">
        <f t="array" ref="AK62">SUMPRODUCT(COUNTIF(AK4:AK18,{"1";"M1"}))</f>
        <v>0</v>
      </c>
      <c r="AL62" s="231" cm="1">
        <f t="array" ref="AL62">SUMPRODUCT(COUNTIF(AL4:AL18,{"1";"M1"}))</f>
        <v>0</v>
      </c>
      <c r="AM62" s="230" cm="1">
        <f t="array" ref="AM62">SUMPRODUCT(COUNTIF(AM4:AM18,{"1";"M1"}))</f>
        <v>1</v>
      </c>
      <c r="AN62" s="230" cm="1">
        <f t="array" ref="AN62">SUMPRODUCT(COUNTIF(AN4:AN18,{"1";"M1"}))</f>
        <v>2</v>
      </c>
    </row>
    <row r="63" spans="1:53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5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</row>
  </sheetData>
  <autoFilter ref="AS3:AS57" xr:uid="{00000000-0009-0000-0000-000005000000}"/>
  <mergeCells count="11"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38:V38 K4:AN6 K7:AL7 K8:AN35 K36:AO36 K37:AN37 K39:AN44">
    <cfRule type="expression" dxfId="240" priority="17">
      <formula>OR(K4="晚", K4=3, K4="大夜")</formula>
    </cfRule>
  </conditionalFormatting>
  <conditionalFormatting sqref="K4:AN6 K7:AL7 K8:AN35 K36:AO36 K37:AN37 K38 M38:Y38 AB38:AH38 AJ38:AN38 K39:AN44">
    <cfRule type="expression" dxfId="239" priority="32">
      <formula>OR(K4="T中", K4="中", K4=2, K4="小夜")</formula>
    </cfRule>
    <cfRule type="expression" dxfId="238" priority="33">
      <formula>OR(K4="T早", K4="早", K4="M1", K4=1, K4="日")</formula>
    </cfRule>
  </conditionalFormatting>
  <conditionalFormatting sqref="K37:AN44 K4:AN6 K7:AL7 K8:AN35 K36:AO36">
    <cfRule type="expression" dxfId="237" priority="30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5:AN53">
    <cfRule type="cellIs" dxfId="236" priority="52" operator="equal">
      <formula>5</formula>
    </cfRule>
    <cfRule type="cellIs" dxfId="235" priority="53" operator="equal">
      <formula>4</formula>
    </cfRule>
    <cfRule type="cellIs" dxfId="234" priority="54" operator="equal">
      <formula>3</formula>
    </cfRule>
    <cfRule type="cellIs" dxfId="233" priority="55" operator="equal">
      <formula>2</formula>
    </cfRule>
    <cfRule type="cellIs" dxfId="232" priority="56" operator="equal">
      <formula>1</formula>
    </cfRule>
  </conditionalFormatting>
  <conditionalFormatting sqref="K51:AN53">
    <cfRule type="cellIs" dxfId="231" priority="57" operator="equal">
      <formula>"T中"</formula>
    </cfRule>
  </conditionalFormatting>
  <conditionalFormatting sqref="L38">
    <cfRule type="expression" dxfId="230" priority="15">
      <formula>OR(L38="T中", L38="中", L38=2, L38="小夜")</formula>
    </cfRule>
    <cfRule type="expression" dxfId="229" priority="16">
      <formula>OR(L38="T早", L38="早", L38="M1", L38=1, L38="日")</formula>
    </cfRule>
  </conditionalFormatting>
  <conditionalFormatting sqref="T38">
    <cfRule type="expression" dxfId="228" priority="7">
      <formula>OR(T38="T中", T38="中", T38=2, T38="小夜")</formula>
    </cfRule>
    <cfRule type="expression" dxfId="227" priority="8">
      <formula>OR(T38="T早", T38="早", T38="M1", T38=1, T38="日")</formula>
    </cfRule>
    <cfRule type="expression" dxfId="226" priority="9">
      <formula>OR(T38="晚", T38=3, T38="大夜")</formula>
    </cfRule>
  </conditionalFormatting>
  <conditionalFormatting sqref="V38">
    <cfRule type="expression" dxfId="225" priority="11">
      <formula>OR(V38="T中", V38="中", V38=2, V38="小夜")</formula>
    </cfRule>
    <cfRule type="expression" dxfId="224" priority="12">
      <formula>OR(V38="T早", V38="早", V38="M1", V38=1, V38="日")</formula>
    </cfRule>
    <cfRule type="expression" dxfId="223" priority="13">
      <formula>OR(V38="晚", V38=3, V38="大夜")</formula>
    </cfRule>
  </conditionalFormatting>
  <conditionalFormatting sqref="W38:AA38">
    <cfRule type="expression" dxfId="222" priority="21">
      <formula>OR(W38="晚", W38=3, W38="大夜")</formula>
    </cfRule>
  </conditionalFormatting>
  <conditionalFormatting sqref="Y38">
    <cfRule type="expression" dxfId="221" priority="6">
      <formula>OR(Y38="晚", Y38=3, Y38="大夜")</formula>
    </cfRule>
  </conditionalFormatting>
  <conditionalFormatting sqref="Z38:AA38">
    <cfRule type="expression" dxfId="220" priority="19">
      <formula>OR(Z38="T中", Z38="中", Z38=2, Z38="小夜")</formula>
    </cfRule>
    <cfRule type="expression" dxfId="219" priority="20">
      <formula>OR(Z38="T早", Z38="早", Z38="M1", Z38=1, Z38="日")</formula>
    </cfRule>
  </conditionalFormatting>
  <conditionalFormatting sqref="AB38:AN38">
    <cfRule type="expression" dxfId="218" priority="25">
      <formula>OR(AB38="晚", AB38=3, AB38="大夜")</formula>
    </cfRule>
  </conditionalFormatting>
  <conditionalFormatting sqref="AI38:AJ38">
    <cfRule type="expression" dxfId="217" priority="23">
      <formula>OR(AI38="T中", AI38="中", AI38=2, AI38="小夜")</formula>
    </cfRule>
    <cfRule type="expression" dxfId="216" priority="24">
      <formula>OR(AI38="T早", AI38="早", AI38="M1", AI38=1, AI38="日")</formula>
    </cfRule>
  </conditionalFormatting>
  <conditionalFormatting sqref="AJ38">
    <cfRule type="expression" dxfId="215" priority="1">
      <formula>OR(AJ38="晚", AJ38=3, AJ38="大夜")</formula>
    </cfRule>
  </conditionalFormatting>
  <conditionalFormatting sqref="AO24">
    <cfRule type="cellIs" dxfId="214" priority="60" operator="equal">
      <formula>"大夜"</formula>
    </cfRule>
    <cfRule type="cellIs" dxfId="213" priority="61" operator="equal">
      <formula>"晚"</formula>
    </cfRule>
    <cfRule type="cellIs" dxfId="212" priority="62" operator="equal">
      <formula>3</formula>
    </cfRule>
    <cfRule type="cellIs" dxfId="211" priority="63" operator="equal">
      <formula>"小夜"</formula>
    </cfRule>
    <cfRule type="cellIs" dxfId="210" priority="64" operator="equal">
      <formula>"T中"</formula>
    </cfRule>
    <cfRule type="cellIs" dxfId="209" priority="65" operator="equal">
      <formula>"中"</formula>
    </cfRule>
    <cfRule type="cellIs" dxfId="208" priority="66" operator="equal">
      <formula>"M2"</formula>
    </cfRule>
    <cfRule type="cellIs" dxfId="207" priority="67" operator="equal">
      <formula>2</formula>
    </cfRule>
    <cfRule type="cellIs" dxfId="206" priority="68" operator="equal">
      <formula>"日"</formula>
    </cfRule>
    <cfRule type="cellIs" dxfId="205" priority="69" operator="equal">
      <formula>"T早"</formula>
    </cfRule>
    <cfRule type="cellIs" dxfId="204" priority="70" operator="equal">
      <formula>"早"</formula>
    </cfRule>
    <cfRule type="cellIs" dxfId="203" priority="71" operator="equal">
      <formula>"M1"</formula>
    </cfRule>
    <cfRule type="cellIs" dxfId="202" priority="72" operator="equal">
      <formula>1</formula>
    </cfRule>
  </conditionalFormatting>
  <conditionalFormatting sqref="AR4:AR44">
    <cfRule type="cellIs" dxfId="201" priority="58" operator="equal">
      <formula>-2</formula>
    </cfRule>
    <cfRule type="cellIs" dxfId="200" priority="5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20E85-12E6-4AD0-A15C-4B7B553FF313}">
  <sheetPr>
    <pageSetUpPr fitToPage="1"/>
  </sheetPr>
  <dimension ref="A1:HS115"/>
  <sheetViews>
    <sheetView zoomScale="70" zoomScaleNormal="70" workbookViewId="0">
      <pane xSplit="11" ySplit="3" topLeftCell="L4" activePane="bottomRight" state="frozen"/>
      <selection pane="topRight" activeCell="K1" sqref="K1"/>
      <selection pane="bottomLeft" activeCell="A4" sqref="A4"/>
      <selection pane="bottomRight" activeCell="AM57" sqref="AM57"/>
    </sheetView>
  </sheetViews>
  <sheetFormatPr defaultColWidth="9" defaultRowHeight="24.6" customHeight="1"/>
  <cols>
    <col min="1" max="10" width="4.109375" style="77" customWidth="1"/>
    <col min="11" max="11" width="23.109375" style="6" customWidth="1"/>
    <col min="12" max="39" width="6.109375" style="6" customWidth="1"/>
    <col min="40" max="40" width="6" style="6" customWidth="1"/>
    <col min="41" max="42" width="6.109375" style="6" customWidth="1"/>
    <col min="43" max="44" width="7.88671875" style="6" customWidth="1"/>
    <col min="45" max="45" width="7.88671875" style="7" customWidth="1"/>
    <col min="46" max="46" width="5.88671875" style="6" customWidth="1"/>
    <col min="47" max="234" width="9" style="6" customWidth="1"/>
    <col min="235" max="235" width="7.109375" style="6" customWidth="1"/>
    <col min="236" max="16384" width="9" style="6"/>
  </cols>
  <sheetData>
    <row r="1" spans="1:227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1"/>
      <c r="J1" s="3">
        <v>8</v>
      </c>
      <c r="K1" s="4"/>
      <c r="L1" s="474" t="str">
        <f>"TPKC剩餘人力："&amp;AS56&amp;" / NK剩餘人力："&amp;AT56&amp;" /  N班人力："&amp;AS51</f>
        <v>TPKC剩餘人力：5 / NK剩餘人力：2 /  N班人力：115</v>
      </c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5"/>
      <c r="AJ1" s="476"/>
      <c r="AK1" s="475"/>
      <c r="AL1" s="475"/>
      <c r="AM1" s="477"/>
      <c r="AN1" s="478"/>
      <c r="AO1" s="478"/>
      <c r="AP1" s="5"/>
      <c r="AS1" s="6"/>
      <c r="AT1" s="7"/>
    </row>
    <row r="2" spans="1:227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489" t="s">
        <v>163</v>
      </c>
      <c r="G2" s="8" t="s">
        <v>106</v>
      </c>
      <c r="H2" s="8" t="s">
        <v>107</v>
      </c>
      <c r="I2" s="8" t="s">
        <v>108</v>
      </c>
      <c r="J2" s="479" t="s">
        <v>109</v>
      </c>
      <c r="K2" s="493" t="s">
        <v>161</v>
      </c>
      <c r="L2" s="12" t="s">
        <v>114</v>
      </c>
      <c r="M2" s="12" t="s">
        <v>115</v>
      </c>
      <c r="N2" s="13" t="s">
        <v>116</v>
      </c>
      <c r="O2" s="14" t="s">
        <v>117</v>
      </c>
      <c r="P2" s="14" t="s">
        <v>111</v>
      </c>
      <c r="Q2" s="9" t="s">
        <v>112</v>
      </c>
      <c r="R2" s="9" t="s">
        <v>113</v>
      </c>
      <c r="S2" s="9" t="s">
        <v>114</v>
      </c>
      <c r="T2" s="9" t="s">
        <v>115</v>
      </c>
      <c r="U2" s="10" t="s">
        <v>116</v>
      </c>
      <c r="V2" s="11" t="s">
        <v>117</v>
      </c>
      <c r="W2" s="11" t="s">
        <v>111</v>
      </c>
      <c r="X2" s="12" t="s">
        <v>112</v>
      </c>
      <c r="Y2" s="12" t="s">
        <v>113</v>
      </c>
      <c r="Z2" s="12" t="s">
        <v>114</v>
      </c>
      <c r="AA2" s="12" t="s">
        <v>115</v>
      </c>
      <c r="AB2" s="13" t="s">
        <v>116</v>
      </c>
      <c r="AC2" s="14" t="s">
        <v>117</v>
      </c>
      <c r="AD2" s="14" t="s">
        <v>111</v>
      </c>
      <c r="AE2" s="9" t="s">
        <v>112</v>
      </c>
      <c r="AF2" s="9" t="s">
        <v>113</v>
      </c>
      <c r="AG2" s="9" t="s">
        <v>114</v>
      </c>
      <c r="AH2" s="9" t="s">
        <v>115</v>
      </c>
      <c r="AI2" s="10" t="s">
        <v>116</v>
      </c>
      <c r="AJ2" s="11" t="s">
        <v>117</v>
      </c>
      <c r="AK2" s="11" t="s">
        <v>111</v>
      </c>
      <c r="AL2" s="12" t="s">
        <v>112</v>
      </c>
      <c r="AM2" s="12" t="s">
        <v>113</v>
      </c>
      <c r="AN2" s="12" t="s">
        <v>114</v>
      </c>
      <c r="AO2" s="12" t="s">
        <v>115</v>
      </c>
      <c r="AP2" s="349" t="s">
        <v>116</v>
      </c>
      <c r="AS2" s="6"/>
      <c r="AW2" s="471" t="s">
        <v>48</v>
      </c>
      <c r="AX2" s="472"/>
      <c r="AY2" s="473"/>
    </row>
    <row r="3" spans="1:227" ht="24.6" customHeight="1" thickBot="1">
      <c r="A3" s="484"/>
      <c r="B3" s="486"/>
      <c r="C3" s="486"/>
      <c r="D3" s="488"/>
      <c r="E3" s="490"/>
      <c r="F3" s="490"/>
      <c r="G3" s="15" t="s">
        <v>118</v>
      </c>
      <c r="H3" s="15" t="s">
        <v>119</v>
      </c>
      <c r="I3" s="16" t="s">
        <v>120</v>
      </c>
      <c r="J3" s="480"/>
      <c r="K3" s="494"/>
      <c r="L3" s="354">
        <v>1</v>
      </c>
      <c r="M3" s="17">
        <v>2</v>
      </c>
      <c r="N3" s="17">
        <v>3</v>
      </c>
      <c r="O3" s="18">
        <v>4</v>
      </c>
      <c r="P3" s="18">
        <v>5</v>
      </c>
      <c r="Q3" s="17">
        <v>6</v>
      </c>
      <c r="R3" s="17">
        <v>7</v>
      </c>
      <c r="S3" s="17">
        <v>8</v>
      </c>
      <c r="T3" s="17">
        <v>9</v>
      </c>
      <c r="U3" s="17">
        <v>10</v>
      </c>
      <c r="V3" s="18">
        <v>11</v>
      </c>
      <c r="W3" s="18">
        <v>12</v>
      </c>
      <c r="X3" s="17">
        <v>13</v>
      </c>
      <c r="Y3" s="17">
        <v>14</v>
      </c>
      <c r="Z3" s="17">
        <v>15</v>
      </c>
      <c r="AA3" s="17">
        <v>16</v>
      </c>
      <c r="AB3" s="17">
        <v>17</v>
      </c>
      <c r="AC3" s="18">
        <v>18</v>
      </c>
      <c r="AD3" s="18">
        <v>19</v>
      </c>
      <c r="AE3" s="17">
        <v>20</v>
      </c>
      <c r="AF3" s="17">
        <v>21</v>
      </c>
      <c r="AG3" s="17">
        <v>22</v>
      </c>
      <c r="AH3" s="17">
        <v>23</v>
      </c>
      <c r="AI3" s="17">
        <v>24</v>
      </c>
      <c r="AJ3" s="18">
        <v>25</v>
      </c>
      <c r="AK3" s="18">
        <v>26</v>
      </c>
      <c r="AL3" s="17">
        <v>27</v>
      </c>
      <c r="AM3" s="17">
        <v>28</v>
      </c>
      <c r="AN3" s="17">
        <v>29</v>
      </c>
      <c r="AO3" s="17">
        <v>30</v>
      </c>
      <c r="AP3" s="355">
        <v>31</v>
      </c>
      <c r="AQ3" s="19" t="s">
        <v>121</v>
      </c>
      <c r="AR3" s="19" t="s">
        <v>122</v>
      </c>
      <c r="AS3" s="20" t="s">
        <v>123</v>
      </c>
      <c r="AT3" s="21" t="s">
        <v>109</v>
      </c>
      <c r="AU3" s="22" t="s">
        <v>124</v>
      </c>
      <c r="AW3" s="117" t="s">
        <v>49</v>
      </c>
      <c r="AX3" s="117" t="s">
        <v>50</v>
      </c>
      <c r="AY3" s="117" t="s">
        <v>51</v>
      </c>
    </row>
    <row r="4" spans="1:227" ht="25.5" customHeight="1">
      <c r="A4" s="23">
        <f t="shared" ref="A4:A10" si="0">COUNTIF(L4:AP4,1)+COUNTIF(L4:AP4,"早")+COUNTIF(L4:AP4,"M1")+COUNTIF(L4:AP4,"T早")+COUNTIF(L4:AP4,"日")</f>
        <v>0</v>
      </c>
      <c r="B4" s="24">
        <f t="shared" ref="B4:B10" si="1">COUNTIF(L4:AP4,2)+COUNTIF(L4:AP4,"中")+COUNTIF(L4:AP4,"M2")+COUNTIF(L4:AP4,"T中")+COUNTIF(L4:AP4,"小夜")</f>
        <v>0</v>
      </c>
      <c r="C4" s="25">
        <f t="shared" ref="C4:C10" si="2">COUNTIF(L4:AP4,3)+COUNTIF(L4:AP4,"晚")+COUNTIF(L4:AP4,"大夜")</f>
        <v>22</v>
      </c>
      <c r="D4" s="24">
        <f t="shared" ref="D4:D10" si="3">COUNTIF(L4:AP4,"N")+COUNTIF(L4:AP4,"N8")</f>
        <v>0</v>
      </c>
      <c r="E4" s="26">
        <f t="shared" ref="E4:E10" si="4">COUNTIF(L4:AP4,"S")</f>
        <v>1</v>
      </c>
      <c r="F4" s="26">
        <f>COUNTIF(L4:AP4,"T")</f>
        <v>0</v>
      </c>
      <c r="G4" s="26">
        <f>COUNTIF(L4:AP4,"X")</f>
        <v>4</v>
      </c>
      <c r="H4" s="26">
        <f>COUNTIF(L4:AP4,"Y")</f>
        <v>4</v>
      </c>
      <c r="I4" s="26">
        <f>COUNTIF(L4:AP4,"Z")</f>
        <v>0</v>
      </c>
      <c r="J4" s="176">
        <f t="shared" ref="J4:J10" si="5">SUM(A4:I4)</f>
        <v>31</v>
      </c>
      <c r="K4" s="361" t="s">
        <v>152</v>
      </c>
      <c r="L4" s="198">
        <v>3</v>
      </c>
      <c r="M4" s="118">
        <v>3</v>
      </c>
      <c r="N4" s="118">
        <v>3</v>
      </c>
      <c r="O4" s="29" t="s">
        <v>52</v>
      </c>
      <c r="P4" s="29" t="s">
        <v>0</v>
      </c>
      <c r="Q4" s="118">
        <v>3</v>
      </c>
      <c r="R4" s="118">
        <v>3</v>
      </c>
      <c r="S4" s="118">
        <v>3</v>
      </c>
      <c r="T4" s="118">
        <v>3</v>
      </c>
      <c r="U4" s="118">
        <v>3</v>
      </c>
      <c r="V4" s="31" t="s">
        <v>52</v>
      </c>
      <c r="W4" s="33" t="s">
        <v>1</v>
      </c>
      <c r="X4" s="31" t="s">
        <v>0</v>
      </c>
      <c r="Y4" s="29" t="s">
        <v>40</v>
      </c>
      <c r="Z4" s="29" t="s">
        <v>40</v>
      </c>
      <c r="AA4" s="29" t="s">
        <v>40</v>
      </c>
      <c r="AB4" s="29" t="s">
        <v>40</v>
      </c>
      <c r="AC4" s="29" t="s">
        <v>52</v>
      </c>
      <c r="AD4" s="29">
        <v>3</v>
      </c>
      <c r="AE4" s="118">
        <v>3</v>
      </c>
      <c r="AF4" s="118">
        <v>3</v>
      </c>
      <c r="AG4" s="118">
        <v>3</v>
      </c>
      <c r="AH4" s="118">
        <v>3</v>
      </c>
      <c r="AI4" s="118">
        <v>3</v>
      </c>
      <c r="AJ4" s="31" t="s">
        <v>52</v>
      </c>
      <c r="AK4" s="31" t="s">
        <v>0</v>
      </c>
      <c r="AL4" s="33" t="s">
        <v>0</v>
      </c>
      <c r="AM4" s="118">
        <v>3</v>
      </c>
      <c r="AN4" s="118">
        <v>3</v>
      </c>
      <c r="AO4" s="118" t="s">
        <v>40</v>
      </c>
      <c r="AP4" s="119">
        <v>3</v>
      </c>
      <c r="AQ4" s="35">
        <v>0</v>
      </c>
      <c r="AR4" s="36">
        <f t="shared" ref="AR4:AR44" si="6">$G4+$H4+I4-$J$1</f>
        <v>0</v>
      </c>
      <c r="AS4" s="36">
        <v>0</v>
      </c>
      <c r="AT4" s="133">
        <f>SUM(AQ4:AS4)</f>
        <v>0</v>
      </c>
      <c r="AU4" s="328" t="s">
        <v>126</v>
      </c>
      <c r="AW4" s="6" cm="2">
        <f t="array" ref="AW4">SUMPRODUCT(COUNTIF(O4:P4,{"X";"Y";"Z";"S"}))+SUMPRODUCT(COUNTIF(V4:W4,{"X";"Y";"Z";"S"}))+SUMPRODUCT(COUNTIF(AC4:AD4,{"X";"Y";"Z";"S"}))+SUMPRODUCT(COUNTIF(AJ4:AK4,{"X";"Y";"Z";"S"}))-5</f>
        <v>2</v>
      </c>
      <c r="AX4" s="6">
        <v>3</v>
      </c>
      <c r="AY4" s="6">
        <f>AW4+AX4</f>
        <v>5</v>
      </c>
    </row>
    <row r="5" spans="1:227" ht="25.5" customHeight="1">
      <c r="A5" s="38">
        <f t="shared" si="0"/>
        <v>4</v>
      </c>
      <c r="B5" s="39">
        <f t="shared" si="1"/>
        <v>5</v>
      </c>
      <c r="C5" s="40">
        <f t="shared" si="2"/>
        <v>8</v>
      </c>
      <c r="D5" s="39">
        <f t="shared" si="3"/>
        <v>3</v>
      </c>
      <c r="E5" s="41">
        <f t="shared" si="4"/>
        <v>3</v>
      </c>
      <c r="F5" s="41">
        <f t="shared" ref="F5:F44" si="7">COUNTIF(L5:AP5,"T")</f>
        <v>0</v>
      </c>
      <c r="G5" s="41">
        <f t="shared" ref="G5:G38" si="8">COUNTIF(L5:AP5,"X")</f>
        <v>4</v>
      </c>
      <c r="H5" s="41">
        <f t="shared" ref="H5:H38" si="9">COUNTIF(L5:AP5,"Y")</f>
        <v>4</v>
      </c>
      <c r="I5" s="41">
        <f t="shared" ref="I5:I38" si="10">COUNTIF(L5:AP5,"Z")</f>
        <v>0</v>
      </c>
      <c r="J5" s="177">
        <f t="shared" si="5"/>
        <v>31</v>
      </c>
      <c r="K5" s="362" t="s">
        <v>2</v>
      </c>
      <c r="L5" s="122" t="s">
        <v>1</v>
      </c>
      <c r="M5" s="32" t="s">
        <v>1</v>
      </c>
      <c r="N5" s="32" t="s">
        <v>52</v>
      </c>
      <c r="O5" s="121">
        <v>2</v>
      </c>
      <c r="P5" s="30">
        <v>2</v>
      </c>
      <c r="Q5" s="30">
        <v>2</v>
      </c>
      <c r="R5" s="30">
        <v>2</v>
      </c>
      <c r="S5" s="30" t="s">
        <v>0</v>
      </c>
      <c r="T5" s="30" t="s">
        <v>36</v>
      </c>
      <c r="U5" s="121">
        <v>2</v>
      </c>
      <c r="V5" s="44" t="s">
        <v>52</v>
      </c>
      <c r="W5" s="44" t="s">
        <v>0</v>
      </c>
      <c r="X5" s="121">
        <v>3</v>
      </c>
      <c r="Y5" s="121">
        <v>3</v>
      </c>
      <c r="Z5" s="121">
        <v>3</v>
      </c>
      <c r="AA5" s="121">
        <v>3</v>
      </c>
      <c r="AB5" s="121">
        <v>3</v>
      </c>
      <c r="AC5" s="44" t="s">
        <v>52</v>
      </c>
      <c r="AD5" s="44" t="s">
        <v>0</v>
      </c>
      <c r="AE5" s="32" t="s">
        <v>1</v>
      </c>
      <c r="AF5" s="30" t="s">
        <v>36</v>
      </c>
      <c r="AG5" s="30" t="s">
        <v>3</v>
      </c>
      <c r="AH5" s="30" t="s">
        <v>36</v>
      </c>
      <c r="AI5" s="30" t="s">
        <v>52</v>
      </c>
      <c r="AJ5" s="121">
        <v>3</v>
      </c>
      <c r="AK5" s="121">
        <v>3</v>
      </c>
      <c r="AL5" s="120">
        <v>3</v>
      </c>
      <c r="AM5" s="30" t="s">
        <v>0</v>
      </c>
      <c r="AN5" s="30" t="s">
        <v>3</v>
      </c>
      <c r="AO5" s="30" t="s">
        <v>3</v>
      </c>
      <c r="AP5" s="48" t="s">
        <v>36</v>
      </c>
      <c r="AQ5" s="45">
        <v>0</v>
      </c>
      <c r="AR5" s="46">
        <f t="shared" si="6"/>
        <v>0</v>
      </c>
      <c r="AS5" s="46">
        <v>0</v>
      </c>
      <c r="AT5" s="134">
        <f t="shared" ref="AT5:AT44" si="11">SUM(AQ5:AS5)</f>
        <v>0</v>
      </c>
      <c r="AU5" s="329" t="s">
        <v>128</v>
      </c>
    </row>
    <row r="6" spans="1:227" ht="25.5" customHeight="1">
      <c r="A6" s="38">
        <f t="shared" si="0"/>
        <v>2</v>
      </c>
      <c r="B6" s="39">
        <f t="shared" si="1"/>
        <v>1</v>
      </c>
      <c r="C6" s="40">
        <f t="shared" si="2"/>
        <v>0</v>
      </c>
      <c r="D6" s="39">
        <f t="shared" si="3"/>
        <v>14</v>
      </c>
      <c r="E6" s="41">
        <f t="shared" si="4"/>
        <v>5</v>
      </c>
      <c r="F6" s="41">
        <f t="shared" si="7"/>
        <v>1</v>
      </c>
      <c r="G6" s="41">
        <f t="shared" si="8"/>
        <v>4</v>
      </c>
      <c r="H6" s="41">
        <f t="shared" si="9"/>
        <v>4</v>
      </c>
      <c r="I6" s="41">
        <f t="shared" si="10"/>
        <v>0</v>
      </c>
      <c r="J6" s="177">
        <f t="shared" si="5"/>
        <v>31</v>
      </c>
      <c r="K6" s="363" t="s">
        <v>129</v>
      </c>
      <c r="L6" s="336" t="s">
        <v>3</v>
      </c>
      <c r="M6" s="32" t="s">
        <v>1</v>
      </c>
      <c r="N6" s="32" t="s">
        <v>1</v>
      </c>
      <c r="O6" s="44" t="s">
        <v>0</v>
      </c>
      <c r="P6" s="44" t="s">
        <v>0</v>
      </c>
      <c r="Q6" s="53" t="s">
        <v>3</v>
      </c>
      <c r="R6" s="53" t="s">
        <v>3</v>
      </c>
      <c r="S6" s="53" t="s">
        <v>3</v>
      </c>
      <c r="T6" s="53" t="s">
        <v>3</v>
      </c>
      <c r="U6" s="30" t="s">
        <v>163</v>
      </c>
      <c r="V6" s="121">
        <v>1</v>
      </c>
      <c r="W6" s="121">
        <v>1</v>
      </c>
      <c r="X6" s="30" t="s">
        <v>52</v>
      </c>
      <c r="Y6" s="53" t="s">
        <v>3</v>
      </c>
      <c r="Z6" s="32" t="s">
        <v>1</v>
      </c>
      <c r="AA6" s="30" t="s">
        <v>3</v>
      </c>
      <c r="AB6" s="53" t="s">
        <v>3</v>
      </c>
      <c r="AC6" s="44" t="s">
        <v>52</v>
      </c>
      <c r="AD6" s="44" t="s">
        <v>0</v>
      </c>
      <c r="AE6" s="32" t="s">
        <v>1</v>
      </c>
      <c r="AF6" s="32" t="s">
        <v>1</v>
      </c>
      <c r="AG6" s="30" t="s">
        <v>3</v>
      </c>
      <c r="AH6" s="30" t="s">
        <v>3</v>
      </c>
      <c r="AI6" s="53" t="s">
        <v>3</v>
      </c>
      <c r="AJ6" s="30" t="s">
        <v>52</v>
      </c>
      <c r="AK6" s="121">
        <v>2</v>
      </c>
      <c r="AL6" s="30" t="s">
        <v>0</v>
      </c>
      <c r="AM6" s="30" t="s">
        <v>3</v>
      </c>
      <c r="AN6" s="30" t="s">
        <v>3</v>
      </c>
      <c r="AO6" s="30" t="s">
        <v>52</v>
      </c>
      <c r="AP6" s="265" t="s">
        <v>3</v>
      </c>
      <c r="AQ6" s="45">
        <v>0</v>
      </c>
      <c r="AR6" s="46">
        <f t="shared" si="6"/>
        <v>0</v>
      </c>
      <c r="AS6" s="46">
        <v>0</v>
      </c>
      <c r="AT6" s="134">
        <f t="shared" si="11"/>
        <v>0</v>
      </c>
      <c r="AU6" s="329" t="s">
        <v>128</v>
      </c>
      <c r="AW6" s="6" cm="2">
        <f t="array" ref="AW6">SUMPRODUCT(COUNTIF(O6:P6,{"X";"Y";"Z";"S"}))+SUMPRODUCT(COUNTIF(V6:W6,{"X";"Y";"Z";"S"}))+SUMPRODUCT(COUNTIF(AC6:AD6,{"X";"Y";"Z";"S"}))+SUMPRODUCT(COUNTIF(AJ6:AK6,{"X";"Y";"Z";"S"}))-5</f>
        <v>0</v>
      </c>
      <c r="AX6" s="6">
        <v>1</v>
      </c>
      <c r="AY6" s="6">
        <f t="shared" ref="AY6:AY7" si="12">AW6+AX6</f>
        <v>1</v>
      </c>
    </row>
    <row r="7" spans="1:227" ht="25.2" customHeight="1">
      <c r="A7" s="38">
        <f t="shared" si="0"/>
        <v>15</v>
      </c>
      <c r="B7" s="39">
        <f t="shared" si="1"/>
        <v>1</v>
      </c>
      <c r="C7" s="40">
        <f t="shared" si="2"/>
        <v>0</v>
      </c>
      <c r="D7" s="39">
        <f t="shared" si="3"/>
        <v>5</v>
      </c>
      <c r="E7" s="41">
        <f t="shared" si="4"/>
        <v>2</v>
      </c>
      <c r="F7" s="41">
        <f t="shared" si="7"/>
        <v>0</v>
      </c>
      <c r="G7" s="41">
        <f t="shared" si="8"/>
        <v>4</v>
      </c>
      <c r="H7" s="41">
        <f t="shared" si="9"/>
        <v>4</v>
      </c>
      <c r="I7" s="41">
        <f t="shared" si="10"/>
        <v>0</v>
      </c>
      <c r="J7" s="177">
        <f t="shared" si="5"/>
        <v>31</v>
      </c>
      <c r="K7" s="363" t="s">
        <v>130</v>
      </c>
      <c r="L7" s="356" t="s">
        <v>41</v>
      </c>
      <c r="M7" s="348" t="s">
        <v>41</v>
      </c>
      <c r="N7" s="348" t="s">
        <v>41</v>
      </c>
      <c r="O7" s="44" t="s">
        <v>52</v>
      </c>
      <c r="P7" s="44" t="s">
        <v>0</v>
      </c>
      <c r="Q7" s="30" t="s">
        <v>0</v>
      </c>
      <c r="R7" s="121" t="s">
        <v>36</v>
      </c>
      <c r="S7" s="121" t="s">
        <v>36</v>
      </c>
      <c r="T7" s="30" t="s">
        <v>36</v>
      </c>
      <c r="U7" s="30" t="s">
        <v>36</v>
      </c>
      <c r="V7" s="30">
        <v>1</v>
      </c>
      <c r="W7" s="30">
        <v>1</v>
      </c>
      <c r="X7" s="30" t="s">
        <v>52</v>
      </c>
      <c r="Y7" s="121">
        <v>1</v>
      </c>
      <c r="Z7" s="30" t="s">
        <v>36</v>
      </c>
      <c r="AA7" s="30" t="s">
        <v>36</v>
      </c>
      <c r="AB7" s="30" t="s">
        <v>36</v>
      </c>
      <c r="AC7" s="44" t="s">
        <v>52</v>
      </c>
      <c r="AD7" s="44" t="s">
        <v>0</v>
      </c>
      <c r="AE7" s="53" t="s">
        <v>3</v>
      </c>
      <c r="AF7" s="121" t="s">
        <v>36</v>
      </c>
      <c r="AG7" s="121" t="s">
        <v>36</v>
      </c>
      <c r="AH7" s="30" t="s">
        <v>52</v>
      </c>
      <c r="AI7" s="121">
        <v>1</v>
      </c>
      <c r="AJ7" s="121">
        <v>2</v>
      </c>
      <c r="AK7" s="41" t="s">
        <v>0</v>
      </c>
      <c r="AL7" s="30" t="s">
        <v>36</v>
      </c>
      <c r="AM7" s="30" t="s">
        <v>3</v>
      </c>
      <c r="AN7" s="121" t="s">
        <v>36</v>
      </c>
      <c r="AO7" s="32" t="s">
        <v>1</v>
      </c>
      <c r="AP7" s="290" t="s">
        <v>1</v>
      </c>
      <c r="AQ7" s="45">
        <v>0</v>
      </c>
      <c r="AR7" s="46">
        <f t="shared" si="6"/>
        <v>0</v>
      </c>
      <c r="AS7" s="46">
        <v>0</v>
      </c>
      <c r="AT7" s="134">
        <f t="shared" si="11"/>
        <v>0</v>
      </c>
      <c r="AU7" s="329" t="s">
        <v>128</v>
      </c>
      <c r="AW7" s="6" cm="2">
        <f t="array" ref="AW7">SUMPRODUCT(COUNTIF(O7:P7,{"X";"Y";"Z";"S"}))+SUMPRODUCT(COUNTIF(V7:W7,{"X";"Y";"Z";"S"}))+SUMPRODUCT(COUNTIF(AC7:AD7,{"X";"Y";"Z";"S"}))+SUMPRODUCT(COUNTIF(AJ7:AK7,{"X";"Y";"Z";"S"}))-5</f>
        <v>0</v>
      </c>
      <c r="AX7" s="6">
        <v>2</v>
      </c>
      <c r="AY7" s="6">
        <f t="shared" si="12"/>
        <v>2</v>
      </c>
    </row>
    <row r="8" spans="1:227" ht="24" customHeight="1">
      <c r="A8" s="38">
        <f t="shared" si="0"/>
        <v>1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2</v>
      </c>
      <c r="F8" s="41">
        <f t="shared" si="7"/>
        <v>1</v>
      </c>
      <c r="G8" s="41">
        <f t="shared" si="8"/>
        <v>4</v>
      </c>
      <c r="H8" s="41">
        <f t="shared" si="9"/>
        <v>4</v>
      </c>
      <c r="I8" s="41">
        <f t="shared" si="10"/>
        <v>0</v>
      </c>
      <c r="J8" s="177">
        <f t="shared" si="5"/>
        <v>31</v>
      </c>
      <c r="K8" s="363" t="s">
        <v>132</v>
      </c>
      <c r="L8" s="30" t="s">
        <v>3</v>
      </c>
      <c r="M8" s="30" t="s">
        <v>3</v>
      </c>
      <c r="N8" s="30" t="s">
        <v>3</v>
      </c>
      <c r="O8" s="44" t="s">
        <v>52</v>
      </c>
      <c r="P8" s="44" t="s">
        <v>0</v>
      </c>
      <c r="Q8" s="32" t="s">
        <v>1</v>
      </c>
      <c r="R8" s="30" t="s">
        <v>3</v>
      </c>
      <c r="S8" s="121">
        <v>1</v>
      </c>
      <c r="T8" s="30" t="s">
        <v>3</v>
      </c>
      <c r="U8" s="30" t="s">
        <v>163</v>
      </c>
      <c r="V8" s="44" t="s">
        <v>52</v>
      </c>
      <c r="W8" s="44" t="s">
        <v>0</v>
      </c>
      <c r="X8" s="30" t="s">
        <v>3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52</v>
      </c>
      <c r="AD8" s="44" t="s">
        <v>0</v>
      </c>
      <c r="AE8" s="30" t="s">
        <v>3</v>
      </c>
      <c r="AF8" s="30" t="s">
        <v>3</v>
      </c>
      <c r="AG8" s="30" t="s">
        <v>3</v>
      </c>
      <c r="AH8" s="30" t="s">
        <v>3</v>
      </c>
      <c r="AI8" s="30" t="s">
        <v>3</v>
      </c>
      <c r="AJ8" s="44" t="s">
        <v>52</v>
      </c>
      <c r="AK8" s="44" t="s">
        <v>0</v>
      </c>
      <c r="AL8" s="30" t="s">
        <v>3</v>
      </c>
      <c r="AM8" s="30" t="s">
        <v>3</v>
      </c>
      <c r="AN8" s="30" t="s">
        <v>3</v>
      </c>
      <c r="AO8" s="30" t="s">
        <v>3</v>
      </c>
      <c r="AP8" s="32" t="s">
        <v>1</v>
      </c>
      <c r="AQ8" s="45">
        <v>0</v>
      </c>
      <c r="AR8" s="46">
        <f t="shared" si="6"/>
        <v>0</v>
      </c>
      <c r="AS8" s="46">
        <v>0</v>
      </c>
      <c r="AT8" s="134">
        <f t="shared" si="11"/>
        <v>0</v>
      </c>
      <c r="AU8" s="329" t="s">
        <v>133</v>
      </c>
    </row>
    <row r="9" spans="1:227" s="50" customFormat="1" ht="24.75" customHeight="1">
      <c r="A9" s="38">
        <f t="shared" si="0"/>
        <v>12</v>
      </c>
      <c r="B9" s="39">
        <f t="shared" si="1"/>
        <v>2</v>
      </c>
      <c r="C9" s="40">
        <f t="shared" si="2"/>
        <v>0</v>
      </c>
      <c r="D9" s="39">
        <f t="shared" si="3"/>
        <v>3</v>
      </c>
      <c r="E9" s="41">
        <f t="shared" si="4"/>
        <v>6</v>
      </c>
      <c r="F9" s="41">
        <f t="shared" si="7"/>
        <v>1</v>
      </c>
      <c r="G9" s="41">
        <f t="shared" si="8"/>
        <v>4</v>
      </c>
      <c r="H9" s="41">
        <f t="shared" si="9"/>
        <v>3</v>
      </c>
      <c r="I9" s="41">
        <f t="shared" si="10"/>
        <v>0</v>
      </c>
      <c r="J9" s="177">
        <f t="shared" si="5"/>
        <v>31</v>
      </c>
      <c r="K9" s="363" t="s">
        <v>4</v>
      </c>
      <c r="L9" s="49" t="s">
        <v>36</v>
      </c>
      <c r="M9" s="30" t="s">
        <v>36</v>
      </c>
      <c r="N9" s="30" t="s">
        <v>36</v>
      </c>
      <c r="O9" s="44" t="s">
        <v>0</v>
      </c>
      <c r="P9" s="32" t="s">
        <v>1</v>
      </c>
      <c r="Q9" s="32" t="s">
        <v>1</v>
      </c>
      <c r="R9" s="32" t="s">
        <v>1</v>
      </c>
      <c r="S9" s="32" t="s">
        <v>1</v>
      </c>
      <c r="T9" s="32" t="s">
        <v>1</v>
      </c>
      <c r="U9" s="44" t="s">
        <v>163</v>
      </c>
      <c r="V9" s="30" t="s">
        <v>38</v>
      </c>
      <c r="W9" s="30" t="s">
        <v>38</v>
      </c>
      <c r="X9" s="30" t="s">
        <v>52</v>
      </c>
      <c r="Y9" s="53" t="s">
        <v>3</v>
      </c>
      <c r="Z9" s="30" t="s">
        <v>36</v>
      </c>
      <c r="AA9" s="30" t="s">
        <v>3</v>
      </c>
      <c r="AB9" s="32" t="s">
        <v>1</v>
      </c>
      <c r="AC9" s="121" t="s">
        <v>36</v>
      </c>
      <c r="AD9" s="30" t="s">
        <v>0</v>
      </c>
      <c r="AE9" s="30" t="s">
        <v>36</v>
      </c>
      <c r="AF9" s="30" t="s">
        <v>3</v>
      </c>
      <c r="AG9" s="121">
        <v>1</v>
      </c>
      <c r="AH9" s="124" t="s">
        <v>5</v>
      </c>
      <c r="AI9" s="32" t="s">
        <v>0</v>
      </c>
      <c r="AJ9" s="44" t="s">
        <v>52</v>
      </c>
      <c r="AK9" s="44" t="s">
        <v>0</v>
      </c>
      <c r="AL9" s="30" t="s">
        <v>52</v>
      </c>
      <c r="AM9" s="30" t="s">
        <v>36</v>
      </c>
      <c r="AN9" s="121">
        <v>1</v>
      </c>
      <c r="AO9" s="30" t="s">
        <v>36</v>
      </c>
      <c r="AP9" s="126">
        <v>1</v>
      </c>
      <c r="AQ9" s="45">
        <v>0</v>
      </c>
      <c r="AR9" s="46">
        <f t="shared" si="6"/>
        <v>-1</v>
      </c>
      <c r="AS9" s="46">
        <v>0</v>
      </c>
      <c r="AT9" s="134">
        <f t="shared" si="11"/>
        <v>-1</v>
      </c>
      <c r="AU9" s="329" t="s">
        <v>126</v>
      </c>
      <c r="AV9" s="6"/>
      <c r="AW9" s="6" cm="2">
        <f t="array" ref="AW9">SUMPRODUCT(COUNTIF(O9:P9,{"X";"Y";"Z";"S"}))+SUMPRODUCT(COUNTIF(V9:W9,{"X";"Y";"Z";"S"}))+SUMPRODUCT(COUNTIF(AC9:AD9,{"X";"Y";"Z";"S"}))+SUMPRODUCT(COUNTIF(AJ9:AK9,{"X";"Y";"Z";"S"}))-5</f>
        <v>0</v>
      </c>
      <c r="AX9" s="6">
        <v>5</v>
      </c>
      <c r="AY9" s="6">
        <f t="shared" ref="AY9:AY13" si="13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4</v>
      </c>
      <c r="E10" s="41">
        <f t="shared" si="4"/>
        <v>3</v>
      </c>
      <c r="F10" s="41">
        <f t="shared" si="7"/>
        <v>1</v>
      </c>
      <c r="G10" s="41">
        <f t="shared" si="8"/>
        <v>4</v>
      </c>
      <c r="H10" s="41">
        <f t="shared" si="9"/>
        <v>3</v>
      </c>
      <c r="I10" s="41">
        <f t="shared" si="10"/>
        <v>0</v>
      </c>
      <c r="J10" s="177">
        <f t="shared" si="5"/>
        <v>31</v>
      </c>
      <c r="K10" s="364" t="s">
        <v>134</v>
      </c>
      <c r="L10" s="356" t="s">
        <v>41</v>
      </c>
      <c r="M10" s="30" t="s">
        <v>0</v>
      </c>
      <c r="N10" s="121">
        <v>1</v>
      </c>
      <c r="O10" s="44" t="s">
        <v>0</v>
      </c>
      <c r="P10" s="44" t="s">
        <v>0</v>
      </c>
      <c r="Q10" s="30" t="s">
        <v>36</v>
      </c>
      <c r="R10" s="30" t="s">
        <v>36</v>
      </c>
      <c r="S10" s="30" t="s">
        <v>36</v>
      </c>
      <c r="T10" s="30" t="s">
        <v>3</v>
      </c>
      <c r="U10" s="32" t="s">
        <v>163</v>
      </c>
      <c r="V10" s="30" t="s">
        <v>36</v>
      </c>
      <c r="W10" s="30" t="s">
        <v>36</v>
      </c>
      <c r="X10" s="121" t="s">
        <v>36</v>
      </c>
      <c r="Y10" s="121" t="s">
        <v>36</v>
      </c>
      <c r="Z10" s="121" t="s">
        <v>36</v>
      </c>
      <c r="AA10" s="348" t="s">
        <v>41</v>
      </c>
      <c r="AB10" s="30" t="s">
        <v>52</v>
      </c>
      <c r="AC10" s="32" t="s">
        <v>1</v>
      </c>
      <c r="AD10" s="44" t="s">
        <v>0</v>
      </c>
      <c r="AE10" s="121" t="s">
        <v>36</v>
      </c>
      <c r="AF10" s="32" t="s">
        <v>1</v>
      </c>
      <c r="AG10" s="32" t="s">
        <v>1</v>
      </c>
      <c r="AH10" s="44" t="s">
        <v>52</v>
      </c>
      <c r="AI10" s="30" t="s">
        <v>3</v>
      </c>
      <c r="AJ10" s="30" t="s">
        <v>36</v>
      </c>
      <c r="AK10" s="30" t="s">
        <v>36</v>
      </c>
      <c r="AL10" s="121">
        <v>2</v>
      </c>
      <c r="AM10" s="136" t="s">
        <v>52</v>
      </c>
      <c r="AN10" s="136">
        <v>1</v>
      </c>
      <c r="AO10" s="30" t="s">
        <v>36</v>
      </c>
      <c r="AP10" s="48" t="s">
        <v>36</v>
      </c>
      <c r="AQ10" s="45">
        <v>0</v>
      </c>
      <c r="AR10" s="46">
        <f t="shared" si="6"/>
        <v>-1</v>
      </c>
      <c r="AS10" s="46">
        <v>0</v>
      </c>
      <c r="AT10" s="134">
        <f t="shared" si="11"/>
        <v>-1</v>
      </c>
      <c r="AU10" s="329" t="s">
        <v>128</v>
      </c>
      <c r="AV10" s="6"/>
      <c r="AW10" s="6" cm="2">
        <f t="array" ref="AW10">SUMPRODUCT(COUNTIF(O10:P10,{"X";"Y";"Z";"S"}))+SUMPRODUCT(COUNTIF(V10:W10,{"X";"Y";"Z";"S"}))+SUMPRODUCT(COUNTIF(AC10:AD10,{"X";"Y";"Z";"S"}))+SUMPRODUCT(COUNTIF(AJ10:AK10,{"X";"Y";"Z";"S"}))-5</f>
        <v>-1</v>
      </c>
      <c r="AX10" s="6">
        <v>2</v>
      </c>
      <c r="AY10" s="6">
        <f t="shared" si="13"/>
        <v>1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0" customFormat="1" ht="25.5" customHeight="1">
      <c r="A11" s="38">
        <f t="shared" ref="A11:A14" si="14">COUNTIF(L11:AP11,1)+COUNTIF(L11:AP11,"早")+COUNTIF(L11:AP11,"M1")+COUNTIF(L11:AP11,"T早")+COUNTIF(L11:AP11,"日")</f>
        <v>16</v>
      </c>
      <c r="B11" s="39">
        <f t="shared" ref="B11:B14" si="15">COUNTIF(L11:AP11,2)+COUNTIF(L11:AP11,"中")+COUNTIF(L11:AP11,"M2")+COUNTIF(L11:AP11,"T中")+COUNTIF(L11:AP11,"小夜")</f>
        <v>3</v>
      </c>
      <c r="C11" s="40">
        <f t="shared" ref="C11:C14" si="16">COUNTIF(L11:AP11,3)+COUNTIF(L11:AP11,"晚")+COUNTIF(L11:AP11,"大夜")</f>
        <v>0</v>
      </c>
      <c r="D11" s="39">
        <f t="shared" ref="D11:D14" si="17">COUNTIF(L11:AP11,"N")+COUNTIF(L11:AP11,"N8")</f>
        <v>2</v>
      </c>
      <c r="E11" s="41">
        <f t="shared" ref="E11:E14" si="18">COUNTIF(L11:AP11,"S")</f>
        <v>2</v>
      </c>
      <c r="F11" s="41">
        <f t="shared" si="7"/>
        <v>1</v>
      </c>
      <c r="G11" s="41">
        <f t="shared" ref="G11:G14" si="19">COUNTIF(L11:AP11,"X")</f>
        <v>4</v>
      </c>
      <c r="H11" s="41">
        <f t="shared" ref="H11:H14" si="20">COUNTIF(L11:AP11,"Y")</f>
        <v>3</v>
      </c>
      <c r="I11" s="41">
        <f t="shared" ref="I11:I14" si="21">COUNTIF(L11:AP11,"Z")</f>
        <v>0</v>
      </c>
      <c r="J11" s="177">
        <f t="shared" ref="J11:J14" si="22">SUM(A11:I11)</f>
        <v>31</v>
      </c>
      <c r="K11" s="363" t="s">
        <v>6</v>
      </c>
      <c r="L11" s="121">
        <v>1</v>
      </c>
      <c r="M11" s="124" t="s">
        <v>5</v>
      </c>
      <c r="N11" s="32" t="s">
        <v>0</v>
      </c>
      <c r="O11" s="121">
        <v>1</v>
      </c>
      <c r="P11" s="121">
        <v>1</v>
      </c>
      <c r="Q11" s="30" t="s">
        <v>36</v>
      </c>
      <c r="R11" s="30">
        <v>1</v>
      </c>
      <c r="S11" s="30">
        <v>1</v>
      </c>
      <c r="T11" s="124" t="s">
        <v>5</v>
      </c>
      <c r="U11" s="44" t="s">
        <v>163</v>
      </c>
      <c r="V11" s="44" t="s">
        <v>52</v>
      </c>
      <c r="W11" s="44" t="s">
        <v>0</v>
      </c>
      <c r="X11" s="30" t="s">
        <v>36</v>
      </c>
      <c r="Y11" s="30" t="s">
        <v>36</v>
      </c>
      <c r="Z11" s="30" t="s">
        <v>36</v>
      </c>
      <c r="AA11" s="124" t="s">
        <v>5</v>
      </c>
      <c r="AB11" s="30" t="s">
        <v>3</v>
      </c>
      <c r="AC11" s="121">
        <v>2</v>
      </c>
      <c r="AD11" s="30" t="s">
        <v>0</v>
      </c>
      <c r="AE11" s="121">
        <v>2</v>
      </c>
      <c r="AF11" s="121">
        <v>2</v>
      </c>
      <c r="AG11" s="30" t="s">
        <v>52</v>
      </c>
      <c r="AH11" s="30" t="s">
        <v>36</v>
      </c>
      <c r="AI11" s="30" t="s">
        <v>36</v>
      </c>
      <c r="AJ11" s="44" t="s">
        <v>52</v>
      </c>
      <c r="AK11" s="32" t="s">
        <v>1</v>
      </c>
      <c r="AL11" s="32" t="s">
        <v>1</v>
      </c>
      <c r="AM11" s="30" t="s">
        <v>36</v>
      </c>
      <c r="AN11" s="30" t="s">
        <v>3</v>
      </c>
      <c r="AO11" s="124" t="s">
        <v>5</v>
      </c>
      <c r="AP11" s="48" t="s">
        <v>0</v>
      </c>
      <c r="AQ11" s="45">
        <v>0</v>
      </c>
      <c r="AR11" s="46">
        <f t="shared" si="6"/>
        <v>-1</v>
      </c>
      <c r="AS11" s="46">
        <v>0</v>
      </c>
      <c r="AT11" s="134">
        <f t="shared" si="11"/>
        <v>-1</v>
      </c>
      <c r="AU11" s="329" t="s">
        <v>126</v>
      </c>
      <c r="AV11" s="6"/>
      <c r="AW11" s="6" cm="2">
        <f t="array" ref="AW11">SUMPRODUCT(COUNTIF(O11:P11,{"X";"Y";"Z";"S"}))+SUMPRODUCT(COUNTIF(V11:W11,{"X";"Y";"Z";"S"}))+SUMPRODUCT(COUNTIF(AC11:AD11,{"X";"Y";"Z";"S"}))+SUMPRODUCT(COUNTIF(AJ11:AK11,{"X";"Y";"Z";"S"}))-5</f>
        <v>0</v>
      </c>
      <c r="AX11" s="6">
        <v>4</v>
      </c>
      <c r="AY11" s="6">
        <f t="shared" si="13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0" customFormat="1" ht="25.5" customHeight="1">
      <c r="A12" s="38">
        <f t="shared" si="14"/>
        <v>14</v>
      </c>
      <c r="B12" s="39">
        <f t="shared" si="15"/>
        <v>2</v>
      </c>
      <c r="C12" s="40">
        <f t="shared" si="16"/>
        <v>0</v>
      </c>
      <c r="D12" s="39">
        <f t="shared" si="17"/>
        <v>3</v>
      </c>
      <c r="E12" s="41">
        <f t="shared" si="18"/>
        <v>4</v>
      </c>
      <c r="F12" s="41">
        <f t="shared" si="7"/>
        <v>0</v>
      </c>
      <c r="G12" s="41">
        <f t="shared" si="19"/>
        <v>4</v>
      </c>
      <c r="H12" s="41">
        <f t="shared" si="20"/>
        <v>4</v>
      </c>
      <c r="I12" s="41">
        <f t="shared" si="21"/>
        <v>0</v>
      </c>
      <c r="J12" s="177">
        <f t="shared" si="22"/>
        <v>31</v>
      </c>
      <c r="K12" s="363" t="s">
        <v>135</v>
      </c>
      <c r="L12" s="122" t="s">
        <v>1</v>
      </c>
      <c r="M12" s="32" t="s">
        <v>1</v>
      </c>
      <c r="N12" s="32" t="s">
        <v>1</v>
      </c>
      <c r="O12" s="44" t="s">
        <v>52</v>
      </c>
      <c r="P12" s="44" t="s">
        <v>0</v>
      </c>
      <c r="Q12" s="121">
        <v>1</v>
      </c>
      <c r="R12" s="121">
        <v>1</v>
      </c>
      <c r="S12" s="53" t="s">
        <v>3</v>
      </c>
      <c r="T12" s="30" t="s">
        <v>0</v>
      </c>
      <c r="U12" s="30" t="s">
        <v>36</v>
      </c>
      <c r="V12" s="121">
        <v>2</v>
      </c>
      <c r="W12" s="121">
        <v>2</v>
      </c>
      <c r="X12" s="30" t="s">
        <v>52</v>
      </c>
      <c r="Y12" s="30" t="s">
        <v>36</v>
      </c>
      <c r="Z12" s="121">
        <v>1</v>
      </c>
      <c r="AA12" s="30" t="s">
        <v>36</v>
      </c>
      <c r="AB12" s="121">
        <v>1</v>
      </c>
      <c r="AC12" s="44" t="s">
        <v>52</v>
      </c>
      <c r="AD12" s="44" t="s">
        <v>0</v>
      </c>
      <c r="AE12" s="30" t="s">
        <v>36</v>
      </c>
      <c r="AF12" s="30" t="s">
        <v>36</v>
      </c>
      <c r="AG12" s="30" t="s">
        <v>36</v>
      </c>
      <c r="AH12" s="30" t="s">
        <v>3</v>
      </c>
      <c r="AI12" s="30" t="s">
        <v>0</v>
      </c>
      <c r="AJ12" s="30" t="s">
        <v>36</v>
      </c>
      <c r="AK12" s="30" t="s">
        <v>36</v>
      </c>
      <c r="AL12" s="30" t="s">
        <v>36</v>
      </c>
      <c r="AM12" s="30" t="s">
        <v>3</v>
      </c>
      <c r="AN12" s="30" t="s">
        <v>36</v>
      </c>
      <c r="AO12" s="30" t="s">
        <v>52</v>
      </c>
      <c r="AP12" s="32" t="s">
        <v>1</v>
      </c>
      <c r="AQ12" s="45">
        <v>0</v>
      </c>
      <c r="AR12" s="46">
        <f t="shared" si="6"/>
        <v>0</v>
      </c>
      <c r="AS12" s="46">
        <v>0</v>
      </c>
      <c r="AT12" s="134">
        <f t="shared" si="11"/>
        <v>0</v>
      </c>
      <c r="AU12" s="329" t="s">
        <v>128</v>
      </c>
      <c r="AV12" s="6"/>
      <c r="AW12" s="6" cm="2">
        <f t="array" ref="AW12">SUMPRODUCT(COUNTIF(O12:P12,{"X";"Y";"Z";"S"}))+SUMPRODUCT(COUNTIF(V12:W12,{"X";"Y";"Z";"S"}))+SUMPRODUCT(COUNTIF(AC12:AD12,{"X";"Y";"Z";"S"}))+SUMPRODUCT(COUNTIF(AJ12:AK12,{"X";"Y";"Z";"S"}))-5</f>
        <v>-1</v>
      </c>
      <c r="AX12" s="6">
        <v>2</v>
      </c>
      <c r="AY12" s="6">
        <f t="shared" si="13"/>
        <v>1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0" customFormat="1" ht="28.35" customHeight="1">
      <c r="A13" s="38">
        <f t="shared" si="14"/>
        <v>12</v>
      </c>
      <c r="B13" s="39">
        <f t="shared" si="15"/>
        <v>0</v>
      </c>
      <c r="C13" s="40">
        <f t="shared" si="16"/>
        <v>0</v>
      </c>
      <c r="D13" s="39">
        <f t="shared" si="17"/>
        <v>8</v>
      </c>
      <c r="E13" s="41">
        <f t="shared" si="18"/>
        <v>3</v>
      </c>
      <c r="F13" s="41">
        <f t="shared" si="7"/>
        <v>0</v>
      </c>
      <c r="G13" s="41">
        <f t="shared" si="19"/>
        <v>4</v>
      </c>
      <c r="H13" s="41">
        <f t="shared" si="20"/>
        <v>4</v>
      </c>
      <c r="I13" s="41">
        <f t="shared" si="21"/>
        <v>0</v>
      </c>
      <c r="J13" s="177">
        <f t="shared" si="22"/>
        <v>31</v>
      </c>
      <c r="K13" s="364" t="s">
        <v>136</v>
      </c>
      <c r="L13" s="122" t="s">
        <v>1</v>
      </c>
      <c r="M13" s="32" t="s">
        <v>1</v>
      </c>
      <c r="N13" s="32" t="s">
        <v>1</v>
      </c>
      <c r="O13" s="44" t="s">
        <v>52</v>
      </c>
      <c r="P13" s="44" t="s">
        <v>0</v>
      </c>
      <c r="Q13" s="124" t="s">
        <v>162</v>
      </c>
      <c r="R13" s="53" t="s">
        <v>3</v>
      </c>
      <c r="S13" s="30">
        <v>1</v>
      </c>
      <c r="T13" s="30" t="s">
        <v>52</v>
      </c>
      <c r="U13" s="360" t="s">
        <v>36</v>
      </c>
      <c r="V13" s="30" t="s">
        <v>36</v>
      </c>
      <c r="W13" s="30" t="s">
        <v>36</v>
      </c>
      <c r="X13" s="30" t="s">
        <v>36</v>
      </c>
      <c r="Y13" s="30" t="s">
        <v>3</v>
      </c>
      <c r="Z13" s="30" t="s">
        <v>0</v>
      </c>
      <c r="AA13" s="348" t="s">
        <v>41</v>
      </c>
      <c r="AB13" s="124" t="s">
        <v>162</v>
      </c>
      <c r="AC13" s="30" t="s">
        <v>52</v>
      </c>
      <c r="AD13" s="121" t="s">
        <v>36</v>
      </c>
      <c r="AE13" s="30" t="s">
        <v>3</v>
      </c>
      <c r="AF13" s="53" t="s">
        <v>3</v>
      </c>
      <c r="AG13" s="30" t="s">
        <v>3</v>
      </c>
      <c r="AH13" s="30" t="s">
        <v>3</v>
      </c>
      <c r="AI13" s="124" t="s">
        <v>162</v>
      </c>
      <c r="AJ13" s="44" t="s">
        <v>52</v>
      </c>
      <c r="AK13" s="44" t="s">
        <v>0</v>
      </c>
      <c r="AL13" s="121">
        <v>1</v>
      </c>
      <c r="AM13" s="348" t="s">
        <v>41</v>
      </c>
      <c r="AN13" s="30" t="s">
        <v>36</v>
      </c>
      <c r="AO13" s="30" t="s">
        <v>0</v>
      </c>
      <c r="AP13" s="125" t="s">
        <v>162</v>
      </c>
      <c r="AQ13" s="45">
        <v>0</v>
      </c>
      <c r="AR13" s="46">
        <f t="shared" si="6"/>
        <v>0</v>
      </c>
      <c r="AS13" s="46">
        <v>0</v>
      </c>
      <c r="AT13" s="134">
        <f t="shared" si="11"/>
        <v>0</v>
      </c>
      <c r="AU13" s="329" t="s">
        <v>126</v>
      </c>
      <c r="AV13" s="6"/>
      <c r="AW13" s="6" cm="2">
        <f t="array" ref="AW13">SUMPRODUCT(COUNTIF(O13:P13,{"X";"Y";"Z";"S"}))+SUMPRODUCT(COUNTIF(V13:W13,{"X";"Y";"Z";"S"}))+SUMPRODUCT(COUNTIF(AC13:AD13,{"X";"Y";"Z";"S"}))+SUMPRODUCT(COUNTIF(AJ13:AK13,{"X";"Y";"Z";"S"}))-5</f>
        <v>0</v>
      </c>
      <c r="AX13" s="6">
        <v>4</v>
      </c>
      <c r="AY13" s="6">
        <f t="shared" si="13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0" customFormat="1" ht="25.2" customHeight="1">
      <c r="A14" s="38">
        <f t="shared" si="14"/>
        <v>0</v>
      </c>
      <c r="B14" s="39">
        <f t="shared" si="15"/>
        <v>9</v>
      </c>
      <c r="C14" s="40">
        <f t="shared" si="16"/>
        <v>8</v>
      </c>
      <c r="D14" s="39">
        <f t="shared" si="17"/>
        <v>3</v>
      </c>
      <c r="E14" s="41">
        <f t="shared" si="18"/>
        <v>3</v>
      </c>
      <c r="F14" s="41">
        <f t="shared" si="7"/>
        <v>1</v>
      </c>
      <c r="G14" s="41">
        <f t="shared" si="19"/>
        <v>4</v>
      </c>
      <c r="H14" s="41">
        <f t="shared" si="20"/>
        <v>3</v>
      </c>
      <c r="I14" s="41">
        <f t="shared" si="21"/>
        <v>0</v>
      </c>
      <c r="J14" s="177">
        <f t="shared" si="22"/>
        <v>31</v>
      </c>
      <c r="K14" s="365" t="s">
        <v>7</v>
      </c>
      <c r="L14" s="122" t="s">
        <v>0</v>
      </c>
      <c r="M14" s="32" t="s">
        <v>1</v>
      </c>
      <c r="N14" s="32" t="s">
        <v>0</v>
      </c>
      <c r="O14" s="121">
        <v>3</v>
      </c>
      <c r="P14" s="121">
        <v>3</v>
      </c>
      <c r="Q14" s="32" t="s">
        <v>1</v>
      </c>
      <c r="R14" s="53" t="s">
        <v>3</v>
      </c>
      <c r="S14" s="53" t="s">
        <v>3</v>
      </c>
      <c r="T14" s="30">
        <v>2</v>
      </c>
      <c r="U14" s="30" t="s">
        <v>163</v>
      </c>
      <c r="V14" s="121">
        <v>3</v>
      </c>
      <c r="W14" s="121">
        <v>3</v>
      </c>
      <c r="X14" s="121">
        <v>2</v>
      </c>
      <c r="Y14" s="121">
        <v>2</v>
      </c>
      <c r="Z14" s="32" t="s">
        <v>52</v>
      </c>
      <c r="AA14" s="121" t="s">
        <v>38</v>
      </c>
      <c r="AB14" s="30" t="s">
        <v>0</v>
      </c>
      <c r="AC14" s="121">
        <v>3</v>
      </c>
      <c r="AD14" s="121">
        <v>3</v>
      </c>
      <c r="AE14" s="32" t="s">
        <v>1</v>
      </c>
      <c r="AF14" s="53" t="s">
        <v>3</v>
      </c>
      <c r="AG14" s="121">
        <v>2</v>
      </c>
      <c r="AH14" s="121">
        <v>2</v>
      </c>
      <c r="AI14" s="30" t="s">
        <v>52</v>
      </c>
      <c r="AJ14" s="30" t="s">
        <v>40</v>
      </c>
      <c r="AK14" s="30" t="s">
        <v>40</v>
      </c>
      <c r="AL14" s="30" t="s">
        <v>0</v>
      </c>
      <c r="AM14" s="121">
        <v>2</v>
      </c>
      <c r="AN14" s="121">
        <v>2</v>
      </c>
      <c r="AO14" s="121">
        <v>2</v>
      </c>
      <c r="AP14" s="48" t="s">
        <v>52</v>
      </c>
      <c r="AQ14" s="45">
        <v>0</v>
      </c>
      <c r="AR14" s="46">
        <f t="shared" si="6"/>
        <v>-1</v>
      </c>
      <c r="AS14" s="46">
        <v>0</v>
      </c>
      <c r="AT14" s="134">
        <f t="shared" si="11"/>
        <v>-1</v>
      </c>
      <c r="AU14" s="329" t="s">
        <v>128</v>
      </c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0" customFormat="1" ht="25.5" customHeight="1">
      <c r="A15" s="38">
        <f>COUNTIF(L15:AP15,1)+COUNTIF(L15:AP15,"早")+COUNTIF(L15:AP15,"M1")+COUNTIF(L15:AP15,"T早")+COUNTIF(L15:AP15,"日")</f>
        <v>13</v>
      </c>
      <c r="B15" s="39">
        <f>COUNTIF(L15:AP15,2)+COUNTIF(L15:AP15,"中")+COUNTIF(L15:AP15,"M2")+COUNTIF(L15:AP15,"T中")+COUNTIF(L15:AP15,"小夜")</f>
        <v>2</v>
      </c>
      <c r="C15" s="40">
        <f>COUNTIF(L15:AP15,3)+COUNTIF(L15:AP15,"晚")+COUNTIF(L15:AP15,"大夜")</f>
        <v>0</v>
      </c>
      <c r="D15" s="39">
        <f>COUNTIF(L15:AP15,"N")+COUNTIF(L15:AP15,"N8")</f>
        <v>6</v>
      </c>
      <c r="E15" s="41">
        <f>COUNTIF(L15:AP15,"S")</f>
        <v>2</v>
      </c>
      <c r="F15" s="41">
        <f t="shared" si="7"/>
        <v>0</v>
      </c>
      <c r="G15" s="41">
        <f t="shared" si="8"/>
        <v>4</v>
      </c>
      <c r="H15" s="41">
        <f t="shared" si="9"/>
        <v>4</v>
      </c>
      <c r="I15" s="41">
        <f t="shared" si="10"/>
        <v>0</v>
      </c>
      <c r="J15" s="177">
        <f>SUM(A15:I15)</f>
        <v>31</v>
      </c>
      <c r="K15" s="363" t="s">
        <v>8</v>
      </c>
      <c r="L15" s="122" t="s">
        <v>1</v>
      </c>
      <c r="M15" s="32" t="s">
        <v>0</v>
      </c>
      <c r="N15" s="53" t="s">
        <v>3</v>
      </c>
      <c r="O15" s="30">
        <v>1</v>
      </c>
      <c r="P15" s="121">
        <v>2</v>
      </c>
      <c r="Q15" s="44" t="s">
        <v>0</v>
      </c>
      <c r="R15" s="53" t="s">
        <v>3</v>
      </c>
      <c r="S15" s="53" t="s">
        <v>3</v>
      </c>
      <c r="T15" s="124" t="s">
        <v>58</v>
      </c>
      <c r="U15" s="121">
        <v>1</v>
      </c>
      <c r="V15" s="44" t="s">
        <v>52</v>
      </c>
      <c r="W15" s="44" t="s">
        <v>0</v>
      </c>
      <c r="X15" s="30">
        <v>1</v>
      </c>
      <c r="Y15" s="30">
        <v>1</v>
      </c>
      <c r="Z15" s="53" t="s">
        <v>3</v>
      </c>
      <c r="AA15" s="124" t="s">
        <v>58</v>
      </c>
      <c r="AB15" s="30" t="s">
        <v>36</v>
      </c>
      <c r="AC15" s="30" t="s">
        <v>52</v>
      </c>
      <c r="AD15" s="30" t="s">
        <v>36</v>
      </c>
      <c r="AE15" s="30" t="s">
        <v>36</v>
      </c>
      <c r="AF15" s="53" t="s">
        <v>3</v>
      </c>
      <c r="AG15" s="30" t="s">
        <v>0</v>
      </c>
      <c r="AH15" s="124" t="s">
        <v>58</v>
      </c>
      <c r="AI15" s="121">
        <v>2</v>
      </c>
      <c r="AJ15" s="44" t="s">
        <v>52</v>
      </c>
      <c r="AK15" s="32" t="s">
        <v>1</v>
      </c>
      <c r="AL15" s="30" t="s">
        <v>3</v>
      </c>
      <c r="AM15" s="121">
        <v>1</v>
      </c>
      <c r="AN15" s="30">
        <v>1</v>
      </c>
      <c r="AO15" s="124" t="s">
        <v>58</v>
      </c>
      <c r="AP15" s="48" t="s">
        <v>52</v>
      </c>
      <c r="AQ15" s="45">
        <v>0</v>
      </c>
      <c r="AR15" s="46">
        <f t="shared" si="6"/>
        <v>0</v>
      </c>
      <c r="AS15" s="46">
        <v>0</v>
      </c>
      <c r="AT15" s="134">
        <f t="shared" si="11"/>
        <v>0</v>
      </c>
      <c r="AU15" s="329" t="s">
        <v>126</v>
      </c>
      <c r="AV15" s="6"/>
      <c r="AW15" s="6" cm="2">
        <f t="array" ref="AW15">SUMPRODUCT(COUNTIF(O15:P15,{"X";"Y";"Z";"S"}))+SUMPRODUCT(COUNTIF(V15:W15,{"X";"Y";"Z";"S"}))+SUMPRODUCT(COUNTIF(AC15:AD15,{"X";"Y";"Z";"S"}))+SUMPRODUCT(COUNTIF(AJ15:AK15,{"X";"Y";"Z";"S"}))-5</f>
        <v>0</v>
      </c>
      <c r="AX15" s="6">
        <v>5</v>
      </c>
      <c r="AY15" s="6">
        <f t="shared" ref="AY15:AY18" si="2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0" customFormat="1" ht="25.5" customHeight="1">
      <c r="A16" s="38">
        <f t="shared" ref="A16" si="24">COUNTIF(L16:AP16,1)+COUNTIF(L16:AP16,"早")+COUNTIF(L16:AP16,"M1")+COUNTIF(L16:AP16,"T早")+COUNTIF(L16:AP16,"日")</f>
        <v>7</v>
      </c>
      <c r="B16" s="39">
        <f t="shared" ref="B16" si="25">COUNTIF(L16:AP16,2)+COUNTIF(L16:AP16,"中")+COUNTIF(L16:AP16,"M2")+COUNTIF(L16:AP16,"T中")+COUNTIF(L16:AP16,"小夜")</f>
        <v>1</v>
      </c>
      <c r="C16" s="40">
        <f t="shared" ref="C16" si="26">COUNTIF(L16:AP16,3)+COUNTIF(L16:AP16,"晚")+COUNTIF(L16:AP16,"大夜")</f>
        <v>0</v>
      </c>
      <c r="D16" s="39">
        <f t="shared" ref="D16" si="27">COUNTIF(L16:AP16,"N")+COUNTIF(L16:AP16,"N8")</f>
        <v>9</v>
      </c>
      <c r="E16" s="41">
        <f t="shared" ref="E16" si="28">COUNTIF(L16:AP16,"S")</f>
        <v>6</v>
      </c>
      <c r="F16" s="41">
        <f t="shared" si="7"/>
        <v>0</v>
      </c>
      <c r="G16" s="41">
        <f t="shared" ref="G16" si="29">COUNTIF(L16:AP16,"X")</f>
        <v>4</v>
      </c>
      <c r="H16" s="41">
        <f t="shared" ref="H16" si="30">COUNTIF(L16:AP16,"Y")</f>
        <v>4</v>
      </c>
      <c r="I16" s="41">
        <f t="shared" ref="I16" si="31">COUNTIF(L16:AP16,"Z")</f>
        <v>0</v>
      </c>
      <c r="J16" s="177">
        <f t="shared" ref="J16" si="32">SUM(A16:I16)</f>
        <v>31</v>
      </c>
      <c r="K16" s="366" t="s">
        <v>93</v>
      </c>
      <c r="L16" s="356" t="s">
        <v>41</v>
      </c>
      <c r="M16" s="53" t="s">
        <v>3</v>
      </c>
      <c r="N16" s="53" t="s">
        <v>3</v>
      </c>
      <c r="O16" s="44" t="s">
        <v>52</v>
      </c>
      <c r="P16" s="32" t="s">
        <v>1</v>
      </c>
      <c r="Q16" s="32" t="s">
        <v>1</v>
      </c>
      <c r="R16" s="44" t="s">
        <v>0</v>
      </c>
      <c r="S16" s="53" t="s">
        <v>3</v>
      </c>
      <c r="T16" s="53" t="s">
        <v>3</v>
      </c>
      <c r="U16" s="30" t="s">
        <v>36</v>
      </c>
      <c r="V16" s="30" t="s">
        <v>36</v>
      </c>
      <c r="W16" s="30" t="s">
        <v>36</v>
      </c>
      <c r="X16" s="32" t="s">
        <v>52</v>
      </c>
      <c r="Y16" s="32" t="s">
        <v>1</v>
      </c>
      <c r="Z16" s="32" t="s">
        <v>1</v>
      </c>
      <c r="AA16" s="348" t="s">
        <v>41</v>
      </c>
      <c r="AB16" s="348" t="s">
        <v>41</v>
      </c>
      <c r="AC16" s="44" t="s">
        <v>52</v>
      </c>
      <c r="AD16" s="32" t="s">
        <v>1</v>
      </c>
      <c r="AE16" s="44" t="s">
        <v>0</v>
      </c>
      <c r="AF16" s="124" t="s">
        <v>5</v>
      </c>
      <c r="AG16" s="32" t="s">
        <v>1</v>
      </c>
      <c r="AH16" s="53" t="s">
        <v>3</v>
      </c>
      <c r="AI16" s="30" t="s">
        <v>36</v>
      </c>
      <c r="AJ16" s="121">
        <v>1</v>
      </c>
      <c r="AK16" s="120">
        <v>1</v>
      </c>
      <c r="AL16" s="30" t="s">
        <v>0</v>
      </c>
      <c r="AM16" s="30" t="s">
        <v>52</v>
      </c>
      <c r="AN16" s="30" t="s">
        <v>0</v>
      </c>
      <c r="AO16" s="30" t="s">
        <v>3</v>
      </c>
      <c r="AP16" s="126">
        <v>2</v>
      </c>
      <c r="AQ16" s="45">
        <v>0</v>
      </c>
      <c r="AR16" s="46">
        <f t="shared" si="6"/>
        <v>0</v>
      </c>
      <c r="AS16" s="46">
        <v>0</v>
      </c>
      <c r="AT16" s="134">
        <f t="shared" si="11"/>
        <v>0</v>
      </c>
      <c r="AU16" s="329" t="s">
        <v>128</v>
      </c>
      <c r="AV16" s="6"/>
      <c r="AW16" s="6" cm="2">
        <f t="array" ref="AW16">SUMPRODUCT(COUNTIF(O16:P16,{"X";"Y";"Z";"S"}))+SUMPRODUCT(COUNTIF(V16:W16,{"X";"Y";"Z";"S"}))+SUMPRODUCT(COUNTIF(AC16:AD16,{"X";"Y";"Z";"S"}))+SUMPRODUCT(COUNTIF(AJ16:AK16,{"X";"Y";"Z";"S"}))-5</f>
        <v>-1</v>
      </c>
      <c r="AX16" s="6">
        <v>4</v>
      </c>
      <c r="AY16" s="6">
        <f t="shared" si="23"/>
        <v>3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>
      <c r="A17" s="38">
        <f>COUNTIF(L17:AP17,1)+COUNTIF(L17:AP17,"早")+COUNTIF(L17:AP17,"M1")+COUNTIF(L17:AP17,"T早")+COUNTIF(L17:AP17,"日")</f>
        <v>8</v>
      </c>
      <c r="B17" s="39">
        <f>COUNTIF(L17:AP17,2)+COUNTIF(L17:AP17,"中")+COUNTIF(L17:AP17,"M2")+COUNTIF(L17:AP17,"T中")+COUNTIF(L17:AP17,"小夜")</f>
        <v>9</v>
      </c>
      <c r="C17" s="40">
        <f>COUNTIF(L17:AP17,3)+COUNTIF(L17:AP17,"晚")+COUNTIF(L17:AP17,"大夜")</f>
        <v>0</v>
      </c>
      <c r="D17" s="39">
        <f>COUNTIF(L17:AP17,"N")+COUNTIF(L17:AP17,"N8")</f>
        <v>3</v>
      </c>
      <c r="E17" s="41">
        <f>COUNTIF(L17:AP17,"S")</f>
        <v>3</v>
      </c>
      <c r="F17" s="41">
        <f t="shared" si="7"/>
        <v>1</v>
      </c>
      <c r="G17" s="41">
        <f>COUNTIF(L17:AP17,"X")</f>
        <v>4</v>
      </c>
      <c r="H17" s="41">
        <f>COUNTIF(L17:AP17,"Y")</f>
        <v>3</v>
      </c>
      <c r="I17" s="41">
        <f>COUNTIF(L17:AP17,"Z")</f>
        <v>0</v>
      </c>
      <c r="J17" s="177">
        <f>SUM(A17:I17)</f>
        <v>31</v>
      </c>
      <c r="K17" s="363" t="s">
        <v>9</v>
      </c>
      <c r="L17" s="200">
        <v>2</v>
      </c>
      <c r="M17" s="121">
        <v>2</v>
      </c>
      <c r="N17" s="121">
        <v>2</v>
      </c>
      <c r="O17" s="30" t="s">
        <v>0</v>
      </c>
      <c r="P17" s="30">
        <v>1</v>
      </c>
      <c r="Q17" s="121" t="s">
        <v>38</v>
      </c>
      <c r="R17" s="121" t="s">
        <v>38</v>
      </c>
      <c r="S17" s="121">
        <v>2</v>
      </c>
      <c r="T17" s="121">
        <v>2</v>
      </c>
      <c r="U17" s="44" t="s">
        <v>163</v>
      </c>
      <c r="V17" s="44" t="s">
        <v>52</v>
      </c>
      <c r="W17" s="44" t="s">
        <v>0</v>
      </c>
      <c r="X17" s="30" t="s">
        <v>36</v>
      </c>
      <c r="Y17" s="53" t="s">
        <v>3</v>
      </c>
      <c r="Z17" s="121">
        <v>2</v>
      </c>
      <c r="AA17" s="30" t="s">
        <v>0</v>
      </c>
      <c r="AB17" s="30" t="s">
        <v>36</v>
      </c>
      <c r="AC17" s="30" t="s">
        <v>36</v>
      </c>
      <c r="AD17" s="121">
        <v>2</v>
      </c>
      <c r="AE17" s="30" t="s">
        <v>52</v>
      </c>
      <c r="AF17" s="30" t="s">
        <v>36</v>
      </c>
      <c r="AG17" s="30" t="s">
        <v>36</v>
      </c>
      <c r="AH17" s="30" t="s">
        <v>3</v>
      </c>
      <c r="AI17" s="32" t="s">
        <v>1</v>
      </c>
      <c r="AJ17" s="32" t="s">
        <v>1</v>
      </c>
      <c r="AK17" s="44" t="s">
        <v>0</v>
      </c>
      <c r="AL17" s="30" t="s">
        <v>36</v>
      </c>
      <c r="AM17" s="32" t="s">
        <v>1</v>
      </c>
      <c r="AN17" s="30" t="s">
        <v>52</v>
      </c>
      <c r="AO17" s="30" t="s">
        <v>36</v>
      </c>
      <c r="AP17" s="48" t="s">
        <v>3</v>
      </c>
      <c r="AQ17" s="45">
        <v>0</v>
      </c>
      <c r="AR17" s="46">
        <f t="shared" si="6"/>
        <v>-1</v>
      </c>
      <c r="AS17" s="46">
        <v>0</v>
      </c>
      <c r="AT17" s="134">
        <f>SUM(AQ17:AS17)</f>
        <v>-1</v>
      </c>
      <c r="AU17" s="329" t="s">
        <v>126</v>
      </c>
      <c r="AW17" s="6" cm="2">
        <f t="array" ref="AW17">SUMPRODUCT(COUNTIF(O17:P17,{"X";"Y";"Z";"S"}))+SUMPRODUCT(COUNTIF(V17:W17,{"X";"Y";"Z";"S"}))+SUMPRODUCT(COUNTIF(AC17:AD17,{"X";"Y";"Z";"S"}))+SUMPRODUCT(COUNTIF(AJ17:AK17,{"X";"Y";"Z";"S"}))-5</f>
        <v>0</v>
      </c>
      <c r="AX17" s="6">
        <v>5</v>
      </c>
      <c r="AY17" s="6">
        <f t="shared" si="23"/>
        <v>5</v>
      </c>
    </row>
    <row r="18" spans="1:227" ht="25.5" customHeight="1" thickBot="1">
      <c r="A18" s="54">
        <f t="shared" ref="A18" si="33">COUNTIF(L18:AP18,1)+COUNTIF(L18:AP18,"早")+COUNTIF(L18:AP18,"M1")+COUNTIF(L18:AP18,"T早")+COUNTIF(L18:AP18,"日")</f>
        <v>19</v>
      </c>
      <c r="B18" s="55">
        <f t="shared" ref="B18" si="34">COUNTIF(L18:AP18,2)+COUNTIF(L18:AP18,"中")+COUNTIF(L18:AP18,"M2")+COUNTIF(L18:AP18,"T中")+COUNTIF(L18:AP18,"小夜")</f>
        <v>1</v>
      </c>
      <c r="C18" s="56">
        <f t="shared" ref="C18" si="35">COUNTIF(L18:AP18,3)+COUNTIF(L18:AP18,"晚")+COUNTIF(L18:AP18,"大夜")</f>
        <v>0</v>
      </c>
      <c r="D18" s="55">
        <f t="shared" ref="D18" si="36">COUNTIF(L18:AP18,"N")+COUNTIF(L18:AP18,"N8")</f>
        <v>2</v>
      </c>
      <c r="E18" s="17">
        <f t="shared" ref="E18" si="37">COUNTIF(L18:AP18,"S")</f>
        <v>1</v>
      </c>
      <c r="F18" s="17">
        <f t="shared" si="7"/>
        <v>1</v>
      </c>
      <c r="G18" s="17">
        <f t="shared" ref="G18" si="38">COUNTIF(L18:AP18,"X")</f>
        <v>4</v>
      </c>
      <c r="H18" s="17">
        <f t="shared" ref="H18" si="39">COUNTIF(L18:AP18,"Y")</f>
        <v>3</v>
      </c>
      <c r="I18" s="17">
        <f t="shared" ref="I18" si="40">COUNTIF(L18:AP18,"Z")</f>
        <v>0</v>
      </c>
      <c r="J18" s="388">
        <f t="shared" ref="J18" si="41">SUM(A18:I18)</f>
        <v>31</v>
      </c>
      <c r="K18" s="367" t="s">
        <v>137</v>
      </c>
      <c r="L18" s="357" t="s">
        <v>36</v>
      </c>
      <c r="M18" s="199" t="s">
        <v>36</v>
      </c>
      <c r="N18" s="199" t="s">
        <v>36</v>
      </c>
      <c r="O18" s="59" t="s">
        <v>52</v>
      </c>
      <c r="P18" s="59" t="s">
        <v>0</v>
      </c>
      <c r="Q18" s="60" t="s">
        <v>36</v>
      </c>
      <c r="R18" s="60" t="s">
        <v>36</v>
      </c>
      <c r="S18" s="60" t="s">
        <v>36</v>
      </c>
      <c r="T18" s="60" t="s">
        <v>36</v>
      </c>
      <c r="U18" s="60" t="s">
        <v>163</v>
      </c>
      <c r="V18" s="60">
        <v>1</v>
      </c>
      <c r="W18" s="60">
        <v>1</v>
      </c>
      <c r="X18" s="199">
        <v>1</v>
      </c>
      <c r="Y18" s="60" t="s">
        <v>36</v>
      </c>
      <c r="Z18" s="60" t="s">
        <v>0</v>
      </c>
      <c r="AA18" s="60" t="s">
        <v>36</v>
      </c>
      <c r="AB18" s="199">
        <v>2</v>
      </c>
      <c r="AC18" s="59" t="s">
        <v>52</v>
      </c>
      <c r="AD18" s="59" t="s">
        <v>0</v>
      </c>
      <c r="AE18" s="199">
        <v>1</v>
      </c>
      <c r="AF18" s="60" t="s">
        <v>3</v>
      </c>
      <c r="AG18" s="60" t="s">
        <v>36</v>
      </c>
      <c r="AH18" s="60" t="s">
        <v>0</v>
      </c>
      <c r="AI18" s="60" t="s">
        <v>3</v>
      </c>
      <c r="AJ18" s="30" t="s">
        <v>36</v>
      </c>
      <c r="AK18" s="30" t="s">
        <v>36</v>
      </c>
      <c r="AL18" s="121" t="s">
        <v>36</v>
      </c>
      <c r="AM18" s="199" t="s">
        <v>36</v>
      </c>
      <c r="AN18" s="52" t="s">
        <v>1</v>
      </c>
      <c r="AO18" s="60" t="s">
        <v>52</v>
      </c>
      <c r="AP18" s="48" t="s">
        <v>36</v>
      </c>
      <c r="AQ18" s="73">
        <v>0</v>
      </c>
      <c r="AR18" s="74">
        <f t="shared" si="6"/>
        <v>-1</v>
      </c>
      <c r="AS18" s="74">
        <v>0</v>
      </c>
      <c r="AT18" s="127">
        <f t="shared" ref="AT18" si="42">SUM(AQ18:AS18)</f>
        <v>-1</v>
      </c>
      <c r="AU18" s="330" t="s">
        <v>128</v>
      </c>
      <c r="AW18" s="6" cm="2">
        <f t="array" ref="AW18">SUMPRODUCT(COUNTIF(O18:P18,{"X";"Y";"Z";"S"}))+SUMPRODUCT(COUNTIF(V18:W18,{"X";"Y";"Z";"S"}))+SUMPRODUCT(COUNTIF(AC18:AD18,{"X";"Y";"Z";"S"}))+SUMPRODUCT(COUNTIF(AJ18:AK18,{"X";"Y";"Z";"S"}))-5</f>
        <v>-1</v>
      </c>
      <c r="AX18" s="6">
        <v>2</v>
      </c>
      <c r="AY18" s="6">
        <f t="shared" si="23"/>
        <v>1</v>
      </c>
    </row>
    <row r="19" spans="1:227" s="50" customFormat="1" ht="25.5" customHeight="1">
      <c r="A19" s="23">
        <f t="shared" ref="A19:A27" si="43">COUNTIF(L19:AP19,1)+COUNTIF(L19:AP19,"早")+COUNTIF(L19:AP19,"M1")+COUNTIF(L19:AP19,"T早")+COUNTIF(L19:AP19,"日")</f>
        <v>0</v>
      </c>
      <c r="B19" s="24">
        <f t="shared" ref="B19:B27" si="44">COUNTIF(L19:AP19,2)+COUNTIF(L19:AP19,"中")+COUNTIF(L19:AP19,"M2")+COUNTIF(L19:AP19,"T中")+COUNTIF(L19:AP19,"小夜")</f>
        <v>11</v>
      </c>
      <c r="C19" s="25">
        <f t="shared" ref="C19:C27" si="45">COUNTIF(L19:AP19,3)+COUNTIF(L19:AP19,"晚")+COUNTIF(L19:AP19,"大夜")</f>
        <v>8</v>
      </c>
      <c r="D19" s="24">
        <f t="shared" ref="D19:D27" si="46">COUNTIF(L19:AP19,"N")+COUNTIF(L19:AP19,"N8")</f>
        <v>0</v>
      </c>
      <c r="E19" s="26">
        <f t="shared" ref="E19:E27" si="47">COUNTIF(L19:AP19,"S")</f>
        <v>4</v>
      </c>
      <c r="F19" s="26">
        <f t="shared" si="7"/>
        <v>0</v>
      </c>
      <c r="G19" s="26">
        <f t="shared" si="8"/>
        <v>4</v>
      </c>
      <c r="H19" s="26">
        <f t="shared" si="9"/>
        <v>4</v>
      </c>
      <c r="I19" s="26">
        <f t="shared" si="10"/>
        <v>0</v>
      </c>
      <c r="J19" s="176">
        <f t="shared" ref="J19:J27" si="48">SUM(A19:I19)</f>
        <v>31</v>
      </c>
      <c r="K19" s="368" t="s">
        <v>10</v>
      </c>
      <c r="L19" s="28">
        <v>2</v>
      </c>
      <c r="M19" s="29" t="s">
        <v>0</v>
      </c>
      <c r="N19" s="29">
        <v>3</v>
      </c>
      <c r="O19" s="29">
        <v>3</v>
      </c>
      <c r="P19" s="29">
        <v>3</v>
      </c>
      <c r="Q19" s="29" t="s">
        <v>52</v>
      </c>
      <c r="R19" s="29" t="s">
        <v>0</v>
      </c>
      <c r="S19" s="29">
        <v>3</v>
      </c>
      <c r="T19" s="29">
        <v>3</v>
      </c>
      <c r="U19" s="29">
        <v>3</v>
      </c>
      <c r="V19" s="29">
        <v>2</v>
      </c>
      <c r="W19" s="29">
        <v>2</v>
      </c>
      <c r="X19" s="33" t="s">
        <v>52</v>
      </c>
      <c r="Y19" s="33" t="s">
        <v>1</v>
      </c>
      <c r="Z19" s="33" t="s">
        <v>1</v>
      </c>
      <c r="AA19" s="33" t="s">
        <v>1</v>
      </c>
      <c r="AB19" s="33" t="s">
        <v>0</v>
      </c>
      <c r="AC19" s="29">
        <v>2</v>
      </c>
      <c r="AD19" s="29">
        <v>2</v>
      </c>
      <c r="AE19" s="29">
        <v>2</v>
      </c>
      <c r="AF19" s="29">
        <v>2</v>
      </c>
      <c r="AG19" s="29">
        <v>2</v>
      </c>
      <c r="AH19" s="29" t="s">
        <v>52</v>
      </c>
      <c r="AI19" s="29">
        <v>2</v>
      </c>
      <c r="AJ19" s="29">
        <v>2</v>
      </c>
      <c r="AK19" s="29">
        <v>2</v>
      </c>
      <c r="AL19" s="33" t="s">
        <v>52</v>
      </c>
      <c r="AM19" s="33" t="s">
        <v>1</v>
      </c>
      <c r="AN19" s="33" t="s">
        <v>0</v>
      </c>
      <c r="AO19" s="29">
        <v>3</v>
      </c>
      <c r="AP19" s="34">
        <v>3</v>
      </c>
      <c r="AQ19" s="166">
        <v>0</v>
      </c>
      <c r="AR19" s="167">
        <f t="shared" si="6"/>
        <v>0</v>
      </c>
      <c r="AS19" s="167">
        <v>0</v>
      </c>
      <c r="AT19" s="168">
        <f t="shared" si="11"/>
        <v>0</v>
      </c>
      <c r="AU19" s="332" t="s">
        <v>128</v>
      </c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s="50" customFormat="1" ht="25.5" customHeight="1">
      <c r="A20" s="38">
        <f t="shared" si="43"/>
        <v>7</v>
      </c>
      <c r="B20" s="39">
        <f t="shared" si="44"/>
        <v>8</v>
      </c>
      <c r="C20" s="40">
        <f t="shared" si="45"/>
        <v>2</v>
      </c>
      <c r="D20" s="39">
        <f t="shared" si="46"/>
        <v>3</v>
      </c>
      <c r="E20" s="41">
        <f t="shared" si="47"/>
        <v>3</v>
      </c>
      <c r="F20" s="41">
        <f t="shared" si="7"/>
        <v>0</v>
      </c>
      <c r="G20" s="41">
        <f t="shared" si="8"/>
        <v>4</v>
      </c>
      <c r="H20" s="41">
        <f t="shared" si="9"/>
        <v>4</v>
      </c>
      <c r="I20" s="41">
        <f t="shared" si="10"/>
        <v>0</v>
      </c>
      <c r="J20" s="177">
        <f t="shared" si="48"/>
        <v>31</v>
      </c>
      <c r="K20" s="369" t="s">
        <v>11</v>
      </c>
      <c r="L20" s="49" t="s">
        <v>36</v>
      </c>
      <c r="M20" s="30" t="s">
        <v>36</v>
      </c>
      <c r="N20" s="30" t="s">
        <v>36</v>
      </c>
      <c r="O20" s="30" t="s">
        <v>36</v>
      </c>
      <c r="P20" s="30" t="s">
        <v>36</v>
      </c>
      <c r="Q20" s="44" t="s">
        <v>52</v>
      </c>
      <c r="R20" s="32" t="s">
        <v>1</v>
      </c>
      <c r="S20" s="30" t="s">
        <v>38</v>
      </c>
      <c r="T20" s="30" t="s">
        <v>38</v>
      </c>
      <c r="U20" s="30" t="s">
        <v>38</v>
      </c>
      <c r="V20" s="44" t="s">
        <v>52</v>
      </c>
      <c r="W20" s="32" t="s">
        <v>1</v>
      </c>
      <c r="X20" s="30" t="s">
        <v>0</v>
      </c>
      <c r="Y20" s="30" t="s">
        <v>0</v>
      </c>
      <c r="Z20" s="30" t="s">
        <v>36</v>
      </c>
      <c r="AA20" s="348" t="s">
        <v>41</v>
      </c>
      <c r="AB20" s="348" t="s">
        <v>41</v>
      </c>
      <c r="AC20" s="44" t="s">
        <v>52</v>
      </c>
      <c r="AD20" s="44" t="s">
        <v>0</v>
      </c>
      <c r="AE20" s="30" t="s">
        <v>40</v>
      </c>
      <c r="AF20" s="30" t="s">
        <v>40</v>
      </c>
      <c r="AG20" s="30" t="s">
        <v>0</v>
      </c>
      <c r="AH20" s="53" t="s">
        <v>3</v>
      </c>
      <c r="AI20" s="30" t="s">
        <v>36</v>
      </c>
      <c r="AJ20" s="30">
        <v>2</v>
      </c>
      <c r="AK20" s="41">
        <v>2</v>
      </c>
      <c r="AL20" s="32" t="s">
        <v>52</v>
      </c>
      <c r="AM20" s="32" t="s">
        <v>1</v>
      </c>
      <c r="AN20" s="30" t="s">
        <v>38</v>
      </c>
      <c r="AO20" s="30" t="s">
        <v>38</v>
      </c>
      <c r="AP20" s="48" t="s">
        <v>38</v>
      </c>
      <c r="AQ20" s="45">
        <v>0</v>
      </c>
      <c r="AR20" s="46">
        <f t="shared" si="6"/>
        <v>0</v>
      </c>
      <c r="AS20" s="46">
        <v>0</v>
      </c>
      <c r="AT20" s="134">
        <f t="shared" si="11"/>
        <v>0</v>
      </c>
      <c r="AU20" s="329" t="s">
        <v>128</v>
      </c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</row>
    <row r="21" spans="1:227" ht="25.5" customHeight="1">
      <c r="A21" s="38">
        <f t="shared" si="43"/>
        <v>8</v>
      </c>
      <c r="B21" s="39">
        <f t="shared" si="44"/>
        <v>7</v>
      </c>
      <c r="C21" s="40">
        <f t="shared" si="45"/>
        <v>5</v>
      </c>
      <c r="D21" s="39">
        <f t="shared" si="46"/>
        <v>1</v>
      </c>
      <c r="E21" s="41">
        <f t="shared" si="47"/>
        <v>2</v>
      </c>
      <c r="F21" s="41">
        <f t="shared" si="7"/>
        <v>0</v>
      </c>
      <c r="G21" s="41">
        <f>COUNTIF(L21:AP21,"X")</f>
        <v>4</v>
      </c>
      <c r="H21" s="41">
        <f>COUNTIF(L21:AP21,"Y")</f>
        <v>4</v>
      </c>
      <c r="I21" s="41">
        <f>COUNTIF(L21:AP21,"Z")</f>
        <v>0</v>
      </c>
      <c r="J21" s="177">
        <f t="shared" si="48"/>
        <v>31</v>
      </c>
      <c r="K21" s="370" t="s">
        <v>12</v>
      </c>
      <c r="L21" s="49" t="s">
        <v>38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38</v>
      </c>
      <c r="R21" s="30" t="s">
        <v>38</v>
      </c>
      <c r="S21" s="30" t="s">
        <v>52</v>
      </c>
      <c r="T21" s="53" t="s">
        <v>3</v>
      </c>
      <c r="U21" s="30" t="s">
        <v>38</v>
      </c>
      <c r="V21" s="44" t="s">
        <v>52</v>
      </c>
      <c r="W21" s="44" t="s">
        <v>0</v>
      </c>
      <c r="X21" s="30" t="s">
        <v>40</v>
      </c>
      <c r="Y21" s="30" t="s">
        <v>40</v>
      </c>
      <c r="Z21" s="30" t="s">
        <v>0</v>
      </c>
      <c r="AA21" s="30" t="s">
        <v>36</v>
      </c>
      <c r="AB21" s="30" t="s">
        <v>36</v>
      </c>
      <c r="AC21" s="30" t="s">
        <v>36</v>
      </c>
      <c r="AD21" s="30" t="s">
        <v>36</v>
      </c>
      <c r="AE21" s="30" t="s">
        <v>36</v>
      </c>
      <c r="AF21" s="30" t="s">
        <v>36</v>
      </c>
      <c r="AG21" s="30" t="s">
        <v>52</v>
      </c>
      <c r="AH21" s="30" t="s">
        <v>36</v>
      </c>
      <c r="AI21" s="30" t="s">
        <v>36</v>
      </c>
      <c r="AJ21" s="32" t="s">
        <v>1</v>
      </c>
      <c r="AK21" s="44" t="s">
        <v>0</v>
      </c>
      <c r="AL21" s="30" t="s">
        <v>40</v>
      </c>
      <c r="AM21" s="30" t="s">
        <v>40</v>
      </c>
      <c r="AN21" s="30" t="s">
        <v>40</v>
      </c>
      <c r="AO21" s="32" t="s">
        <v>1</v>
      </c>
      <c r="AP21" s="44" t="s">
        <v>52</v>
      </c>
      <c r="AQ21" s="45">
        <v>0</v>
      </c>
      <c r="AR21" s="46">
        <f t="shared" si="6"/>
        <v>0</v>
      </c>
      <c r="AS21" s="46">
        <v>0</v>
      </c>
      <c r="AT21" s="134">
        <f t="shared" si="11"/>
        <v>0</v>
      </c>
      <c r="AU21" s="329" t="s">
        <v>126</v>
      </c>
    </row>
    <row r="22" spans="1:227" ht="25.5" customHeight="1">
      <c r="A22" s="38">
        <f t="shared" si="43"/>
        <v>0</v>
      </c>
      <c r="B22" s="39">
        <f t="shared" si="44"/>
        <v>0</v>
      </c>
      <c r="C22" s="40">
        <f t="shared" si="45"/>
        <v>22</v>
      </c>
      <c r="D22" s="39">
        <f t="shared" si="46"/>
        <v>0</v>
      </c>
      <c r="E22" s="41">
        <f t="shared" si="47"/>
        <v>1</v>
      </c>
      <c r="F22" s="41">
        <f t="shared" si="7"/>
        <v>0</v>
      </c>
      <c r="G22" s="41">
        <f t="shared" si="8"/>
        <v>4</v>
      </c>
      <c r="H22" s="41">
        <f t="shared" si="9"/>
        <v>4</v>
      </c>
      <c r="I22" s="41">
        <f t="shared" si="10"/>
        <v>0</v>
      </c>
      <c r="J22" s="177">
        <f t="shared" si="48"/>
        <v>31</v>
      </c>
      <c r="K22" s="369" t="s">
        <v>13</v>
      </c>
      <c r="L22" s="49" t="s">
        <v>40</v>
      </c>
      <c r="M22" s="30" t="s">
        <v>40</v>
      </c>
      <c r="N22" s="30" t="s">
        <v>40</v>
      </c>
      <c r="O22" s="44" t="s">
        <v>52</v>
      </c>
      <c r="P22" s="44" t="s">
        <v>0</v>
      </c>
      <c r="Q22" s="30" t="s">
        <v>40</v>
      </c>
      <c r="R22" s="30" t="s">
        <v>40</v>
      </c>
      <c r="S22" s="32" t="s">
        <v>1</v>
      </c>
      <c r="T22" s="30" t="s">
        <v>0</v>
      </c>
      <c r="U22" s="30" t="s">
        <v>40</v>
      </c>
      <c r="V22" s="30" t="s">
        <v>40</v>
      </c>
      <c r="W22" s="30" t="s">
        <v>40</v>
      </c>
      <c r="X22" s="30" t="s">
        <v>40</v>
      </c>
      <c r="Y22" s="30" t="s">
        <v>52</v>
      </c>
      <c r="Z22" s="30">
        <v>3</v>
      </c>
      <c r="AA22" s="30">
        <v>3</v>
      </c>
      <c r="AB22" s="30">
        <v>3</v>
      </c>
      <c r="AC22" s="44" t="s">
        <v>52</v>
      </c>
      <c r="AD22" s="44" t="s">
        <v>0</v>
      </c>
      <c r="AE22" s="30">
        <v>3</v>
      </c>
      <c r="AF22" s="30">
        <v>3</v>
      </c>
      <c r="AG22" s="30">
        <v>3</v>
      </c>
      <c r="AH22" s="30">
        <v>3</v>
      </c>
      <c r="AI22" s="30" t="s">
        <v>52</v>
      </c>
      <c r="AJ22" s="30">
        <v>3</v>
      </c>
      <c r="AK22" s="41">
        <v>3</v>
      </c>
      <c r="AL22" s="41">
        <v>3</v>
      </c>
      <c r="AM22" s="30">
        <v>3</v>
      </c>
      <c r="AN22" s="30">
        <v>3</v>
      </c>
      <c r="AO22" s="30" t="s">
        <v>0</v>
      </c>
      <c r="AP22" s="48" t="s">
        <v>40</v>
      </c>
      <c r="AQ22" s="45">
        <v>0</v>
      </c>
      <c r="AR22" s="46">
        <f t="shared" si="6"/>
        <v>0</v>
      </c>
      <c r="AS22" s="46">
        <v>0</v>
      </c>
      <c r="AT22" s="134">
        <f t="shared" si="11"/>
        <v>0</v>
      </c>
      <c r="AU22" s="329" t="s">
        <v>128</v>
      </c>
    </row>
    <row r="23" spans="1:227" s="50" customFormat="1" ht="25.5" customHeight="1">
      <c r="A23" s="38">
        <f t="shared" si="43"/>
        <v>3</v>
      </c>
      <c r="B23" s="39">
        <f t="shared" si="44"/>
        <v>16</v>
      </c>
      <c r="C23" s="40">
        <f t="shared" si="45"/>
        <v>4</v>
      </c>
      <c r="D23" s="39">
        <f t="shared" si="46"/>
        <v>0</v>
      </c>
      <c r="E23" s="41">
        <f t="shared" si="47"/>
        <v>0</v>
      </c>
      <c r="F23" s="41">
        <f t="shared" si="7"/>
        <v>0</v>
      </c>
      <c r="G23" s="41">
        <f t="shared" si="8"/>
        <v>4</v>
      </c>
      <c r="H23" s="41">
        <f t="shared" si="9"/>
        <v>4</v>
      </c>
      <c r="I23" s="41">
        <f t="shared" si="10"/>
        <v>0</v>
      </c>
      <c r="J23" s="177">
        <f t="shared" si="48"/>
        <v>31</v>
      </c>
      <c r="K23" s="371" t="s">
        <v>138</v>
      </c>
      <c r="L23" s="49" t="s">
        <v>38</v>
      </c>
      <c r="M23" s="30" t="s">
        <v>38</v>
      </c>
      <c r="N23" s="30" t="s">
        <v>52</v>
      </c>
      <c r="O23" s="30" t="s">
        <v>36</v>
      </c>
      <c r="P23" s="30" t="s">
        <v>36</v>
      </c>
      <c r="Q23" s="30" t="s">
        <v>0</v>
      </c>
      <c r="R23" s="30" t="s">
        <v>40</v>
      </c>
      <c r="S23" s="30" t="s">
        <v>40</v>
      </c>
      <c r="T23" s="30" t="s">
        <v>40</v>
      </c>
      <c r="U23" s="30" t="s">
        <v>40</v>
      </c>
      <c r="V23" s="44" t="s">
        <v>52</v>
      </c>
      <c r="W23" s="44" t="s">
        <v>0</v>
      </c>
      <c r="X23" s="30" t="s">
        <v>36</v>
      </c>
      <c r="Y23" s="30" t="s">
        <v>38</v>
      </c>
      <c r="Z23" s="30">
        <v>2</v>
      </c>
      <c r="AA23" s="30">
        <v>2</v>
      </c>
      <c r="AB23" s="30">
        <v>2</v>
      </c>
      <c r="AC23" s="30">
        <v>2</v>
      </c>
      <c r="AD23" s="30" t="s">
        <v>0</v>
      </c>
      <c r="AE23" s="30" t="s">
        <v>38</v>
      </c>
      <c r="AF23" s="30" t="s">
        <v>38</v>
      </c>
      <c r="AG23" s="30" t="s">
        <v>38</v>
      </c>
      <c r="AH23" s="30" t="s">
        <v>38</v>
      </c>
      <c r="AI23" s="30" t="s">
        <v>38</v>
      </c>
      <c r="AJ23" s="44" t="s">
        <v>52</v>
      </c>
      <c r="AK23" s="44" t="s">
        <v>0</v>
      </c>
      <c r="AL23" s="30" t="s">
        <v>38</v>
      </c>
      <c r="AM23" s="30" t="s">
        <v>38</v>
      </c>
      <c r="AN23" s="30" t="s">
        <v>38</v>
      </c>
      <c r="AO23" s="30" t="s">
        <v>52</v>
      </c>
      <c r="AP23" s="48" t="s">
        <v>38</v>
      </c>
      <c r="AQ23" s="45">
        <v>0</v>
      </c>
      <c r="AR23" s="46">
        <f t="shared" si="6"/>
        <v>0</v>
      </c>
      <c r="AS23" s="46">
        <v>0</v>
      </c>
      <c r="AT23" s="134">
        <f t="shared" si="11"/>
        <v>0</v>
      </c>
      <c r="AU23" s="329" t="s">
        <v>126</v>
      </c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0" customFormat="1" ht="25.5" customHeight="1">
      <c r="A24" s="38">
        <f t="shared" si="43"/>
        <v>10</v>
      </c>
      <c r="B24" s="39">
        <f t="shared" si="44"/>
        <v>0</v>
      </c>
      <c r="C24" s="40">
        <f t="shared" si="45"/>
        <v>0</v>
      </c>
      <c r="D24" s="39">
        <f t="shared" si="46"/>
        <v>13</v>
      </c>
      <c r="E24" s="41">
        <f t="shared" si="47"/>
        <v>0</v>
      </c>
      <c r="F24" s="41">
        <f t="shared" si="7"/>
        <v>0</v>
      </c>
      <c r="G24" s="41">
        <f t="shared" si="8"/>
        <v>4</v>
      </c>
      <c r="H24" s="41">
        <f t="shared" si="9"/>
        <v>4</v>
      </c>
      <c r="I24" s="41">
        <f t="shared" si="10"/>
        <v>0</v>
      </c>
      <c r="J24" s="177">
        <f t="shared" si="48"/>
        <v>31</v>
      </c>
      <c r="K24" s="372" t="s">
        <v>15</v>
      </c>
      <c r="L24" s="30">
        <v>1</v>
      </c>
      <c r="M24" s="30">
        <v>1</v>
      </c>
      <c r="N24" s="30">
        <v>1</v>
      </c>
      <c r="O24" s="44" t="s">
        <v>52</v>
      </c>
      <c r="P24" s="44" t="s">
        <v>0</v>
      </c>
      <c r="Q24" s="30">
        <v>1</v>
      </c>
      <c r="R24" s="53" t="s">
        <v>3</v>
      </c>
      <c r="S24" s="53" t="s">
        <v>3</v>
      </c>
      <c r="T24" s="30" t="s">
        <v>3</v>
      </c>
      <c r="U24" s="30">
        <v>1</v>
      </c>
      <c r="V24" s="44" t="s">
        <v>52</v>
      </c>
      <c r="W24" s="44" t="s">
        <v>0</v>
      </c>
      <c r="X24" s="30" t="s">
        <v>3</v>
      </c>
      <c r="Y24" s="53" t="s">
        <v>3</v>
      </c>
      <c r="Z24" s="53" t="s">
        <v>3</v>
      </c>
      <c r="AA24" s="30" t="s">
        <v>3</v>
      </c>
      <c r="AB24" s="30">
        <v>1</v>
      </c>
      <c r="AC24" s="44" t="s">
        <v>52</v>
      </c>
      <c r="AD24" s="44" t="s">
        <v>0</v>
      </c>
      <c r="AE24" s="30" t="s">
        <v>3</v>
      </c>
      <c r="AF24" s="53" t="s">
        <v>3</v>
      </c>
      <c r="AG24" s="53" t="s">
        <v>3</v>
      </c>
      <c r="AH24" s="53" t="s">
        <v>3</v>
      </c>
      <c r="AI24" s="30">
        <v>1</v>
      </c>
      <c r="AJ24" s="44" t="s">
        <v>52</v>
      </c>
      <c r="AK24" s="44" t="s">
        <v>0</v>
      </c>
      <c r="AL24" s="30">
        <v>1</v>
      </c>
      <c r="AM24" s="53" t="s">
        <v>3</v>
      </c>
      <c r="AN24" s="53" t="s">
        <v>3</v>
      </c>
      <c r="AO24" s="30">
        <v>1</v>
      </c>
      <c r="AP24" s="48">
        <v>1</v>
      </c>
      <c r="AQ24" s="45">
        <v>0</v>
      </c>
      <c r="AR24" s="46">
        <f t="shared" si="6"/>
        <v>0</v>
      </c>
      <c r="AS24" s="46">
        <v>0</v>
      </c>
      <c r="AT24" s="134">
        <f t="shared" si="11"/>
        <v>0</v>
      </c>
      <c r="AU24" s="329" t="s">
        <v>133</v>
      </c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0" customFormat="1" ht="25.5" customHeight="1">
      <c r="A25" s="38">
        <f t="shared" si="43"/>
        <v>8</v>
      </c>
      <c r="B25" s="39">
        <f t="shared" si="44"/>
        <v>8</v>
      </c>
      <c r="C25" s="40">
        <f t="shared" si="45"/>
        <v>7</v>
      </c>
      <c r="D25" s="39">
        <f t="shared" si="46"/>
        <v>0</v>
      </c>
      <c r="E25" s="41">
        <f t="shared" si="47"/>
        <v>0</v>
      </c>
      <c r="F25" s="41">
        <f t="shared" si="7"/>
        <v>0</v>
      </c>
      <c r="G25" s="41">
        <f>COUNTIF(L25:AP25,"X")</f>
        <v>4</v>
      </c>
      <c r="H25" s="41">
        <f>COUNTIF(L25:AP25,"Y")</f>
        <v>4</v>
      </c>
      <c r="I25" s="41">
        <f>COUNTIF(L25:AP25,"Z")</f>
        <v>0</v>
      </c>
      <c r="J25" s="177">
        <f t="shared" si="48"/>
        <v>31</v>
      </c>
      <c r="K25" s="372" t="s">
        <v>16</v>
      </c>
      <c r="L25" s="49" t="s">
        <v>40</v>
      </c>
      <c r="M25" s="30" t="s">
        <v>52</v>
      </c>
      <c r="N25" s="30" t="s">
        <v>38</v>
      </c>
      <c r="O25" s="30" t="s">
        <v>38</v>
      </c>
      <c r="P25" s="30" t="s">
        <v>38</v>
      </c>
      <c r="Q25" s="30" t="s">
        <v>0</v>
      </c>
      <c r="R25" s="30" t="s">
        <v>36</v>
      </c>
      <c r="S25" s="30" t="s">
        <v>36</v>
      </c>
      <c r="T25" s="30" t="s">
        <v>36</v>
      </c>
      <c r="U25" s="30" t="s">
        <v>36</v>
      </c>
      <c r="V25" s="44" t="s">
        <v>52</v>
      </c>
      <c r="W25" s="44" t="s">
        <v>0</v>
      </c>
      <c r="X25" s="46" t="s">
        <v>38</v>
      </c>
      <c r="Y25" s="30" t="s">
        <v>38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40</v>
      </c>
      <c r="AE25" s="30" t="s">
        <v>40</v>
      </c>
      <c r="AF25" s="30" t="s">
        <v>40</v>
      </c>
      <c r="AG25" s="30" t="s">
        <v>40</v>
      </c>
      <c r="AH25" s="30" t="s">
        <v>40</v>
      </c>
      <c r="AI25" s="30">
        <v>3</v>
      </c>
      <c r="AJ25" s="44" t="s">
        <v>52</v>
      </c>
      <c r="AK25" s="44" t="s">
        <v>0</v>
      </c>
      <c r="AL25" s="30" t="s">
        <v>36</v>
      </c>
      <c r="AM25" s="30" t="s">
        <v>36</v>
      </c>
      <c r="AN25" s="30" t="s">
        <v>36</v>
      </c>
      <c r="AO25" s="30" t="s">
        <v>36</v>
      </c>
      <c r="AP25" s="48" t="s">
        <v>0</v>
      </c>
      <c r="AQ25" s="45">
        <v>0</v>
      </c>
      <c r="AR25" s="46">
        <f t="shared" si="6"/>
        <v>0</v>
      </c>
      <c r="AS25" s="46">
        <v>0</v>
      </c>
      <c r="AT25" s="134">
        <f t="shared" si="11"/>
        <v>0</v>
      </c>
      <c r="AU25" s="329" t="s">
        <v>126</v>
      </c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s="50" customFormat="1" ht="25.5" customHeight="1">
      <c r="A26" s="38">
        <f t="shared" si="43"/>
        <v>22</v>
      </c>
      <c r="B26" s="39">
        <f t="shared" si="44"/>
        <v>0</v>
      </c>
      <c r="C26" s="40">
        <f t="shared" si="45"/>
        <v>0</v>
      </c>
      <c r="D26" s="39">
        <f t="shared" si="46"/>
        <v>0</v>
      </c>
      <c r="E26" s="41">
        <f t="shared" si="47"/>
        <v>1</v>
      </c>
      <c r="F26" s="41">
        <f t="shared" si="7"/>
        <v>0</v>
      </c>
      <c r="G26" s="41">
        <f t="shared" si="8"/>
        <v>4</v>
      </c>
      <c r="H26" s="41">
        <f t="shared" si="9"/>
        <v>4</v>
      </c>
      <c r="I26" s="41">
        <f t="shared" si="10"/>
        <v>0</v>
      </c>
      <c r="J26" s="177">
        <f t="shared" si="48"/>
        <v>31</v>
      </c>
      <c r="K26" s="371" t="s">
        <v>17</v>
      </c>
      <c r="L26" s="122" t="s">
        <v>52</v>
      </c>
      <c r="M26" s="46">
        <v>1</v>
      </c>
      <c r="N26" s="30">
        <v>1</v>
      </c>
      <c r="O26" s="46">
        <v>1</v>
      </c>
      <c r="P26" s="30">
        <v>1</v>
      </c>
      <c r="Q26" s="46">
        <v>1</v>
      </c>
      <c r="R26" s="30">
        <v>1</v>
      </c>
      <c r="S26" s="32" t="s">
        <v>0</v>
      </c>
      <c r="T26" s="46">
        <v>1</v>
      </c>
      <c r="U26" s="30">
        <v>1</v>
      </c>
      <c r="V26" s="44" t="s">
        <v>52</v>
      </c>
      <c r="W26" s="44" t="s">
        <v>0</v>
      </c>
      <c r="X26" s="46">
        <v>1</v>
      </c>
      <c r="Y26" s="30">
        <v>1</v>
      </c>
      <c r="Z26" s="46">
        <v>1</v>
      </c>
      <c r="AA26" s="30">
        <v>1</v>
      </c>
      <c r="AB26" s="44" t="s">
        <v>52</v>
      </c>
      <c r="AC26" s="32" t="s">
        <v>1</v>
      </c>
      <c r="AD26" s="44" t="s">
        <v>0</v>
      </c>
      <c r="AE26" s="46">
        <v>1</v>
      </c>
      <c r="AF26" s="30">
        <v>1</v>
      </c>
      <c r="AG26" s="32" t="s">
        <v>0</v>
      </c>
      <c r="AH26" s="46">
        <v>1</v>
      </c>
      <c r="AI26" s="30">
        <v>1</v>
      </c>
      <c r="AJ26" s="46">
        <v>1</v>
      </c>
      <c r="AK26" s="46">
        <v>1</v>
      </c>
      <c r="AL26" s="46">
        <v>1</v>
      </c>
      <c r="AM26" s="30">
        <v>1</v>
      </c>
      <c r="AN26" s="32" t="s">
        <v>52</v>
      </c>
      <c r="AO26" s="46">
        <v>1</v>
      </c>
      <c r="AP26" s="48">
        <v>1</v>
      </c>
      <c r="AQ26" s="45">
        <v>0</v>
      </c>
      <c r="AR26" s="46">
        <f t="shared" si="6"/>
        <v>0</v>
      </c>
      <c r="AS26" s="46">
        <v>0</v>
      </c>
      <c r="AT26" s="134">
        <f t="shared" si="11"/>
        <v>0</v>
      </c>
      <c r="AU26" s="329" t="s">
        <v>126</v>
      </c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</row>
    <row r="27" spans="1:227" s="50" customFormat="1" ht="27" customHeight="1">
      <c r="A27" s="38">
        <f t="shared" si="43"/>
        <v>2</v>
      </c>
      <c r="B27" s="39">
        <f t="shared" si="44"/>
        <v>13</v>
      </c>
      <c r="C27" s="40">
        <f t="shared" si="45"/>
        <v>8</v>
      </c>
      <c r="D27" s="39">
        <f t="shared" si="46"/>
        <v>0</v>
      </c>
      <c r="E27" s="41">
        <f t="shared" si="47"/>
        <v>0</v>
      </c>
      <c r="F27" s="41">
        <f t="shared" si="7"/>
        <v>0</v>
      </c>
      <c r="G27" s="41">
        <f t="shared" si="8"/>
        <v>4</v>
      </c>
      <c r="H27" s="41">
        <f t="shared" si="9"/>
        <v>4</v>
      </c>
      <c r="I27" s="41">
        <f t="shared" si="10"/>
        <v>0</v>
      </c>
      <c r="J27" s="177">
        <f t="shared" si="48"/>
        <v>31</v>
      </c>
      <c r="K27" s="372" t="s">
        <v>139</v>
      </c>
      <c r="L27" s="49">
        <v>3</v>
      </c>
      <c r="M27" s="30">
        <v>3</v>
      </c>
      <c r="N27" s="30">
        <v>3</v>
      </c>
      <c r="O27" s="30" t="s">
        <v>52</v>
      </c>
      <c r="P27" s="30" t="s">
        <v>0</v>
      </c>
      <c r="Q27" s="30">
        <v>3</v>
      </c>
      <c r="R27" s="30">
        <v>3</v>
      </c>
      <c r="S27" s="30">
        <v>3</v>
      </c>
      <c r="T27" s="30">
        <v>3</v>
      </c>
      <c r="U27" s="30">
        <v>3</v>
      </c>
      <c r="V27" s="44" t="s">
        <v>52</v>
      </c>
      <c r="W27" s="44" t="s">
        <v>0</v>
      </c>
      <c r="X27" s="30">
        <v>2</v>
      </c>
      <c r="Y27" s="30">
        <v>2</v>
      </c>
      <c r="Z27" s="30">
        <v>2</v>
      </c>
      <c r="AA27" s="30">
        <v>2</v>
      </c>
      <c r="AB27" s="30" t="s">
        <v>52</v>
      </c>
      <c r="AC27" s="30">
        <v>1</v>
      </c>
      <c r="AD27" s="30">
        <v>1</v>
      </c>
      <c r="AE27" s="30">
        <v>2</v>
      </c>
      <c r="AF27" s="30">
        <v>2</v>
      </c>
      <c r="AG27" s="30">
        <v>2</v>
      </c>
      <c r="AH27" s="30">
        <v>2</v>
      </c>
      <c r="AI27" s="30" t="s">
        <v>0</v>
      </c>
      <c r="AJ27" s="44" t="s">
        <v>52</v>
      </c>
      <c r="AK27" s="44" t="s">
        <v>0</v>
      </c>
      <c r="AL27" s="30">
        <v>2</v>
      </c>
      <c r="AM27" s="30">
        <v>2</v>
      </c>
      <c r="AN27" s="30">
        <v>2</v>
      </c>
      <c r="AO27" s="30">
        <v>2</v>
      </c>
      <c r="AP27" s="48">
        <v>2</v>
      </c>
      <c r="AQ27" s="45">
        <v>0</v>
      </c>
      <c r="AR27" s="46">
        <f t="shared" si="6"/>
        <v>0</v>
      </c>
      <c r="AS27" s="46">
        <v>0</v>
      </c>
      <c r="AT27" s="134">
        <f t="shared" si="11"/>
        <v>0</v>
      </c>
      <c r="AU27" s="329" t="s">
        <v>126</v>
      </c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0" customFormat="1" ht="25.2" customHeight="1">
      <c r="A28" s="38">
        <f t="shared" ref="A28" si="49">COUNTIF(L28:AP28,1)+COUNTIF(L28:AP28,"早")+COUNTIF(L28:AP28,"M1")+COUNTIF(L28:AP28,"T早")+COUNTIF(L28:AP28,"日")</f>
        <v>9</v>
      </c>
      <c r="B28" s="39">
        <f t="shared" ref="B28" si="50">COUNTIF(L28:AP28,2)+COUNTIF(L28:AP28,"中")+COUNTIF(L28:AP28,"M2")+COUNTIF(L28:AP28,"T中")+COUNTIF(L28:AP28,"小夜")</f>
        <v>0</v>
      </c>
      <c r="C28" s="40">
        <f t="shared" ref="C28" si="51">COUNTIF(L28:AP28,3)+COUNTIF(L28:AP28,"晚")+COUNTIF(L28:AP28,"大夜")</f>
        <v>14</v>
      </c>
      <c r="D28" s="39">
        <f t="shared" ref="D28" si="52">COUNTIF(L28:AP28,"N")+COUNTIF(L28:AP28,"N8")</f>
        <v>0</v>
      </c>
      <c r="E28" s="41">
        <f t="shared" ref="E28" si="53">COUNTIF(L28:AP28,"S")</f>
        <v>0</v>
      </c>
      <c r="F28" s="41">
        <f t="shared" si="7"/>
        <v>0</v>
      </c>
      <c r="G28" s="41">
        <f t="shared" ref="G28" si="54">COUNTIF(L28:AP28,"X")</f>
        <v>4</v>
      </c>
      <c r="H28" s="41">
        <f t="shared" ref="H28" si="55">COUNTIF(L28:AP28,"Y")</f>
        <v>4</v>
      </c>
      <c r="I28" s="41">
        <f t="shared" ref="I28" si="56">COUNTIF(L28:AP28,"Z")</f>
        <v>0</v>
      </c>
      <c r="J28" s="177">
        <f t="shared" ref="J28" si="57">SUM(A28:I28)</f>
        <v>31</v>
      </c>
      <c r="K28" s="372" t="s">
        <v>140</v>
      </c>
      <c r="L28" s="49">
        <v>1</v>
      </c>
      <c r="M28" s="30">
        <v>1</v>
      </c>
      <c r="N28" s="30">
        <v>1</v>
      </c>
      <c r="O28" s="44" t="s">
        <v>52</v>
      </c>
      <c r="P28" s="44" t="s">
        <v>0</v>
      </c>
      <c r="Q28" s="30">
        <v>3</v>
      </c>
      <c r="R28" s="30">
        <v>3</v>
      </c>
      <c r="S28" s="30" t="s">
        <v>52</v>
      </c>
      <c r="T28" s="30">
        <v>1</v>
      </c>
      <c r="U28" s="30">
        <v>1</v>
      </c>
      <c r="V28" s="44" t="s">
        <v>52</v>
      </c>
      <c r="W28" s="44" t="s">
        <v>0</v>
      </c>
      <c r="X28" s="30">
        <v>3</v>
      </c>
      <c r="Y28" s="30">
        <v>3</v>
      </c>
      <c r="Z28" s="30">
        <v>3</v>
      </c>
      <c r="AA28" s="30">
        <v>3</v>
      </c>
      <c r="AB28" s="30">
        <v>3</v>
      </c>
      <c r="AC28" s="30">
        <v>3</v>
      </c>
      <c r="AD28" s="30" t="s">
        <v>0</v>
      </c>
      <c r="AE28" s="30">
        <v>3</v>
      </c>
      <c r="AF28" s="30">
        <v>3</v>
      </c>
      <c r="AG28" s="30">
        <v>3</v>
      </c>
      <c r="AH28" s="30">
        <v>3</v>
      </c>
      <c r="AI28" s="30" t="s">
        <v>0</v>
      </c>
      <c r="AJ28" s="30">
        <v>1</v>
      </c>
      <c r="AK28" s="30">
        <v>1</v>
      </c>
      <c r="AL28" s="30">
        <v>1</v>
      </c>
      <c r="AM28" s="30">
        <v>1</v>
      </c>
      <c r="AN28" s="30" t="s">
        <v>52</v>
      </c>
      <c r="AO28" s="30">
        <v>3</v>
      </c>
      <c r="AP28" s="48">
        <v>3</v>
      </c>
      <c r="AQ28" s="62">
        <v>0</v>
      </c>
      <c r="AR28" s="46">
        <f t="shared" si="6"/>
        <v>0</v>
      </c>
      <c r="AS28" s="46">
        <v>0</v>
      </c>
      <c r="AT28" s="134">
        <f t="shared" si="11"/>
        <v>0</v>
      </c>
      <c r="AU28" s="329" t="s">
        <v>128</v>
      </c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0" customFormat="1" ht="25.5" customHeight="1">
      <c r="A29" s="38">
        <f t="shared" ref="A29:A40" si="58">COUNTIF(L29:AP29,1)+COUNTIF(L29:AP29,"早")+COUNTIF(L29:AP29,"M1")+COUNTIF(L29:AP29,"T早")+COUNTIF(L29:AP29,"日")</f>
        <v>5</v>
      </c>
      <c r="B29" s="39">
        <f t="shared" ref="B29:B40" si="59">COUNTIF(L29:AP29,2)+COUNTIF(L29:AP29,"中")+COUNTIF(L29:AP29,"M2")+COUNTIF(L29:AP29,"T中")+COUNTIF(L29:AP29,"小夜")</f>
        <v>15</v>
      </c>
      <c r="C29" s="40">
        <f t="shared" ref="C29:C40" si="60">COUNTIF(L29:AP29,3)+COUNTIF(L29:AP29,"晚")+COUNTIF(L29:AP29,"大夜")</f>
        <v>0</v>
      </c>
      <c r="D29" s="39">
        <f t="shared" ref="D29:D40" si="61">COUNTIF(L29:AP29,"N")+COUNTIF(L29:AP29,"N8")</f>
        <v>3</v>
      </c>
      <c r="E29" s="41">
        <f t="shared" ref="E29:E40" si="62">COUNTIF(L29:AP29,"S")</f>
        <v>0</v>
      </c>
      <c r="F29" s="41">
        <f t="shared" si="7"/>
        <v>1</v>
      </c>
      <c r="G29" s="41">
        <f t="shared" si="8"/>
        <v>4</v>
      </c>
      <c r="H29" s="41">
        <f t="shared" si="9"/>
        <v>3</v>
      </c>
      <c r="I29" s="41">
        <f t="shared" si="10"/>
        <v>0</v>
      </c>
      <c r="J29" s="177">
        <f t="shared" ref="J29:J39" si="63">SUM(A29:I29)</f>
        <v>31</v>
      </c>
      <c r="K29" s="372" t="s">
        <v>19</v>
      </c>
      <c r="L29" s="49">
        <v>1</v>
      </c>
      <c r="M29" s="30">
        <v>2</v>
      </c>
      <c r="N29" s="30">
        <v>2</v>
      </c>
      <c r="O29" s="44" t="s">
        <v>52</v>
      </c>
      <c r="P29" s="44" t="s">
        <v>0</v>
      </c>
      <c r="Q29" s="30">
        <v>2</v>
      </c>
      <c r="R29" s="30">
        <v>2</v>
      </c>
      <c r="S29" s="30">
        <v>2</v>
      </c>
      <c r="T29" s="30" t="s">
        <v>52</v>
      </c>
      <c r="U29" s="30" t="s">
        <v>163</v>
      </c>
      <c r="V29" s="30">
        <v>2</v>
      </c>
      <c r="W29" s="30">
        <v>2</v>
      </c>
      <c r="X29" s="30">
        <v>2</v>
      </c>
      <c r="Y29" s="30">
        <v>2</v>
      </c>
      <c r="Z29" s="30" t="s">
        <v>0</v>
      </c>
      <c r="AA29" s="348" t="s">
        <v>41</v>
      </c>
      <c r="AB29" s="348" t="s">
        <v>41</v>
      </c>
      <c r="AC29" s="46">
        <v>1</v>
      </c>
      <c r="AD29" s="46">
        <v>2</v>
      </c>
      <c r="AE29" s="30" t="s">
        <v>0</v>
      </c>
      <c r="AF29" s="30">
        <v>1</v>
      </c>
      <c r="AG29" s="30">
        <v>1</v>
      </c>
      <c r="AH29" s="30">
        <v>1</v>
      </c>
      <c r="AI29" s="53" t="s">
        <v>3</v>
      </c>
      <c r="AJ29" s="44" t="s">
        <v>52</v>
      </c>
      <c r="AK29" s="44" t="s">
        <v>0</v>
      </c>
      <c r="AL29" s="41">
        <v>2</v>
      </c>
      <c r="AM29" s="46">
        <v>2</v>
      </c>
      <c r="AN29" s="46">
        <v>2</v>
      </c>
      <c r="AO29" s="30">
        <v>2</v>
      </c>
      <c r="AP29" s="48">
        <v>2</v>
      </c>
      <c r="AQ29" s="62">
        <v>0</v>
      </c>
      <c r="AR29" s="46">
        <f t="shared" si="6"/>
        <v>-1</v>
      </c>
      <c r="AS29" s="46">
        <v>0</v>
      </c>
      <c r="AT29" s="134">
        <f t="shared" si="11"/>
        <v>-1</v>
      </c>
      <c r="AU29" s="329" t="s">
        <v>128</v>
      </c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0" customFormat="1" ht="25.5" customHeight="1">
      <c r="A30" s="38">
        <f t="shared" si="58"/>
        <v>11</v>
      </c>
      <c r="B30" s="39">
        <f t="shared" si="59"/>
        <v>10</v>
      </c>
      <c r="C30" s="40">
        <f t="shared" si="60"/>
        <v>2</v>
      </c>
      <c r="D30" s="39">
        <f t="shared" si="61"/>
        <v>0</v>
      </c>
      <c r="E30" s="41">
        <f t="shared" si="62"/>
        <v>0</v>
      </c>
      <c r="F30" s="41">
        <f t="shared" si="7"/>
        <v>0</v>
      </c>
      <c r="G30" s="41">
        <f>COUNTIF(L30:AP30,"X")</f>
        <v>4</v>
      </c>
      <c r="H30" s="41">
        <f>COUNTIF(L30:AP30,"Y")</f>
        <v>4</v>
      </c>
      <c r="I30" s="41">
        <f>COUNTIF(L30:AP30,"Z")</f>
        <v>0</v>
      </c>
      <c r="J30" s="177">
        <f t="shared" si="63"/>
        <v>31</v>
      </c>
      <c r="K30" s="372" t="s">
        <v>20</v>
      </c>
      <c r="L30" s="49">
        <v>3</v>
      </c>
      <c r="M30" s="30">
        <v>3</v>
      </c>
      <c r="N30" s="30" t="s">
        <v>0</v>
      </c>
      <c r="O30" s="30" t="s">
        <v>52</v>
      </c>
      <c r="P30" s="30">
        <v>2</v>
      </c>
      <c r="Q30" s="30">
        <v>2</v>
      </c>
      <c r="R30" s="30">
        <v>2</v>
      </c>
      <c r="S30" s="30">
        <v>2</v>
      </c>
      <c r="T30" s="30">
        <v>2</v>
      </c>
      <c r="U30" s="30">
        <v>2</v>
      </c>
      <c r="V30" s="44" t="s">
        <v>52</v>
      </c>
      <c r="W30" s="44" t="s">
        <v>0</v>
      </c>
      <c r="X30" s="30">
        <v>1</v>
      </c>
      <c r="Y30" s="30">
        <v>1</v>
      </c>
      <c r="Z30" s="30">
        <v>1</v>
      </c>
      <c r="AA30" s="30">
        <v>2</v>
      </c>
      <c r="AB30" s="30">
        <v>2</v>
      </c>
      <c r="AC30" s="30" t="s">
        <v>52</v>
      </c>
      <c r="AD30" s="30">
        <v>1</v>
      </c>
      <c r="AE30" s="30">
        <v>1</v>
      </c>
      <c r="AF30" s="30">
        <v>1</v>
      </c>
      <c r="AG30" s="30">
        <v>1</v>
      </c>
      <c r="AH30" s="30">
        <v>2</v>
      </c>
      <c r="AI30" s="30">
        <v>2</v>
      </c>
      <c r="AJ30" s="44" t="s">
        <v>52</v>
      </c>
      <c r="AK30" s="44" t="s">
        <v>0</v>
      </c>
      <c r="AL30" s="30" t="s">
        <v>0</v>
      </c>
      <c r="AM30" s="30">
        <v>1</v>
      </c>
      <c r="AN30" s="30">
        <v>1</v>
      </c>
      <c r="AO30" s="30">
        <v>1</v>
      </c>
      <c r="AP30" s="48">
        <v>1</v>
      </c>
      <c r="AQ30" s="62">
        <v>0</v>
      </c>
      <c r="AR30" s="46">
        <f t="shared" si="6"/>
        <v>0</v>
      </c>
      <c r="AS30" s="46">
        <v>0</v>
      </c>
      <c r="AT30" s="134">
        <f>SUM(AQ30:AS30)</f>
        <v>0</v>
      </c>
      <c r="AU30" s="329" t="s">
        <v>126</v>
      </c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0" customFormat="1" ht="25.5" customHeight="1" thickBot="1">
      <c r="A31" s="69">
        <f t="shared" si="58"/>
        <v>12</v>
      </c>
      <c r="B31" s="70">
        <f t="shared" si="59"/>
        <v>5</v>
      </c>
      <c r="C31" s="71">
        <f t="shared" si="60"/>
        <v>6</v>
      </c>
      <c r="D31" s="70">
        <f t="shared" si="61"/>
        <v>0</v>
      </c>
      <c r="E31" s="63">
        <f t="shared" si="62"/>
        <v>0</v>
      </c>
      <c r="F31" s="63">
        <f t="shared" si="7"/>
        <v>0</v>
      </c>
      <c r="G31" s="63">
        <f t="shared" si="8"/>
        <v>4</v>
      </c>
      <c r="H31" s="63">
        <f t="shared" si="9"/>
        <v>4</v>
      </c>
      <c r="I31" s="63">
        <f t="shared" si="10"/>
        <v>0</v>
      </c>
      <c r="J31" s="178">
        <f t="shared" si="63"/>
        <v>31</v>
      </c>
      <c r="K31" s="373" t="s">
        <v>21</v>
      </c>
      <c r="L31" s="58">
        <v>2</v>
      </c>
      <c r="M31" s="60">
        <v>2</v>
      </c>
      <c r="N31" s="60">
        <v>2</v>
      </c>
      <c r="O31" s="60">
        <v>2</v>
      </c>
      <c r="P31" s="60" t="s">
        <v>0</v>
      </c>
      <c r="Q31" s="60">
        <v>1</v>
      </c>
      <c r="R31" s="60">
        <v>1</v>
      </c>
      <c r="S31" s="60">
        <v>1</v>
      </c>
      <c r="T31" s="60">
        <v>1</v>
      </c>
      <c r="U31" s="60">
        <v>2</v>
      </c>
      <c r="V31" s="59" t="s">
        <v>52</v>
      </c>
      <c r="W31" s="59" t="s">
        <v>0</v>
      </c>
      <c r="X31" s="60">
        <v>3</v>
      </c>
      <c r="Y31" s="60">
        <v>3</v>
      </c>
      <c r="Z31" s="60" t="s">
        <v>0</v>
      </c>
      <c r="AA31" s="60">
        <v>1</v>
      </c>
      <c r="AB31" s="60">
        <v>1</v>
      </c>
      <c r="AC31" s="60">
        <v>1</v>
      </c>
      <c r="AD31" s="60">
        <v>1</v>
      </c>
      <c r="AE31" s="60">
        <v>1</v>
      </c>
      <c r="AF31" s="60" t="s">
        <v>52</v>
      </c>
      <c r="AG31" s="60">
        <v>1</v>
      </c>
      <c r="AH31" s="60">
        <v>1</v>
      </c>
      <c r="AI31" s="60">
        <v>1</v>
      </c>
      <c r="AJ31" s="59" t="s">
        <v>52</v>
      </c>
      <c r="AK31" s="59" t="s">
        <v>0</v>
      </c>
      <c r="AL31" s="60">
        <v>3</v>
      </c>
      <c r="AM31" s="60">
        <v>3</v>
      </c>
      <c r="AN31" s="60">
        <v>3</v>
      </c>
      <c r="AO31" s="60">
        <v>3</v>
      </c>
      <c r="AP31" s="359" t="s">
        <v>52</v>
      </c>
      <c r="AQ31" s="142">
        <v>0</v>
      </c>
      <c r="AR31" s="74">
        <f t="shared" si="6"/>
        <v>0</v>
      </c>
      <c r="AS31" s="74">
        <v>0</v>
      </c>
      <c r="AT31" s="127">
        <f t="shared" si="11"/>
        <v>0</v>
      </c>
      <c r="AU31" s="330" t="s">
        <v>126</v>
      </c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0" customFormat="1" ht="25.2" customHeight="1">
      <c r="A32" s="381">
        <f t="shared" si="58"/>
        <v>3</v>
      </c>
      <c r="B32" s="382">
        <f t="shared" si="59"/>
        <v>0</v>
      </c>
      <c r="C32" s="383">
        <f t="shared" si="60"/>
        <v>20</v>
      </c>
      <c r="D32" s="382">
        <f t="shared" si="61"/>
        <v>0</v>
      </c>
      <c r="E32" s="331">
        <f t="shared" si="62"/>
        <v>0</v>
      </c>
      <c r="F32" s="331">
        <f t="shared" si="7"/>
        <v>0</v>
      </c>
      <c r="G32" s="331">
        <f t="shared" si="8"/>
        <v>4</v>
      </c>
      <c r="H32" s="331">
        <f t="shared" si="9"/>
        <v>4</v>
      </c>
      <c r="I32" s="331">
        <f t="shared" si="10"/>
        <v>0</v>
      </c>
      <c r="J32" s="384">
        <f t="shared" si="63"/>
        <v>31</v>
      </c>
      <c r="K32" s="374" t="s">
        <v>22</v>
      </c>
      <c r="L32" s="163" t="s">
        <v>0</v>
      </c>
      <c r="M32" s="164" t="s">
        <v>40</v>
      </c>
      <c r="N32" s="164" t="s">
        <v>40</v>
      </c>
      <c r="O32" s="164" t="s">
        <v>40</v>
      </c>
      <c r="P32" s="164" t="s">
        <v>40</v>
      </c>
      <c r="Q32" s="164" t="s">
        <v>40</v>
      </c>
      <c r="R32" s="164" t="s">
        <v>52</v>
      </c>
      <c r="S32" s="164" t="s">
        <v>40</v>
      </c>
      <c r="T32" s="164" t="s">
        <v>40</v>
      </c>
      <c r="U32" s="164" t="s">
        <v>40</v>
      </c>
      <c r="V32" s="164" t="s">
        <v>40</v>
      </c>
      <c r="W32" s="164" t="s">
        <v>40</v>
      </c>
      <c r="X32" s="164" t="s">
        <v>40</v>
      </c>
      <c r="Y32" s="164" t="s">
        <v>0</v>
      </c>
      <c r="Z32" s="164">
        <v>1</v>
      </c>
      <c r="AA32" s="164">
        <v>1</v>
      </c>
      <c r="AB32" s="164">
        <v>1</v>
      </c>
      <c r="AC32" s="165" t="s">
        <v>52</v>
      </c>
      <c r="AD32" s="165" t="s">
        <v>0</v>
      </c>
      <c r="AE32" s="164" t="s">
        <v>40</v>
      </c>
      <c r="AF32" s="164" t="s">
        <v>40</v>
      </c>
      <c r="AG32" s="164" t="s">
        <v>40</v>
      </c>
      <c r="AH32" s="164" t="s">
        <v>40</v>
      </c>
      <c r="AI32" s="164" t="s">
        <v>40</v>
      </c>
      <c r="AJ32" s="165" t="s">
        <v>52</v>
      </c>
      <c r="AK32" s="165" t="s">
        <v>0</v>
      </c>
      <c r="AL32" s="164" t="s">
        <v>40</v>
      </c>
      <c r="AM32" s="164" t="s">
        <v>40</v>
      </c>
      <c r="AN32" s="164" t="s">
        <v>40</v>
      </c>
      <c r="AO32" s="164" t="s">
        <v>40</v>
      </c>
      <c r="AP32" s="358" t="s">
        <v>52</v>
      </c>
      <c r="AQ32" s="65">
        <v>0</v>
      </c>
      <c r="AR32" s="36">
        <f t="shared" si="6"/>
        <v>0</v>
      </c>
      <c r="AS32" s="36">
        <v>0</v>
      </c>
      <c r="AT32" s="133">
        <f t="shared" si="11"/>
        <v>0</v>
      </c>
      <c r="AU32" s="328" t="s">
        <v>128</v>
      </c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0" customFormat="1" ht="27.6" customHeight="1">
      <c r="A33" s="38">
        <f t="shared" si="58"/>
        <v>0</v>
      </c>
      <c r="B33" s="39">
        <f t="shared" si="59"/>
        <v>13</v>
      </c>
      <c r="C33" s="40">
        <f t="shared" si="60"/>
        <v>0</v>
      </c>
      <c r="D33" s="39">
        <f t="shared" si="61"/>
        <v>0</v>
      </c>
      <c r="E33" s="41">
        <f t="shared" si="62"/>
        <v>9</v>
      </c>
      <c r="F33" s="41">
        <f t="shared" si="7"/>
        <v>1</v>
      </c>
      <c r="G33" s="41">
        <f>COUNTIF(L33:AP33,"X")</f>
        <v>4</v>
      </c>
      <c r="H33" s="41">
        <f>COUNTIF(L33:AP33,"Y")</f>
        <v>4</v>
      </c>
      <c r="I33" s="41">
        <f>COUNTIF(L33:AP33,"Z")</f>
        <v>0</v>
      </c>
      <c r="J33" s="177">
        <f t="shared" si="63"/>
        <v>31</v>
      </c>
      <c r="K33" s="371" t="s">
        <v>23</v>
      </c>
      <c r="L33" s="122" t="s">
        <v>1</v>
      </c>
      <c r="M33" s="32" t="s">
        <v>1</v>
      </c>
      <c r="N33" s="32" t="s">
        <v>1</v>
      </c>
      <c r="O33" s="44" t="s">
        <v>52</v>
      </c>
      <c r="P33" s="44" t="s">
        <v>0</v>
      </c>
      <c r="Q33" s="32" t="s">
        <v>1</v>
      </c>
      <c r="R33" s="32" t="s">
        <v>1</v>
      </c>
      <c r="S33" s="32" t="s">
        <v>1</v>
      </c>
      <c r="T33" s="32" t="s">
        <v>1</v>
      </c>
      <c r="U33" s="32" t="s">
        <v>163</v>
      </c>
      <c r="V33" s="44" t="s">
        <v>52</v>
      </c>
      <c r="W33" s="32" t="s">
        <v>1</v>
      </c>
      <c r="X33" s="32" t="s">
        <v>1</v>
      </c>
      <c r="Y33" s="44" t="s">
        <v>0</v>
      </c>
      <c r="Z33" s="30" t="s">
        <v>38</v>
      </c>
      <c r="AA33" s="30" t="s">
        <v>38</v>
      </c>
      <c r="AB33" s="30" t="s">
        <v>38</v>
      </c>
      <c r="AC33" s="30" t="s">
        <v>38</v>
      </c>
      <c r="AD33" s="30" t="s">
        <v>38</v>
      </c>
      <c r="AE33" s="30" t="s">
        <v>38</v>
      </c>
      <c r="AF33" s="30" t="s">
        <v>52</v>
      </c>
      <c r="AG33" s="30" t="s">
        <v>38</v>
      </c>
      <c r="AH33" s="30" t="s">
        <v>38</v>
      </c>
      <c r="AI33" s="30" t="s">
        <v>38</v>
      </c>
      <c r="AJ33" s="30" t="s">
        <v>38</v>
      </c>
      <c r="AK33" s="30" t="s">
        <v>38</v>
      </c>
      <c r="AL33" s="30" t="s">
        <v>0</v>
      </c>
      <c r="AM33" s="30" t="s">
        <v>52</v>
      </c>
      <c r="AN33" s="30" t="s">
        <v>0</v>
      </c>
      <c r="AO33" s="30" t="s">
        <v>38</v>
      </c>
      <c r="AP33" s="48" t="s">
        <v>38</v>
      </c>
      <c r="AQ33" s="45">
        <v>0</v>
      </c>
      <c r="AR33" s="46">
        <f t="shared" si="6"/>
        <v>0</v>
      </c>
      <c r="AS33" s="46">
        <v>0</v>
      </c>
      <c r="AT33" s="134">
        <f t="shared" si="11"/>
        <v>0</v>
      </c>
      <c r="AU33" s="329" t="s">
        <v>128</v>
      </c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7" s="50" customFormat="1" ht="27.6" customHeight="1">
      <c r="A34" s="38">
        <f t="shared" si="58"/>
        <v>0</v>
      </c>
      <c r="B34" s="39">
        <f t="shared" si="59"/>
        <v>22</v>
      </c>
      <c r="C34" s="40">
        <f t="shared" si="60"/>
        <v>0</v>
      </c>
      <c r="D34" s="39">
        <f t="shared" si="61"/>
        <v>0</v>
      </c>
      <c r="E34" s="41">
        <f t="shared" si="62"/>
        <v>1</v>
      </c>
      <c r="F34" s="41">
        <f t="shared" si="7"/>
        <v>0</v>
      </c>
      <c r="G34" s="41">
        <f t="shared" si="8"/>
        <v>4</v>
      </c>
      <c r="H34" s="41">
        <f t="shared" si="9"/>
        <v>4</v>
      </c>
      <c r="I34" s="41">
        <f t="shared" si="10"/>
        <v>0</v>
      </c>
      <c r="J34" s="177">
        <f t="shared" si="63"/>
        <v>31</v>
      </c>
      <c r="K34" s="371" t="s">
        <v>24</v>
      </c>
      <c r="L34" s="49" t="s">
        <v>38</v>
      </c>
      <c r="M34" s="30" t="s">
        <v>38</v>
      </c>
      <c r="N34" s="30" t="s">
        <v>38</v>
      </c>
      <c r="O34" s="30" t="s">
        <v>38</v>
      </c>
      <c r="P34" s="30" t="s">
        <v>38</v>
      </c>
      <c r="Q34" s="30" t="s">
        <v>38</v>
      </c>
      <c r="R34" s="30" t="s">
        <v>52</v>
      </c>
      <c r="S34" s="30" t="s">
        <v>38</v>
      </c>
      <c r="T34" s="30" t="s">
        <v>38</v>
      </c>
      <c r="U34" s="30" t="s">
        <v>38</v>
      </c>
      <c r="V34" s="44" t="s">
        <v>0</v>
      </c>
      <c r="W34" s="32" t="s">
        <v>1</v>
      </c>
      <c r="X34" s="30" t="s">
        <v>38</v>
      </c>
      <c r="Y34" s="30" t="s">
        <v>38</v>
      </c>
      <c r="Z34" s="30" t="s">
        <v>38</v>
      </c>
      <c r="AA34" s="30" t="s">
        <v>52</v>
      </c>
      <c r="AB34" s="30" t="s">
        <v>0</v>
      </c>
      <c r="AC34" s="30" t="s">
        <v>38</v>
      </c>
      <c r="AD34" s="30" t="s">
        <v>38</v>
      </c>
      <c r="AE34" s="44" t="s">
        <v>0</v>
      </c>
      <c r="AF34" s="30" t="s">
        <v>38</v>
      </c>
      <c r="AG34" s="30" t="s">
        <v>38</v>
      </c>
      <c r="AH34" s="30" t="s">
        <v>38</v>
      </c>
      <c r="AI34" s="30" t="s">
        <v>38</v>
      </c>
      <c r="AJ34" s="44" t="s">
        <v>52</v>
      </c>
      <c r="AK34" s="44" t="s">
        <v>0</v>
      </c>
      <c r="AL34" s="30" t="s">
        <v>38</v>
      </c>
      <c r="AM34" s="30" t="s">
        <v>38</v>
      </c>
      <c r="AN34" s="30" t="s">
        <v>38</v>
      </c>
      <c r="AO34" s="30" t="s">
        <v>38</v>
      </c>
      <c r="AP34" s="48" t="s">
        <v>52</v>
      </c>
      <c r="AQ34" s="45">
        <v>0</v>
      </c>
      <c r="AR34" s="46">
        <f t="shared" si="6"/>
        <v>0</v>
      </c>
      <c r="AS34" s="46">
        <v>0</v>
      </c>
      <c r="AT34" s="134">
        <f t="shared" si="11"/>
        <v>0</v>
      </c>
      <c r="AU34" s="329" t="s">
        <v>126</v>
      </c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7" s="50" customFormat="1" ht="27.6" customHeight="1">
      <c r="A35" s="38">
        <f t="shared" si="58"/>
        <v>3</v>
      </c>
      <c r="B35" s="39">
        <f t="shared" si="59"/>
        <v>17</v>
      </c>
      <c r="C35" s="40">
        <f t="shared" si="60"/>
        <v>2</v>
      </c>
      <c r="D35" s="39">
        <f t="shared" si="61"/>
        <v>0</v>
      </c>
      <c r="E35" s="41">
        <f t="shared" si="62"/>
        <v>1</v>
      </c>
      <c r="F35" s="41">
        <f t="shared" si="7"/>
        <v>1</v>
      </c>
      <c r="G35" s="41">
        <f t="shared" si="8"/>
        <v>4</v>
      </c>
      <c r="H35" s="41">
        <f t="shared" si="9"/>
        <v>3</v>
      </c>
      <c r="I35" s="41">
        <f t="shared" si="10"/>
        <v>0</v>
      </c>
      <c r="J35" s="177">
        <f t="shared" si="63"/>
        <v>31</v>
      </c>
      <c r="K35" s="375" t="s">
        <v>25</v>
      </c>
      <c r="L35" s="49" t="s">
        <v>36</v>
      </c>
      <c r="M35" s="30" t="s">
        <v>36</v>
      </c>
      <c r="N35" s="30" t="s">
        <v>36</v>
      </c>
      <c r="O35" s="30" t="s">
        <v>26</v>
      </c>
      <c r="P35" s="30" t="s">
        <v>38</v>
      </c>
      <c r="Q35" s="30" t="s">
        <v>0</v>
      </c>
      <c r="R35" s="30" t="s">
        <v>38</v>
      </c>
      <c r="S35" s="30" t="s">
        <v>38</v>
      </c>
      <c r="T35" s="30" t="s">
        <v>38</v>
      </c>
      <c r="U35" s="30" t="s">
        <v>163</v>
      </c>
      <c r="V35" s="30" t="s">
        <v>38</v>
      </c>
      <c r="W35" s="30" t="s">
        <v>38</v>
      </c>
      <c r="X35" s="30" t="s">
        <v>38</v>
      </c>
      <c r="Y35" s="32" t="s">
        <v>52</v>
      </c>
      <c r="Z35" s="30" t="s">
        <v>0</v>
      </c>
      <c r="AA35" s="32" t="s">
        <v>1</v>
      </c>
      <c r="AB35" s="30" t="s">
        <v>38</v>
      </c>
      <c r="AC35" s="30" t="s">
        <v>26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0</v>
      </c>
      <c r="AI35" s="30">
        <v>3</v>
      </c>
      <c r="AJ35" s="30" t="s">
        <v>26</v>
      </c>
      <c r="AK35" s="30" t="s">
        <v>38</v>
      </c>
      <c r="AL35" s="30" t="s">
        <v>38</v>
      </c>
      <c r="AM35" s="30" t="s">
        <v>38</v>
      </c>
      <c r="AN35" s="30" t="s">
        <v>52</v>
      </c>
      <c r="AO35" s="44" t="s">
        <v>0</v>
      </c>
      <c r="AP35" s="48" t="s">
        <v>40</v>
      </c>
      <c r="AQ35" s="45">
        <v>0</v>
      </c>
      <c r="AR35" s="46">
        <f t="shared" si="6"/>
        <v>-1</v>
      </c>
      <c r="AS35" s="46">
        <v>0</v>
      </c>
      <c r="AT35" s="134">
        <f t="shared" si="11"/>
        <v>-1</v>
      </c>
      <c r="AU35" s="329" t="s">
        <v>128</v>
      </c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0" customFormat="1" ht="24" customHeight="1">
      <c r="A36" s="38">
        <f t="shared" si="58"/>
        <v>6</v>
      </c>
      <c r="B36" s="39">
        <f t="shared" si="59"/>
        <v>2</v>
      </c>
      <c r="C36" s="40">
        <f t="shared" si="60"/>
        <v>9</v>
      </c>
      <c r="D36" s="39">
        <f t="shared" si="61"/>
        <v>3</v>
      </c>
      <c r="E36" s="41">
        <f t="shared" si="62"/>
        <v>2</v>
      </c>
      <c r="F36" s="41">
        <f t="shared" si="7"/>
        <v>1</v>
      </c>
      <c r="G36" s="41">
        <f t="shared" si="8"/>
        <v>4</v>
      </c>
      <c r="H36" s="41">
        <f t="shared" si="9"/>
        <v>4</v>
      </c>
      <c r="I36" s="41">
        <f t="shared" si="10"/>
        <v>0</v>
      </c>
      <c r="J36" s="177">
        <f t="shared" si="63"/>
        <v>31</v>
      </c>
      <c r="K36" s="371" t="s">
        <v>27</v>
      </c>
      <c r="L36" s="49" t="s">
        <v>0</v>
      </c>
      <c r="M36" s="30" t="s">
        <v>36</v>
      </c>
      <c r="N36" s="30" t="s">
        <v>36</v>
      </c>
      <c r="O36" s="30" t="s">
        <v>36</v>
      </c>
      <c r="P36" s="30" t="s">
        <v>36</v>
      </c>
      <c r="Q36" s="30" t="s">
        <v>52</v>
      </c>
      <c r="R36" s="53" t="s">
        <v>3</v>
      </c>
      <c r="S36" s="53" t="s">
        <v>3</v>
      </c>
      <c r="T36" s="32" t="s">
        <v>0</v>
      </c>
      <c r="U36" s="32" t="s">
        <v>163</v>
      </c>
      <c r="V36" s="44" t="s">
        <v>52</v>
      </c>
      <c r="W36" s="32" t="s">
        <v>1</v>
      </c>
      <c r="X36" s="32" t="s">
        <v>1</v>
      </c>
      <c r="Y36" s="32" t="s">
        <v>0</v>
      </c>
      <c r="Z36" s="30" t="s">
        <v>40</v>
      </c>
      <c r="AA36" s="30" t="s">
        <v>40</v>
      </c>
      <c r="AB36" s="30" t="s">
        <v>40</v>
      </c>
      <c r="AC36" s="30" t="s">
        <v>40</v>
      </c>
      <c r="AD36" s="30" t="s">
        <v>40</v>
      </c>
      <c r="AE36" s="30" t="s">
        <v>52</v>
      </c>
      <c r="AF36" s="53" t="s">
        <v>3</v>
      </c>
      <c r="AG36" s="30" t="s">
        <v>36</v>
      </c>
      <c r="AH36" s="30" t="s">
        <v>36</v>
      </c>
      <c r="AI36" s="30" t="s">
        <v>0</v>
      </c>
      <c r="AJ36" s="30" t="s">
        <v>38</v>
      </c>
      <c r="AK36" s="30" t="s">
        <v>38</v>
      </c>
      <c r="AL36" s="30" t="s">
        <v>52</v>
      </c>
      <c r="AM36" s="30" t="s">
        <v>40</v>
      </c>
      <c r="AN36" s="30" t="s">
        <v>40</v>
      </c>
      <c r="AO36" s="30" t="s">
        <v>40</v>
      </c>
      <c r="AP36" s="48" t="s">
        <v>40</v>
      </c>
      <c r="AQ36" s="45">
        <v>0</v>
      </c>
      <c r="AR36" s="46">
        <f t="shared" si="6"/>
        <v>0</v>
      </c>
      <c r="AS36" s="46">
        <v>0</v>
      </c>
      <c r="AT36" s="134">
        <f t="shared" si="11"/>
        <v>0</v>
      </c>
      <c r="AU36" s="329" t="s">
        <v>126</v>
      </c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ht="25.2" customHeight="1">
      <c r="A37" s="38">
        <f t="shared" si="58"/>
        <v>2</v>
      </c>
      <c r="B37" s="39">
        <f t="shared" si="59"/>
        <v>0</v>
      </c>
      <c r="C37" s="40">
        <f t="shared" si="60"/>
        <v>16</v>
      </c>
      <c r="D37" s="39">
        <f t="shared" si="61"/>
        <v>2</v>
      </c>
      <c r="E37" s="41">
        <f t="shared" si="62"/>
        <v>3</v>
      </c>
      <c r="F37" s="41">
        <f t="shared" si="7"/>
        <v>1</v>
      </c>
      <c r="G37" s="41">
        <f t="shared" si="8"/>
        <v>4</v>
      </c>
      <c r="H37" s="41">
        <f t="shared" si="9"/>
        <v>3</v>
      </c>
      <c r="I37" s="41">
        <f t="shared" si="10"/>
        <v>0</v>
      </c>
      <c r="J37" s="177">
        <f t="shared" si="63"/>
        <v>31</v>
      </c>
      <c r="K37" s="371" t="s">
        <v>57</v>
      </c>
      <c r="L37" s="49" t="s">
        <v>36</v>
      </c>
      <c r="M37" s="348" t="s">
        <v>41</v>
      </c>
      <c r="N37" s="44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0" t="s">
        <v>40</v>
      </c>
      <c r="U37" s="30" t="s">
        <v>163</v>
      </c>
      <c r="V37" s="30">
        <v>3</v>
      </c>
      <c r="W37" s="30">
        <v>3</v>
      </c>
      <c r="X37" s="32" t="s">
        <v>0</v>
      </c>
      <c r="Y37" s="30" t="s">
        <v>40</v>
      </c>
      <c r="Z37" s="30" t="s">
        <v>40</v>
      </c>
      <c r="AA37" s="30" t="s">
        <v>40</v>
      </c>
      <c r="AB37" s="30" t="s">
        <v>40</v>
      </c>
      <c r="AC37" s="30" t="s">
        <v>40</v>
      </c>
      <c r="AD37" s="44" t="s">
        <v>52</v>
      </c>
      <c r="AE37" s="32" t="s">
        <v>1</v>
      </c>
      <c r="AF37" s="30" t="s">
        <v>0</v>
      </c>
      <c r="AG37" s="30" t="s">
        <v>40</v>
      </c>
      <c r="AH37" s="30" t="s">
        <v>40</v>
      </c>
      <c r="AI37" s="30" t="s">
        <v>40</v>
      </c>
      <c r="AJ37" s="44" t="s">
        <v>0</v>
      </c>
      <c r="AK37" s="32" t="s">
        <v>1</v>
      </c>
      <c r="AL37" s="30" t="s">
        <v>3</v>
      </c>
      <c r="AM37" s="30" t="s">
        <v>36</v>
      </c>
      <c r="AN37" s="30" t="s">
        <v>52</v>
      </c>
      <c r="AO37" s="32" t="s">
        <v>1</v>
      </c>
      <c r="AP37" s="123" t="s">
        <v>0</v>
      </c>
      <c r="AQ37" s="45">
        <v>0</v>
      </c>
      <c r="AR37" s="46">
        <f t="shared" si="6"/>
        <v>-1</v>
      </c>
      <c r="AS37" s="46">
        <v>0</v>
      </c>
      <c r="AT37" s="134">
        <f t="shared" si="11"/>
        <v>-1</v>
      </c>
      <c r="AU37" s="329" t="s">
        <v>126</v>
      </c>
    </row>
    <row r="38" spans="1:227" ht="25.2" customHeight="1" thickBot="1">
      <c r="A38" s="69">
        <f t="shared" si="58"/>
        <v>6</v>
      </c>
      <c r="B38" s="70">
        <f t="shared" si="59"/>
        <v>2</v>
      </c>
      <c r="C38" s="71">
        <f t="shared" si="60"/>
        <v>7</v>
      </c>
      <c r="D38" s="70">
        <f t="shared" si="61"/>
        <v>6</v>
      </c>
      <c r="E38" s="63">
        <f t="shared" si="62"/>
        <v>1</v>
      </c>
      <c r="F38" s="63">
        <f t="shared" si="7"/>
        <v>1</v>
      </c>
      <c r="G38" s="63">
        <f t="shared" si="8"/>
        <v>4</v>
      </c>
      <c r="H38" s="63">
        <f t="shared" si="9"/>
        <v>4</v>
      </c>
      <c r="I38" s="63">
        <f t="shared" si="10"/>
        <v>0</v>
      </c>
      <c r="J38" s="178">
        <f t="shared" si="63"/>
        <v>31</v>
      </c>
      <c r="K38" s="376" t="s">
        <v>28</v>
      </c>
      <c r="L38" s="58" t="s">
        <v>40</v>
      </c>
      <c r="M38" s="60" t="s">
        <v>40</v>
      </c>
      <c r="N38" s="60" t="s">
        <v>40</v>
      </c>
      <c r="O38" s="59" t="s">
        <v>52</v>
      </c>
      <c r="P38" s="59" t="s">
        <v>0</v>
      </c>
      <c r="Q38" s="60" t="s">
        <v>36</v>
      </c>
      <c r="R38" s="60" t="s">
        <v>36</v>
      </c>
      <c r="S38" s="60" t="s">
        <v>36</v>
      </c>
      <c r="T38" s="60" t="s">
        <v>0</v>
      </c>
      <c r="U38" s="32" t="s">
        <v>163</v>
      </c>
      <c r="V38" s="60" t="s">
        <v>38</v>
      </c>
      <c r="W38" s="60" t="s">
        <v>38</v>
      </c>
      <c r="X38" s="60" t="s">
        <v>0</v>
      </c>
      <c r="Y38" s="60" t="s">
        <v>36</v>
      </c>
      <c r="Z38" s="182" t="s">
        <v>3</v>
      </c>
      <c r="AA38" s="182" t="s">
        <v>3</v>
      </c>
      <c r="AB38" s="32" t="s">
        <v>1</v>
      </c>
      <c r="AC38" s="59" t="s">
        <v>52</v>
      </c>
      <c r="AD38" s="59" t="s">
        <v>0</v>
      </c>
      <c r="AE38" s="182" t="s">
        <v>3</v>
      </c>
      <c r="AF38" s="182" t="s">
        <v>3</v>
      </c>
      <c r="AG38" s="182" t="s">
        <v>3</v>
      </c>
      <c r="AH38" s="60" t="s">
        <v>52</v>
      </c>
      <c r="AI38" s="60" t="s">
        <v>40</v>
      </c>
      <c r="AJ38" s="60" t="s">
        <v>40</v>
      </c>
      <c r="AK38" s="60" t="s">
        <v>40</v>
      </c>
      <c r="AL38" s="60" t="s">
        <v>40</v>
      </c>
      <c r="AM38" s="60" t="s">
        <v>52</v>
      </c>
      <c r="AN38" s="60" t="s">
        <v>36</v>
      </c>
      <c r="AO38" s="182" t="s">
        <v>3</v>
      </c>
      <c r="AP38" s="61" t="s">
        <v>36</v>
      </c>
      <c r="AQ38" s="73">
        <v>0</v>
      </c>
      <c r="AR38" s="74">
        <f t="shared" si="6"/>
        <v>0</v>
      </c>
      <c r="AS38" s="74">
        <v>0</v>
      </c>
      <c r="AT38" s="127">
        <f t="shared" si="11"/>
        <v>0</v>
      </c>
      <c r="AU38" s="330" t="s">
        <v>126</v>
      </c>
    </row>
    <row r="39" spans="1:227" s="50" customFormat="1" ht="24.75" customHeight="1">
      <c r="A39" s="381">
        <f t="shared" si="58"/>
        <v>4</v>
      </c>
      <c r="B39" s="382">
        <f t="shared" si="59"/>
        <v>0</v>
      </c>
      <c r="C39" s="383">
        <f t="shared" si="60"/>
        <v>8</v>
      </c>
      <c r="D39" s="382">
        <f t="shared" si="61"/>
        <v>3</v>
      </c>
      <c r="E39" s="331">
        <f t="shared" si="62"/>
        <v>8</v>
      </c>
      <c r="F39" s="331">
        <f t="shared" si="7"/>
        <v>1</v>
      </c>
      <c r="G39" s="331">
        <f>COUNTIF(L39:AP39,"X")</f>
        <v>4</v>
      </c>
      <c r="H39" s="331">
        <f>COUNTIF(L39:AP39,"Y")</f>
        <v>3</v>
      </c>
      <c r="I39" s="331">
        <f>COUNTIF(L39:AP39,"Z")</f>
        <v>0</v>
      </c>
      <c r="J39" s="384">
        <f t="shared" si="63"/>
        <v>31</v>
      </c>
      <c r="K39" s="377" t="s">
        <v>142</v>
      </c>
      <c r="L39" s="28" t="s">
        <v>52</v>
      </c>
      <c r="M39" s="29" t="s">
        <v>3</v>
      </c>
      <c r="N39" s="29" t="s">
        <v>3</v>
      </c>
      <c r="O39" s="31" t="s">
        <v>52</v>
      </c>
      <c r="P39" s="31" t="s">
        <v>0</v>
      </c>
      <c r="Q39" s="29" t="s">
        <v>55</v>
      </c>
      <c r="R39" s="29" t="s">
        <v>55</v>
      </c>
      <c r="S39" s="29" t="s">
        <v>55</v>
      </c>
      <c r="T39" s="29" t="s">
        <v>55</v>
      </c>
      <c r="U39" s="29" t="s">
        <v>163</v>
      </c>
      <c r="V39" s="29" t="s">
        <v>54</v>
      </c>
      <c r="W39" s="29" t="s">
        <v>54</v>
      </c>
      <c r="X39" s="29" t="s">
        <v>3</v>
      </c>
      <c r="Y39" s="31" t="s">
        <v>0</v>
      </c>
      <c r="Z39" s="33" t="s">
        <v>1</v>
      </c>
      <c r="AA39" s="33" t="s">
        <v>1</v>
      </c>
      <c r="AB39" s="33" t="s">
        <v>1</v>
      </c>
      <c r="AC39" s="33" t="s">
        <v>1</v>
      </c>
      <c r="AD39" s="31" t="s">
        <v>0</v>
      </c>
      <c r="AE39" s="33" t="s">
        <v>1</v>
      </c>
      <c r="AF39" s="33" t="s">
        <v>1</v>
      </c>
      <c r="AG39" s="33" t="s">
        <v>1</v>
      </c>
      <c r="AH39" s="33" t="s">
        <v>1</v>
      </c>
      <c r="AI39" s="33" t="s">
        <v>52</v>
      </c>
      <c r="AJ39" s="29" t="s">
        <v>54</v>
      </c>
      <c r="AK39" s="29" t="s">
        <v>54</v>
      </c>
      <c r="AL39" s="29" t="s">
        <v>0</v>
      </c>
      <c r="AM39" s="29" t="s">
        <v>55</v>
      </c>
      <c r="AN39" s="29" t="s">
        <v>55</v>
      </c>
      <c r="AO39" s="29" t="s">
        <v>55</v>
      </c>
      <c r="AP39" s="34" t="s">
        <v>55</v>
      </c>
      <c r="AQ39" s="35">
        <v>0</v>
      </c>
      <c r="AR39" s="36">
        <f t="shared" si="6"/>
        <v>-1</v>
      </c>
      <c r="AS39" s="36">
        <v>0</v>
      </c>
      <c r="AT39" s="133">
        <f t="shared" si="11"/>
        <v>-1</v>
      </c>
      <c r="AU39" s="332" t="s">
        <v>128</v>
      </c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</row>
    <row r="40" spans="1:227" s="50" customFormat="1" ht="24.75" customHeight="1">
      <c r="A40" s="38">
        <f t="shared" si="58"/>
        <v>3</v>
      </c>
      <c r="B40" s="39">
        <f t="shared" si="59"/>
        <v>14</v>
      </c>
      <c r="C40" s="40">
        <f t="shared" si="60"/>
        <v>0</v>
      </c>
      <c r="D40" s="39">
        <f t="shared" si="61"/>
        <v>5</v>
      </c>
      <c r="E40" s="41">
        <f t="shared" si="62"/>
        <v>1</v>
      </c>
      <c r="F40" s="41">
        <f t="shared" si="7"/>
        <v>0</v>
      </c>
      <c r="G40" s="41">
        <f>COUNTIF(L40:AP40,"X")</f>
        <v>4</v>
      </c>
      <c r="H40" s="41">
        <f>COUNTIF(L40:AP40,"Y")</f>
        <v>4</v>
      </c>
      <c r="I40" s="41">
        <f>COUNTIF(L40:AP40,"Z")</f>
        <v>0</v>
      </c>
      <c r="J40" s="177">
        <f t="shared" ref="J40" si="64">SUM(A40:I40)</f>
        <v>31</v>
      </c>
      <c r="K40" s="378" t="s">
        <v>29</v>
      </c>
      <c r="L40" s="32" t="s">
        <v>1</v>
      </c>
      <c r="M40" s="30" t="s">
        <v>3</v>
      </c>
      <c r="N40" s="30" t="s">
        <v>54</v>
      </c>
      <c r="O40" s="30" t="s">
        <v>54</v>
      </c>
      <c r="P40" s="30" t="s">
        <v>54</v>
      </c>
      <c r="Q40" s="30" t="s">
        <v>52</v>
      </c>
      <c r="R40" s="30" t="s">
        <v>56</v>
      </c>
      <c r="S40" s="30" t="s">
        <v>56</v>
      </c>
      <c r="T40" s="30" t="s">
        <v>56</v>
      </c>
      <c r="U40" s="30" t="s">
        <v>56</v>
      </c>
      <c r="V40" s="44" t="s">
        <v>52</v>
      </c>
      <c r="W40" s="44" t="s">
        <v>0</v>
      </c>
      <c r="X40" s="30" t="s">
        <v>56</v>
      </c>
      <c r="Y40" s="30" t="s">
        <v>56</v>
      </c>
      <c r="Z40" s="30" t="s">
        <v>0</v>
      </c>
      <c r="AA40" s="30" t="s">
        <v>3</v>
      </c>
      <c r="AB40" s="30" t="s">
        <v>3</v>
      </c>
      <c r="AC40" s="30" t="s">
        <v>56</v>
      </c>
      <c r="AD40" s="30" t="s">
        <v>56</v>
      </c>
      <c r="AE40" s="30" t="s">
        <v>56</v>
      </c>
      <c r="AF40" s="30" t="s">
        <v>52</v>
      </c>
      <c r="AG40" s="30" t="s">
        <v>0</v>
      </c>
      <c r="AH40" s="30" t="s">
        <v>3</v>
      </c>
      <c r="AI40" s="30" t="s">
        <v>3</v>
      </c>
      <c r="AJ40" s="44" t="s">
        <v>52</v>
      </c>
      <c r="AK40" s="44" t="s">
        <v>0</v>
      </c>
      <c r="AL40" s="30" t="s">
        <v>56</v>
      </c>
      <c r="AM40" s="30" t="s">
        <v>56</v>
      </c>
      <c r="AN40" s="30" t="s">
        <v>56</v>
      </c>
      <c r="AO40" s="30" t="s">
        <v>56</v>
      </c>
      <c r="AP40" s="48" t="s">
        <v>56</v>
      </c>
      <c r="AQ40" s="45">
        <v>0</v>
      </c>
      <c r="AR40" s="46">
        <f t="shared" si="6"/>
        <v>0</v>
      </c>
      <c r="AS40" s="46">
        <v>0</v>
      </c>
      <c r="AT40" s="134">
        <f t="shared" si="11"/>
        <v>0</v>
      </c>
      <c r="AU40" s="329" t="s">
        <v>128</v>
      </c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</row>
    <row r="41" spans="1:227" ht="25.5" customHeight="1">
      <c r="A41" s="38">
        <f t="shared" ref="A41:A43" si="65">COUNTIF(L41:AP41,1)+COUNTIF(L41:AP41,"早")+COUNTIF(L41:AP41,"M1")+COUNTIF(L41:AP41,"T早")+COUNTIF(L41:AP41,"日")</f>
        <v>0</v>
      </c>
      <c r="B41" s="39">
        <f t="shared" ref="B41:B43" si="66">COUNTIF(L41:AP41,2)+COUNTIF(L41:AP41,"中")+COUNTIF(L41:AP41,"M2")+COUNTIF(L41:AP41,"T中")+COUNTIF(L41:AP41,"小夜")</f>
        <v>7</v>
      </c>
      <c r="C41" s="40">
        <f t="shared" ref="C41:C43" si="67">COUNTIF(L41:AP41,3)+COUNTIF(L41:AP41,"晚")+COUNTIF(L41:AP41,"大夜")</f>
        <v>7</v>
      </c>
      <c r="D41" s="39">
        <f t="shared" ref="D41:D43" si="68">COUNTIF(L41:AP41,"N")+COUNTIF(L41:AP41,"N8")</f>
        <v>5</v>
      </c>
      <c r="E41" s="41">
        <f t="shared" ref="E41:E43" si="69">COUNTIF(L41:AP41,"S")</f>
        <v>3</v>
      </c>
      <c r="F41" s="41">
        <f t="shared" si="7"/>
        <v>1</v>
      </c>
      <c r="G41" s="41">
        <f t="shared" ref="G41:G43" si="70">COUNTIF(L41:AP41,"X")</f>
        <v>4</v>
      </c>
      <c r="H41" s="41">
        <f t="shared" ref="H41:H43" si="71">COUNTIF(L41:AP41,"Y")</f>
        <v>4</v>
      </c>
      <c r="I41" s="41">
        <f t="shared" ref="I41:I43" si="72">COUNTIF(L41:AP41,"Z")</f>
        <v>0</v>
      </c>
      <c r="J41" s="177">
        <f t="shared" ref="J41:J43" si="73">SUM(A41:I41)</f>
        <v>31</v>
      </c>
      <c r="K41" s="379" t="s">
        <v>30</v>
      </c>
      <c r="L41" s="163" t="s">
        <v>55</v>
      </c>
      <c r="M41" s="164" t="s">
        <v>55</v>
      </c>
      <c r="N41" s="164" t="s">
        <v>55</v>
      </c>
      <c r="O41" s="32" t="s">
        <v>1</v>
      </c>
      <c r="P41" s="32" t="s">
        <v>1</v>
      </c>
      <c r="Q41" s="32" t="s">
        <v>1</v>
      </c>
      <c r="R41" s="44" t="s">
        <v>52</v>
      </c>
      <c r="S41" s="30" t="s">
        <v>3</v>
      </c>
      <c r="T41" s="30" t="s">
        <v>3</v>
      </c>
      <c r="U41" s="30" t="s">
        <v>163</v>
      </c>
      <c r="V41" s="30" t="s">
        <v>56</v>
      </c>
      <c r="W41" s="30" t="s">
        <v>56</v>
      </c>
      <c r="X41" s="44" t="s">
        <v>52</v>
      </c>
      <c r="Y41" s="30" t="s">
        <v>0</v>
      </c>
      <c r="Z41" s="30" t="s">
        <v>56</v>
      </c>
      <c r="AA41" s="30" t="s">
        <v>56</v>
      </c>
      <c r="AB41" s="30" t="s">
        <v>56</v>
      </c>
      <c r="AC41" s="44" t="s">
        <v>52</v>
      </c>
      <c r="AD41" s="44" t="s">
        <v>0</v>
      </c>
      <c r="AE41" s="30" t="s">
        <v>55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56</v>
      </c>
      <c r="AK41" s="30" t="s">
        <v>56</v>
      </c>
      <c r="AL41" s="30" t="s">
        <v>0</v>
      </c>
      <c r="AM41" s="30" t="s">
        <v>52</v>
      </c>
      <c r="AN41" s="30" t="s">
        <v>3</v>
      </c>
      <c r="AO41" s="30" t="s">
        <v>3</v>
      </c>
      <c r="AP41" s="48" t="s">
        <v>3</v>
      </c>
      <c r="AQ41" s="45">
        <v>0</v>
      </c>
      <c r="AR41" s="46">
        <f t="shared" si="6"/>
        <v>0</v>
      </c>
      <c r="AS41" s="46">
        <v>0</v>
      </c>
      <c r="AT41" s="134">
        <f t="shared" si="11"/>
        <v>0</v>
      </c>
      <c r="AU41" s="329" t="s">
        <v>128</v>
      </c>
    </row>
    <row r="42" spans="1:227" s="50" customFormat="1" ht="25.5" customHeight="1">
      <c r="A42" s="38">
        <f t="shared" si="65"/>
        <v>9</v>
      </c>
      <c r="B42" s="39">
        <f t="shared" si="66"/>
        <v>4</v>
      </c>
      <c r="C42" s="40">
        <f t="shared" si="67"/>
        <v>5</v>
      </c>
      <c r="D42" s="39">
        <f t="shared" si="68"/>
        <v>3</v>
      </c>
      <c r="E42" s="41">
        <f t="shared" si="69"/>
        <v>2</v>
      </c>
      <c r="F42" s="41">
        <f t="shared" si="7"/>
        <v>0</v>
      </c>
      <c r="G42" s="41">
        <f t="shared" si="70"/>
        <v>4</v>
      </c>
      <c r="H42" s="41">
        <f t="shared" si="71"/>
        <v>4</v>
      </c>
      <c r="I42" s="41">
        <f t="shared" si="72"/>
        <v>0</v>
      </c>
      <c r="J42" s="177">
        <f t="shared" si="73"/>
        <v>31</v>
      </c>
      <c r="K42" s="379" t="s">
        <v>31</v>
      </c>
      <c r="L42" s="49" t="s">
        <v>54</v>
      </c>
      <c r="M42" s="30" t="s">
        <v>54</v>
      </c>
      <c r="N42" s="30" t="s">
        <v>52</v>
      </c>
      <c r="O42" s="164" t="s">
        <v>55</v>
      </c>
      <c r="P42" s="164" t="s">
        <v>55</v>
      </c>
      <c r="Q42" s="30" t="s">
        <v>0</v>
      </c>
      <c r="R42" s="30" t="s">
        <v>3</v>
      </c>
      <c r="S42" s="30" t="s">
        <v>3</v>
      </c>
      <c r="T42" s="30" t="s">
        <v>54</v>
      </c>
      <c r="U42" s="30" t="s">
        <v>54</v>
      </c>
      <c r="V42" s="44" t="s">
        <v>52</v>
      </c>
      <c r="W42" s="44" t="s">
        <v>0</v>
      </c>
      <c r="X42" s="30" t="s">
        <v>54</v>
      </c>
      <c r="Y42" s="30" t="s">
        <v>54</v>
      </c>
      <c r="Z42" s="30" t="s">
        <v>54</v>
      </c>
      <c r="AA42" s="30" t="s">
        <v>0</v>
      </c>
      <c r="AB42" s="164" t="s">
        <v>55</v>
      </c>
      <c r="AC42" s="164" t="s">
        <v>55</v>
      </c>
      <c r="AD42" s="164" t="s">
        <v>55</v>
      </c>
      <c r="AE42" s="30" t="s">
        <v>52</v>
      </c>
      <c r="AF42" s="30" t="s">
        <v>56</v>
      </c>
      <c r="AG42" s="30" t="s">
        <v>56</v>
      </c>
      <c r="AH42" s="30" t="s">
        <v>56</v>
      </c>
      <c r="AI42" s="30" t="s">
        <v>56</v>
      </c>
      <c r="AJ42" s="44" t="s">
        <v>52</v>
      </c>
      <c r="AK42" s="32" t="s">
        <v>1</v>
      </c>
      <c r="AL42" s="30" t="s">
        <v>54</v>
      </c>
      <c r="AM42" s="30" t="s">
        <v>54</v>
      </c>
      <c r="AN42" s="30" t="s">
        <v>3</v>
      </c>
      <c r="AO42" s="32" t="s">
        <v>1</v>
      </c>
      <c r="AP42" s="44" t="s">
        <v>0</v>
      </c>
      <c r="AQ42" s="45">
        <v>0</v>
      </c>
      <c r="AR42" s="46">
        <f t="shared" si="6"/>
        <v>0</v>
      </c>
      <c r="AS42" s="46">
        <v>0</v>
      </c>
      <c r="AT42" s="134">
        <f t="shared" si="11"/>
        <v>0</v>
      </c>
      <c r="AU42" s="329" t="s">
        <v>126</v>
      </c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0" customFormat="1" ht="25.5" customHeight="1">
      <c r="A43" s="38">
        <f t="shared" si="65"/>
        <v>8</v>
      </c>
      <c r="B43" s="39">
        <f t="shared" si="66"/>
        <v>3</v>
      </c>
      <c r="C43" s="40">
        <f t="shared" si="67"/>
        <v>7</v>
      </c>
      <c r="D43" s="39">
        <f t="shared" si="68"/>
        <v>5</v>
      </c>
      <c r="E43" s="41">
        <f t="shared" si="69"/>
        <v>0</v>
      </c>
      <c r="F43" s="41">
        <f t="shared" si="7"/>
        <v>0</v>
      </c>
      <c r="G43" s="41">
        <f t="shared" si="70"/>
        <v>4</v>
      </c>
      <c r="H43" s="41">
        <f t="shared" si="71"/>
        <v>4</v>
      </c>
      <c r="I43" s="41">
        <f t="shared" si="72"/>
        <v>0</v>
      </c>
      <c r="J43" s="177">
        <f t="shared" si="73"/>
        <v>31</v>
      </c>
      <c r="K43" s="379" t="s">
        <v>32</v>
      </c>
      <c r="L43" s="49" t="s">
        <v>56</v>
      </c>
      <c r="M43" s="30" t="s">
        <v>56</v>
      </c>
      <c r="N43" s="30" t="s">
        <v>56</v>
      </c>
      <c r="O43" s="44" t="s">
        <v>52</v>
      </c>
      <c r="P43" s="44" t="s">
        <v>0</v>
      </c>
      <c r="Q43" s="30" t="s">
        <v>54</v>
      </c>
      <c r="R43" s="30" t="s">
        <v>54</v>
      </c>
      <c r="S43" s="30" t="s">
        <v>54</v>
      </c>
      <c r="T43" s="30" t="s">
        <v>0</v>
      </c>
      <c r="U43" s="164" t="s">
        <v>55</v>
      </c>
      <c r="V43" s="30" t="s">
        <v>55</v>
      </c>
      <c r="W43" s="30" t="s">
        <v>55</v>
      </c>
      <c r="X43" s="164" t="s">
        <v>52</v>
      </c>
      <c r="Y43" s="30" t="s">
        <v>3</v>
      </c>
      <c r="Z43" s="30" t="s">
        <v>3</v>
      </c>
      <c r="AA43" s="30" t="s">
        <v>54</v>
      </c>
      <c r="AB43" s="30" t="s">
        <v>54</v>
      </c>
      <c r="AC43" s="44" t="s">
        <v>52</v>
      </c>
      <c r="AD43" s="44" t="s">
        <v>0</v>
      </c>
      <c r="AE43" s="30" t="s">
        <v>54</v>
      </c>
      <c r="AF43" s="30" t="s">
        <v>3</v>
      </c>
      <c r="AG43" s="30" t="s">
        <v>3</v>
      </c>
      <c r="AH43" s="30" t="s">
        <v>0</v>
      </c>
      <c r="AI43" s="164" t="s">
        <v>55</v>
      </c>
      <c r="AJ43" s="30" t="s">
        <v>55</v>
      </c>
      <c r="AK43" s="30" t="s">
        <v>55</v>
      </c>
      <c r="AL43" s="164" t="s">
        <v>55</v>
      </c>
      <c r="AM43" s="30" t="s">
        <v>52</v>
      </c>
      <c r="AN43" s="30" t="s">
        <v>3</v>
      </c>
      <c r="AO43" s="30" t="s">
        <v>54</v>
      </c>
      <c r="AP43" s="48" t="s">
        <v>54</v>
      </c>
      <c r="AQ43" s="45">
        <v>0</v>
      </c>
      <c r="AR43" s="46">
        <f t="shared" si="6"/>
        <v>0</v>
      </c>
      <c r="AS43" s="46">
        <v>0</v>
      </c>
      <c r="AT43" s="134">
        <f t="shared" si="11"/>
        <v>0</v>
      </c>
      <c r="AU43" s="329" t="s">
        <v>126</v>
      </c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s="50" customFormat="1" ht="25.2" customHeight="1" thickBot="1">
      <c r="A44" s="69">
        <f t="shared" ref="A44" si="74">COUNTIF(L44:AP44,1)+COUNTIF(L44:AP44,"早")+COUNTIF(L44:AP44,"M1")+COUNTIF(L44:AP44,"T早")+COUNTIF(L44:AP44,"日")</f>
        <v>7</v>
      </c>
      <c r="B44" s="70">
        <f t="shared" ref="B44" si="75">COUNTIF(L44:AP44,2)+COUNTIF(L44:AP44,"中")+COUNTIF(L44:AP44,"M2")+COUNTIF(L44:AP44,"T中")+COUNTIF(L44:AP44,"小夜")</f>
        <v>3</v>
      </c>
      <c r="C44" s="71">
        <f t="shared" ref="C44" si="76">COUNTIF(L44:AP44,3)+COUNTIF(L44:AP44,"晚")+COUNTIF(L44:AP44,"大夜")</f>
        <v>4</v>
      </c>
      <c r="D44" s="70">
        <f t="shared" ref="D44" si="77">COUNTIF(L44:AP44,"N")+COUNTIF(L44:AP44,"N8")</f>
        <v>4</v>
      </c>
      <c r="E44" s="63">
        <f t="shared" ref="E44" si="78">COUNTIF(L44:AP44,"S")</f>
        <v>4</v>
      </c>
      <c r="F44" s="63">
        <f t="shared" si="7"/>
        <v>1</v>
      </c>
      <c r="G44" s="63">
        <f t="shared" ref="G44" si="79">COUNTIF(L44:AP44,"X")</f>
        <v>4</v>
      </c>
      <c r="H44" s="63">
        <f t="shared" ref="H44" si="80">COUNTIF(L44:AP44,"Y")</f>
        <v>4</v>
      </c>
      <c r="I44" s="63">
        <f t="shared" ref="I44" si="81">COUNTIF(L44:AP44,"Z")</f>
        <v>0</v>
      </c>
      <c r="J44" s="178">
        <f t="shared" ref="J44" si="82">SUM(A44:I44)</f>
        <v>31</v>
      </c>
      <c r="K44" s="380" t="s">
        <v>33</v>
      </c>
      <c r="L44" s="353" t="s">
        <v>52</v>
      </c>
      <c r="M44" s="60" t="s">
        <v>3</v>
      </c>
      <c r="N44" s="60" t="s">
        <v>3</v>
      </c>
      <c r="O44" s="60" t="s">
        <v>56</v>
      </c>
      <c r="P44" s="60" t="s">
        <v>56</v>
      </c>
      <c r="Q44" s="60" t="s">
        <v>56</v>
      </c>
      <c r="R44" s="60" t="s">
        <v>0</v>
      </c>
      <c r="S44" s="60" t="s">
        <v>3</v>
      </c>
      <c r="T44" s="60" t="s">
        <v>3</v>
      </c>
      <c r="U44" s="52" t="s">
        <v>163</v>
      </c>
      <c r="V44" s="59" t="s">
        <v>52</v>
      </c>
      <c r="W44" s="59" t="s">
        <v>0</v>
      </c>
      <c r="X44" s="337" t="s">
        <v>55</v>
      </c>
      <c r="Y44" s="337" t="s">
        <v>55</v>
      </c>
      <c r="Z44" s="337" t="s">
        <v>55</v>
      </c>
      <c r="AA44" s="337" t="s">
        <v>55</v>
      </c>
      <c r="AB44" s="60" t="s">
        <v>0</v>
      </c>
      <c r="AC44" s="60" t="s">
        <v>54</v>
      </c>
      <c r="AD44" s="60" t="s">
        <v>54</v>
      </c>
      <c r="AE44" s="60" t="s">
        <v>0</v>
      </c>
      <c r="AF44" s="60" t="s">
        <v>54</v>
      </c>
      <c r="AG44" s="60" t="s">
        <v>54</v>
      </c>
      <c r="AH44" s="60" t="s">
        <v>54</v>
      </c>
      <c r="AI44" s="60" t="s">
        <v>54</v>
      </c>
      <c r="AJ44" s="59" t="s">
        <v>52</v>
      </c>
      <c r="AK44" s="52" t="s">
        <v>1</v>
      </c>
      <c r="AL44" s="52" t="s">
        <v>1</v>
      </c>
      <c r="AM44" s="52" t="s">
        <v>1</v>
      </c>
      <c r="AN44" s="60" t="s">
        <v>54</v>
      </c>
      <c r="AO44" s="52" t="s">
        <v>1</v>
      </c>
      <c r="AP44" s="188" t="s">
        <v>52</v>
      </c>
      <c r="AQ44" s="73">
        <v>0</v>
      </c>
      <c r="AR44" s="74">
        <f t="shared" si="6"/>
        <v>0</v>
      </c>
      <c r="AS44" s="74">
        <v>0</v>
      </c>
      <c r="AT44" s="127">
        <f t="shared" si="11"/>
        <v>0</v>
      </c>
      <c r="AU44" s="330" t="s">
        <v>126</v>
      </c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7" s="77" customFormat="1" ht="18" customHeight="1">
      <c r="A45" s="75"/>
      <c r="B45" s="75"/>
      <c r="C45" s="75"/>
      <c r="D45" s="75"/>
      <c r="E45" s="76"/>
      <c r="F45" s="76"/>
      <c r="J45" s="75"/>
      <c r="K45" s="78">
        <v>1</v>
      </c>
      <c r="L45" s="346" cm="2">
        <f t="array" ref="L45">SUMPRODUCT(COUNTIF(L4:L44,{"1";"M1"}))</f>
        <v>4</v>
      </c>
      <c r="M45" s="346" cm="2">
        <f t="array" ref="M45">SUMPRODUCT(COUNTIF(M4:M44,{"1";"M1"}))</f>
        <v>4</v>
      </c>
      <c r="N45" s="346" cm="2">
        <f t="array" ref="N45">SUMPRODUCT(COUNTIF(N4:N44,{"1";"M1"}))</f>
        <v>4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4</v>
      </c>
      <c r="R45" s="346" cm="2">
        <f t="array" ref="R45">SUMPRODUCT(COUNTIF(R4:R44,{"1";"M1"}))</f>
        <v>4</v>
      </c>
      <c r="S45" s="346" cm="2">
        <f t="array" ref="S45">SUMPRODUCT(COUNTIF(S4:S44,{"1";"M1"}))</f>
        <v>4</v>
      </c>
      <c r="T45" s="346" cm="2">
        <f t="array" ref="T45">SUMPRODUCT(COUNTIF(T4:T44,{"1";"M1"}))</f>
        <v>4</v>
      </c>
      <c r="U45" s="346" cm="2">
        <f t="array" ref="U45">SUMPRODUCT(COUNTIF(U4:U44,{"1";"M1"}))</f>
        <v>4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4</v>
      </c>
      <c r="Y45" s="346" cm="2">
        <f t="array" ref="Y45">SUMPRODUCT(COUNTIF(Y4:Y44,{"1";"M1"}))</f>
        <v>4</v>
      </c>
      <c r="Z45" s="346" cm="2">
        <f t="array" ref="Z45">SUMPRODUCT(COUNTIF(Z4:Z44,{"1";"M1"}))</f>
        <v>4</v>
      </c>
      <c r="AA45" s="346" cm="2">
        <f t="array" ref="AA45">SUMPRODUCT(COUNTIF(AA4:AA44,{"1";"M1"}))</f>
        <v>4</v>
      </c>
      <c r="AB45" s="346" cm="2">
        <f t="array" ref="AB45">SUMPRODUCT(COUNTIF(AB4:AB44,{"1";"M1"}))</f>
        <v>4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4</v>
      </c>
      <c r="AF45" s="346" cm="2">
        <f t="array" ref="AF45">SUMPRODUCT(COUNTIF(AF4:AF44,{"1";"M1"}))</f>
        <v>4</v>
      </c>
      <c r="AG45" s="346" cm="2">
        <f t="array" ref="AG45">SUMPRODUCT(COUNTIF(AG4:AG44,{"1";"M1"}))</f>
        <v>4</v>
      </c>
      <c r="AH45" s="346" cm="2">
        <f t="array" ref="AH45">SUMPRODUCT(COUNTIF(AH4:AH44,{"1";"M1"}))</f>
        <v>4</v>
      </c>
      <c r="AI45" s="346" cm="2">
        <f t="array" ref="AI45">SUMPRODUCT(COUNTIF(AI4:AI44,{"1";"M1"}))</f>
        <v>4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4</v>
      </c>
      <c r="AM45" s="346" cm="2">
        <f t="array" ref="AM45">SUMPRODUCT(COUNTIF(AM4:AM44,{"1";"M1"}))</f>
        <v>4</v>
      </c>
      <c r="AN45" s="346" cm="2">
        <f t="array" ref="AN45">SUMPRODUCT(COUNTIF(AN4:AN44,{"1";"M1"}))</f>
        <v>4</v>
      </c>
      <c r="AO45" s="346" cm="2">
        <f t="array" ref="AO45">SUMPRODUCT(COUNTIF(AO4:AO44,{"1";"M1"}))</f>
        <v>4</v>
      </c>
      <c r="AP45" s="346" cm="2">
        <f t="array" ref="AP45">SUMPRODUCT(COUNTIF(AP4:AP44,{"1";"M1"}))</f>
        <v>4</v>
      </c>
      <c r="AR45" s="50"/>
      <c r="AS45" s="6"/>
      <c r="AT45" s="75"/>
      <c r="AU45" s="79"/>
      <c r="AW45" s="6"/>
      <c r="AX45" s="6"/>
      <c r="AY45" s="6"/>
    </row>
    <row r="46" spans="1:227" s="77" customFormat="1" ht="18" customHeight="1">
      <c r="A46" s="80"/>
      <c r="B46" s="80"/>
      <c r="C46" s="81"/>
      <c r="D46" s="81"/>
      <c r="E46" s="75"/>
      <c r="F46" s="75"/>
      <c r="J46" s="81"/>
      <c r="K46" s="82">
        <v>2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O46" s="129" cm="2">
        <f t="array" ref="AO46">SUMPRODUCT(COUNTIF(AO4:AO44,{"2";"M2"}))</f>
        <v>3</v>
      </c>
      <c r="AP46" s="129" cm="2">
        <f t="array" ref="AP46">SUMPRODUCT(COUNTIF(AP4:AP44,{"2";"M2"}))</f>
        <v>3</v>
      </c>
      <c r="AR46" s="50"/>
      <c r="AS46" s="6" t="s">
        <v>34</v>
      </c>
      <c r="AT46" s="75" t="s">
        <v>35</v>
      </c>
      <c r="AU46" s="84"/>
      <c r="AW46" s="6"/>
      <c r="AX46" s="6"/>
      <c r="AY46" s="6"/>
    </row>
    <row r="47" spans="1:227" s="77" customFormat="1" ht="18" customHeight="1" thickBot="1">
      <c r="A47" s="80"/>
      <c r="B47" s="80"/>
      <c r="C47" s="81"/>
      <c r="D47" s="81"/>
      <c r="E47" s="75"/>
      <c r="F47" s="75"/>
      <c r="J47" s="81"/>
      <c r="K47" s="85">
        <v>3</v>
      </c>
      <c r="L47" s="130">
        <f t="shared" ref="L47:AP47" si="83">COUNTIF(L4:L44,3)</f>
        <v>3</v>
      </c>
      <c r="M47" s="130">
        <f t="shared" si="83"/>
        <v>3</v>
      </c>
      <c r="N47" s="130">
        <f t="shared" si="83"/>
        <v>3</v>
      </c>
      <c r="O47" s="130">
        <f t="shared" si="83"/>
        <v>2</v>
      </c>
      <c r="P47" s="130">
        <f t="shared" si="83"/>
        <v>2</v>
      </c>
      <c r="Q47" s="130">
        <f t="shared" si="83"/>
        <v>3</v>
      </c>
      <c r="R47" s="130">
        <f t="shared" si="83"/>
        <v>3</v>
      </c>
      <c r="S47" s="130">
        <f t="shared" si="83"/>
        <v>3</v>
      </c>
      <c r="T47" s="130">
        <f t="shared" si="83"/>
        <v>3</v>
      </c>
      <c r="U47" s="130">
        <f t="shared" si="83"/>
        <v>3</v>
      </c>
      <c r="V47" s="130">
        <f t="shared" si="83"/>
        <v>2</v>
      </c>
      <c r="W47" s="130">
        <f t="shared" si="83"/>
        <v>2</v>
      </c>
      <c r="X47" s="130">
        <f t="shared" si="83"/>
        <v>3</v>
      </c>
      <c r="Y47" s="130">
        <f t="shared" si="83"/>
        <v>3</v>
      </c>
      <c r="Z47" s="130">
        <f t="shared" si="83"/>
        <v>3</v>
      </c>
      <c r="AA47" s="130">
        <f t="shared" si="83"/>
        <v>3</v>
      </c>
      <c r="AB47" s="130">
        <f t="shared" si="83"/>
        <v>3</v>
      </c>
      <c r="AC47" s="130">
        <f t="shared" si="83"/>
        <v>2</v>
      </c>
      <c r="AD47" s="130">
        <f t="shared" si="83"/>
        <v>2</v>
      </c>
      <c r="AE47" s="130">
        <f t="shared" si="83"/>
        <v>3</v>
      </c>
      <c r="AF47" s="130">
        <f t="shared" si="83"/>
        <v>3</v>
      </c>
      <c r="AG47" s="130">
        <f t="shared" si="83"/>
        <v>3</v>
      </c>
      <c r="AH47" s="130">
        <f t="shared" si="83"/>
        <v>3</v>
      </c>
      <c r="AI47" s="130">
        <f t="shared" si="83"/>
        <v>3</v>
      </c>
      <c r="AJ47" s="130">
        <f t="shared" si="83"/>
        <v>2</v>
      </c>
      <c r="AK47" s="130">
        <f t="shared" si="83"/>
        <v>2</v>
      </c>
      <c r="AL47" s="130">
        <f t="shared" si="83"/>
        <v>3</v>
      </c>
      <c r="AM47" s="130">
        <f t="shared" si="83"/>
        <v>3</v>
      </c>
      <c r="AN47" s="130">
        <f t="shared" si="83"/>
        <v>3</v>
      </c>
      <c r="AO47" s="130">
        <f t="shared" si="83"/>
        <v>3</v>
      </c>
      <c r="AP47" s="130">
        <f t="shared" si="83"/>
        <v>3</v>
      </c>
      <c r="AR47" s="75" t="s">
        <v>109</v>
      </c>
      <c r="AS47" s="75">
        <f>35*31</f>
        <v>1085</v>
      </c>
      <c r="AT47" s="75">
        <f>6*31</f>
        <v>186</v>
      </c>
      <c r="AU47" s="84"/>
    </row>
    <row r="48" spans="1:227" s="77" customFormat="1" ht="18" customHeight="1">
      <c r="A48" s="80"/>
      <c r="B48" s="80"/>
      <c r="C48" s="81"/>
      <c r="D48" s="81"/>
      <c r="E48" s="75"/>
      <c r="F48" s="75"/>
      <c r="J48" s="81"/>
      <c r="K48" s="86" t="s">
        <v>36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3</v>
      </c>
      <c r="P48" s="128" cm="2">
        <f t="array" ref="P48">SUMPRODUCT(COUNTIF(P4:P44,{"早";"T早"}))</f>
        <v>3</v>
      </c>
      <c r="Q48" s="128" cm="2">
        <f t="array" ref="Q48">SUMPRODUCT(COUNTIF(Q4:Q44,{"早";"T早"}))</f>
        <v>5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3</v>
      </c>
      <c r="W48" s="128" cm="2">
        <f t="array" ref="W48">SUMPRODUCT(COUNTIF(W4:W44,{"早";"T早"}))</f>
        <v>3</v>
      </c>
      <c r="X48" s="128" cm="2">
        <f t="array" ref="X48">SUMPRODUCT(COUNTIF(X4:X44,{"早";"T早"}))</f>
        <v>5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5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3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5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5</v>
      </c>
      <c r="AO48" s="128" cm="2">
        <f t="array" ref="AO48">SUMPRODUCT(COUNTIF(AO4:AO44,{"早";"T早"}))</f>
        <v>5</v>
      </c>
      <c r="AP48" s="128" cm="2">
        <f t="array" ref="AP48">SUMPRODUCT(COUNTIF(AP4:AP44,{"早";"T早"}))</f>
        <v>5</v>
      </c>
      <c r="AR48" s="87" t="s">
        <v>37</v>
      </c>
      <c r="AS48" s="75">
        <f>21*(31-J1)</f>
        <v>483</v>
      </c>
      <c r="AT48" s="75">
        <f>3*(31-J1)</f>
        <v>69</v>
      </c>
      <c r="AV48" s="84"/>
    </row>
    <row r="49" spans="1:51" s="77" customFormat="1" ht="18" customHeight="1">
      <c r="A49" s="80"/>
      <c r="B49" s="80"/>
      <c r="C49" s="81"/>
      <c r="D49" s="81"/>
      <c r="E49" s="75"/>
      <c r="F49" s="75"/>
      <c r="J49" s="81"/>
      <c r="K49" s="88" t="s">
        <v>38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O49" s="129" cm="2">
        <f t="array" ref="AO49">SUMPRODUCT(COUNTIF(AO4:AO44,{"中";"T中"}))</f>
        <v>3</v>
      </c>
      <c r="AP49" s="129" cm="2">
        <f t="array" ref="AP49">SUMPRODUCT(COUNTIF(AP4:AP44,{"中";"T中"}))</f>
        <v>3</v>
      </c>
      <c r="AR49" s="87" t="s">
        <v>39</v>
      </c>
      <c r="AS49" s="75">
        <f>16*J1</f>
        <v>128</v>
      </c>
      <c r="AT49" s="75">
        <f>3*J1</f>
        <v>24</v>
      </c>
      <c r="AV49" s="89"/>
    </row>
    <row r="50" spans="1:51" s="77" customFormat="1" ht="18" customHeight="1" thickBot="1">
      <c r="A50" s="80"/>
      <c r="B50" s="80"/>
      <c r="C50" s="81"/>
      <c r="D50" s="81"/>
      <c r="E50" s="75"/>
      <c r="F50" s="75"/>
      <c r="J50" s="81"/>
      <c r="K50" s="90" t="s">
        <v>40</v>
      </c>
      <c r="L50" s="130">
        <f t="shared" ref="L50:AP50" si="84">COUNTIF(L4:L44,"晚")</f>
        <v>3</v>
      </c>
      <c r="M50" s="130">
        <f t="shared" si="84"/>
        <v>3</v>
      </c>
      <c r="N50" s="130">
        <f t="shared" si="84"/>
        <v>3</v>
      </c>
      <c r="O50" s="130">
        <f t="shared" si="84"/>
        <v>2</v>
      </c>
      <c r="P50" s="130">
        <f t="shared" si="84"/>
        <v>2</v>
      </c>
      <c r="Q50" s="130">
        <f t="shared" si="84"/>
        <v>3</v>
      </c>
      <c r="R50" s="130">
        <f t="shared" si="84"/>
        <v>3</v>
      </c>
      <c r="S50" s="130">
        <f t="shared" si="84"/>
        <v>3</v>
      </c>
      <c r="T50" s="130">
        <f t="shared" si="84"/>
        <v>3</v>
      </c>
      <c r="U50" s="130">
        <f t="shared" si="84"/>
        <v>3</v>
      </c>
      <c r="V50" s="130">
        <f t="shared" si="84"/>
        <v>2</v>
      </c>
      <c r="W50" s="130">
        <f t="shared" si="84"/>
        <v>2</v>
      </c>
      <c r="X50" s="130">
        <f t="shared" si="84"/>
        <v>3</v>
      </c>
      <c r="Y50" s="130">
        <f t="shared" si="84"/>
        <v>3</v>
      </c>
      <c r="Z50" s="130">
        <f t="shared" si="84"/>
        <v>3</v>
      </c>
      <c r="AA50" s="130">
        <f t="shared" si="84"/>
        <v>3</v>
      </c>
      <c r="AB50" s="130">
        <f t="shared" si="84"/>
        <v>3</v>
      </c>
      <c r="AC50" s="130">
        <f t="shared" si="84"/>
        <v>2</v>
      </c>
      <c r="AD50" s="130">
        <f t="shared" si="84"/>
        <v>2</v>
      </c>
      <c r="AE50" s="130">
        <f t="shared" si="84"/>
        <v>3</v>
      </c>
      <c r="AF50" s="130">
        <f t="shared" si="84"/>
        <v>3</v>
      </c>
      <c r="AG50" s="130">
        <f t="shared" si="84"/>
        <v>3</v>
      </c>
      <c r="AH50" s="130">
        <f t="shared" si="84"/>
        <v>3</v>
      </c>
      <c r="AI50" s="130">
        <f t="shared" si="84"/>
        <v>3</v>
      </c>
      <c r="AJ50" s="130">
        <f t="shared" si="84"/>
        <v>2</v>
      </c>
      <c r="AK50" s="130">
        <f t="shared" si="84"/>
        <v>2</v>
      </c>
      <c r="AL50" s="130">
        <f t="shared" si="84"/>
        <v>3</v>
      </c>
      <c r="AM50" s="130">
        <f t="shared" si="84"/>
        <v>3</v>
      </c>
      <c r="AN50" s="130">
        <f t="shared" si="84"/>
        <v>3</v>
      </c>
      <c r="AO50" s="130">
        <f t="shared" si="84"/>
        <v>3</v>
      </c>
      <c r="AP50" s="130">
        <f t="shared" si="84"/>
        <v>3</v>
      </c>
      <c r="AR50" s="75" t="s">
        <v>0</v>
      </c>
      <c r="AS50" s="91">
        <f>35*J1</f>
        <v>280</v>
      </c>
      <c r="AT50" s="75">
        <f>6*J1</f>
        <v>48</v>
      </c>
    </row>
    <row r="51" spans="1:51" s="77" customFormat="1" ht="18" customHeight="1">
      <c r="A51" s="80"/>
      <c r="B51" s="80"/>
      <c r="C51" s="81"/>
      <c r="D51" s="81"/>
      <c r="E51" s="75"/>
      <c r="F51" s="75"/>
      <c r="J51" s="81"/>
      <c r="K51" s="86" t="s">
        <v>111</v>
      </c>
      <c r="L51" s="128">
        <f t="shared" ref="L51:AP51" si="85">COUNTIF(L4:L44,"日")</f>
        <v>1</v>
      </c>
      <c r="M51" s="128">
        <f t="shared" si="85"/>
        <v>1</v>
      </c>
      <c r="N51" s="128">
        <f t="shared" si="85"/>
        <v>1</v>
      </c>
      <c r="O51" s="128">
        <f t="shared" si="85"/>
        <v>1</v>
      </c>
      <c r="P51" s="128">
        <f t="shared" si="85"/>
        <v>1</v>
      </c>
      <c r="Q51" s="128">
        <f t="shared" si="85"/>
        <v>1</v>
      </c>
      <c r="R51" s="128">
        <f t="shared" si="85"/>
        <v>1</v>
      </c>
      <c r="S51" s="128">
        <f t="shared" si="85"/>
        <v>1</v>
      </c>
      <c r="T51" s="128">
        <f t="shared" si="85"/>
        <v>1</v>
      </c>
      <c r="U51" s="128">
        <f t="shared" si="85"/>
        <v>1</v>
      </c>
      <c r="V51" s="128">
        <f t="shared" si="85"/>
        <v>1</v>
      </c>
      <c r="W51" s="128">
        <f t="shared" si="85"/>
        <v>1</v>
      </c>
      <c r="X51" s="128">
        <f t="shared" si="85"/>
        <v>1</v>
      </c>
      <c r="Y51" s="128">
        <f t="shared" si="85"/>
        <v>1</v>
      </c>
      <c r="Z51" s="128">
        <f t="shared" si="85"/>
        <v>1</v>
      </c>
      <c r="AA51" s="128">
        <f t="shared" si="85"/>
        <v>1</v>
      </c>
      <c r="AB51" s="128">
        <f t="shared" si="85"/>
        <v>1</v>
      </c>
      <c r="AC51" s="128">
        <f t="shared" si="85"/>
        <v>1</v>
      </c>
      <c r="AD51" s="128">
        <f t="shared" si="85"/>
        <v>1</v>
      </c>
      <c r="AE51" s="128">
        <f t="shared" si="85"/>
        <v>1</v>
      </c>
      <c r="AF51" s="128">
        <f t="shared" si="85"/>
        <v>1</v>
      </c>
      <c r="AG51" s="128">
        <f t="shared" si="85"/>
        <v>1</v>
      </c>
      <c r="AH51" s="128">
        <f t="shared" si="85"/>
        <v>1</v>
      </c>
      <c r="AI51" s="128">
        <f t="shared" si="85"/>
        <v>1</v>
      </c>
      <c r="AJ51" s="128">
        <f t="shared" si="85"/>
        <v>1</v>
      </c>
      <c r="AK51" s="128">
        <f t="shared" si="85"/>
        <v>1</v>
      </c>
      <c r="AL51" s="128">
        <f t="shared" si="85"/>
        <v>1</v>
      </c>
      <c r="AM51" s="128">
        <f t="shared" si="85"/>
        <v>1</v>
      </c>
      <c r="AN51" s="128">
        <f t="shared" si="85"/>
        <v>1</v>
      </c>
      <c r="AO51" s="128">
        <f t="shared" si="85"/>
        <v>1</v>
      </c>
      <c r="AP51" s="128">
        <f t="shared" si="85"/>
        <v>1</v>
      </c>
      <c r="AR51" s="50" t="s">
        <v>104</v>
      </c>
      <c r="AS51" s="91" cm="1">
        <f t="array" ref="AS51">SUMPRODUCT(COUNTIF(L4:AP38,{"N";"N8"}))</f>
        <v>115</v>
      </c>
      <c r="AT51" s="91" cm="1">
        <f t="array" ref="AT51">SUMPRODUCT(COUNTIF(L39:AP44,{"N";"N8"}))</f>
        <v>25</v>
      </c>
    </row>
    <row r="52" spans="1:51" s="77" customFormat="1" ht="18" customHeight="1">
      <c r="A52" s="80"/>
      <c r="B52" s="80"/>
      <c r="C52" s="81"/>
      <c r="D52" s="81"/>
      <c r="E52" s="75"/>
      <c r="F52" s="75"/>
      <c r="J52" s="81"/>
      <c r="K52" s="88" t="s">
        <v>143</v>
      </c>
      <c r="L52" s="129">
        <f t="shared" ref="L52:AP52" si="86">COUNTIF(L4:L44,"小夜")</f>
        <v>1</v>
      </c>
      <c r="M52" s="129">
        <f t="shared" si="86"/>
        <v>1</v>
      </c>
      <c r="N52" s="129">
        <f t="shared" si="86"/>
        <v>1</v>
      </c>
      <c r="O52" s="129">
        <f t="shared" si="86"/>
        <v>1</v>
      </c>
      <c r="P52" s="129">
        <f t="shared" si="86"/>
        <v>1</v>
      </c>
      <c r="Q52" s="129">
        <f t="shared" si="86"/>
        <v>1</v>
      </c>
      <c r="R52" s="129">
        <f t="shared" si="86"/>
        <v>1</v>
      </c>
      <c r="S52" s="129">
        <f t="shared" si="86"/>
        <v>1</v>
      </c>
      <c r="T52" s="129">
        <f t="shared" si="86"/>
        <v>1</v>
      </c>
      <c r="U52" s="129">
        <f t="shared" si="86"/>
        <v>1</v>
      </c>
      <c r="V52" s="129">
        <f t="shared" si="86"/>
        <v>1</v>
      </c>
      <c r="W52" s="129">
        <f t="shared" si="86"/>
        <v>1</v>
      </c>
      <c r="X52" s="129">
        <f t="shared" si="86"/>
        <v>1</v>
      </c>
      <c r="Y52" s="129">
        <f t="shared" si="86"/>
        <v>1</v>
      </c>
      <c r="Z52" s="129">
        <f t="shared" si="86"/>
        <v>1</v>
      </c>
      <c r="AA52" s="129">
        <f t="shared" si="86"/>
        <v>1</v>
      </c>
      <c r="AB52" s="129">
        <f t="shared" si="86"/>
        <v>1</v>
      </c>
      <c r="AC52" s="129">
        <f t="shared" si="86"/>
        <v>1</v>
      </c>
      <c r="AD52" s="129">
        <f t="shared" si="86"/>
        <v>1</v>
      </c>
      <c r="AE52" s="129">
        <f t="shared" si="86"/>
        <v>1</v>
      </c>
      <c r="AF52" s="129">
        <f t="shared" si="86"/>
        <v>1</v>
      </c>
      <c r="AG52" s="129">
        <f t="shared" si="86"/>
        <v>1</v>
      </c>
      <c r="AH52" s="129">
        <f t="shared" si="86"/>
        <v>1</v>
      </c>
      <c r="AI52" s="129">
        <f t="shared" si="86"/>
        <v>1</v>
      </c>
      <c r="AJ52" s="129">
        <f t="shared" si="86"/>
        <v>1</v>
      </c>
      <c r="AK52" s="129">
        <f t="shared" si="86"/>
        <v>1</v>
      </c>
      <c r="AL52" s="129">
        <f t="shared" si="86"/>
        <v>1</v>
      </c>
      <c r="AM52" s="129">
        <f t="shared" si="86"/>
        <v>1</v>
      </c>
      <c r="AN52" s="129">
        <f t="shared" si="86"/>
        <v>1</v>
      </c>
      <c r="AO52" s="129">
        <f t="shared" si="86"/>
        <v>1</v>
      </c>
      <c r="AP52" s="129">
        <f t="shared" si="86"/>
        <v>1</v>
      </c>
      <c r="AR52" s="50" t="s">
        <v>105</v>
      </c>
      <c r="AS52" s="92">
        <f>SUMPRODUCT(COUNTIF(L4:AP38,{"S"}))</f>
        <v>74</v>
      </c>
      <c r="AT52" s="75">
        <f>SUMPRODUCT(COUNTIF(L39:AP44,{"S"}))</f>
        <v>18</v>
      </c>
    </row>
    <row r="53" spans="1:51" s="77" customFormat="1" ht="18" customHeight="1" thickBot="1">
      <c r="A53" s="80"/>
      <c r="B53" s="80"/>
      <c r="C53" s="81"/>
      <c r="D53" s="81"/>
      <c r="E53" s="75"/>
      <c r="F53" s="75"/>
      <c r="J53" s="81"/>
      <c r="K53" s="90" t="s">
        <v>144</v>
      </c>
      <c r="L53" s="130">
        <f t="shared" ref="L53:AP53" si="87">COUNTIF(L7:L47,"大夜")</f>
        <v>1</v>
      </c>
      <c r="M53" s="130">
        <f t="shared" si="87"/>
        <v>1</v>
      </c>
      <c r="N53" s="130">
        <f t="shared" si="87"/>
        <v>1</v>
      </c>
      <c r="O53" s="130">
        <f t="shared" si="87"/>
        <v>1</v>
      </c>
      <c r="P53" s="130">
        <f t="shared" si="87"/>
        <v>1</v>
      </c>
      <c r="Q53" s="130">
        <f t="shared" si="87"/>
        <v>1</v>
      </c>
      <c r="R53" s="130">
        <f t="shared" si="87"/>
        <v>1</v>
      </c>
      <c r="S53" s="130">
        <f t="shared" si="87"/>
        <v>1</v>
      </c>
      <c r="T53" s="130">
        <f t="shared" si="87"/>
        <v>1</v>
      </c>
      <c r="U53" s="130">
        <f t="shared" si="87"/>
        <v>1</v>
      </c>
      <c r="V53" s="130">
        <f t="shared" si="87"/>
        <v>1</v>
      </c>
      <c r="W53" s="130">
        <f t="shared" si="87"/>
        <v>1</v>
      </c>
      <c r="X53" s="130">
        <f t="shared" si="87"/>
        <v>1</v>
      </c>
      <c r="Y53" s="130">
        <f t="shared" si="87"/>
        <v>1</v>
      </c>
      <c r="Z53" s="130">
        <f t="shared" si="87"/>
        <v>1</v>
      </c>
      <c r="AA53" s="130">
        <f t="shared" si="87"/>
        <v>1</v>
      </c>
      <c r="AB53" s="130">
        <f t="shared" si="87"/>
        <v>1</v>
      </c>
      <c r="AC53" s="130">
        <f t="shared" si="87"/>
        <v>1</v>
      </c>
      <c r="AD53" s="130">
        <f t="shared" si="87"/>
        <v>1</v>
      </c>
      <c r="AE53" s="130">
        <f t="shared" si="87"/>
        <v>1</v>
      </c>
      <c r="AF53" s="130">
        <f t="shared" si="87"/>
        <v>1</v>
      </c>
      <c r="AG53" s="130">
        <f t="shared" si="87"/>
        <v>1</v>
      </c>
      <c r="AH53" s="130">
        <f t="shared" si="87"/>
        <v>1</v>
      </c>
      <c r="AI53" s="130">
        <f t="shared" si="87"/>
        <v>1</v>
      </c>
      <c r="AJ53" s="130">
        <f t="shared" si="87"/>
        <v>1</v>
      </c>
      <c r="AK53" s="130">
        <f t="shared" si="87"/>
        <v>1</v>
      </c>
      <c r="AL53" s="130">
        <f t="shared" si="87"/>
        <v>1</v>
      </c>
      <c r="AM53" s="130">
        <f t="shared" si="87"/>
        <v>1</v>
      </c>
      <c r="AN53" s="130">
        <f t="shared" si="87"/>
        <v>1</v>
      </c>
      <c r="AO53" s="130">
        <f t="shared" si="87"/>
        <v>1</v>
      </c>
      <c r="AP53" s="130">
        <f t="shared" si="87"/>
        <v>1</v>
      </c>
      <c r="AR53" s="93" t="s">
        <v>145</v>
      </c>
      <c r="AS53" s="75">
        <v>0</v>
      </c>
      <c r="AT53" s="75">
        <v>0</v>
      </c>
    </row>
    <row r="54" spans="1:51" s="77" customFormat="1" ht="18" customHeight="1" thickBot="1">
      <c r="A54" s="80"/>
      <c r="B54" s="80"/>
      <c r="C54" s="81"/>
      <c r="D54" s="81"/>
      <c r="E54" s="75"/>
      <c r="F54" s="75"/>
      <c r="J54" s="81"/>
      <c r="K54" s="95" t="s">
        <v>41</v>
      </c>
      <c r="L54" s="96">
        <f t="shared" ref="L54:AP54" si="88">COUNTIF(L4:L44,"N")+COUNTIF(L4:L44,"N8")</f>
        <v>5</v>
      </c>
      <c r="M54" s="96">
        <f t="shared" si="88"/>
        <v>7</v>
      </c>
      <c r="N54" s="96">
        <f t="shared" si="88"/>
        <v>6</v>
      </c>
      <c r="O54" s="96">
        <f t="shared" si="88"/>
        <v>0</v>
      </c>
      <c r="P54" s="96">
        <f t="shared" si="88"/>
        <v>0</v>
      </c>
      <c r="Q54" s="96">
        <f t="shared" si="88"/>
        <v>1</v>
      </c>
      <c r="R54" s="96">
        <f t="shared" si="88"/>
        <v>8</v>
      </c>
      <c r="S54" s="96">
        <f t="shared" si="88"/>
        <v>10</v>
      </c>
      <c r="T54" s="96">
        <f t="shared" si="88"/>
        <v>8</v>
      </c>
      <c r="U54" s="96">
        <f t="shared" si="88"/>
        <v>0</v>
      </c>
      <c r="V54" s="96">
        <f t="shared" si="88"/>
        <v>0</v>
      </c>
      <c r="W54" s="96">
        <f t="shared" si="88"/>
        <v>0</v>
      </c>
      <c r="X54" s="96">
        <f t="shared" si="88"/>
        <v>3</v>
      </c>
      <c r="Y54" s="96">
        <f t="shared" si="88"/>
        <v>7</v>
      </c>
      <c r="Z54" s="96">
        <f t="shared" si="88"/>
        <v>5</v>
      </c>
      <c r="AA54" s="96">
        <f t="shared" si="88"/>
        <v>11</v>
      </c>
      <c r="AB54" s="96">
        <f t="shared" si="88"/>
        <v>7</v>
      </c>
      <c r="AC54" s="96">
        <f t="shared" si="88"/>
        <v>0</v>
      </c>
      <c r="AD54" s="96">
        <f t="shared" si="88"/>
        <v>0</v>
      </c>
      <c r="AE54" s="96">
        <f t="shared" si="88"/>
        <v>5</v>
      </c>
      <c r="AF54" s="96">
        <f t="shared" si="88"/>
        <v>10</v>
      </c>
      <c r="AG54" s="96">
        <f t="shared" si="88"/>
        <v>7</v>
      </c>
      <c r="AH54" s="96">
        <f t="shared" si="88"/>
        <v>9</v>
      </c>
      <c r="AI54" s="96">
        <f t="shared" si="88"/>
        <v>6</v>
      </c>
      <c r="AJ54" s="96">
        <f t="shared" si="88"/>
        <v>0</v>
      </c>
      <c r="AK54" s="96">
        <f t="shared" si="88"/>
        <v>0</v>
      </c>
      <c r="AL54" s="96">
        <f t="shared" si="88"/>
        <v>3</v>
      </c>
      <c r="AM54" s="96">
        <f t="shared" si="88"/>
        <v>6</v>
      </c>
      <c r="AN54" s="97">
        <f t="shared" si="88"/>
        <v>8</v>
      </c>
      <c r="AO54" s="98">
        <f t="shared" si="88"/>
        <v>5</v>
      </c>
      <c r="AP54" s="99">
        <f t="shared" si="88"/>
        <v>3</v>
      </c>
      <c r="AR54" s="100" t="s">
        <v>42</v>
      </c>
      <c r="AS54" s="101">
        <v>0</v>
      </c>
      <c r="AT54" s="75">
        <v>0</v>
      </c>
    </row>
    <row r="55" spans="1:51" s="77" customFormat="1" ht="18" customHeight="1">
      <c r="A55" s="80"/>
      <c r="B55" s="80"/>
      <c r="C55" s="80"/>
      <c r="D55" s="80"/>
      <c r="E55" s="75"/>
      <c r="F55" s="75"/>
      <c r="J55" s="81"/>
      <c r="K55" s="78" t="s">
        <v>43</v>
      </c>
      <c r="L55" s="149">
        <f t="shared" ref="L55:AP55" si="89">COUNTIF(L4:L44,"X")+COUNTIF(L4:L44,"Y")+COUNTIF(L4:L44,"Z")</f>
        <v>6</v>
      </c>
      <c r="M55" s="24">
        <f t="shared" si="89"/>
        <v>4</v>
      </c>
      <c r="N55" s="24">
        <f t="shared" si="89"/>
        <v>7</v>
      </c>
      <c r="O55" s="24">
        <f t="shared" si="89"/>
        <v>21</v>
      </c>
      <c r="P55" s="24">
        <f t="shared" si="89"/>
        <v>19</v>
      </c>
      <c r="Q55" s="24">
        <f t="shared" si="89"/>
        <v>10</v>
      </c>
      <c r="R55" s="24">
        <f t="shared" si="89"/>
        <v>6</v>
      </c>
      <c r="S55" s="24">
        <f t="shared" si="89"/>
        <v>4</v>
      </c>
      <c r="T55" s="24">
        <f t="shared" si="89"/>
        <v>7</v>
      </c>
      <c r="U55" s="24">
        <f>COUNTIF(U4:U44,"X")+COUNTIF(U4:U44,"Y")+COUNTIF(U4:U44,"Z")</f>
        <v>0</v>
      </c>
      <c r="V55" s="24">
        <f t="shared" si="89"/>
        <v>22</v>
      </c>
      <c r="W55" s="24">
        <f t="shared" si="89"/>
        <v>17</v>
      </c>
      <c r="X55" s="24">
        <f t="shared" si="89"/>
        <v>12</v>
      </c>
      <c r="Y55" s="24">
        <f t="shared" si="89"/>
        <v>8</v>
      </c>
      <c r="Z55" s="24">
        <f t="shared" si="89"/>
        <v>8</v>
      </c>
      <c r="AA55" s="24">
        <f t="shared" si="89"/>
        <v>3</v>
      </c>
      <c r="AB55" s="24">
        <f t="shared" si="89"/>
        <v>7</v>
      </c>
      <c r="AC55" s="24">
        <f t="shared" si="89"/>
        <v>19</v>
      </c>
      <c r="AD55" s="24">
        <f t="shared" si="89"/>
        <v>21</v>
      </c>
      <c r="AE55" s="24">
        <f t="shared" si="89"/>
        <v>7</v>
      </c>
      <c r="AF55" s="24">
        <f t="shared" si="89"/>
        <v>4</v>
      </c>
      <c r="AG55" s="24">
        <f t="shared" si="89"/>
        <v>7</v>
      </c>
      <c r="AH55" s="24">
        <f t="shared" si="89"/>
        <v>7</v>
      </c>
      <c r="AI55" s="24">
        <f t="shared" si="89"/>
        <v>10</v>
      </c>
      <c r="AJ55" s="24">
        <f t="shared" si="89"/>
        <v>20</v>
      </c>
      <c r="AK55" s="24">
        <f t="shared" si="89"/>
        <v>17</v>
      </c>
      <c r="AL55" s="24">
        <f t="shared" si="89"/>
        <v>12</v>
      </c>
      <c r="AM55" s="24">
        <f t="shared" si="89"/>
        <v>7</v>
      </c>
      <c r="AN55" s="24">
        <f t="shared" si="89"/>
        <v>8</v>
      </c>
      <c r="AO55" s="24">
        <f t="shared" si="89"/>
        <v>7</v>
      </c>
      <c r="AP55" s="102">
        <f t="shared" si="89"/>
        <v>11</v>
      </c>
      <c r="AR55" s="100" t="s">
        <v>146</v>
      </c>
      <c r="AS55" s="101">
        <v>0</v>
      </c>
      <c r="AT55" s="75">
        <v>0</v>
      </c>
    </row>
    <row r="56" spans="1:51" s="77" customFormat="1" ht="18" customHeight="1">
      <c r="A56" s="80"/>
      <c r="B56" s="80"/>
      <c r="C56" s="80"/>
      <c r="D56" s="80"/>
      <c r="E56" s="75"/>
      <c r="F56" s="75"/>
      <c r="J56" s="81"/>
      <c r="K56" s="103" t="s">
        <v>44</v>
      </c>
      <c r="L56" s="143">
        <f t="shared" ref="L56:AP56" si="90">COUNTIF(L4:L44,"S")</f>
        <v>6</v>
      </c>
      <c r="M56" s="39">
        <f t="shared" si="90"/>
        <v>6</v>
      </c>
      <c r="N56" s="39">
        <f t="shared" si="90"/>
        <v>4</v>
      </c>
      <c r="O56" s="39">
        <f t="shared" si="90"/>
        <v>1</v>
      </c>
      <c r="P56" s="39">
        <f t="shared" si="90"/>
        <v>3</v>
      </c>
      <c r="Q56" s="39">
        <f t="shared" si="90"/>
        <v>6</v>
      </c>
      <c r="R56" s="39">
        <f t="shared" si="90"/>
        <v>3</v>
      </c>
      <c r="S56" s="39">
        <f t="shared" si="90"/>
        <v>3</v>
      </c>
      <c r="T56" s="39">
        <f t="shared" si="90"/>
        <v>2</v>
      </c>
      <c r="U56" s="39">
        <f>COUNTIF(U4:U44,"S")</f>
        <v>0</v>
      </c>
      <c r="V56" s="39">
        <f t="shared" si="90"/>
        <v>0</v>
      </c>
      <c r="W56" s="39">
        <f t="shared" si="90"/>
        <v>5</v>
      </c>
      <c r="X56" s="39">
        <f t="shared" si="90"/>
        <v>2</v>
      </c>
      <c r="Y56" s="39">
        <f t="shared" si="90"/>
        <v>2</v>
      </c>
      <c r="Z56" s="39">
        <f t="shared" si="90"/>
        <v>4</v>
      </c>
      <c r="AA56" s="39">
        <f t="shared" si="90"/>
        <v>3</v>
      </c>
      <c r="AB56" s="39">
        <f t="shared" si="90"/>
        <v>3</v>
      </c>
      <c r="AC56" s="39">
        <f t="shared" si="90"/>
        <v>3</v>
      </c>
      <c r="AD56" s="39">
        <f t="shared" si="90"/>
        <v>1</v>
      </c>
      <c r="AE56" s="39">
        <f t="shared" si="90"/>
        <v>5</v>
      </c>
      <c r="AF56" s="39">
        <f t="shared" si="90"/>
        <v>3</v>
      </c>
      <c r="AG56" s="39">
        <f t="shared" si="90"/>
        <v>3</v>
      </c>
      <c r="AH56" s="39">
        <f t="shared" si="90"/>
        <v>1</v>
      </c>
      <c r="AI56" s="39">
        <f t="shared" si="90"/>
        <v>1</v>
      </c>
      <c r="AJ56" s="39">
        <f t="shared" si="90"/>
        <v>2</v>
      </c>
      <c r="AK56" s="39">
        <f t="shared" si="90"/>
        <v>5</v>
      </c>
      <c r="AL56" s="39">
        <f t="shared" si="90"/>
        <v>2</v>
      </c>
      <c r="AM56" s="39">
        <f t="shared" si="90"/>
        <v>4</v>
      </c>
      <c r="AN56" s="39">
        <f t="shared" si="90"/>
        <v>1</v>
      </c>
      <c r="AO56" s="39">
        <f t="shared" si="90"/>
        <v>5</v>
      </c>
      <c r="AP56" s="83">
        <f t="shared" si="90"/>
        <v>3</v>
      </c>
      <c r="AR56" s="107" t="s">
        <v>46</v>
      </c>
      <c r="AS56" s="105">
        <f>AS47-AS48-AS50-AS51-AS52-AS53+AS54+AS55-AS49</f>
        <v>5</v>
      </c>
      <c r="AT56" s="105">
        <f>AT47-AT48-AT50-AT51-AT52-AT53+AT54+AT55-AT49</f>
        <v>2</v>
      </c>
      <c r="AU56" s="6"/>
    </row>
    <row r="57" spans="1:51" ht="18" customHeight="1" thickBot="1">
      <c r="A57" s="80"/>
      <c r="B57" s="80"/>
      <c r="C57" s="80"/>
      <c r="D57" s="80"/>
      <c r="J57" s="80"/>
      <c r="K57" s="103" t="s">
        <v>45</v>
      </c>
      <c r="L57" s="143">
        <f t="shared" ref="L57:AP57" si="91">COUNTIF(L4:L44,"T")</f>
        <v>0</v>
      </c>
      <c r="M57" s="39">
        <f t="shared" si="91"/>
        <v>0</v>
      </c>
      <c r="N57" s="39">
        <f t="shared" si="91"/>
        <v>0</v>
      </c>
      <c r="O57" s="39">
        <f t="shared" si="91"/>
        <v>0</v>
      </c>
      <c r="P57" s="39">
        <f t="shared" si="91"/>
        <v>0</v>
      </c>
      <c r="Q57" s="39">
        <f t="shared" si="91"/>
        <v>0</v>
      </c>
      <c r="R57" s="39">
        <f t="shared" si="91"/>
        <v>0</v>
      </c>
      <c r="S57" s="39">
        <f t="shared" si="91"/>
        <v>0</v>
      </c>
      <c r="T57" s="39">
        <f t="shared" si="91"/>
        <v>0</v>
      </c>
      <c r="U57" s="39">
        <f t="shared" si="91"/>
        <v>17</v>
      </c>
      <c r="V57" s="39">
        <f t="shared" si="91"/>
        <v>0</v>
      </c>
      <c r="W57" s="39">
        <f t="shared" si="91"/>
        <v>0</v>
      </c>
      <c r="X57" s="39">
        <f t="shared" si="91"/>
        <v>0</v>
      </c>
      <c r="Y57" s="39">
        <f t="shared" si="91"/>
        <v>0</v>
      </c>
      <c r="Z57" s="39">
        <f t="shared" si="91"/>
        <v>0</v>
      </c>
      <c r="AA57" s="39">
        <f t="shared" si="91"/>
        <v>0</v>
      </c>
      <c r="AB57" s="39">
        <f t="shared" si="91"/>
        <v>0</v>
      </c>
      <c r="AC57" s="39">
        <f t="shared" si="91"/>
        <v>0</v>
      </c>
      <c r="AD57" s="39">
        <f t="shared" si="91"/>
        <v>0</v>
      </c>
      <c r="AE57" s="39">
        <f t="shared" si="91"/>
        <v>0</v>
      </c>
      <c r="AF57" s="39">
        <f t="shared" si="91"/>
        <v>0</v>
      </c>
      <c r="AG57" s="39">
        <f t="shared" si="91"/>
        <v>0</v>
      </c>
      <c r="AH57" s="39">
        <f t="shared" si="91"/>
        <v>0</v>
      </c>
      <c r="AI57" s="39">
        <f t="shared" si="91"/>
        <v>0</v>
      </c>
      <c r="AJ57" s="39">
        <f t="shared" si="91"/>
        <v>0</v>
      </c>
      <c r="AK57" s="39">
        <f t="shared" si="91"/>
        <v>0</v>
      </c>
      <c r="AL57" s="39">
        <f t="shared" si="91"/>
        <v>0</v>
      </c>
      <c r="AM57" s="39">
        <f t="shared" si="91"/>
        <v>0</v>
      </c>
      <c r="AN57" s="39">
        <f t="shared" si="91"/>
        <v>0</v>
      </c>
      <c r="AO57" s="39">
        <f t="shared" si="91"/>
        <v>0</v>
      </c>
      <c r="AP57" s="83">
        <f t="shared" si="91"/>
        <v>0</v>
      </c>
      <c r="AQ57" s="77"/>
      <c r="AS57" s="50"/>
      <c r="AT57" s="111"/>
      <c r="AV57" s="77"/>
      <c r="AW57" s="77"/>
      <c r="AX57" s="77"/>
      <c r="AY57" s="77"/>
    </row>
    <row r="58" spans="1:51" ht="18" customHeight="1" thickBot="1">
      <c r="A58" s="80"/>
      <c r="B58" s="80"/>
      <c r="C58" s="80"/>
      <c r="D58" s="80"/>
      <c r="J58" s="80"/>
      <c r="K58" s="108" t="s">
        <v>109</v>
      </c>
      <c r="L58" s="150">
        <f>SUM(L45:L57)</f>
        <v>41</v>
      </c>
      <c r="M58" s="109">
        <f t="shared" ref="M58:AP58" si="92">SUM(M45:M57)</f>
        <v>41</v>
      </c>
      <c r="N58" s="109">
        <f t="shared" si="92"/>
        <v>41</v>
      </c>
      <c r="O58" s="109">
        <f t="shared" si="92"/>
        <v>41</v>
      </c>
      <c r="P58" s="109">
        <f t="shared" si="92"/>
        <v>41</v>
      </c>
      <c r="Q58" s="109">
        <f t="shared" si="92"/>
        <v>41</v>
      </c>
      <c r="R58" s="109">
        <f t="shared" si="92"/>
        <v>41</v>
      </c>
      <c r="S58" s="109">
        <f t="shared" si="92"/>
        <v>41</v>
      </c>
      <c r="T58" s="109">
        <f t="shared" si="92"/>
        <v>41</v>
      </c>
      <c r="U58" s="109">
        <f t="shared" si="92"/>
        <v>41</v>
      </c>
      <c r="V58" s="109">
        <f t="shared" si="92"/>
        <v>41</v>
      </c>
      <c r="W58" s="109">
        <f t="shared" si="92"/>
        <v>41</v>
      </c>
      <c r="X58" s="109">
        <f t="shared" si="92"/>
        <v>41</v>
      </c>
      <c r="Y58" s="109">
        <f t="shared" si="92"/>
        <v>41</v>
      </c>
      <c r="Z58" s="109">
        <f t="shared" si="92"/>
        <v>41</v>
      </c>
      <c r="AA58" s="109">
        <f t="shared" si="92"/>
        <v>41</v>
      </c>
      <c r="AB58" s="109">
        <f t="shared" si="92"/>
        <v>41</v>
      </c>
      <c r="AC58" s="109">
        <f t="shared" si="92"/>
        <v>41</v>
      </c>
      <c r="AD58" s="109">
        <f t="shared" si="92"/>
        <v>41</v>
      </c>
      <c r="AE58" s="109">
        <f t="shared" si="92"/>
        <v>41</v>
      </c>
      <c r="AF58" s="109">
        <f t="shared" si="92"/>
        <v>41</v>
      </c>
      <c r="AG58" s="109">
        <f t="shared" si="92"/>
        <v>41</v>
      </c>
      <c r="AH58" s="109">
        <f t="shared" si="92"/>
        <v>41</v>
      </c>
      <c r="AI58" s="109">
        <f t="shared" si="92"/>
        <v>41</v>
      </c>
      <c r="AJ58" s="109">
        <f t="shared" si="92"/>
        <v>41</v>
      </c>
      <c r="AK58" s="109">
        <f t="shared" si="92"/>
        <v>41</v>
      </c>
      <c r="AL58" s="109">
        <f t="shared" si="92"/>
        <v>41</v>
      </c>
      <c r="AM58" s="109">
        <f t="shared" si="92"/>
        <v>41</v>
      </c>
      <c r="AN58" s="109">
        <f t="shared" si="92"/>
        <v>41</v>
      </c>
      <c r="AO58" s="109">
        <f t="shared" si="92"/>
        <v>41</v>
      </c>
      <c r="AP58" s="110">
        <f t="shared" si="92"/>
        <v>41</v>
      </c>
      <c r="AR58" s="7"/>
      <c r="AS58" s="6"/>
      <c r="AT58" s="111"/>
      <c r="AV58" s="37"/>
      <c r="AW58" s="77"/>
      <c r="AX58" s="77"/>
      <c r="AY58" s="77"/>
    </row>
    <row r="59" spans="1:51" ht="24.6" customHeight="1">
      <c r="A59" s="80"/>
      <c r="B59" s="80"/>
      <c r="C59" s="80"/>
      <c r="D59" s="80"/>
      <c r="H59" s="80"/>
      <c r="I59" s="112"/>
      <c r="J59" s="113"/>
      <c r="L59" s="113">
        <f>41-L54-L55-L56-24</f>
        <v>0</v>
      </c>
      <c r="M59" s="113">
        <f>41-M54-M55-M56-24</f>
        <v>0</v>
      </c>
      <c r="N59" s="113">
        <f>41-N54-N55-N56-24</f>
        <v>0</v>
      </c>
      <c r="O59" s="113">
        <f>41-O54-O55-O56-19</f>
        <v>0</v>
      </c>
      <c r="P59" s="113">
        <f>41-P54-P55-P56-19</f>
        <v>0</v>
      </c>
      <c r="Q59" s="113">
        <f>41-Q54-Q55-Q56-24</f>
        <v>0</v>
      </c>
      <c r="R59" s="113">
        <f t="shared" ref="R59:U59" si="93">41-R54-R55-R56-24</f>
        <v>0</v>
      </c>
      <c r="S59" s="113">
        <f t="shared" si="93"/>
        <v>0</v>
      </c>
      <c r="T59" s="113">
        <f t="shared" si="93"/>
        <v>0</v>
      </c>
      <c r="U59" s="113">
        <f t="shared" si="93"/>
        <v>17</v>
      </c>
      <c r="V59" s="113">
        <f>41-V54-V55-V56-19</f>
        <v>0</v>
      </c>
      <c r="W59" s="113">
        <f>41-W54-W55-W56-19</f>
        <v>0</v>
      </c>
      <c r="X59" s="113">
        <f>41-X54-X55-X56-24</f>
        <v>0</v>
      </c>
      <c r="Y59" s="113">
        <f t="shared" ref="Y59:AB59" si="94">41-Y54-Y55-Y56-24</f>
        <v>0</v>
      </c>
      <c r="Z59" s="113">
        <f t="shared" si="94"/>
        <v>0</v>
      </c>
      <c r="AA59" s="113">
        <f t="shared" si="94"/>
        <v>0</v>
      </c>
      <c r="AB59" s="113">
        <f t="shared" si="94"/>
        <v>0</v>
      </c>
      <c r="AC59" s="113">
        <f>41-AC54-AC55-AC56-19</f>
        <v>0</v>
      </c>
      <c r="AD59" s="113">
        <f>41-AD54-AD55-AD56-19</f>
        <v>0</v>
      </c>
      <c r="AE59" s="113">
        <f>41-AE54-AE55-AE56-24</f>
        <v>0</v>
      </c>
      <c r="AF59" s="113">
        <f t="shared" ref="AF59:AI59" si="95">41-AF54-AF55-AF56-24</f>
        <v>0</v>
      </c>
      <c r="AG59" s="113">
        <f t="shared" si="95"/>
        <v>0</v>
      </c>
      <c r="AH59" s="113">
        <f t="shared" si="95"/>
        <v>0</v>
      </c>
      <c r="AI59" s="113">
        <f t="shared" si="95"/>
        <v>0</v>
      </c>
      <c r="AJ59" s="113">
        <f>41-AJ54-AJ55-AJ56-19</f>
        <v>0</v>
      </c>
      <c r="AK59" s="113">
        <f>41-AK54-AK55-AK56-19</f>
        <v>0</v>
      </c>
      <c r="AL59" s="113">
        <f>41-AL54-AL55-AL56-24</f>
        <v>0</v>
      </c>
      <c r="AM59" s="113">
        <f t="shared" ref="AM59:AP59" si="96">41-AM54-AM55-AM56-24</f>
        <v>0</v>
      </c>
      <c r="AN59" s="113">
        <f t="shared" si="96"/>
        <v>0</v>
      </c>
      <c r="AO59" s="113">
        <f t="shared" si="96"/>
        <v>0</v>
      </c>
      <c r="AP59" s="113">
        <f t="shared" si="96"/>
        <v>0</v>
      </c>
    </row>
    <row r="60" spans="1:51" ht="24.6" customHeight="1">
      <c r="A60" s="80"/>
      <c r="B60" s="80"/>
      <c r="C60" s="80"/>
      <c r="D60" s="80"/>
      <c r="J60" s="80"/>
      <c r="K60" s="112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113"/>
      <c r="AQ60" s="7"/>
    </row>
    <row r="61" spans="1:51" ht="24.6" customHeight="1" thickBot="1">
      <c r="A61" s="80"/>
      <c r="B61" s="80"/>
      <c r="C61" s="80"/>
      <c r="D61" s="80"/>
      <c r="J61" s="80"/>
      <c r="K61" s="112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113"/>
    </row>
    <row r="62" spans="1:51" ht="24.6" customHeight="1" thickBot="1">
      <c r="A62" s="80"/>
      <c r="B62" s="80"/>
      <c r="C62" s="80"/>
      <c r="D62" s="80"/>
      <c r="J62" s="80"/>
      <c r="K62" s="228" t="s">
        <v>47</v>
      </c>
      <c r="L62" s="350" cm="1">
        <f t="array" ref="L62">SUMPRODUCT(COUNTIF(L4:L18,{"1";"M1"}))</f>
        <v>1</v>
      </c>
      <c r="M62" s="351" cm="1">
        <f t="array" ref="M62">SUMPRODUCT(COUNTIF(M4:M18,{"1";"M1"}))</f>
        <v>1</v>
      </c>
      <c r="N62" s="351" cm="1">
        <f t="array" ref="N62">SUMPRODUCT(COUNTIF(N4:N18,{"1";"M1"}))</f>
        <v>1</v>
      </c>
      <c r="O62" s="231" cm="1">
        <f t="array" ref="O62">SUMPRODUCT(COUNTIF(O4:O18,{"1";"M1"}))</f>
        <v>2</v>
      </c>
      <c r="P62" s="231" cm="1">
        <f t="array" ref="P62">SUMPRODUCT(COUNTIF(P4:P18,{"1";"M1"}))</f>
        <v>2</v>
      </c>
      <c r="Q62" s="351" cm="1">
        <f t="array" ref="Q62">SUMPRODUCT(COUNTIF(Q4:Q18,{"1";"M1"}))</f>
        <v>1</v>
      </c>
      <c r="R62" s="351" cm="1">
        <f t="array" ref="R62">SUMPRODUCT(COUNTIF(R4:R18,{"1";"M1"}))</f>
        <v>2</v>
      </c>
      <c r="S62" s="351" cm="1">
        <f t="array" ref="S62">SUMPRODUCT(COUNTIF(S4:S18,{"1";"M1"}))</f>
        <v>3</v>
      </c>
      <c r="T62" s="351" cm="1">
        <f t="array" ref="T62">SUMPRODUCT(COUNTIF(T4:T18,{"1";"M1"}))</f>
        <v>1</v>
      </c>
      <c r="U62" s="351" cm="1">
        <f t="array" ref="U62">SUMPRODUCT(COUNTIF(U4:U18,{"1";"M1"}))</f>
        <v>1</v>
      </c>
      <c r="V62" s="231" cm="1">
        <f t="array" ref="V62">SUMPRODUCT(COUNTIF(V4:V18,{"1";"M1"}))</f>
        <v>3</v>
      </c>
      <c r="W62" s="231" cm="1">
        <f t="array" ref="W62">SUMPRODUCT(COUNTIF(W4:W18,{"1";"M1"}))</f>
        <v>3</v>
      </c>
      <c r="X62" s="351" cm="1">
        <f t="array" ref="X62">SUMPRODUCT(COUNTIF(X4:X18,{"1";"M1"}))</f>
        <v>2</v>
      </c>
      <c r="Y62" s="351" cm="1">
        <f t="array" ref="Y62">SUMPRODUCT(COUNTIF(Y4:Y18,{"1";"M1"}))</f>
        <v>2</v>
      </c>
      <c r="Z62" s="351" cm="1">
        <f t="array" ref="Z62">SUMPRODUCT(COUNTIF(Z4:Z18,{"1";"M1"}))</f>
        <v>1</v>
      </c>
      <c r="AA62" s="351" cm="1">
        <f t="array" ref="AA62">SUMPRODUCT(COUNTIF(AA4:AA18,{"1";"M1"}))</f>
        <v>1</v>
      </c>
      <c r="AB62" s="351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0</v>
      </c>
      <c r="AE62" s="351" cm="1">
        <f t="array" ref="AE62">SUMPRODUCT(COUNTIF(AE4:AE18,{"1";"M1"}))</f>
        <v>1</v>
      </c>
      <c r="AF62" s="351" cm="1">
        <f t="array" ref="AF62">SUMPRODUCT(COUNTIF(AF4:AF18,{"1";"M1"}))</f>
        <v>1</v>
      </c>
      <c r="AG62" s="351" cm="1">
        <f t="array" ref="AG62">SUMPRODUCT(COUNTIF(AG4:AG18,{"1";"M1"}))</f>
        <v>1</v>
      </c>
      <c r="AH62" s="351" cm="1">
        <f t="array" ref="AH62">SUMPRODUCT(COUNTIF(AH4:AH18,{"1";"M1"}))</f>
        <v>1</v>
      </c>
      <c r="AI62" s="351" cm="1">
        <f t="array" ref="AI62">SUMPRODUCT(COUNTIF(AI4:AI18,{"1";"M1"}))</f>
        <v>1</v>
      </c>
      <c r="AJ62" s="231" cm="1">
        <f t="array" ref="AJ62">SUMPRODUCT(COUNTIF(AJ4:AJ18,{"1";"M1"}))</f>
        <v>1</v>
      </c>
      <c r="AK62" s="231" cm="1">
        <f t="array" ref="AK62">SUMPRODUCT(COUNTIF(AK4:AK18,{"1";"M1"}))</f>
        <v>1</v>
      </c>
      <c r="AL62" s="351" cm="1">
        <f t="array" ref="AL62">SUMPRODUCT(COUNTIF(AL4:AL18,{"1";"M1"}))</f>
        <v>1</v>
      </c>
      <c r="AM62" s="351" cm="1">
        <f t="array" ref="AM62">SUMPRODUCT(COUNTIF(AM4:AM18,{"1";"M1"}))</f>
        <v>1</v>
      </c>
      <c r="AN62" s="351" cm="1">
        <f t="array" ref="AN62">SUMPRODUCT(COUNTIF(AN4:AN18,{"1";"M1"}))</f>
        <v>3</v>
      </c>
      <c r="AO62" s="351" cm="1">
        <f t="array" ref="AO62">SUMPRODUCT(COUNTIF(AO4:AO18,{"1";"M1"}))</f>
        <v>1</v>
      </c>
      <c r="AP62" s="352" cm="1">
        <f t="array" ref="AP62">SUMPRODUCT(COUNTIF(AP4:AP18,{"1";"M1"}))</f>
        <v>1</v>
      </c>
    </row>
    <row r="63" spans="1:51" ht="24.6" customHeight="1">
      <c r="A63" s="80"/>
      <c r="B63" s="80"/>
      <c r="C63" s="80"/>
      <c r="D63" s="80"/>
      <c r="J63" s="80"/>
      <c r="M63" s="116"/>
      <c r="N63" s="116"/>
      <c r="O63" s="116"/>
      <c r="R63" s="116"/>
    </row>
    <row r="115" spans="11:227" s="77" customFormat="1" ht="13.8"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7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  <c r="HS115" s="6"/>
    </row>
  </sheetData>
  <autoFilter ref="AU3:AU57" xr:uid="{00000000-0009-0000-0000-000006000000}"/>
  <mergeCells count="12">
    <mergeCell ref="A2:A3"/>
    <mergeCell ref="B2:B3"/>
    <mergeCell ref="C2:C3"/>
    <mergeCell ref="D2:D3"/>
    <mergeCell ref="E2:E3"/>
    <mergeCell ref="F2:F3"/>
    <mergeCell ref="AW2:AY2"/>
    <mergeCell ref="L1:AI1"/>
    <mergeCell ref="AJ1:AL1"/>
    <mergeCell ref="AM1:AO1"/>
    <mergeCell ref="J2:J3"/>
    <mergeCell ref="K2:K3"/>
  </mergeCells>
  <conditionalFormatting sqref="L4:T38 V4:AP38 L39:AP40 L41:T41 V41:AP41 L42:AP44">
    <cfRule type="expression" dxfId="199" priority="15">
      <formula>"OR(K4=""T中"", K4=""中"", K4=2, K4=""小夜"")"</formula>
    </cfRule>
    <cfRule type="expression" dxfId="198" priority="16">
      <formula>OR(L4="T早", L4="早", L4="M1", L4=1, L4="日")</formula>
    </cfRule>
    <cfRule type="expression" dxfId="197" priority="13">
      <formula>OR(     SUM(COUNTIF(L4:R4, 上班代號)) &gt; 6,     AND(COLUMN()&gt;11, OR(         AND(SUM(COUNTIF(OFFSET(L4,0,-1), 中班組)), SUM(COUNTIF(L4, 早班組), COUNTIF(L4, 晚班組))),         AND(SUM(COUNTIF(OFFSET(L4,0,-1), 早班組)), SUM(COUNTIF(L4, 晚班組)))     )) )</formula>
    </cfRule>
    <cfRule type="expression" dxfId="196" priority="14">
      <formula>OR(L4="晚", L4=3, L4="大夜")</formula>
    </cfRule>
  </conditionalFormatting>
  <conditionalFormatting sqref="L45:AP53">
    <cfRule type="cellIs" dxfId="195" priority="1246" operator="equal">
      <formula>3</formula>
    </cfRule>
    <cfRule type="cellIs" dxfId="194" priority="1244" operator="equal">
      <formula>5</formula>
    </cfRule>
    <cfRule type="cellIs" dxfId="193" priority="1245" operator="equal">
      <formula>4</formula>
    </cfRule>
    <cfRule type="cellIs" dxfId="192" priority="1248" operator="equal">
      <formula>1</formula>
    </cfRule>
    <cfRule type="cellIs" dxfId="191" priority="1247" operator="equal">
      <formula>2</formula>
    </cfRule>
  </conditionalFormatting>
  <conditionalFormatting sqref="L51:AP53">
    <cfRule type="cellIs" dxfId="190" priority="1249" operator="equal">
      <formula>"T中"</formula>
    </cfRule>
  </conditionalFormatting>
  <conditionalFormatting sqref="U4:U10 U12:U38">
    <cfRule type="expression" dxfId="189" priority="9">
      <formula>OR(     SUM(COUNTIF(U4:Z4, 上班代號)) &gt; 6,     AND(COLUMN()&gt;11, OR(         AND(SUM(COUNTIF(OFFSET(U4,0,-1), 中班組)), SUM(COUNTIF(U4, 早班組), COUNTIF(U4, 晚班組))),         AND(SUM(COUNTIF(OFFSET(U4,0,-1), 早班組)), SUM(COUNTIF(U4, 晚班組)))     )) )</formula>
    </cfRule>
    <cfRule type="expression" dxfId="188" priority="10">
      <formula>OR(U4="晚", U4=3, U4="大夜")</formula>
    </cfRule>
    <cfRule type="expression" dxfId="187" priority="11">
      <formula>"OR(K4=""T中"", K4=""中"", K4=2, K4=""小夜"")"</formula>
    </cfRule>
    <cfRule type="expression" dxfId="186" priority="12">
      <formula>OR(U4="T早", U4="早", U4="M1", U4=1, U4="日")</formula>
    </cfRule>
  </conditionalFormatting>
  <conditionalFormatting sqref="U11">
    <cfRule type="expression" dxfId="185" priority="2">
      <formula>OR(U11="晚", U11=3, U11="大夜")</formula>
    </cfRule>
    <cfRule type="expression" dxfId="184" priority="3">
      <formula>"OR(K4=""T中"", K4=""中"", K4=2, K4=""小夜"")"</formula>
    </cfRule>
    <cfRule type="expression" dxfId="183" priority="4">
      <formula>OR(U11="T早", U11="早", U11="M1", U11=1, U11="日")</formula>
    </cfRule>
    <cfRule type="expression" dxfId="182" priority="1">
      <formula>OR(     SUM(COUNTIF(U11:AA11, 上班代號)) &gt; 6,     AND(COLUMN()&gt;11, OR(         AND(SUM(COUNTIF(OFFSET(U11,0,-1), 中班組)), SUM(COUNTIF(U11, 早班組), COUNTIF(U11, 晚班組))),         AND(SUM(COUNTIF(OFFSET(U11,0,-1), 早班組)), SUM(COUNTIF(U11, 晚班組)))     )) )</formula>
    </cfRule>
  </conditionalFormatting>
  <conditionalFormatting sqref="U41">
    <cfRule type="expression" dxfId="181" priority="5">
      <formula>OR(     SUM(COUNTIF(U41:Z41, 上班代號)) &gt; 6,     AND(COLUMN()&gt;11, OR(         AND(SUM(COUNTIF(OFFSET(U41,0,-1), 中班組)), SUM(COUNTIF(U41, 早班組), COUNTIF(U41, 晚班組))),         AND(SUM(COUNTIF(OFFSET(U41,0,-1), 早班組)), SUM(COUNTIF(U41, 晚班組)))     )) )</formula>
    </cfRule>
    <cfRule type="expression" dxfId="180" priority="8">
      <formula>OR(U41="T早", U41="早", U41="M1", U41=1, U41="日")</formula>
    </cfRule>
    <cfRule type="expression" dxfId="179" priority="7">
      <formula>"OR(K4=""T中"", K4=""中"", K4=2, K4=""小夜"")"</formula>
    </cfRule>
    <cfRule type="expression" dxfId="178" priority="6">
      <formula>OR(U41="晚", U41=3, U41="大夜")</formula>
    </cfRule>
  </conditionalFormatting>
  <conditionalFormatting sqref="AQ24">
    <cfRule type="cellIs" dxfId="177" priority="1252" operator="equal">
      <formula>"大夜"</formula>
    </cfRule>
    <cfRule type="cellIs" dxfId="176" priority="1253" operator="equal">
      <formula>"晚"</formula>
    </cfRule>
    <cfRule type="cellIs" dxfId="175" priority="1254" operator="equal">
      <formula>3</formula>
    </cfRule>
    <cfRule type="cellIs" dxfId="174" priority="1255" operator="equal">
      <formula>"小夜"</formula>
    </cfRule>
    <cfRule type="cellIs" dxfId="173" priority="1256" operator="equal">
      <formula>"T中"</formula>
    </cfRule>
    <cfRule type="cellIs" dxfId="172" priority="1257" operator="equal">
      <formula>"中"</formula>
    </cfRule>
    <cfRule type="cellIs" dxfId="171" priority="1258" operator="equal">
      <formula>"M2"</formula>
    </cfRule>
    <cfRule type="cellIs" dxfId="170" priority="1259" operator="equal">
      <formula>2</formula>
    </cfRule>
    <cfRule type="cellIs" dxfId="169" priority="1260" operator="equal">
      <formula>"日"</formula>
    </cfRule>
    <cfRule type="cellIs" dxfId="168" priority="1261" operator="equal">
      <formula>"T早"</formula>
    </cfRule>
    <cfRule type="cellIs" dxfId="167" priority="1262" operator="equal">
      <formula>"早"</formula>
    </cfRule>
    <cfRule type="cellIs" dxfId="166" priority="1263" operator="equal">
      <formula>"M1"</formula>
    </cfRule>
    <cfRule type="cellIs" dxfId="165" priority="1264" operator="equal">
      <formula>1</formula>
    </cfRule>
  </conditionalFormatting>
  <conditionalFormatting sqref="AT4:AT44">
    <cfRule type="cellIs" dxfId="164" priority="1250" operator="equal">
      <formula>-2</formula>
    </cfRule>
    <cfRule type="cellIs" dxfId="163" priority="12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795A-D0C5-4A98-8DDA-7DC23E30EE21}">
  <sheetPr>
    <pageSetUpPr fitToPage="1"/>
  </sheetPr>
  <dimension ref="A1:HR18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31" sqref="K3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74" t="str">
        <f>"TPKC剩餘人力："&amp;AR57&amp;" / NK剩餘人力："&amp;AS57&amp;" /  N班人力："&amp;AR52</f>
        <v>TPKC剩餘人力：-1 / NK剩餘人力：0 /  N班人力：62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3" t="s">
        <v>164</v>
      </c>
      <c r="K2" s="219" t="s">
        <v>117</v>
      </c>
      <c r="L2" s="14" t="s">
        <v>111</v>
      </c>
      <c r="M2" s="9" t="s">
        <v>112</v>
      </c>
      <c r="N2" s="9" t="s">
        <v>113</v>
      </c>
      <c r="O2" s="9" t="s">
        <v>114</v>
      </c>
      <c r="P2" s="9" t="s">
        <v>115</v>
      </c>
      <c r="Q2" s="10" t="s">
        <v>116</v>
      </c>
      <c r="R2" s="11" t="s">
        <v>117</v>
      </c>
      <c r="S2" s="11" t="s">
        <v>111</v>
      </c>
      <c r="T2" s="12" t="s">
        <v>112</v>
      </c>
      <c r="U2" s="12" t="s">
        <v>113</v>
      </c>
      <c r="V2" s="12" t="s">
        <v>114</v>
      </c>
      <c r="W2" s="12" t="s">
        <v>115</v>
      </c>
      <c r="X2" s="13" t="s">
        <v>116</v>
      </c>
      <c r="Y2" s="14" t="s">
        <v>117</v>
      </c>
      <c r="Z2" s="14" t="s">
        <v>111</v>
      </c>
      <c r="AA2" s="9" t="s">
        <v>112</v>
      </c>
      <c r="AB2" s="9" t="s">
        <v>113</v>
      </c>
      <c r="AC2" s="9" t="s">
        <v>114</v>
      </c>
      <c r="AD2" s="9" t="s">
        <v>115</v>
      </c>
      <c r="AE2" s="10" t="s">
        <v>116</v>
      </c>
      <c r="AF2" s="11" t="s">
        <v>117</v>
      </c>
      <c r="AG2" s="11" t="s">
        <v>111</v>
      </c>
      <c r="AH2" s="12" t="s">
        <v>112</v>
      </c>
      <c r="AI2" s="12" t="s">
        <v>113</v>
      </c>
      <c r="AJ2" s="12" t="s">
        <v>114</v>
      </c>
      <c r="AK2" s="12" t="s">
        <v>115</v>
      </c>
      <c r="AL2" s="13" t="s">
        <v>116</v>
      </c>
      <c r="AM2" s="14" t="s">
        <v>117</v>
      </c>
      <c r="AN2" s="14" t="s">
        <v>111</v>
      </c>
      <c r="AO2" s="225" t="s">
        <v>112</v>
      </c>
      <c r="AR2" s="6"/>
      <c r="AW2" s="471" t="s">
        <v>48</v>
      </c>
      <c r="AX2" s="472"/>
      <c r="AY2" s="473"/>
    </row>
    <row r="3" spans="1:226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4"/>
      <c r="K3" s="220">
        <v>1</v>
      </c>
      <c r="L3" s="221">
        <v>2</v>
      </c>
      <c r="M3" s="60">
        <v>3</v>
      </c>
      <c r="N3" s="63">
        <v>4</v>
      </c>
      <c r="O3" s="63">
        <v>5</v>
      </c>
      <c r="P3" s="63">
        <v>6</v>
      </c>
      <c r="Q3" s="63">
        <v>7</v>
      </c>
      <c r="R3" s="221">
        <v>8</v>
      </c>
      <c r="S3" s="221">
        <v>9</v>
      </c>
      <c r="T3" s="63">
        <v>10</v>
      </c>
      <c r="U3" s="63">
        <v>11</v>
      </c>
      <c r="V3" s="63">
        <v>12</v>
      </c>
      <c r="W3" s="63">
        <v>13</v>
      </c>
      <c r="X3" s="63">
        <v>14</v>
      </c>
      <c r="Y3" s="221">
        <v>15</v>
      </c>
      <c r="Z3" s="221">
        <v>16</v>
      </c>
      <c r="AA3" s="63">
        <v>17</v>
      </c>
      <c r="AB3" s="63">
        <v>18</v>
      </c>
      <c r="AC3" s="63">
        <v>19</v>
      </c>
      <c r="AD3" s="63">
        <v>20</v>
      </c>
      <c r="AE3" s="63">
        <v>21</v>
      </c>
      <c r="AF3" s="221">
        <v>22</v>
      </c>
      <c r="AG3" s="221">
        <v>23</v>
      </c>
      <c r="AH3" s="63">
        <v>24</v>
      </c>
      <c r="AI3" s="63">
        <v>25</v>
      </c>
      <c r="AJ3" s="63">
        <v>26</v>
      </c>
      <c r="AK3" s="63">
        <v>27</v>
      </c>
      <c r="AL3" s="63">
        <v>28</v>
      </c>
      <c r="AM3" s="221">
        <v>29</v>
      </c>
      <c r="AN3" s="221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18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5</v>
      </c>
      <c r="G4" s="26">
        <f>COUNTIF(K4:AO4,"Y")</f>
        <v>5</v>
      </c>
      <c r="H4" s="26">
        <f>COUNTIF(K4:AO4,"Z")</f>
        <v>0</v>
      </c>
      <c r="I4" s="27">
        <f t="shared" ref="I4:I45" si="0">SUM(A4:H4)</f>
        <v>31</v>
      </c>
      <c r="J4" s="282" t="s">
        <v>152</v>
      </c>
      <c r="K4" s="389">
        <v>3</v>
      </c>
      <c r="L4" s="235" t="s">
        <v>0</v>
      </c>
      <c r="M4" s="390" t="s">
        <v>40</v>
      </c>
      <c r="N4" s="390" t="s">
        <v>40</v>
      </c>
      <c r="O4" s="390">
        <v>3</v>
      </c>
      <c r="P4" s="390">
        <v>3</v>
      </c>
      <c r="Q4" s="390">
        <v>3</v>
      </c>
      <c r="R4" s="235" t="s">
        <v>52</v>
      </c>
      <c r="S4" s="390">
        <v>3</v>
      </c>
      <c r="T4" s="390">
        <v>3</v>
      </c>
      <c r="U4" s="390">
        <v>3</v>
      </c>
      <c r="V4" s="390">
        <v>3</v>
      </c>
      <c r="W4" s="390">
        <v>3</v>
      </c>
      <c r="X4" s="254" t="s">
        <v>1</v>
      </c>
      <c r="Y4" s="233" t="s">
        <v>52</v>
      </c>
      <c r="Z4" s="233" t="s">
        <v>0</v>
      </c>
      <c r="AA4" s="390">
        <v>3</v>
      </c>
      <c r="AB4" s="390">
        <v>3</v>
      </c>
      <c r="AC4" s="390">
        <v>3</v>
      </c>
      <c r="AD4" s="390">
        <v>3</v>
      </c>
      <c r="AE4" s="235" t="s">
        <v>52</v>
      </c>
      <c r="AF4" s="235">
        <v>1</v>
      </c>
      <c r="AG4" s="235">
        <v>1</v>
      </c>
      <c r="AH4" s="235" t="s">
        <v>0</v>
      </c>
      <c r="AI4" s="390">
        <v>3</v>
      </c>
      <c r="AJ4" s="235" t="s">
        <v>40</v>
      </c>
      <c r="AK4" s="235" t="s">
        <v>52</v>
      </c>
      <c r="AL4" s="235">
        <v>3</v>
      </c>
      <c r="AM4" s="233" t="s">
        <v>52</v>
      </c>
      <c r="AN4" s="233" t="s">
        <v>0</v>
      </c>
      <c r="AO4" s="391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28" t="s">
        <v>126</v>
      </c>
      <c r="AW4" s="6" cm="1">
        <f t="array" ref="AW4">SUMPRODUCT(COUNTIF(K4:L4,{"X";"Y";"Z";"S"}))+SUMPRODUCT(COUNTIF(R4:S4,{"X";"Y";"Z";"S"}))+SUMPRODUCT(COUNTIF(Y4:Z4,{"X";"Y";"Z";"S"}))+SUMPRODUCT(COUNTIF(AF4:AG4,{"X";"Y";"Z";"S"}))+SUMPRODUCT(COUNTIF(AM4:AN4,{"X";"Y";"Z";"S"}))-5</f>
        <v>1</v>
      </c>
      <c r="AX4" s="6">
        <v>5</v>
      </c>
      <c r="AY4" s="6">
        <f>AW4+AX4</f>
        <v>6</v>
      </c>
    </row>
    <row r="5" spans="1:226" ht="25.5" customHeight="1">
      <c r="A5" s="38">
        <f t="shared" ref="A5" si="2">COUNTIF(K5:AO5,1)+COUNTIF(K5:AO5,"早")+COUNTIF(K5:AO5,"M1")+COUNTIF(K5:AO5,"T早")+COUNTIF(K5:AO5,"日")</f>
        <v>2</v>
      </c>
      <c r="B5" s="39">
        <f t="shared" ref="B5" si="3">COUNTIF(K5:AO5,2)+COUNTIF(K5:AO5,"中")+COUNTIF(K5:AO5,"M2")+COUNTIF(K5:AO5,"T中")+COUNTIF(K5:AO5,"小夜")</f>
        <v>9</v>
      </c>
      <c r="C5" s="40">
        <f t="shared" ref="C5" si="4">COUNTIF(K5:AO5,3)+COUNTIF(K5:AO5,"晚")+COUNTIF(K5:AO5,"大夜")</f>
        <v>9</v>
      </c>
      <c r="D5" s="39">
        <f t="shared" ref="D5" si="5">COUNTIF(K5:AO5,"N")+COUNTIF(K5:AO5,"N8")</f>
        <v>0</v>
      </c>
      <c r="E5" s="41">
        <f t="shared" ref="E5" si="6">COUNTIF(K5:AO5,"S")</f>
        <v>1</v>
      </c>
      <c r="F5" s="41">
        <f t="shared" ref="F5" si="7">COUNTIF(K5:AO5,"X")</f>
        <v>5</v>
      </c>
      <c r="G5" s="41">
        <f t="shared" ref="G5" si="8">COUNTIF(K5:AO5,"Y")</f>
        <v>5</v>
      </c>
      <c r="H5" s="41">
        <f t="shared" ref="H5" si="9">COUNTIF(K5:AO5,"Z")</f>
        <v>0</v>
      </c>
      <c r="I5" s="42">
        <f t="shared" si="0"/>
        <v>31</v>
      </c>
      <c r="J5" s="208" t="s">
        <v>2</v>
      </c>
      <c r="K5" s="237" t="s">
        <v>52</v>
      </c>
      <c r="L5" s="239" t="s">
        <v>0</v>
      </c>
      <c r="M5" s="234" t="s">
        <v>0</v>
      </c>
      <c r="N5" s="259">
        <v>2</v>
      </c>
      <c r="O5" s="259">
        <v>2</v>
      </c>
      <c r="P5" s="259">
        <v>2</v>
      </c>
      <c r="Q5" s="259">
        <v>2</v>
      </c>
      <c r="R5" s="259">
        <v>2</v>
      </c>
      <c r="S5" s="259">
        <v>2</v>
      </c>
      <c r="T5" s="238" t="s">
        <v>52</v>
      </c>
      <c r="U5" s="238" t="s">
        <v>38</v>
      </c>
      <c r="V5" s="238" t="s">
        <v>38</v>
      </c>
      <c r="W5" s="238" t="s">
        <v>38</v>
      </c>
      <c r="X5" s="234" t="s">
        <v>0</v>
      </c>
      <c r="Y5" s="239" t="s">
        <v>52</v>
      </c>
      <c r="Z5" s="239" t="s">
        <v>0</v>
      </c>
      <c r="AA5" s="234" t="s">
        <v>1</v>
      </c>
      <c r="AB5" s="238" t="s">
        <v>36</v>
      </c>
      <c r="AC5" s="238" t="s">
        <v>36</v>
      </c>
      <c r="AD5" s="238" t="s">
        <v>52</v>
      </c>
      <c r="AE5" s="259">
        <v>3</v>
      </c>
      <c r="AF5" s="259">
        <v>3</v>
      </c>
      <c r="AG5" s="259">
        <v>3</v>
      </c>
      <c r="AH5" s="259">
        <v>3</v>
      </c>
      <c r="AI5" s="238" t="s">
        <v>52</v>
      </c>
      <c r="AJ5" s="259">
        <v>3</v>
      </c>
      <c r="AK5" s="259">
        <v>3</v>
      </c>
      <c r="AL5" s="392">
        <v>3</v>
      </c>
      <c r="AM5" s="259">
        <v>3</v>
      </c>
      <c r="AN5" s="259">
        <v>3</v>
      </c>
      <c r="AO5" s="261" t="s">
        <v>0</v>
      </c>
      <c r="AP5" s="45">
        <v>0</v>
      </c>
      <c r="AQ5" s="46">
        <f t="shared" si="1"/>
        <v>0</v>
      </c>
      <c r="AR5" s="46">
        <v>0</v>
      </c>
      <c r="AS5" s="134">
        <f t="shared" ref="AS5:AS16" si="10">SUM(AP5:AR5)</f>
        <v>0</v>
      </c>
      <c r="AT5" s="329" t="s">
        <v>128</v>
      </c>
    </row>
    <row r="6" spans="1:226" ht="25.5" customHeight="1">
      <c r="A6" s="38">
        <f t="shared" ref="A6:A16" si="11">COUNTIF(K6:AO6,1)+COUNTIF(K6:AO6,"早")+COUNTIF(K6:AO6,"M1")+COUNTIF(K6:AO6,"T早")+COUNTIF(K6:AO6,"日")</f>
        <v>10</v>
      </c>
      <c r="B6" s="39">
        <f t="shared" ref="B6:B16" si="12">COUNTIF(K6:AO6,2)+COUNTIF(K6:AO6,"中")+COUNTIF(K6:AO6,"M2")+COUNTIF(K6:AO6,"T中")+COUNTIF(K6:AO6,"小夜")</f>
        <v>0</v>
      </c>
      <c r="C6" s="40">
        <f t="shared" ref="C6:C16" si="13">COUNTIF(K6:AO6,3)+COUNTIF(K6:AO6,"晚")+COUNTIF(K6:AO6,"大夜")</f>
        <v>0</v>
      </c>
      <c r="D6" s="39">
        <f t="shared" ref="D6:D16" si="14">COUNTIF(K6:AO6,"N")+COUNTIF(K6:AO6,"N8")</f>
        <v>6</v>
      </c>
      <c r="E6" s="41">
        <f t="shared" ref="E6:E16" si="15">COUNTIF(K6:AO6,"S")</f>
        <v>5</v>
      </c>
      <c r="F6" s="41">
        <f t="shared" ref="F6:F16" si="16">COUNTIF(K6:AO6,"X")</f>
        <v>5</v>
      </c>
      <c r="G6" s="41">
        <f t="shared" ref="G6:G16" si="17">COUNTIF(K6:AO6,"Y")</f>
        <v>5</v>
      </c>
      <c r="H6" s="41">
        <f t="shared" ref="H6:H16" si="18">COUNTIF(K6:AO6,"Z")</f>
        <v>0</v>
      </c>
      <c r="I6" s="42">
        <f t="shared" ref="I6:I16" si="19">SUM(A6:H6)</f>
        <v>31</v>
      </c>
      <c r="J6" s="209" t="s">
        <v>129</v>
      </c>
      <c r="K6" s="237" t="s">
        <v>52</v>
      </c>
      <c r="L6" s="239" t="s">
        <v>0</v>
      </c>
      <c r="M6" s="242" t="s">
        <v>3</v>
      </c>
      <c r="N6" s="242" t="s">
        <v>3</v>
      </c>
      <c r="O6" s="242" t="s">
        <v>3</v>
      </c>
      <c r="P6" s="238" t="s">
        <v>0</v>
      </c>
      <c r="Q6" s="259">
        <v>1</v>
      </c>
      <c r="R6" s="259">
        <v>1</v>
      </c>
      <c r="S6" s="238" t="s">
        <v>52</v>
      </c>
      <c r="T6" s="238" t="s">
        <v>36</v>
      </c>
      <c r="U6" s="238" t="s">
        <v>36</v>
      </c>
      <c r="V6" s="259">
        <v>1</v>
      </c>
      <c r="W6" s="259">
        <v>1</v>
      </c>
      <c r="X6" s="259">
        <v>1</v>
      </c>
      <c r="Y6" s="239" t="s">
        <v>52</v>
      </c>
      <c r="Z6" s="239" t="s">
        <v>0</v>
      </c>
      <c r="AA6" s="242" t="s">
        <v>3</v>
      </c>
      <c r="AB6" s="238" t="s">
        <v>3</v>
      </c>
      <c r="AC6" s="238" t="s">
        <v>36</v>
      </c>
      <c r="AD6" s="238" t="s">
        <v>3</v>
      </c>
      <c r="AE6" s="234" t="s">
        <v>0</v>
      </c>
      <c r="AF6" s="239" t="s">
        <v>52</v>
      </c>
      <c r="AG6" s="234" t="s">
        <v>1</v>
      </c>
      <c r="AH6" s="234" t="s">
        <v>1</v>
      </c>
      <c r="AI6" s="234" t="s">
        <v>1</v>
      </c>
      <c r="AJ6" s="234" t="s">
        <v>1</v>
      </c>
      <c r="AK6" s="234" t="s">
        <v>1</v>
      </c>
      <c r="AL6" s="239" t="s">
        <v>0</v>
      </c>
      <c r="AM6" s="238" t="s">
        <v>52</v>
      </c>
      <c r="AN6" s="238" t="s">
        <v>36</v>
      </c>
      <c r="AO6" s="241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329" t="s">
        <v>128</v>
      </c>
      <c r="AW6" s="6" cm="1">
        <f t="array" ref="AW6">SUMPRODUCT(COUNTIF(K6:L6,{"X";"Y";"Z";"S"}))+SUMPRODUCT(COUNTIF(R6:S6,{"X";"Y";"Z";"S"}))+SUMPRODUCT(COUNTIF(Y6:Z6,{"X";"Y";"Z";"S"}))+SUMPRODUCT(COUNTIF(AF6:AG6,{"X";"Y";"Z";"S"}))+SUMPRODUCT(COUNTIF(AM6:AN6,{"X";"Y";"Z";"S"}))-5</f>
        <v>3</v>
      </c>
      <c r="AX6" s="6">
        <v>1</v>
      </c>
      <c r="AY6" s="6">
        <f t="shared" ref="AY6:AY7" si="20">AW6+AX6</f>
        <v>4</v>
      </c>
    </row>
    <row r="7" spans="1:226" ht="25.2" customHeight="1">
      <c r="A7" s="38">
        <f t="shared" si="11"/>
        <v>19</v>
      </c>
      <c r="B7" s="39">
        <f t="shared" si="12"/>
        <v>0</v>
      </c>
      <c r="C7" s="40">
        <f t="shared" si="13"/>
        <v>0</v>
      </c>
      <c r="D7" s="39">
        <f t="shared" si="14"/>
        <v>1</v>
      </c>
      <c r="E7" s="41">
        <f t="shared" si="15"/>
        <v>1</v>
      </c>
      <c r="F7" s="41">
        <f t="shared" si="16"/>
        <v>5</v>
      </c>
      <c r="G7" s="41">
        <f t="shared" si="17"/>
        <v>5</v>
      </c>
      <c r="H7" s="41">
        <f t="shared" si="18"/>
        <v>0</v>
      </c>
      <c r="I7" s="42">
        <f t="shared" si="19"/>
        <v>31</v>
      </c>
      <c r="J7" s="209" t="s">
        <v>130</v>
      </c>
      <c r="K7" s="237" t="s">
        <v>52</v>
      </c>
      <c r="L7" s="239" t="s">
        <v>0</v>
      </c>
      <c r="M7" s="238" t="s">
        <v>36</v>
      </c>
      <c r="N7" s="238" t="s">
        <v>36</v>
      </c>
      <c r="O7" s="238" t="s">
        <v>36</v>
      </c>
      <c r="P7" s="238" t="s">
        <v>0</v>
      </c>
      <c r="Q7" s="259" t="s">
        <v>36</v>
      </c>
      <c r="R7" s="238" t="s">
        <v>36</v>
      </c>
      <c r="S7" s="238" t="s">
        <v>36</v>
      </c>
      <c r="T7" s="238" t="s">
        <v>52</v>
      </c>
      <c r="U7" s="238">
        <v>1</v>
      </c>
      <c r="V7" s="259" t="s">
        <v>36</v>
      </c>
      <c r="W7" s="259" t="s">
        <v>36</v>
      </c>
      <c r="X7" s="238" t="s">
        <v>36</v>
      </c>
      <c r="Y7" s="239" t="s">
        <v>52</v>
      </c>
      <c r="Z7" s="239" t="s">
        <v>0</v>
      </c>
      <c r="AA7" s="259">
        <v>1</v>
      </c>
      <c r="AB7" s="242" t="s">
        <v>3</v>
      </c>
      <c r="AC7" s="238">
        <v>1</v>
      </c>
      <c r="AD7" s="238" t="s">
        <v>0</v>
      </c>
      <c r="AE7" s="259" t="s">
        <v>36</v>
      </c>
      <c r="AF7" s="238" t="s">
        <v>36</v>
      </c>
      <c r="AG7" s="238" t="s">
        <v>36</v>
      </c>
      <c r="AH7" s="234" t="s">
        <v>52</v>
      </c>
      <c r="AI7" s="238" t="s">
        <v>36</v>
      </c>
      <c r="AJ7" s="238" t="s">
        <v>36</v>
      </c>
      <c r="AK7" s="238" t="s">
        <v>36</v>
      </c>
      <c r="AL7" s="259">
        <v>1</v>
      </c>
      <c r="AM7" s="239" t="s">
        <v>52</v>
      </c>
      <c r="AN7" s="234" t="s">
        <v>1</v>
      </c>
      <c r="AO7" s="397" t="s">
        <v>0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329" t="s">
        <v>128</v>
      </c>
      <c r="AW7" s="6" cm="1">
        <f t="array" ref="AW7">SUMPRODUCT(COUNTIF(K7:L7,{"X";"Y";"Z";"S"}))+SUMPRODUCT(COUNTIF(R7:S7,{"X";"Y";"Z";"S"}))+SUMPRODUCT(COUNTIF(Y7:Z7,{"X";"Y";"Z";"S"}))+SUMPRODUCT(COUNTIF(AF7:AG7,{"X";"Y";"Z";"S"}))+SUMPRODUCT(COUNTIF(AM7:AN7,{"X";"Y";"Z";"S"}))-5</f>
        <v>1</v>
      </c>
      <c r="AX7" s="6">
        <v>2</v>
      </c>
      <c r="AY7" s="6">
        <f t="shared" si="20"/>
        <v>3</v>
      </c>
    </row>
    <row r="8" spans="1:226" ht="24" customHeight="1">
      <c r="A8" s="38">
        <f t="shared" si="11"/>
        <v>1</v>
      </c>
      <c r="B8" s="39">
        <f t="shared" si="12"/>
        <v>0</v>
      </c>
      <c r="C8" s="40">
        <f t="shared" si="13"/>
        <v>0</v>
      </c>
      <c r="D8" s="39">
        <f t="shared" si="14"/>
        <v>16</v>
      </c>
      <c r="E8" s="41">
        <f t="shared" si="15"/>
        <v>5</v>
      </c>
      <c r="F8" s="41">
        <f t="shared" si="16"/>
        <v>4</v>
      </c>
      <c r="G8" s="41">
        <f t="shared" si="17"/>
        <v>5</v>
      </c>
      <c r="H8" s="41">
        <f t="shared" si="18"/>
        <v>0</v>
      </c>
      <c r="I8" s="42">
        <f t="shared" si="19"/>
        <v>31</v>
      </c>
      <c r="J8" s="209" t="s">
        <v>132</v>
      </c>
      <c r="K8" s="237" t="s">
        <v>52</v>
      </c>
      <c r="L8" s="239" t="s">
        <v>0</v>
      </c>
      <c r="M8" s="238" t="s">
        <v>3</v>
      </c>
      <c r="N8" s="238" t="s">
        <v>3</v>
      </c>
      <c r="O8" s="238" t="s">
        <v>3</v>
      </c>
      <c r="P8" s="238" t="s">
        <v>3</v>
      </c>
      <c r="Q8" s="238" t="s">
        <v>3</v>
      </c>
      <c r="R8" s="239" t="s">
        <v>52</v>
      </c>
      <c r="S8" s="239" t="s">
        <v>0</v>
      </c>
      <c r="T8" s="234" t="s">
        <v>1</v>
      </c>
      <c r="U8" s="238" t="s">
        <v>3</v>
      </c>
      <c r="V8" s="238" t="s">
        <v>3</v>
      </c>
      <c r="W8" s="238" t="s">
        <v>3</v>
      </c>
      <c r="X8" s="234" t="s">
        <v>1</v>
      </c>
      <c r="Y8" s="239" t="s">
        <v>52</v>
      </c>
      <c r="Z8" s="239" t="s">
        <v>0</v>
      </c>
      <c r="AA8" s="238" t="s">
        <v>3</v>
      </c>
      <c r="AB8" s="238" t="s">
        <v>3</v>
      </c>
      <c r="AC8" s="238" t="s">
        <v>3</v>
      </c>
      <c r="AD8" s="238" t="s">
        <v>3</v>
      </c>
      <c r="AE8" s="259">
        <v>1</v>
      </c>
      <c r="AF8" s="239" t="s">
        <v>52</v>
      </c>
      <c r="AG8" s="239" t="s">
        <v>168</v>
      </c>
      <c r="AH8" s="238" t="s">
        <v>3</v>
      </c>
      <c r="AI8" s="238" t="s">
        <v>3</v>
      </c>
      <c r="AJ8" s="238" t="s">
        <v>3</v>
      </c>
      <c r="AK8" s="234" t="s">
        <v>1</v>
      </c>
      <c r="AL8" s="234" t="s">
        <v>1</v>
      </c>
      <c r="AM8" s="239" t="s">
        <v>52</v>
      </c>
      <c r="AN8" s="239" t="s">
        <v>0</v>
      </c>
      <c r="AO8" s="261" t="s">
        <v>1</v>
      </c>
      <c r="AP8" s="45">
        <v>0</v>
      </c>
      <c r="AQ8" s="46">
        <f t="shared" si="1"/>
        <v>-1</v>
      </c>
      <c r="AR8" s="46">
        <v>0</v>
      </c>
      <c r="AS8" s="134">
        <f t="shared" si="10"/>
        <v>-1</v>
      </c>
      <c r="AT8" s="329" t="s">
        <v>133</v>
      </c>
    </row>
    <row r="9" spans="1:226" s="50" customFormat="1" ht="24.75" customHeight="1">
      <c r="A9" s="38">
        <f t="shared" si="11"/>
        <v>14</v>
      </c>
      <c r="B9" s="39">
        <f t="shared" si="12"/>
        <v>3</v>
      </c>
      <c r="C9" s="40">
        <f t="shared" si="13"/>
        <v>0</v>
      </c>
      <c r="D9" s="39">
        <f t="shared" si="14"/>
        <v>1</v>
      </c>
      <c r="E9" s="41">
        <f t="shared" si="15"/>
        <v>2</v>
      </c>
      <c r="F9" s="41">
        <f t="shared" si="16"/>
        <v>5</v>
      </c>
      <c r="G9" s="41">
        <f t="shared" si="17"/>
        <v>6</v>
      </c>
      <c r="H9" s="41">
        <f t="shared" si="18"/>
        <v>0</v>
      </c>
      <c r="I9" s="42">
        <f t="shared" si="19"/>
        <v>31</v>
      </c>
      <c r="J9" s="209" t="s">
        <v>4</v>
      </c>
      <c r="K9" s="258">
        <v>2</v>
      </c>
      <c r="L9" s="259">
        <v>2</v>
      </c>
      <c r="M9" s="238" t="s">
        <v>52</v>
      </c>
      <c r="N9" s="242" t="s">
        <v>3</v>
      </c>
      <c r="O9" s="259">
        <v>1</v>
      </c>
      <c r="P9" s="238" t="s">
        <v>36</v>
      </c>
      <c r="Q9" s="234" t="s">
        <v>0</v>
      </c>
      <c r="R9" s="239" t="s">
        <v>52</v>
      </c>
      <c r="S9" s="239" t="s">
        <v>0</v>
      </c>
      <c r="T9" s="238" t="s">
        <v>36</v>
      </c>
      <c r="U9" s="238" t="s">
        <v>36</v>
      </c>
      <c r="V9" s="238" t="s">
        <v>36</v>
      </c>
      <c r="W9" s="234" t="s">
        <v>1</v>
      </c>
      <c r="X9" s="234" t="s">
        <v>52</v>
      </c>
      <c r="Y9" s="238">
        <v>2</v>
      </c>
      <c r="Z9" s="238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36</v>
      </c>
      <c r="AF9" s="239" t="s">
        <v>52</v>
      </c>
      <c r="AG9" s="239" t="s">
        <v>0</v>
      </c>
      <c r="AH9" s="259">
        <v>1</v>
      </c>
      <c r="AI9" s="259">
        <v>1</v>
      </c>
      <c r="AJ9" s="259">
        <v>1</v>
      </c>
      <c r="AK9" s="238" t="s">
        <v>0</v>
      </c>
      <c r="AL9" s="234" t="s">
        <v>154</v>
      </c>
      <c r="AM9" s="239" t="s">
        <v>52</v>
      </c>
      <c r="AN9" s="239" t="s">
        <v>0</v>
      </c>
      <c r="AO9" s="241" t="s">
        <v>36</v>
      </c>
      <c r="AP9" s="45">
        <v>-1</v>
      </c>
      <c r="AQ9" s="46">
        <f t="shared" si="1"/>
        <v>1</v>
      </c>
      <c r="AR9" s="46">
        <v>0</v>
      </c>
      <c r="AS9" s="134">
        <f t="shared" si="10"/>
        <v>0</v>
      </c>
      <c r="AT9" s="329" t="s">
        <v>126</v>
      </c>
      <c r="AU9" s="6"/>
      <c r="AV9" s="6"/>
      <c r="AW9" s="6" cm="1">
        <f t="array" ref="AW9">SUMPRODUCT(COUNTIF(K9:L9,{"X";"Y";"Z";"S"}))+SUMPRODUCT(COUNTIF(R9:S9,{"X";"Y";"Z";"S"}))+SUMPRODUCT(COUNTIF(Y9:Z9,{"X";"Y";"Z";"S"}))+SUMPRODUCT(COUNTIF(AF9:AG9,{"X";"Y";"Z";"S"}))+SUMPRODUCT(COUNTIF(AM9:AN9,{"X";"Y";"Z";"S"}))-5</f>
        <v>2</v>
      </c>
      <c r="AX9" s="6">
        <v>5</v>
      </c>
      <c r="AY9" s="6">
        <f t="shared" ref="AY9:AY13" si="21">AW9+AX9</f>
        <v>7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11"/>
        <v>9</v>
      </c>
      <c r="B10" s="39">
        <f t="shared" si="12"/>
        <v>1</v>
      </c>
      <c r="C10" s="40">
        <f t="shared" si="13"/>
        <v>0</v>
      </c>
      <c r="D10" s="39">
        <f t="shared" si="14"/>
        <v>1</v>
      </c>
      <c r="E10" s="41">
        <f t="shared" si="15"/>
        <v>9</v>
      </c>
      <c r="F10" s="41">
        <f t="shared" si="16"/>
        <v>5</v>
      </c>
      <c r="G10" s="41">
        <f t="shared" si="17"/>
        <v>6</v>
      </c>
      <c r="H10" s="41">
        <f t="shared" si="18"/>
        <v>0</v>
      </c>
      <c r="I10" s="42">
        <f t="shared" si="19"/>
        <v>31</v>
      </c>
      <c r="J10" s="210" t="s">
        <v>134</v>
      </c>
      <c r="K10" s="258">
        <v>1</v>
      </c>
      <c r="L10" s="259">
        <v>1</v>
      </c>
      <c r="M10" s="238">
        <v>1</v>
      </c>
      <c r="N10" s="238" t="s">
        <v>0</v>
      </c>
      <c r="O10" s="234" t="s">
        <v>1</v>
      </c>
      <c r="P10" s="234" t="s">
        <v>1</v>
      </c>
      <c r="Q10" s="234" t="s">
        <v>1</v>
      </c>
      <c r="R10" s="239" t="s">
        <v>52</v>
      </c>
      <c r="S10" s="239" t="s">
        <v>0</v>
      </c>
      <c r="T10" s="234" t="s">
        <v>1</v>
      </c>
      <c r="U10" s="234" t="s">
        <v>1</v>
      </c>
      <c r="V10" s="234" t="s">
        <v>1</v>
      </c>
      <c r="W10" s="234" t="s">
        <v>1</v>
      </c>
      <c r="X10" s="234" t="s">
        <v>1</v>
      </c>
      <c r="Y10" s="239" t="s">
        <v>52</v>
      </c>
      <c r="Z10" s="239" t="s">
        <v>0</v>
      </c>
      <c r="AA10" s="242" t="s">
        <v>3</v>
      </c>
      <c r="AB10" s="259" t="s">
        <v>36</v>
      </c>
      <c r="AC10" s="243">
        <v>2</v>
      </c>
      <c r="AD10" s="238" t="s">
        <v>52</v>
      </c>
      <c r="AE10" s="238" t="s">
        <v>36</v>
      </c>
      <c r="AF10" s="238" t="s">
        <v>36</v>
      </c>
      <c r="AG10" s="238" t="s">
        <v>36</v>
      </c>
      <c r="AH10" s="259" t="s">
        <v>36</v>
      </c>
      <c r="AI10" s="243" t="s">
        <v>52</v>
      </c>
      <c r="AJ10" s="234" t="s">
        <v>52</v>
      </c>
      <c r="AK10" s="234" t="s">
        <v>1</v>
      </c>
      <c r="AL10" s="234" t="s">
        <v>0</v>
      </c>
      <c r="AM10" s="239" t="s">
        <v>52</v>
      </c>
      <c r="AN10" s="239" t="s">
        <v>0</v>
      </c>
      <c r="AO10" s="260" t="s">
        <v>36</v>
      </c>
      <c r="AP10" s="45">
        <v>-1</v>
      </c>
      <c r="AQ10" s="46">
        <f t="shared" si="1"/>
        <v>1</v>
      </c>
      <c r="AR10" s="46">
        <v>0</v>
      </c>
      <c r="AS10" s="134">
        <f t="shared" si="10"/>
        <v>0</v>
      </c>
      <c r="AT10" s="329" t="s">
        <v>128</v>
      </c>
      <c r="AU10" s="6"/>
      <c r="AV10" s="6"/>
      <c r="AW10" s="6" cm="1">
        <f t="array" ref="AW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X10" s="6">
        <v>1</v>
      </c>
      <c r="AY10" s="6">
        <f t="shared" si="21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1"/>
        <v>13</v>
      </c>
      <c r="B11" s="39">
        <f t="shared" si="12"/>
        <v>3</v>
      </c>
      <c r="C11" s="40">
        <f t="shared" si="13"/>
        <v>0</v>
      </c>
      <c r="D11" s="39">
        <f t="shared" si="14"/>
        <v>1</v>
      </c>
      <c r="E11" s="41">
        <f t="shared" si="15"/>
        <v>3</v>
      </c>
      <c r="F11" s="41">
        <f t="shared" si="16"/>
        <v>5</v>
      </c>
      <c r="G11" s="41">
        <f t="shared" si="17"/>
        <v>6</v>
      </c>
      <c r="H11" s="41">
        <f t="shared" si="18"/>
        <v>0</v>
      </c>
      <c r="I11" s="42">
        <f t="shared" si="19"/>
        <v>31</v>
      </c>
      <c r="J11" s="209" t="s">
        <v>6</v>
      </c>
      <c r="K11" s="237" t="s">
        <v>52</v>
      </c>
      <c r="L11" s="239" t="s">
        <v>0</v>
      </c>
      <c r="M11" s="238" t="s">
        <v>0</v>
      </c>
      <c r="N11" s="238" t="s">
        <v>36</v>
      </c>
      <c r="O11" s="238" t="s">
        <v>36</v>
      </c>
      <c r="P11" s="256" t="s">
        <v>5</v>
      </c>
      <c r="Q11" s="234" t="s">
        <v>156</v>
      </c>
      <c r="R11" s="238" t="s">
        <v>36</v>
      </c>
      <c r="S11" s="238" t="s">
        <v>36</v>
      </c>
      <c r="T11" s="256" t="s">
        <v>5</v>
      </c>
      <c r="U11" s="234" t="s">
        <v>52</v>
      </c>
      <c r="V11" s="238">
        <v>1</v>
      </c>
      <c r="W11" s="238" t="s">
        <v>36</v>
      </c>
      <c r="X11" s="238" t="s">
        <v>36</v>
      </c>
      <c r="Y11" s="259">
        <v>2</v>
      </c>
      <c r="Z11" s="259">
        <v>2</v>
      </c>
      <c r="AA11" s="238" t="s">
        <v>52</v>
      </c>
      <c r="AB11" s="238" t="s">
        <v>36</v>
      </c>
      <c r="AC11" s="238" t="s">
        <v>36</v>
      </c>
      <c r="AD11" s="238" t="s">
        <v>3</v>
      </c>
      <c r="AE11" s="234" t="s">
        <v>154</v>
      </c>
      <c r="AF11" s="239" t="s">
        <v>52</v>
      </c>
      <c r="AG11" s="239" t="s">
        <v>0</v>
      </c>
      <c r="AH11" s="234" t="s">
        <v>1</v>
      </c>
      <c r="AI11" s="238" t="s">
        <v>52</v>
      </c>
      <c r="AJ11" s="238" t="s">
        <v>36</v>
      </c>
      <c r="AK11" s="256" t="s">
        <v>5</v>
      </c>
      <c r="AL11" s="234" t="s">
        <v>154</v>
      </c>
      <c r="AM11" s="238" t="s">
        <v>52</v>
      </c>
      <c r="AN11" s="259">
        <v>2</v>
      </c>
      <c r="AO11" s="261" t="s">
        <v>0</v>
      </c>
      <c r="AP11" s="45">
        <v>-1</v>
      </c>
      <c r="AQ11" s="46">
        <f t="shared" si="1"/>
        <v>1</v>
      </c>
      <c r="AR11" s="46">
        <v>0</v>
      </c>
      <c r="AS11" s="134">
        <f t="shared" si="10"/>
        <v>0</v>
      </c>
      <c r="AT11" s="329" t="s">
        <v>126</v>
      </c>
      <c r="AU11" s="6"/>
      <c r="AV11" s="6"/>
      <c r="AW11" s="6" cm="1">
        <f t="array" ref="AW11">SUMPRODUCT(COUNTIF(K11:L11,{"X";"Y";"Z";"S"}))+SUMPRODUCT(COUNTIF(R11:S11,{"X";"Y";"Z";"S"}))+SUMPRODUCT(COUNTIF(Y11:Z11,{"X";"Y";"Z";"S"}))+SUMPRODUCT(COUNTIF(AF11:AG11,{"X";"Y";"Z";"S"}))+SUMPRODUCT(COUNTIF(AM11:AN11,{"X";"Y";"Z";"S"}))-5</f>
        <v>0</v>
      </c>
      <c r="AX11" s="6">
        <v>4</v>
      </c>
      <c r="AY11" s="6">
        <f t="shared" si="21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11"/>
        <v>19</v>
      </c>
      <c r="B12" s="39">
        <f t="shared" si="12"/>
        <v>2</v>
      </c>
      <c r="C12" s="40">
        <f t="shared" si="13"/>
        <v>0</v>
      </c>
      <c r="D12" s="39">
        <f t="shared" si="14"/>
        <v>0</v>
      </c>
      <c r="E12" s="41">
        <f t="shared" si="15"/>
        <v>0</v>
      </c>
      <c r="F12" s="41">
        <f t="shared" si="16"/>
        <v>5</v>
      </c>
      <c r="G12" s="41">
        <f t="shared" si="17"/>
        <v>5</v>
      </c>
      <c r="H12" s="41">
        <f t="shared" si="18"/>
        <v>0</v>
      </c>
      <c r="I12" s="42">
        <f t="shared" si="19"/>
        <v>31</v>
      </c>
      <c r="J12" s="209" t="s">
        <v>135</v>
      </c>
      <c r="K12" s="237" t="s">
        <v>52</v>
      </c>
      <c r="L12" s="239" t="s">
        <v>0</v>
      </c>
      <c r="M12" s="259">
        <v>1</v>
      </c>
      <c r="N12" s="238" t="s">
        <v>36</v>
      </c>
      <c r="O12" s="238" t="s">
        <v>36</v>
      </c>
      <c r="P12" s="238" t="s">
        <v>52</v>
      </c>
      <c r="Q12" s="238" t="s">
        <v>36</v>
      </c>
      <c r="R12" s="238">
        <v>1</v>
      </c>
      <c r="S12" s="259">
        <v>1</v>
      </c>
      <c r="T12" s="238" t="s">
        <v>0</v>
      </c>
      <c r="U12" s="238" t="s">
        <v>36</v>
      </c>
      <c r="V12" s="238" t="s">
        <v>36</v>
      </c>
      <c r="W12" s="238" t="s">
        <v>36</v>
      </c>
      <c r="X12" s="238" t="s">
        <v>36</v>
      </c>
      <c r="Y12" s="239" t="s">
        <v>52</v>
      </c>
      <c r="Z12" s="239" t="s">
        <v>0</v>
      </c>
      <c r="AA12" s="238" t="s">
        <v>36</v>
      </c>
      <c r="AB12" s="238">
        <v>1</v>
      </c>
      <c r="AC12" s="238" t="s">
        <v>52</v>
      </c>
      <c r="AD12" s="238" t="s">
        <v>36</v>
      </c>
      <c r="AE12" s="238" t="s">
        <v>36</v>
      </c>
      <c r="AF12" s="259">
        <v>2</v>
      </c>
      <c r="AG12" s="259">
        <v>2</v>
      </c>
      <c r="AH12" s="238" t="s">
        <v>0</v>
      </c>
      <c r="AI12" s="238" t="s">
        <v>36</v>
      </c>
      <c r="AJ12" s="238" t="s">
        <v>36</v>
      </c>
      <c r="AK12" s="238" t="s">
        <v>36</v>
      </c>
      <c r="AL12" s="238" t="s">
        <v>36</v>
      </c>
      <c r="AM12" s="239" t="s">
        <v>52</v>
      </c>
      <c r="AN12" s="239" t="s">
        <v>0</v>
      </c>
      <c r="AO12" s="260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329" t="s">
        <v>128</v>
      </c>
      <c r="AU12" s="6"/>
      <c r="AV12" s="6"/>
      <c r="AW12" s="6" cm="1">
        <f t="array" ref="AW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X12" s="6">
        <v>1</v>
      </c>
      <c r="AY12" s="6">
        <f t="shared" si="21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11"/>
        <v>15</v>
      </c>
      <c r="B13" s="39">
        <f t="shared" si="12"/>
        <v>1</v>
      </c>
      <c r="C13" s="40">
        <f t="shared" si="13"/>
        <v>0</v>
      </c>
      <c r="D13" s="39">
        <f t="shared" si="14"/>
        <v>3</v>
      </c>
      <c r="E13" s="41">
        <f t="shared" si="15"/>
        <v>2</v>
      </c>
      <c r="F13" s="41">
        <f t="shared" si="16"/>
        <v>5</v>
      </c>
      <c r="G13" s="41">
        <f t="shared" si="17"/>
        <v>5</v>
      </c>
      <c r="H13" s="41">
        <f t="shared" si="18"/>
        <v>0</v>
      </c>
      <c r="I13" s="42">
        <f t="shared" si="19"/>
        <v>31</v>
      </c>
      <c r="J13" s="210" t="s">
        <v>136</v>
      </c>
      <c r="K13" s="237" t="s">
        <v>52</v>
      </c>
      <c r="L13" s="239" t="s">
        <v>0</v>
      </c>
      <c r="M13" s="242" t="s">
        <v>3</v>
      </c>
      <c r="N13" s="256" t="s">
        <v>162</v>
      </c>
      <c r="O13" s="234" t="s">
        <v>1</v>
      </c>
      <c r="P13" s="234" t="s">
        <v>1</v>
      </c>
      <c r="Q13" s="234" t="s">
        <v>52</v>
      </c>
      <c r="R13" s="238" t="s">
        <v>36</v>
      </c>
      <c r="S13" s="238" t="s">
        <v>36</v>
      </c>
      <c r="T13" s="234" t="s">
        <v>0</v>
      </c>
      <c r="U13" s="256" t="s">
        <v>162</v>
      </c>
      <c r="V13" s="238">
        <v>1</v>
      </c>
      <c r="W13" s="238" t="s">
        <v>36</v>
      </c>
      <c r="X13" s="256" t="s">
        <v>162</v>
      </c>
      <c r="Y13" s="238" t="s">
        <v>52</v>
      </c>
      <c r="Z13" s="238">
        <v>1</v>
      </c>
      <c r="AA13" s="242" t="s">
        <v>3</v>
      </c>
      <c r="AB13" s="242" t="s">
        <v>3</v>
      </c>
      <c r="AC13" s="256" t="s">
        <v>162</v>
      </c>
      <c r="AD13" s="238" t="s">
        <v>36</v>
      </c>
      <c r="AE13" s="256">
        <v>2</v>
      </c>
      <c r="AF13" s="239" t="s">
        <v>52</v>
      </c>
      <c r="AG13" s="239" t="s">
        <v>0</v>
      </c>
      <c r="AH13" s="238" t="s">
        <v>36</v>
      </c>
      <c r="AI13" s="238" t="s">
        <v>36</v>
      </c>
      <c r="AJ13" s="238" t="s">
        <v>52</v>
      </c>
      <c r="AK13" s="238" t="s">
        <v>0</v>
      </c>
      <c r="AL13" s="256" t="s">
        <v>162</v>
      </c>
      <c r="AM13" s="244">
        <v>1</v>
      </c>
      <c r="AN13" s="259">
        <v>1</v>
      </c>
      <c r="AO13" s="261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329" t="s">
        <v>126</v>
      </c>
      <c r="AU13" s="6"/>
      <c r="AV13" s="6"/>
      <c r="AW13" s="6" cm="1">
        <f t="array" ref="AW13">SUMPRODUCT(COUNTIF(K13:L13,{"X";"Y";"Z";"S"}))+SUMPRODUCT(COUNTIF(R13:S13,{"X";"Y";"Z";"S"}))+SUMPRODUCT(COUNTIF(Y13:Z13,{"X";"Y";"Z";"S"}))+SUMPRODUCT(COUNTIF(AF13:AG13,{"X";"Y";"Z";"S"}))+SUMPRODUCT(COUNTIF(AM13:AN13,{"X";"Y";"Z";"S"}))-5</f>
        <v>0</v>
      </c>
      <c r="AX13" s="6">
        <v>4</v>
      </c>
      <c r="AY13" s="6">
        <f t="shared" si="21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1"/>
        <v>0</v>
      </c>
      <c r="B14" s="39">
        <f t="shared" si="12"/>
        <v>13</v>
      </c>
      <c r="C14" s="40">
        <f t="shared" si="13"/>
        <v>3</v>
      </c>
      <c r="D14" s="39">
        <f t="shared" si="14"/>
        <v>2</v>
      </c>
      <c r="E14" s="41">
        <f t="shared" si="15"/>
        <v>2</v>
      </c>
      <c r="F14" s="41">
        <f t="shared" si="16"/>
        <v>5</v>
      </c>
      <c r="G14" s="41">
        <f t="shared" si="17"/>
        <v>6</v>
      </c>
      <c r="H14" s="41">
        <f t="shared" si="18"/>
        <v>0</v>
      </c>
      <c r="I14" s="42">
        <f t="shared" si="19"/>
        <v>31</v>
      </c>
      <c r="J14" s="211" t="s">
        <v>7</v>
      </c>
      <c r="K14" s="237" t="s">
        <v>52</v>
      </c>
      <c r="L14" s="259">
        <v>3</v>
      </c>
      <c r="M14" s="259">
        <v>2</v>
      </c>
      <c r="N14" s="238" t="s">
        <v>0</v>
      </c>
      <c r="O14" s="242" t="s">
        <v>3</v>
      </c>
      <c r="P14" s="238">
        <v>2</v>
      </c>
      <c r="Q14" s="238" t="s">
        <v>52</v>
      </c>
      <c r="R14" s="259">
        <v>3</v>
      </c>
      <c r="S14" s="238" t="s">
        <v>52</v>
      </c>
      <c r="T14" s="259">
        <v>2</v>
      </c>
      <c r="U14" s="259">
        <v>2</v>
      </c>
      <c r="V14" s="259">
        <v>2</v>
      </c>
      <c r="W14" s="259">
        <v>2</v>
      </c>
      <c r="X14" s="259">
        <v>2</v>
      </c>
      <c r="Y14" s="239" t="s">
        <v>52</v>
      </c>
      <c r="Z14" s="259">
        <v>3</v>
      </c>
      <c r="AA14" s="238" t="s">
        <v>0</v>
      </c>
      <c r="AB14" s="242" t="s">
        <v>3</v>
      </c>
      <c r="AC14" s="238" t="s">
        <v>0</v>
      </c>
      <c r="AD14" s="234" t="s">
        <v>0</v>
      </c>
      <c r="AE14" s="234" t="s">
        <v>52</v>
      </c>
      <c r="AF14" s="234" t="s">
        <v>1</v>
      </c>
      <c r="AG14" s="234" t="s">
        <v>1</v>
      </c>
      <c r="AH14" s="259">
        <v>2</v>
      </c>
      <c r="AI14" s="259">
        <v>2</v>
      </c>
      <c r="AJ14" s="259">
        <v>2</v>
      </c>
      <c r="AK14" s="234" t="s">
        <v>52</v>
      </c>
      <c r="AL14" s="238">
        <v>2</v>
      </c>
      <c r="AM14" s="259">
        <v>2</v>
      </c>
      <c r="AN14" s="239" t="s">
        <v>0</v>
      </c>
      <c r="AO14" s="260">
        <v>2</v>
      </c>
      <c r="AP14" s="45">
        <v>-1</v>
      </c>
      <c r="AQ14" s="46">
        <f t="shared" si="1"/>
        <v>1</v>
      </c>
      <c r="AR14" s="46">
        <v>0</v>
      </c>
      <c r="AS14" s="134">
        <f t="shared" si="10"/>
        <v>0</v>
      </c>
      <c r="AT14" s="32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1"/>
        <v>12</v>
      </c>
      <c r="B15" s="39">
        <f t="shared" si="12"/>
        <v>2</v>
      </c>
      <c r="C15" s="40">
        <f t="shared" si="13"/>
        <v>0</v>
      </c>
      <c r="D15" s="39">
        <f t="shared" si="14"/>
        <v>5</v>
      </c>
      <c r="E15" s="41">
        <f t="shared" si="15"/>
        <v>2</v>
      </c>
      <c r="F15" s="41">
        <f t="shared" si="16"/>
        <v>5</v>
      </c>
      <c r="G15" s="41">
        <f t="shared" si="17"/>
        <v>5</v>
      </c>
      <c r="H15" s="41">
        <f t="shared" si="18"/>
        <v>0</v>
      </c>
      <c r="I15" s="42">
        <f t="shared" si="19"/>
        <v>31</v>
      </c>
      <c r="J15" s="209" t="s">
        <v>8</v>
      </c>
      <c r="K15" s="245">
        <v>2</v>
      </c>
      <c r="L15" s="238">
        <v>2</v>
      </c>
      <c r="M15" s="238" t="s">
        <v>52</v>
      </c>
      <c r="N15" s="238">
        <v>1</v>
      </c>
      <c r="O15" s="259" t="s">
        <v>36</v>
      </c>
      <c r="P15" s="256" t="s">
        <v>58</v>
      </c>
      <c r="Q15" s="242" t="s">
        <v>3</v>
      </c>
      <c r="R15" s="239" t="s">
        <v>52</v>
      </c>
      <c r="S15" s="239" t="s">
        <v>0</v>
      </c>
      <c r="T15" s="238" t="s">
        <v>36</v>
      </c>
      <c r="U15" s="238" t="s">
        <v>36</v>
      </c>
      <c r="V15" s="238" t="s">
        <v>0</v>
      </c>
      <c r="W15" s="242" t="s">
        <v>3</v>
      </c>
      <c r="X15" s="238" t="s">
        <v>52</v>
      </c>
      <c r="Y15" s="259">
        <v>1</v>
      </c>
      <c r="Z15" s="259">
        <v>1</v>
      </c>
      <c r="AA15" s="242" t="s">
        <v>3</v>
      </c>
      <c r="AB15" s="242" t="s">
        <v>3</v>
      </c>
      <c r="AC15" s="259">
        <v>1</v>
      </c>
      <c r="AD15" s="256" t="s">
        <v>58</v>
      </c>
      <c r="AE15" s="239" t="s">
        <v>52</v>
      </c>
      <c r="AF15" s="234" t="s">
        <v>1</v>
      </c>
      <c r="AG15" s="234" t="s">
        <v>1</v>
      </c>
      <c r="AH15" s="238" t="s">
        <v>0</v>
      </c>
      <c r="AI15" s="238" t="s">
        <v>52</v>
      </c>
      <c r="AJ15" s="238" t="s">
        <v>0</v>
      </c>
      <c r="AK15" s="256" t="s">
        <v>58</v>
      </c>
      <c r="AL15" s="242" t="s">
        <v>3</v>
      </c>
      <c r="AM15" s="238">
        <v>1</v>
      </c>
      <c r="AN15" s="244">
        <v>1</v>
      </c>
      <c r="AO15" s="397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329" t="s">
        <v>126</v>
      </c>
      <c r="AU15" s="6"/>
      <c r="AV15" s="6"/>
      <c r="AW15" s="6" cm="1">
        <f t="array" ref="AW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X15" s="6">
        <v>5</v>
      </c>
      <c r="AY15" s="6">
        <f t="shared" ref="AY15:AY18" si="22">AW15+AX15</f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11"/>
        <v>15</v>
      </c>
      <c r="B16" s="39">
        <f t="shared" si="12"/>
        <v>2</v>
      </c>
      <c r="C16" s="40">
        <f t="shared" si="13"/>
        <v>0</v>
      </c>
      <c r="D16" s="39">
        <f t="shared" si="14"/>
        <v>4</v>
      </c>
      <c r="E16" s="41">
        <f t="shared" si="15"/>
        <v>0</v>
      </c>
      <c r="F16" s="41">
        <f t="shared" si="16"/>
        <v>5</v>
      </c>
      <c r="G16" s="41">
        <f t="shared" si="17"/>
        <v>5</v>
      </c>
      <c r="H16" s="41">
        <f t="shared" si="18"/>
        <v>0</v>
      </c>
      <c r="I16" s="42">
        <f t="shared" si="19"/>
        <v>31</v>
      </c>
      <c r="J16" s="212" t="s">
        <v>93</v>
      </c>
      <c r="K16" s="237" t="s">
        <v>52</v>
      </c>
      <c r="L16" s="239" t="s">
        <v>0</v>
      </c>
      <c r="M16" s="238" t="s">
        <v>36</v>
      </c>
      <c r="N16" s="259" t="s">
        <v>5</v>
      </c>
      <c r="O16" s="242" t="s">
        <v>3</v>
      </c>
      <c r="P16" s="238" t="s">
        <v>0</v>
      </c>
      <c r="Q16" s="238">
        <v>1</v>
      </c>
      <c r="R16" s="238">
        <v>1</v>
      </c>
      <c r="S16" s="238">
        <v>1</v>
      </c>
      <c r="T16" s="238" t="s">
        <v>52</v>
      </c>
      <c r="U16" s="256" t="s">
        <v>5</v>
      </c>
      <c r="V16" s="242" t="s">
        <v>3</v>
      </c>
      <c r="W16" s="238">
        <v>1</v>
      </c>
      <c r="X16" s="238">
        <v>1</v>
      </c>
      <c r="Y16" s="239" t="s">
        <v>52</v>
      </c>
      <c r="Z16" s="239" t="s">
        <v>0</v>
      </c>
      <c r="AA16" s="238" t="s">
        <v>36</v>
      </c>
      <c r="AB16" s="256" t="s">
        <v>5</v>
      </c>
      <c r="AC16" s="242" t="s">
        <v>3</v>
      </c>
      <c r="AD16" s="256" t="s">
        <v>5</v>
      </c>
      <c r="AE16" s="238" t="s">
        <v>52</v>
      </c>
      <c r="AF16" s="246">
        <v>1</v>
      </c>
      <c r="AG16" s="238">
        <v>1</v>
      </c>
      <c r="AH16" s="238" t="s">
        <v>36</v>
      </c>
      <c r="AI16" s="234" t="s">
        <v>0</v>
      </c>
      <c r="AJ16" s="242" t="s">
        <v>3</v>
      </c>
      <c r="AK16" s="392">
        <v>2</v>
      </c>
      <c r="AL16" s="259" t="s">
        <v>38</v>
      </c>
      <c r="AM16" s="239" t="s">
        <v>52</v>
      </c>
      <c r="AN16" s="239" t="s">
        <v>0</v>
      </c>
      <c r="AO16" s="241" t="s">
        <v>36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329" t="s">
        <v>128</v>
      </c>
      <c r="AU16" s="6"/>
      <c r="AV16" s="6"/>
      <c r="AW16" s="6" cm="1">
        <f t="array" ref="AW16">SUMPRODUCT(COUNTIF(K16:L16,{"X";"Y";"Z";"S"}))+SUMPRODUCT(COUNTIF(R16:S16,{"X";"Y";"Z";"S"}))+SUMPRODUCT(COUNTIF(Y16:Z16,{"X";"Y";"Z";"S"}))+SUMPRODUCT(COUNTIF(AG16:AG16,{"X";"Y";"Z";"S"}))+SUMPRODUCT(COUNTIF(AM16:AN16,{"X";"Y";"Z";"S"}))-5</f>
        <v>1</v>
      </c>
      <c r="AX16" s="6">
        <v>3</v>
      </c>
      <c r="AY16" s="6">
        <f t="shared" si="22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9</v>
      </c>
      <c r="B17" s="55">
        <f>COUNTIF(K17:AO17,2)+COUNTIF(K17:AO17,"中")+COUNTIF(K17:AO17,"M2")+COUNTIF(K17:AO17,"T中")+COUNTIF(K17:AO17,"小夜")</f>
        <v>4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5</v>
      </c>
      <c r="G17" s="17">
        <f>COUNTIF(K17:AO17,"Y")</f>
        <v>6</v>
      </c>
      <c r="H17" s="17">
        <f>COUNTIF(K17:AO17,"Z")</f>
        <v>0</v>
      </c>
      <c r="I17" s="57">
        <f t="shared" si="0"/>
        <v>31</v>
      </c>
      <c r="J17" s="209" t="s">
        <v>9</v>
      </c>
      <c r="K17" s="245" t="s">
        <v>36</v>
      </c>
      <c r="L17" s="238" t="s">
        <v>36</v>
      </c>
      <c r="M17" s="238" t="s">
        <v>36</v>
      </c>
      <c r="N17" s="242" t="s">
        <v>3</v>
      </c>
      <c r="O17" s="238" t="s">
        <v>52</v>
      </c>
      <c r="P17" s="238" t="s">
        <v>36</v>
      </c>
      <c r="Q17" s="238" t="s">
        <v>36</v>
      </c>
      <c r="R17" s="239" t="s">
        <v>52</v>
      </c>
      <c r="S17" s="239" t="s">
        <v>0</v>
      </c>
      <c r="T17" s="234" t="s">
        <v>1</v>
      </c>
      <c r="U17" s="238" t="s">
        <v>0</v>
      </c>
      <c r="V17" s="238" t="s">
        <v>52</v>
      </c>
      <c r="W17" s="238" t="s">
        <v>52</v>
      </c>
      <c r="X17" s="259">
        <v>3</v>
      </c>
      <c r="Y17" s="259">
        <v>3</v>
      </c>
      <c r="Z17" s="238" t="s">
        <v>0</v>
      </c>
      <c r="AA17" s="259">
        <v>2</v>
      </c>
      <c r="AB17" s="259">
        <v>2</v>
      </c>
      <c r="AC17" s="259">
        <v>2</v>
      </c>
      <c r="AD17" s="259">
        <v>2</v>
      </c>
      <c r="AE17" s="239" t="s">
        <v>52</v>
      </c>
      <c r="AF17" s="234" t="s">
        <v>1</v>
      </c>
      <c r="AG17" s="239" t="s">
        <v>0</v>
      </c>
      <c r="AH17" s="238" t="s">
        <v>0</v>
      </c>
      <c r="AI17" s="393" t="s">
        <v>41</v>
      </c>
      <c r="AJ17" s="238">
        <v>1</v>
      </c>
      <c r="AK17" s="238" t="s">
        <v>36</v>
      </c>
      <c r="AL17" s="238" t="s">
        <v>36</v>
      </c>
      <c r="AM17" s="238" t="s">
        <v>36</v>
      </c>
      <c r="AN17" s="238" t="s">
        <v>52</v>
      </c>
      <c r="AO17" s="260">
        <v>3</v>
      </c>
      <c r="AP17" s="45">
        <v>-1</v>
      </c>
      <c r="AQ17" s="46">
        <f t="shared" si="1"/>
        <v>1</v>
      </c>
      <c r="AR17" s="46">
        <v>0</v>
      </c>
      <c r="AS17" s="134">
        <f>SUM(AP17:AR17)</f>
        <v>0</v>
      </c>
      <c r="AT17" s="329" t="s">
        <v>126</v>
      </c>
      <c r="AW17" s="6" cm="1">
        <f t="array" ref="AW17">SUMPRODUCT(COUNTIF(K17:L17,{"X";"Y";"Z";"S"}))+SUMPRODUCT(COUNTIF(R17:S17,{"X";"Y";"Z";"S"}))+SUMPRODUCT(COUNTIF(Y17:Z17,{"X";"Y";"Z";"S"}))+SUMPRODUCT(COUNTIF(AF17:AG17,{"X";"Y";"Z";"S"}))+SUMPRODUCT(COUNTIF(AM17:AN17,{"X";"Y";"Z";"S"}))-5</f>
        <v>1</v>
      </c>
      <c r="AX17" s="6">
        <v>5</v>
      </c>
      <c r="AY17" s="6">
        <f t="shared" si="22"/>
        <v>6</v>
      </c>
    </row>
    <row r="18" spans="1:226" ht="25.5" customHeight="1" thickBot="1">
      <c r="A18" s="38">
        <f t="shared" ref="A18:A38" si="23">COUNTIF(K18:AO18,1)+COUNTIF(K18:AO18,"早")+COUNTIF(K18:AO18,"M1")+COUNTIF(K18:AO18,"T早")+COUNTIF(K18:AO18,"日")</f>
        <v>14</v>
      </c>
      <c r="B18" s="39">
        <f t="shared" ref="B18:B38" si="24">COUNTIF(K18:AO18,2)+COUNTIF(K18:AO18,"中")+COUNTIF(K18:AO18,"M2")+COUNTIF(K18:AO18,"T中")+COUNTIF(K18:AO18,"小夜")</f>
        <v>0</v>
      </c>
      <c r="C18" s="40">
        <f t="shared" ref="C18:C38" si="25">COUNTIF(K18:AO18,3)+COUNTIF(K18:AO18,"晚")+COUNTIF(K18:AO18,"大夜")</f>
        <v>0</v>
      </c>
      <c r="D18" s="39">
        <f t="shared" ref="D18:D38" si="26">COUNTIF(K18:AO18,"N")+COUNTIF(K18:AO18,"N8")</f>
        <v>2</v>
      </c>
      <c r="E18" s="41">
        <f t="shared" ref="E18:E38" si="27">COUNTIF(K18:AO18,"S")</f>
        <v>4</v>
      </c>
      <c r="F18" s="41">
        <f t="shared" ref="F18:F38" si="28">COUNTIF(K18:AO18,"X")</f>
        <v>5</v>
      </c>
      <c r="G18" s="41">
        <f t="shared" ref="G18:G38" si="29">COUNTIF(K18:AO18,"Y")</f>
        <v>6</v>
      </c>
      <c r="H18" s="41">
        <f t="shared" ref="H18:H38" si="30">COUNTIF(K18:AO18,"Z")</f>
        <v>0</v>
      </c>
      <c r="I18" s="42">
        <f t="shared" si="0"/>
        <v>31</v>
      </c>
      <c r="J18" s="224" t="s">
        <v>137</v>
      </c>
      <c r="K18" s="262" t="s">
        <v>52</v>
      </c>
      <c r="L18" s="249" t="s">
        <v>0</v>
      </c>
      <c r="M18" s="263" t="s">
        <v>36</v>
      </c>
      <c r="N18" s="251" t="s">
        <v>1</v>
      </c>
      <c r="O18" s="248" t="s">
        <v>36</v>
      </c>
      <c r="P18" s="248" t="s">
        <v>36</v>
      </c>
      <c r="Q18" s="394" t="s">
        <v>3</v>
      </c>
      <c r="R18" s="248" t="s">
        <v>52</v>
      </c>
      <c r="S18" s="248">
        <v>1</v>
      </c>
      <c r="T18" s="263" t="s">
        <v>36</v>
      </c>
      <c r="U18" s="248" t="s">
        <v>52</v>
      </c>
      <c r="V18" s="248" t="s">
        <v>36</v>
      </c>
      <c r="W18" s="251" t="s">
        <v>1</v>
      </c>
      <c r="X18" s="248" t="s">
        <v>0</v>
      </c>
      <c r="Y18" s="249" t="s">
        <v>52</v>
      </c>
      <c r="Z18" s="249" t="s">
        <v>0</v>
      </c>
      <c r="AA18" s="263" t="s">
        <v>36</v>
      </c>
      <c r="AB18" s="394" t="s">
        <v>3</v>
      </c>
      <c r="AC18" s="248" t="s">
        <v>52</v>
      </c>
      <c r="AD18" s="248" t="s">
        <v>36</v>
      </c>
      <c r="AE18" s="248" t="s">
        <v>36</v>
      </c>
      <c r="AF18" s="263">
        <v>1</v>
      </c>
      <c r="AG18" s="263">
        <v>1</v>
      </c>
      <c r="AH18" s="248" t="s">
        <v>0</v>
      </c>
      <c r="AI18" s="263" t="s">
        <v>36</v>
      </c>
      <c r="AJ18" s="263" t="s">
        <v>36</v>
      </c>
      <c r="AK18" s="248">
        <v>1</v>
      </c>
      <c r="AL18" s="249" t="s">
        <v>52</v>
      </c>
      <c r="AM18" s="251" t="s">
        <v>1</v>
      </c>
      <c r="AN18" s="251" t="s">
        <v>1</v>
      </c>
      <c r="AO18" s="398" t="s">
        <v>0</v>
      </c>
      <c r="AP18" s="385">
        <v>-1</v>
      </c>
      <c r="AQ18" s="386">
        <f t="shared" si="1"/>
        <v>1</v>
      </c>
      <c r="AR18" s="386">
        <v>0</v>
      </c>
      <c r="AS18" s="355">
        <f t="shared" ref="AS18:AS45" si="31">SUM(AP18:AR18)</f>
        <v>0</v>
      </c>
      <c r="AT18" s="387" t="s">
        <v>128</v>
      </c>
      <c r="AW18" s="6" cm="1">
        <f t="array" ref="AW18">SUMPRODUCT(COUNTIF(K18:L18,{"X";"Y";"Z";"S"}))+SUMPRODUCT(COUNTIF(R18:S18,{"X";"Y";"Z";"S"}))+SUMPRODUCT(COUNTIF(Y18:Z18,{"X";"Y";"Z";"S"}))+SUMPRODUCT(COUNTIF(AF18:AG18,{"X";"Y";"Z";"S"}))+SUMPRODUCT(COUNTIF(AM18:AN18,{"X";"Y";"Z";"S"}))-5</f>
        <v>2</v>
      </c>
      <c r="AX18" s="6">
        <v>1</v>
      </c>
      <c r="AY18" s="6">
        <f t="shared" si="22"/>
        <v>3</v>
      </c>
    </row>
    <row r="19" spans="1:226" s="50" customFormat="1" ht="25.2" customHeight="1">
      <c r="A19" s="23">
        <f t="shared" si="23"/>
        <v>3</v>
      </c>
      <c r="B19" s="24">
        <f t="shared" si="24"/>
        <v>15</v>
      </c>
      <c r="C19" s="25">
        <f t="shared" si="25"/>
        <v>0</v>
      </c>
      <c r="D19" s="24">
        <f t="shared" si="26"/>
        <v>0</v>
      </c>
      <c r="E19" s="26">
        <f t="shared" si="27"/>
        <v>3</v>
      </c>
      <c r="F19" s="26">
        <f t="shared" si="28"/>
        <v>5</v>
      </c>
      <c r="G19" s="26">
        <f t="shared" si="29"/>
        <v>5</v>
      </c>
      <c r="H19" s="26">
        <f t="shared" si="30"/>
        <v>0</v>
      </c>
      <c r="I19" s="27">
        <f t="shared" si="0"/>
        <v>31</v>
      </c>
      <c r="J19" s="189" t="s">
        <v>10</v>
      </c>
      <c r="K19" s="395" t="s">
        <v>52</v>
      </c>
      <c r="L19" s="235">
        <v>2</v>
      </c>
      <c r="M19" s="235">
        <v>2</v>
      </c>
      <c r="N19" s="235">
        <v>2</v>
      </c>
      <c r="O19" s="235">
        <v>2</v>
      </c>
      <c r="P19" s="235" t="s">
        <v>0</v>
      </c>
      <c r="Q19" s="235">
        <v>2</v>
      </c>
      <c r="R19" s="235">
        <v>2</v>
      </c>
      <c r="S19" s="235">
        <v>2</v>
      </c>
      <c r="T19" s="254" t="s">
        <v>52</v>
      </c>
      <c r="U19" s="254" t="s">
        <v>1</v>
      </c>
      <c r="V19" s="254" t="s">
        <v>1</v>
      </c>
      <c r="W19" s="254" t="s">
        <v>0</v>
      </c>
      <c r="X19" s="254" t="s">
        <v>0</v>
      </c>
      <c r="Y19" s="235">
        <v>1</v>
      </c>
      <c r="Z19" s="235">
        <v>2</v>
      </c>
      <c r="AA19" s="235">
        <v>2</v>
      </c>
      <c r="AB19" s="235">
        <v>2</v>
      </c>
      <c r="AC19" s="235">
        <v>2</v>
      </c>
      <c r="AD19" s="235" t="s">
        <v>52</v>
      </c>
      <c r="AE19" s="235">
        <v>1</v>
      </c>
      <c r="AF19" s="235">
        <v>2</v>
      </c>
      <c r="AG19" s="235">
        <v>2</v>
      </c>
      <c r="AH19" s="235">
        <v>2</v>
      </c>
      <c r="AI19" s="235" t="s">
        <v>52</v>
      </c>
      <c r="AJ19" s="235">
        <v>1</v>
      </c>
      <c r="AK19" s="235">
        <v>2</v>
      </c>
      <c r="AL19" s="254" t="s">
        <v>52</v>
      </c>
      <c r="AM19" s="254" t="s">
        <v>1</v>
      </c>
      <c r="AN19" s="254" t="s">
        <v>0</v>
      </c>
      <c r="AO19" s="391" t="s">
        <v>0</v>
      </c>
      <c r="AP19" s="313">
        <v>0</v>
      </c>
      <c r="AQ19" s="36">
        <f t="shared" si="1"/>
        <v>0</v>
      </c>
      <c r="AR19" s="36">
        <v>0</v>
      </c>
      <c r="AS19" s="26">
        <f t="shared" si="31"/>
        <v>0</v>
      </c>
      <c r="AT19" s="32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3"/>
        <v>2</v>
      </c>
      <c r="B20" s="39">
        <f t="shared" si="24"/>
        <v>15</v>
      </c>
      <c r="C20" s="40">
        <f t="shared" si="25"/>
        <v>1</v>
      </c>
      <c r="D20" s="39">
        <f t="shared" si="26"/>
        <v>2</v>
      </c>
      <c r="E20" s="41">
        <f t="shared" si="27"/>
        <v>1</v>
      </c>
      <c r="F20" s="41">
        <f t="shared" si="28"/>
        <v>5</v>
      </c>
      <c r="G20" s="41">
        <f t="shared" si="29"/>
        <v>5</v>
      </c>
      <c r="H20" s="41">
        <f t="shared" si="30"/>
        <v>0</v>
      </c>
      <c r="I20" s="42">
        <f t="shared" si="0"/>
        <v>31</v>
      </c>
      <c r="J20" s="190" t="s">
        <v>11</v>
      </c>
      <c r="K20" s="245" t="s">
        <v>38</v>
      </c>
      <c r="L20" s="238" t="s">
        <v>38</v>
      </c>
      <c r="M20" s="238" t="s">
        <v>52</v>
      </c>
      <c r="N20" s="238" t="s">
        <v>38</v>
      </c>
      <c r="O20" s="238" t="s">
        <v>38</v>
      </c>
      <c r="P20" s="238" t="s">
        <v>38</v>
      </c>
      <c r="Q20" s="238" t="s">
        <v>38</v>
      </c>
      <c r="R20" s="239" t="s">
        <v>52</v>
      </c>
      <c r="S20" s="239" t="s">
        <v>0</v>
      </c>
      <c r="T20" s="271" t="s">
        <v>0</v>
      </c>
      <c r="U20" s="234" t="s">
        <v>1</v>
      </c>
      <c r="V20" s="242" t="s">
        <v>3</v>
      </c>
      <c r="W20" s="238" t="s">
        <v>38</v>
      </c>
      <c r="X20" s="238">
        <v>2</v>
      </c>
      <c r="Y20" s="239" t="s">
        <v>52</v>
      </c>
      <c r="Z20" s="239" t="s">
        <v>0</v>
      </c>
      <c r="AA20" s="238" t="s">
        <v>0</v>
      </c>
      <c r="AB20" s="238" t="s">
        <v>36</v>
      </c>
      <c r="AC20" s="238" t="s">
        <v>38</v>
      </c>
      <c r="AD20" s="238" t="s">
        <v>38</v>
      </c>
      <c r="AE20" s="238" t="s">
        <v>38</v>
      </c>
      <c r="AF20" s="238" t="s">
        <v>38</v>
      </c>
      <c r="AG20" s="238" t="s">
        <v>38</v>
      </c>
      <c r="AH20" s="238" t="s">
        <v>52</v>
      </c>
      <c r="AI20" s="238">
        <v>1</v>
      </c>
      <c r="AJ20" s="242" t="s">
        <v>3</v>
      </c>
      <c r="AK20" s="238" t="s">
        <v>38</v>
      </c>
      <c r="AL20" s="238" t="s">
        <v>38</v>
      </c>
      <c r="AM20" s="239" t="s">
        <v>52</v>
      </c>
      <c r="AN20" s="239" t="s">
        <v>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41">
        <f t="shared" si="31"/>
        <v>0</v>
      </c>
      <c r="AT20" s="32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4</v>
      </c>
      <c r="D21" s="39">
        <f>COUNTIF(K21:AO21,"N")+COUNTIF(K21:AO21,"N8")</f>
        <v>1</v>
      </c>
      <c r="E21" s="41">
        <f>COUNTIF(K21:AO21,"S")</f>
        <v>2</v>
      </c>
      <c r="F21" s="41">
        <f>COUNTIF(K21:AO21,"X")</f>
        <v>5</v>
      </c>
      <c r="G21" s="41">
        <f>COUNTIF(K21:AO21,"Y")</f>
        <v>5</v>
      </c>
      <c r="H21" s="41">
        <f>COUNTIF(K21:AO21,"Z")</f>
        <v>0</v>
      </c>
      <c r="I21" s="42">
        <f t="shared" si="0"/>
        <v>31</v>
      </c>
      <c r="J21" s="192" t="s">
        <v>12</v>
      </c>
      <c r="K21" s="237" t="s">
        <v>52</v>
      </c>
      <c r="L21" s="234" t="s">
        <v>1</v>
      </c>
      <c r="M21" s="239" t="s">
        <v>0</v>
      </c>
      <c r="N21" s="238" t="s">
        <v>52</v>
      </c>
      <c r="O21" s="238" t="s">
        <v>40</v>
      </c>
      <c r="P21" s="238" t="s">
        <v>40</v>
      </c>
      <c r="Q21" s="238" t="s">
        <v>0</v>
      </c>
      <c r="R21" s="238" t="s">
        <v>38</v>
      </c>
      <c r="S21" s="238" t="s">
        <v>38</v>
      </c>
      <c r="T21" s="238" t="s">
        <v>52</v>
      </c>
      <c r="U21" s="238">
        <v>2</v>
      </c>
      <c r="V21" s="238">
        <v>2</v>
      </c>
      <c r="W21" s="238">
        <v>2</v>
      </c>
      <c r="X21" s="238" t="s">
        <v>0</v>
      </c>
      <c r="Y21" s="238" t="s">
        <v>36</v>
      </c>
      <c r="Z21" s="238" t="s">
        <v>36</v>
      </c>
      <c r="AA21" s="238" t="s">
        <v>36</v>
      </c>
      <c r="AB21" s="238" t="s">
        <v>0</v>
      </c>
      <c r="AC21" s="242" t="s">
        <v>3</v>
      </c>
      <c r="AD21" s="238">
        <v>2</v>
      </c>
      <c r="AE21" s="238">
        <v>2</v>
      </c>
      <c r="AF21" s="239" t="s">
        <v>52</v>
      </c>
      <c r="AG21" s="234" t="s">
        <v>1</v>
      </c>
      <c r="AH21" s="238" t="s">
        <v>36</v>
      </c>
      <c r="AI21" s="238" t="s">
        <v>36</v>
      </c>
      <c r="AJ21" s="238" t="s">
        <v>36</v>
      </c>
      <c r="AK21" s="238" t="s">
        <v>36</v>
      </c>
      <c r="AL21" s="238" t="s">
        <v>52</v>
      </c>
      <c r="AM21" s="238">
        <v>3</v>
      </c>
      <c r="AN21" s="238">
        <v>3</v>
      </c>
      <c r="AO21" s="397" t="s">
        <v>0</v>
      </c>
      <c r="AP21" s="45">
        <v>0</v>
      </c>
      <c r="AQ21" s="46">
        <f t="shared" si="1"/>
        <v>0</v>
      </c>
      <c r="AR21" s="46">
        <v>0</v>
      </c>
      <c r="AS21" s="41">
        <f t="shared" si="31"/>
        <v>0</v>
      </c>
      <c r="AT21" s="329" t="s">
        <v>126</v>
      </c>
    </row>
    <row r="22" spans="1:226" ht="25.5" customHeight="1">
      <c r="A22" s="38">
        <f t="shared" si="23"/>
        <v>3</v>
      </c>
      <c r="B22" s="39">
        <f t="shared" si="24"/>
        <v>0</v>
      </c>
      <c r="C22" s="40">
        <f t="shared" si="25"/>
        <v>16</v>
      </c>
      <c r="D22" s="39">
        <f t="shared" si="26"/>
        <v>0</v>
      </c>
      <c r="E22" s="41">
        <f t="shared" si="27"/>
        <v>2</v>
      </c>
      <c r="F22" s="41">
        <f t="shared" si="28"/>
        <v>5</v>
      </c>
      <c r="G22" s="41">
        <f t="shared" si="29"/>
        <v>5</v>
      </c>
      <c r="H22" s="41">
        <f t="shared" si="30"/>
        <v>0</v>
      </c>
      <c r="I22" s="42">
        <f t="shared" si="0"/>
        <v>31</v>
      </c>
      <c r="J22" s="190" t="s">
        <v>13</v>
      </c>
      <c r="K22" s="237" t="s">
        <v>52</v>
      </c>
      <c r="L22" s="239" t="s">
        <v>0</v>
      </c>
      <c r="M22" s="238" t="s">
        <v>40</v>
      </c>
      <c r="N22" s="238" t="s">
        <v>40</v>
      </c>
      <c r="O22" s="238" t="s">
        <v>40</v>
      </c>
      <c r="P22" s="238" t="s">
        <v>52</v>
      </c>
      <c r="Q22" s="238">
        <v>3</v>
      </c>
      <c r="R22" s="238">
        <v>3</v>
      </c>
      <c r="S22" s="238">
        <v>3</v>
      </c>
      <c r="T22" s="238" t="s">
        <v>40</v>
      </c>
      <c r="U22" s="238" t="s">
        <v>40</v>
      </c>
      <c r="V22" s="238" t="s">
        <v>0</v>
      </c>
      <c r="W22" s="238" t="s">
        <v>40</v>
      </c>
      <c r="X22" s="238" t="s">
        <v>40</v>
      </c>
      <c r="Y22" s="239" t="s">
        <v>52</v>
      </c>
      <c r="Z22" s="234" t="s">
        <v>1</v>
      </c>
      <c r="AA22" s="239" t="s">
        <v>0</v>
      </c>
      <c r="AB22" s="238" t="s">
        <v>40</v>
      </c>
      <c r="AC22" s="238" t="s">
        <v>40</v>
      </c>
      <c r="AD22" s="238" t="s">
        <v>40</v>
      </c>
      <c r="AE22" s="238" t="s">
        <v>52</v>
      </c>
      <c r="AF22" s="238" t="s">
        <v>36</v>
      </c>
      <c r="AG22" s="238" t="s">
        <v>36</v>
      </c>
      <c r="AH22" s="238" t="s">
        <v>36</v>
      </c>
      <c r="AI22" s="234" t="s">
        <v>1</v>
      </c>
      <c r="AJ22" s="234" t="s">
        <v>0</v>
      </c>
      <c r="AK22" s="238" t="s">
        <v>40</v>
      </c>
      <c r="AL22" s="238" t="s">
        <v>40</v>
      </c>
      <c r="AM22" s="239" t="s">
        <v>52</v>
      </c>
      <c r="AN22" s="239" t="s">
        <v>0</v>
      </c>
      <c r="AO22" s="241">
        <v>3</v>
      </c>
      <c r="AP22" s="45">
        <v>0</v>
      </c>
      <c r="AQ22" s="46">
        <f t="shared" si="1"/>
        <v>0</v>
      </c>
      <c r="AR22" s="46">
        <v>0</v>
      </c>
      <c r="AS22" s="41">
        <f t="shared" si="31"/>
        <v>0</v>
      </c>
      <c r="AT22" s="329" t="s">
        <v>128</v>
      </c>
    </row>
    <row r="23" spans="1:226" s="50" customFormat="1" ht="25.5" customHeight="1">
      <c r="A23" s="38">
        <f t="shared" si="23"/>
        <v>5</v>
      </c>
      <c r="B23" s="39">
        <f t="shared" si="24"/>
        <v>8</v>
      </c>
      <c r="C23" s="40">
        <f t="shared" si="25"/>
        <v>8</v>
      </c>
      <c r="D23" s="39">
        <f t="shared" si="26"/>
        <v>0</v>
      </c>
      <c r="E23" s="41">
        <f t="shared" si="27"/>
        <v>0</v>
      </c>
      <c r="F23" s="41">
        <f t="shared" si="28"/>
        <v>5</v>
      </c>
      <c r="G23" s="41">
        <f t="shared" si="29"/>
        <v>5</v>
      </c>
      <c r="H23" s="41">
        <f t="shared" si="30"/>
        <v>0</v>
      </c>
      <c r="I23" s="42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38</v>
      </c>
      <c r="O23" s="238" t="s">
        <v>52</v>
      </c>
      <c r="P23" s="238" t="s">
        <v>40</v>
      </c>
      <c r="Q23" s="238" t="s">
        <v>40</v>
      </c>
      <c r="R23" s="239" t="s">
        <v>52</v>
      </c>
      <c r="S23" s="239" t="s">
        <v>0</v>
      </c>
      <c r="T23" s="238" t="s">
        <v>0</v>
      </c>
      <c r="U23" s="238" t="s">
        <v>40</v>
      </c>
      <c r="V23" s="238" t="s">
        <v>40</v>
      </c>
      <c r="W23" s="238" t="s">
        <v>0</v>
      </c>
      <c r="X23" s="238" t="s">
        <v>52</v>
      </c>
      <c r="Y23" s="238" t="s">
        <v>36</v>
      </c>
      <c r="Z23" s="238" t="s">
        <v>36</v>
      </c>
      <c r="AA23" s="238" t="s">
        <v>0</v>
      </c>
      <c r="AB23" s="238" t="s">
        <v>40</v>
      </c>
      <c r="AC23" s="238" t="s">
        <v>40</v>
      </c>
      <c r="AD23" s="238" t="s">
        <v>40</v>
      </c>
      <c r="AE23" s="238" t="s">
        <v>40</v>
      </c>
      <c r="AF23" s="239" t="s">
        <v>52</v>
      </c>
      <c r="AG23" s="239" t="s">
        <v>0</v>
      </c>
      <c r="AH23" s="238" t="s">
        <v>38</v>
      </c>
      <c r="AI23" s="238" t="s">
        <v>38</v>
      </c>
      <c r="AJ23" s="238" t="s">
        <v>38</v>
      </c>
      <c r="AK23" s="238" t="s">
        <v>52</v>
      </c>
      <c r="AL23" s="238" t="s">
        <v>36</v>
      </c>
      <c r="AM23" s="238" t="s">
        <v>36</v>
      </c>
      <c r="AN23" s="238" t="s">
        <v>36</v>
      </c>
      <c r="AO23" s="241">
        <v>2</v>
      </c>
      <c r="AP23" s="45">
        <v>0</v>
      </c>
      <c r="AQ23" s="46">
        <f t="shared" si="1"/>
        <v>0</v>
      </c>
      <c r="AR23" s="46">
        <v>0</v>
      </c>
      <c r="AS23" s="41">
        <f t="shared" si="31"/>
        <v>0</v>
      </c>
      <c r="AT23" s="32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3"/>
        <v>13</v>
      </c>
      <c r="B24" s="39">
        <f t="shared" si="24"/>
        <v>0</v>
      </c>
      <c r="C24" s="40">
        <f t="shared" si="25"/>
        <v>0</v>
      </c>
      <c r="D24" s="39">
        <f t="shared" si="26"/>
        <v>8</v>
      </c>
      <c r="E24" s="41">
        <f t="shared" si="27"/>
        <v>0</v>
      </c>
      <c r="F24" s="41">
        <f t="shared" si="28"/>
        <v>5</v>
      </c>
      <c r="G24" s="41">
        <f t="shared" si="29"/>
        <v>5</v>
      </c>
      <c r="H24" s="41">
        <f t="shared" si="30"/>
        <v>0</v>
      </c>
      <c r="I24" s="42">
        <f t="shared" si="0"/>
        <v>31</v>
      </c>
      <c r="J24" s="194" t="s">
        <v>165</v>
      </c>
      <c r="K24" s="237" t="s">
        <v>52</v>
      </c>
      <c r="L24" s="239" t="s">
        <v>0</v>
      </c>
      <c r="M24" s="238">
        <v>1</v>
      </c>
      <c r="N24" s="242" t="s">
        <v>3</v>
      </c>
      <c r="O24" s="238">
        <v>1</v>
      </c>
      <c r="P24" s="238">
        <v>1</v>
      </c>
      <c r="Q24" s="238" t="s">
        <v>3</v>
      </c>
      <c r="R24" s="239" t="s">
        <v>52</v>
      </c>
      <c r="S24" s="239" t="s">
        <v>0</v>
      </c>
      <c r="T24" s="238">
        <v>1</v>
      </c>
      <c r="U24" s="242" t="s">
        <v>3</v>
      </c>
      <c r="V24" s="242" t="s">
        <v>3</v>
      </c>
      <c r="W24" s="238">
        <v>1</v>
      </c>
      <c r="X24" s="238">
        <v>1</v>
      </c>
      <c r="Y24" s="239" t="s">
        <v>52</v>
      </c>
      <c r="Z24" s="239" t="s">
        <v>0</v>
      </c>
      <c r="AA24" s="238">
        <v>1</v>
      </c>
      <c r="AB24" s="242" t="s">
        <v>3</v>
      </c>
      <c r="AC24" s="242" t="s">
        <v>3</v>
      </c>
      <c r="AD24" s="238">
        <v>1</v>
      </c>
      <c r="AE24" s="238" t="s">
        <v>3</v>
      </c>
      <c r="AF24" s="239" t="s">
        <v>52</v>
      </c>
      <c r="AG24" s="239" t="s">
        <v>0</v>
      </c>
      <c r="AH24" s="238">
        <v>1</v>
      </c>
      <c r="AI24" s="238">
        <v>1</v>
      </c>
      <c r="AJ24" s="242" t="s">
        <v>3</v>
      </c>
      <c r="AK24" s="238">
        <v>1</v>
      </c>
      <c r="AL24" s="238">
        <v>1</v>
      </c>
      <c r="AM24" s="239" t="s">
        <v>52</v>
      </c>
      <c r="AN24" s="239" t="s">
        <v>0</v>
      </c>
      <c r="AO24" s="241">
        <v>1</v>
      </c>
      <c r="AP24" s="45">
        <v>0</v>
      </c>
      <c r="AQ24" s="46">
        <f t="shared" si="1"/>
        <v>0</v>
      </c>
      <c r="AR24" s="46">
        <v>0</v>
      </c>
      <c r="AS24" s="41">
        <f t="shared" si="31"/>
        <v>0</v>
      </c>
      <c r="AT24" s="329" t="s">
        <v>133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5.5" customHeight="1">
      <c r="A25" s="38">
        <f>COUNTIF(K25:AO25,1)+COUNTIF(K25:AO25,"早")+COUNTIF(K25:AO25,"M1")+COUNTIF(K25:AO25,"T早")+COUNTIF(K25:AO25,"日")</f>
        <v>9</v>
      </c>
      <c r="B25" s="39">
        <f>COUNTIF(K25:AO25,2)+COUNTIF(K25:AO25,"中")+COUNTIF(K25:AO25,"M2")+COUNTIF(K25:AO25,"T中")+COUNTIF(K25:AO25,"小夜")</f>
        <v>7</v>
      </c>
      <c r="C25" s="40">
        <f>COUNTIF(K25:AO25,3)+COUNTIF(K25:AO25,"晚")+COUNTIF(K25:AO25,"大夜")</f>
        <v>5</v>
      </c>
      <c r="D25" s="39">
        <f>COUNTIF(K25:AO25,"N")+COUNTIF(K25:AO25,"N8")</f>
        <v>0</v>
      </c>
      <c r="E25" s="41">
        <f>COUNTIF(K25:AO25,"S")</f>
        <v>0</v>
      </c>
      <c r="F25" s="41">
        <f>COUNTIF(K25:AO25,"X")</f>
        <v>5</v>
      </c>
      <c r="G25" s="41">
        <f>COUNTIF(K25:AO25,"Y")</f>
        <v>5</v>
      </c>
      <c r="H25" s="41">
        <f>COUNTIF(K25:AO25,"Z")</f>
        <v>0</v>
      </c>
      <c r="I25" s="42">
        <f t="shared" si="0"/>
        <v>31</v>
      </c>
      <c r="J25" s="194" t="s">
        <v>16</v>
      </c>
      <c r="K25" s="245" t="s">
        <v>36</v>
      </c>
      <c r="L25" s="238" t="s">
        <v>36</v>
      </c>
      <c r="M25" s="238" t="s">
        <v>36</v>
      </c>
      <c r="N25" s="238">
        <v>2</v>
      </c>
      <c r="O25" s="238" t="s">
        <v>0</v>
      </c>
      <c r="P25" s="238" t="s">
        <v>36</v>
      </c>
      <c r="Q25" s="238" t="s">
        <v>36</v>
      </c>
      <c r="R25" s="239" t="s">
        <v>52</v>
      </c>
      <c r="S25" s="239" t="s">
        <v>0</v>
      </c>
      <c r="T25" s="234" t="s">
        <v>0</v>
      </c>
      <c r="U25" s="238" t="s">
        <v>40</v>
      </c>
      <c r="V25" s="238" t="s">
        <v>40</v>
      </c>
      <c r="W25" s="238" t="s">
        <v>40</v>
      </c>
      <c r="X25" s="238" t="s">
        <v>52</v>
      </c>
      <c r="Y25" s="238" t="s">
        <v>38</v>
      </c>
      <c r="Z25" s="238" t="s">
        <v>38</v>
      </c>
      <c r="AA25" s="238" t="s">
        <v>38</v>
      </c>
      <c r="AB25" s="238" t="s">
        <v>38</v>
      </c>
      <c r="AC25" s="238" t="s">
        <v>52</v>
      </c>
      <c r="AD25" s="238" t="s">
        <v>38</v>
      </c>
      <c r="AE25" s="238" t="s">
        <v>38</v>
      </c>
      <c r="AF25" s="239" t="s">
        <v>52</v>
      </c>
      <c r="AG25" s="239" t="s">
        <v>0</v>
      </c>
      <c r="AH25" s="238" t="s">
        <v>40</v>
      </c>
      <c r="AI25" s="238" t="s">
        <v>40</v>
      </c>
      <c r="AJ25" s="238" t="s">
        <v>52</v>
      </c>
      <c r="AK25" s="238" t="s">
        <v>0</v>
      </c>
      <c r="AL25" s="238" t="s">
        <v>36</v>
      </c>
      <c r="AM25" s="238" t="s">
        <v>36</v>
      </c>
      <c r="AN25" s="238" t="s">
        <v>36</v>
      </c>
      <c r="AO25" s="241" t="s">
        <v>36</v>
      </c>
      <c r="AP25" s="45">
        <v>0</v>
      </c>
      <c r="AQ25" s="46">
        <f t="shared" si="1"/>
        <v>0</v>
      </c>
      <c r="AR25" s="46">
        <v>0</v>
      </c>
      <c r="AS25" s="41">
        <f t="shared" si="31"/>
        <v>0</v>
      </c>
      <c r="AT25" s="329" t="s">
        <v>126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7" customHeight="1">
      <c r="A26" s="38">
        <f t="shared" ref="A26:A28" si="32">COUNTIF(K26:AO26,1)+COUNTIF(K26:AO26,"早")+COUNTIF(K26:AO26,"M1")+COUNTIF(K26:AO26,"T早")+COUNTIF(K26:AO26,"日")</f>
        <v>4</v>
      </c>
      <c r="B26" s="39">
        <f t="shared" ref="B26:B28" si="33">COUNTIF(K26:AO26,2)+COUNTIF(K26:AO26,"中")+COUNTIF(K26:AO26,"M2")+COUNTIF(K26:AO26,"T中")+COUNTIF(K26:AO26,"小夜")</f>
        <v>1</v>
      </c>
      <c r="C26" s="40">
        <f t="shared" ref="C26:C28" si="34">COUNTIF(K26:AO26,3)+COUNTIF(K26:AO26,"晚")+COUNTIF(K26:AO26,"大夜")</f>
        <v>14</v>
      </c>
      <c r="D26" s="39">
        <f t="shared" ref="D26:D28" si="35">COUNTIF(K26:AO26,"N")+COUNTIF(K26:AO26,"N8")</f>
        <v>2</v>
      </c>
      <c r="E26" s="41">
        <f t="shared" ref="E26:E28" si="36">COUNTIF(K26:AO26,"S")</f>
        <v>0</v>
      </c>
      <c r="F26" s="41">
        <f t="shared" ref="F26:F28" si="37">COUNTIF(K26:AO26,"X")</f>
        <v>5</v>
      </c>
      <c r="G26" s="41">
        <f t="shared" ref="G26:G28" si="38">COUNTIF(K26:AO26,"Y")</f>
        <v>5</v>
      </c>
      <c r="H26" s="41">
        <f t="shared" ref="H26:H28" si="39">COUNTIF(K26:AO26,"Z")</f>
        <v>0</v>
      </c>
      <c r="I26" s="42">
        <f t="shared" si="0"/>
        <v>31</v>
      </c>
      <c r="J26" s="194" t="s">
        <v>139</v>
      </c>
      <c r="K26" s="245">
        <v>2</v>
      </c>
      <c r="L26" s="238" t="s">
        <v>52</v>
      </c>
      <c r="M26" s="238">
        <v>3</v>
      </c>
      <c r="N26" s="238">
        <v>3</v>
      </c>
      <c r="O26" s="238">
        <v>3</v>
      </c>
      <c r="P26" s="238">
        <v>3</v>
      </c>
      <c r="Q26" s="234" t="s">
        <v>0</v>
      </c>
      <c r="R26" s="239" t="s">
        <v>52</v>
      </c>
      <c r="S26" s="239" t="s">
        <v>0</v>
      </c>
      <c r="T26" s="238">
        <v>1</v>
      </c>
      <c r="U26" s="238">
        <v>1</v>
      </c>
      <c r="V26" s="242" t="s">
        <v>3</v>
      </c>
      <c r="W26" s="242" t="s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>
        <v>3</v>
      </c>
      <c r="AE26" s="234" t="s">
        <v>0</v>
      </c>
      <c r="AF26" s="239" t="s">
        <v>52</v>
      </c>
      <c r="AG26" s="239" t="s">
        <v>0</v>
      </c>
      <c r="AH26" s="238">
        <v>3</v>
      </c>
      <c r="AI26" s="238">
        <v>3</v>
      </c>
      <c r="AJ26" s="238">
        <v>3</v>
      </c>
      <c r="AK26" s="238">
        <v>3</v>
      </c>
      <c r="AL26" s="238" t="s">
        <v>52</v>
      </c>
      <c r="AM26" s="238">
        <v>1</v>
      </c>
      <c r="AN26" s="238">
        <v>1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41">
        <f t="shared" si="31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32"/>
        <v>0</v>
      </c>
      <c r="B27" s="39">
        <f t="shared" si="33"/>
        <v>3</v>
      </c>
      <c r="C27" s="40">
        <f t="shared" si="34"/>
        <v>18</v>
      </c>
      <c r="D27" s="39">
        <f t="shared" si="35"/>
        <v>0</v>
      </c>
      <c r="E27" s="41">
        <f t="shared" si="36"/>
        <v>0</v>
      </c>
      <c r="F27" s="41">
        <f t="shared" si="37"/>
        <v>5</v>
      </c>
      <c r="G27" s="41">
        <f t="shared" si="38"/>
        <v>5</v>
      </c>
      <c r="H27" s="41">
        <f t="shared" si="39"/>
        <v>0</v>
      </c>
      <c r="I27" s="42">
        <f t="shared" si="0"/>
        <v>31</v>
      </c>
      <c r="J27" s="194" t="s">
        <v>140</v>
      </c>
      <c r="K27" s="245">
        <v>3</v>
      </c>
      <c r="L27" s="238">
        <v>3</v>
      </c>
      <c r="M27" s="238">
        <v>3</v>
      </c>
      <c r="N27" s="238">
        <v>3</v>
      </c>
      <c r="O27" s="238" t="s">
        <v>0</v>
      </c>
      <c r="P27" s="238">
        <v>3</v>
      </c>
      <c r="Q27" s="238">
        <v>3</v>
      </c>
      <c r="R27" s="239" t="s">
        <v>52</v>
      </c>
      <c r="S27" s="239" t="s">
        <v>0</v>
      </c>
      <c r="T27" s="238">
        <v>3</v>
      </c>
      <c r="U27" s="238">
        <v>3</v>
      </c>
      <c r="V27" s="238">
        <v>3</v>
      </c>
      <c r="W27" s="238">
        <v>3</v>
      </c>
      <c r="X27" s="238">
        <v>3</v>
      </c>
      <c r="Y27" s="239" t="s">
        <v>52</v>
      </c>
      <c r="Z27" s="239" t="s">
        <v>0</v>
      </c>
      <c r="AA27" s="238">
        <v>3</v>
      </c>
      <c r="AB27" s="238">
        <v>3</v>
      </c>
      <c r="AC27" s="238" t="s">
        <v>0</v>
      </c>
      <c r="AD27" s="238" t="s">
        <v>52</v>
      </c>
      <c r="AE27" s="238">
        <v>3</v>
      </c>
      <c r="AF27" s="238">
        <v>3</v>
      </c>
      <c r="AG27" s="238">
        <v>3</v>
      </c>
      <c r="AH27" s="238">
        <v>3</v>
      </c>
      <c r="AI27" s="238" t="s">
        <v>52</v>
      </c>
      <c r="AJ27" s="238">
        <v>2</v>
      </c>
      <c r="AK27" s="240">
        <v>2</v>
      </c>
      <c r="AL27" s="238">
        <v>2</v>
      </c>
      <c r="AM27" s="239" t="s">
        <v>52</v>
      </c>
      <c r="AN27" s="239" t="s">
        <v>0</v>
      </c>
      <c r="AO27" s="241">
        <v>3</v>
      </c>
      <c r="AP27" s="62">
        <v>0</v>
      </c>
      <c r="AQ27" s="46">
        <f t="shared" si="1"/>
        <v>0</v>
      </c>
      <c r="AR27" s="46">
        <v>0</v>
      </c>
      <c r="AS27" s="41">
        <f t="shared" si="31"/>
        <v>0</v>
      </c>
      <c r="AT27" s="329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32"/>
        <v>3</v>
      </c>
      <c r="B28" s="39">
        <f t="shared" si="33"/>
        <v>10</v>
      </c>
      <c r="C28" s="40">
        <f t="shared" si="34"/>
        <v>7</v>
      </c>
      <c r="D28" s="39">
        <f t="shared" si="35"/>
        <v>0</v>
      </c>
      <c r="E28" s="41">
        <f t="shared" si="36"/>
        <v>0</v>
      </c>
      <c r="F28" s="41">
        <f t="shared" si="37"/>
        <v>5</v>
      </c>
      <c r="G28" s="41">
        <f t="shared" si="38"/>
        <v>6</v>
      </c>
      <c r="H28" s="41">
        <f t="shared" si="39"/>
        <v>0</v>
      </c>
      <c r="I28" s="42">
        <f t="shared" si="0"/>
        <v>31</v>
      </c>
      <c r="J28" s="194" t="s">
        <v>19</v>
      </c>
      <c r="K28" s="237" t="s">
        <v>52</v>
      </c>
      <c r="L28" s="239" t="s">
        <v>0</v>
      </c>
      <c r="M28" s="238">
        <v>3</v>
      </c>
      <c r="N28" s="238">
        <v>3</v>
      </c>
      <c r="O28" s="238">
        <v>3</v>
      </c>
      <c r="P28" s="238" t="s">
        <v>52</v>
      </c>
      <c r="Q28" s="234" t="s">
        <v>52</v>
      </c>
      <c r="R28" s="238">
        <v>2</v>
      </c>
      <c r="S28" s="238">
        <v>2</v>
      </c>
      <c r="T28" s="238">
        <v>2</v>
      </c>
      <c r="U28" s="238" t="s">
        <v>0</v>
      </c>
      <c r="V28" s="238">
        <v>2</v>
      </c>
      <c r="W28" s="238">
        <v>2</v>
      </c>
      <c r="X28" s="238">
        <v>2</v>
      </c>
      <c r="Y28" s="239" t="s">
        <v>52</v>
      </c>
      <c r="Z28" s="239" t="s">
        <v>0</v>
      </c>
      <c r="AA28" s="238" t="s">
        <v>0</v>
      </c>
      <c r="AB28" s="238">
        <v>1</v>
      </c>
      <c r="AC28" s="238">
        <v>1</v>
      </c>
      <c r="AD28" s="238">
        <v>2</v>
      </c>
      <c r="AE28" s="238">
        <v>2</v>
      </c>
      <c r="AF28" s="238">
        <v>2</v>
      </c>
      <c r="AG28" s="238">
        <v>2</v>
      </c>
      <c r="AH28" s="238" t="s">
        <v>52</v>
      </c>
      <c r="AI28" s="238">
        <v>3</v>
      </c>
      <c r="AJ28" s="238">
        <v>3</v>
      </c>
      <c r="AK28" s="238">
        <v>3</v>
      </c>
      <c r="AL28" s="238">
        <v>3</v>
      </c>
      <c r="AM28" s="239" t="s">
        <v>52</v>
      </c>
      <c r="AN28" s="239" t="s">
        <v>0</v>
      </c>
      <c r="AO28" s="241">
        <v>1</v>
      </c>
      <c r="AP28" s="62">
        <v>-1</v>
      </c>
      <c r="AQ28" s="46">
        <f t="shared" si="1"/>
        <v>1</v>
      </c>
      <c r="AR28" s="46">
        <v>0</v>
      </c>
      <c r="AS28" s="41">
        <f t="shared" si="31"/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9</v>
      </c>
      <c r="B29" s="39">
        <f>COUNTIF(K29:AO29,2)+COUNTIF(K29:AO29,"中")+COUNTIF(K29:AO29,"M2")+COUNTIF(K29:AO29,"T中")+COUNTIF(K29:AO29,"小夜")</f>
        <v>6</v>
      </c>
      <c r="C29" s="40">
        <f>COUNTIF(K29:AO29,3)+COUNTIF(K29:AO29,"晚")+COUNTIF(K29:AO29,"大夜")</f>
        <v>6</v>
      </c>
      <c r="D29" s="39">
        <f>COUNTIF(K29:AO29,"N")+COUNTIF(K29:AO29,"N8")</f>
        <v>0</v>
      </c>
      <c r="E29" s="41">
        <f>COUNTIF(K29:AO29,"S")</f>
        <v>0</v>
      </c>
      <c r="F29" s="41">
        <f>COUNTIF(K29:AO29,"X")</f>
        <v>5</v>
      </c>
      <c r="G29" s="41">
        <f>COUNTIF(K29:AO29,"Y")</f>
        <v>5</v>
      </c>
      <c r="H29" s="41">
        <f>COUNTIF(K29:AO29,"Z")</f>
        <v>0</v>
      </c>
      <c r="I29" s="42">
        <f t="shared" si="0"/>
        <v>31</v>
      </c>
      <c r="J29" s="194" t="s">
        <v>20</v>
      </c>
      <c r="K29" s="245">
        <v>1</v>
      </c>
      <c r="L29" s="238">
        <v>1</v>
      </c>
      <c r="M29" s="238" t="s">
        <v>0</v>
      </c>
      <c r="N29" s="238">
        <v>1</v>
      </c>
      <c r="O29" s="238">
        <v>1</v>
      </c>
      <c r="P29" s="238">
        <v>1</v>
      </c>
      <c r="Q29" s="238">
        <v>1</v>
      </c>
      <c r="R29" s="239" t="s">
        <v>52</v>
      </c>
      <c r="S29" s="239" t="s">
        <v>0</v>
      </c>
      <c r="T29" s="238">
        <v>3</v>
      </c>
      <c r="U29" s="238">
        <v>3</v>
      </c>
      <c r="V29" s="238">
        <v>3</v>
      </c>
      <c r="W29" s="238">
        <v>3</v>
      </c>
      <c r="X29" s="238" t="s">
        <v>52</v>
      </c>
      <c r="Y29" s="238">
        <v>1</v>
      </c>
      <c r="Z29" s="238">
        <v>1</v>
      </c>
      <c r="AA29" s="238">
        <v>1</v>
      </c>
      <c r="AB29" s="238" t="s">
        <v>0</v>
      </c>
      <c r="AC29" s="238" t="s">
        <v>0</v>
      </c>
      <c r="AD29" s="238">
        <v>3</v>
      </c>
      <c r="AE29" s="238">
        <v>3</v>
      </c>
      <c r="AF29" s="239" t="s">
        <v>52</v>
      </c>
      <c r="AG29" s="239" t="s">
        <v>0</v>
      </c>
      <c r="AH29" s="238">
        <v>2</v>
      </c>
      <c r="AI29" s="238">
        <v>2</v>
      </c>
      <c r="AJ29" s="238">
        <v>2</v>
      </c>
      <c r="AK29" s="238" t="s">
        <v>52</v>
      </c>
      <c r="AL29" s="238">
        <v>2</v>
      </c>
      <c r="AM29" s="238">
        <v>2</v>
      </c>
      <c r="AN29" s="238">
        <v>2</v>
      </c>
      <c r="AO29" s="241" t="s">
        <v>52</v>
      </c>
      <c r="AP29" s="62">
        <v>0</v>
      </c>
      <c r="AQ29" s="46">
        <f t="shared" si="1"/>
        <v>0</v>
      </c>
      <c r="AR29" s="46">
        <v>0</v>
      </c>
      <c r="AS29" s="41">
        <f>SUM(AP29:AR29)</f>
        <v>0</v>
      </c>
      <c r="AT29" s="32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54">
        <f t="shared" ref="A30:A32" si="40">COUNTIF(K30:AO30,1)+COUNTIF(K30:AO30,"早")+COUNTIF(K30:AO30,"M1")+COUNTIF(K30:AO30,"T早")+COUNTIF(K30:AO30,"日")</f>
        <v>6</v>
      </c>
      <c r="B30" s="55">
        <f t="shared" ref="B30:B32" si="41">COUNTIF(K30:AO30,2)+COUNTIF(K30:AO30,"中")+COUNTIF(K30:AO30,"M2")+COUNTIF(K30:AO30,"T中")+COUNTIF(K30:AO30,"小夜")</f>
        <v>14</v>
      </c>
      <c r="C30" s="56">
        <f t="shared" ref="C30:C32" si="42">COUNTIF(K30:AO30,3)+COUNTIF(K30:AO30,"晚")+COUNTIF(K30:AO30,"大夜")</f>
        <v>1</v>
      </c>
      <c r="D30" s="55">
        <f t="shared" ref="D30:D32" si="43">COUNTIF(K30:AO30,"N")+COUNTIF(K30:AO30,"N8")</f>
        <v>0</v>
      </c>
      <c r="E30" s="17">
        <f t="shared" ref="E30:E32" si="44">COUNTIF(K30:AO30,"S")</f>
        <v>0</v>
      </c>
      <c r="F30" s="17">
        <f t="shared" ref="F30:F32" si="45">COUNTIF(K30:AO30,"X")</f>
        <v>5</v>
      </c>
      <c r="G30" s="17">
        <f t="shared" ref="G30:G32" si="46">COUNTIF(K30:AO30,"Y")</f>
        <v>5</v>
      </c>
      <c r="H30" s="17">
        <f t="shared" ref="H30:H32" si="47">COUNTIF(K30:AO30,"Z")</f>
        <v>0</v>
      </c>
      <c r="I30" s="57">
        <f t="shared" si="0"/>
        <v>31</v>
      </c>
      <c r="J30" s="194" t="s">
        <v>21</v>
      </c>
      <c r="K30" s="245">
        <v>1</v>
      </c>
      <c r="L30" s="238">
        <v>1</v>
      </c>
      <c r="M30" s="238">
        <v>2</v>
      </c>
      <c r="N30" s="238" t="s">
        <v>52</v>
      </c>
      <c r="O30" s="238">
        <v>2</v>
      </c>
      <c r="P30" s="238">
        <v>2</v>
      </c>
      <c r="Q30" s="238">
        <v>2</v>
      </c>
      <c r="R30" s="239" t="s">
        <v>52</v>
      </c>
      <c r="S30" s="239" t="s">
        <v>0</v>
      </c>
      <c r="T30" s="238">
        <v>2</v>
      </c>
      <c r="U30" s="238">
        <v>2</v>
      </c>
      <c r="V30" s="238" t="s">
        <v>0</v>
      </c>
      <c r="W30" s="238" t="s">
        <v>52</v>
      </c>
      <c r="X30" s="238">
        <v>3</v>
      </c>
      <c r="Y30" s="238">
        <v>2</v>
      </c>
      <c r="Z30" s="238">
        <v>2</v>
      </c>
      <c r="AA30" s="238">
        <v>2</v>
      </c>
      <c r="AB30" s="238">
        <v>2</v>
      </c>
      <c r="AC30" s="238" t="s">
        <v>0</v>
      </c>
      <c r="AD30" s="238">
        <v>1</v>
      </c>
      <c r="AE30" s="238">
        <v>1</v>
      </c>
      <c r="AF30" s="239" t="s">
        <v>52</v>
      </c>
      <c r="AG30" s="239" t="s">
        <v>0</v>
      </c>
      <c r="AH30" s="238">
        <v>1</v>
      </c>
      <c r="AI30" s="238">
        <v>2</v>
      </c>
      <c r="AJ30" s="238" t="s">
        <v>0</v>
      </c>
      <c r="AK30" s="238" t="s">
        <v>52</v>
      </c>
      <c r="AL30" s="238">
        <v>1</v>
      </c>
      <c r="AM30" s="238">
        <v>2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41">
        <f t="shared" ref="AS30:AS32" si="48">SUM(AP30:AR30)</f>
        <v>0</v>
      </c>
      <c r="AT30" s="329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54">
        <f t="shared" si="40"/>
        <v>21</v>
      </c>
      <c r="B31" s="55">
        <f t="shared" si="41"/>
        <v>0</v>
      </c>
      <c r="C31" s="56">
        <f t="shared" si="42"/>
        <v>0</v>
      </c>
      <c r="D31" s="55">
        <f t="shared" si="43"/>
        <v>0</v>
      </c>
      <c r="E31" s="17">
        <f t="shared" si="44"/>
        <v>0</v>
      </c>
      <c r="F31" s="17">
        <f t="shared" si="45"/>
        <v>5</v>
      </c>
      <c r="G31" s="17">
        <f t="shared" si="46"/>
        <v>5</v>
      </c>
      <c r="H31" s="17">
        <f t="shared" si="47"/>
        <v>0</v>
      </c>
      <c r="I31" s="57">
        <f t="shared" si="0"/>
        <v>31</v>
      </c>
      <c r="J31" s="194" t="s">
        <v>166</v>
      </c>
      <c r="K31" s="237" t="s">
        <v>52</v>
      </c>
      <c r="L31" s="239" t="s">
        <v>0</v>
      </c>
      <c r="M31" s="238">
        <v>1</v>
      </c>
      <c r="N31" s="238">
        <v>1</v>
      </c>
      <c r="O31" s="238">
        <v>1</v>
      </c>
      <c r="P31" s="238">
        <v>1</v>
      </c>
      <c r="Q31" s="238">
        <v>1</v>
      </c>
      <c r="R31" s="239" t="s">
        <v>52</v>
      </c>
      <c r="S31" s="239" t="s">
        <v>0</v>
      </c>
      <c r="T31" s="238">
        <v>1</v>
      </c>
      <c r="U31" s="238">
        <v>1</v>
      </c>
      <c r="V31" s="238">
        <v>1</v>
      </c>
      <c r="W31" s="238">
        <v>1</v>
      </c>
      <c r="X31" s="238">
        <v>1</v>
      </c>
      <c r="Y31" s="239" t="s">
        <v>52</v>
      </c>
      <c r="Z31" s="239" t="s">
        <v>0</v>
      </c>
      <c r="AA31" s="238">
        <v>1</v>
      </c>
      <c r="AB31" s="238">
        <v>1</v>
      </c>
      <c r="AC31" s="238">
        <v>1</v>
      </c>
      <c r="AD31" s="238">
        <v>1</v>
      </c>
      <c r="AE31" s="238">
        <v>1</v>
      </c>
      <c r="AF31" s="239" t="s">
        <v>52</v>
      </c>
      <c r="AG31" s="239" t="s">
        <v>0</v>
      </c>
      <c r="AH31" s="238">
        <v>1</v>
      </c>
      <c r="AI31" s="238">
        <v>1</v>
      </c>
      <c r="AJ31" s="238">
        <v>1</v>
      </c>
      <c r="AK31" s="238">
        <v>1</v>
      </c>
      <c r="AL31" s="238">
        <v>1</v>
      </c>
      <c r="AM31" s="239" t="s">
        <v>52</v>
      </c>
      <c r="AN31" s="239" t="s">
        <v>0</v>
      </c>
      <c r="AO31" s="241">
        <v>1</v>
      </c>
      <c r="AP31" s="45">
        <v>0</v>
      </c>
      <c r="AQ31" s="46">
        <f t="shared" si="1"/>
        <v>0</v>
      </c>
      <c r="AR31" s="46">
        <v>0</v>
      </c>
      <c r="AS31" s="41">
        <f t="shared" si="48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40"/>
        <v>21</v>
      </c>
      <c r="B32" s="55">
        <f t="shared" si="41"/>
        <v>0</v>
      </c>
      <c r="C32" s="56">
        <f t="shared" si="42"/>
        <v>0</v>
      </c>
      <c r="D32" s="55">
        <f t="shared" si="43"/>
        <v>0</v>
      </c>
      <c r="E32" s="17">
        <f t="shared" si="44"/>
        <v>0</v>
      </c>
      <c r="F32" s="17">
        <f t="shared" si="45"/>
        <v>5</v>
      </c>
      <c r="G32" s="17">
        <f t="shared" si="46"/>
        <v>5</v>
      </c>
      <c r="H32" s="17">
        <f t="shared" si="47"/>
        <v>0</v>
      </c>
      <c r="I32" s="57">
        <f t="shared" si="0"/>
        <v>31</v>
      </c>
      <c r="J32" s="195" t="s">
        <v>167</v>
      </c>
      <c r="K32" s="262" t="s">
        <v>52</v>
      </c>
      <c r="L32" s="249" t="s">
        <v>0</v>
      </c>
      <c r="M32" s="248">
        <v>1</v>
      </c>
      <c r="N32" s="248">
        <v>1</v>
      </c>
      <c r="O32" s="248">
        <v>1</v>
      </c>
      <c r="P32" s="248">
        <v>1</v>
      </c>
      <c r="Q32" s="248">
        <v>1</v>
      </c>
      <c r="R32" s="249" t="s">
        <v>52</v>
      </c>
      <c r="S32" s="249" t="s">
        <v>0</v>
      </c>
      <c r="T32" s="248">
        <v>1</v>
      </c>
      <c r="U32" s="248">
        <v>1</v>
      </c>
      <c r="V32" s="248">
        <v>1</v>
      </c>
      <c r="W32" s="248">
        <v>1</v>
      </c>
      <c r="X32" s="248">
        <v>1</v>
      </c>
      <c r="Y32" s="249" t="s">
        <v>52</v>
      </c>
      <c r="Z32" s="249" t="s">
        <v>0</v>
      </c>
      <c r="AA32" s="248">
        <v>1</v>
      </c>
      <c r="AB32" s="248">
        <v>1</v>
      </c>
      <c r="AC32" s="248">
        <v>1</v>
      </c>
      <c r="AD32" s="248">
        <v>1</v>
      </c>
      <c r="AE32" s="248">
        <v>1</v>
      </c>
      <c r="AF32" s="249" t="s">
        <v>52</v>
      </c>
      <c r="AG32" s="249" t="s">
        <v>0</v>
      </c>
      <c r="AH32" s="248">
        <v>1</v>
      </c>
      <c r="AI32" s="248">
        <v>1</v>
      </c>
      <c r="AJ32" s="248">
        <v>1</v>
      </c>
      <c r="AK32" s="248">
        <v>1</v>
      </c>
      <c r="AL32" s="248">
        <v>1</v>
      </c>
      <c r="AM32" s="249" t="s">
        <v>52</v>
      </c>
      <c r="AN32" s="249" t="s">
        <v>0</v>
      </c>
      <c r="AO32" s="252">
        <v>1</v>
      </c>
      <c r="AP32" s="73">
        <v>0</v>
      </c>
      <c r="AQ32" s="74">
        <f t="shared" si="1"/>
        <v>0</v>
      </c>
      <c r="AR32" s="74">
        <v>0</v>
      </c>
      <c r="AS32" s="63">
        <f t="shared" si="48"/>
        <v>0</v>
      </c>
      <c r="AT32" s="330" t="s">
        <v>133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3"/>
        <v>3</v>
      </c>
      <c r="B33" s="24">
        <f t="shared" si="24"/>
        <v>0</v>
      </c>
      <c r="C33" s="25">
        <f t="shared" si="25"/>
        <v>12</v>
      </c>
      <c r="D33" s="24">
        <f t="shared" si="26"/>
        <v>0</v>
      </c>
      <c r="E33" s="26">
        <f t="shared" si="27"/>
        <v>6</v>
      </c>
      <c r="F33" s="26">
        <f t="shared" si="28"/>
        <v>5</v>
      </c>
      <c r="G33" s="26">
        <f t="shared" si="29"/>
        <v>5</v>
      </c>
      <c r="H33" s="26">
        <f t="shared" si="30"/>
        <v>0</v>
      </c>
      <c r="I33" s="27">
        <f t="shared" si="0"/>
        <v>31</v>
      </c>
      <c r="J33" s="301" t="s">
        <v>22</v>
      </c>
      <c r="K33" s="253" t="s">
        <v>52</v>
      </c>
      <c r="L33" s="233" t="s">
        <v>0</v>
      </c>
      <c r="M33" s="254" t="s">
        <v>1</v>
      </c>
      <c r="N33" s="254" t="s">
        <v>1</v>
      </c>
      <c r="O33" s="254" t="s">
        <v>1</v>
      </c>
      <c r="P33" s="254" t="s">
        <v>1</v>
      </c>
      <c r="Q33" s="235" t="s">
        <v>0</v>
      </c>
      <c r="R33" s="235" t="s">
        <v>40</v>
      </c>
      <c r="S33" s="235" t="s">
        <v>40</v>
      </c>
      <c r="T33" s="235" t="s">
        <v>40</v>
      </c>
      <c r="U33" s="235" t="s">
        <v>52</v>
      </c>
      <c r="V33" s="235" t="s">
        <v>36</v>
      </c>
      <c r="W33" s="235" t="s">
        <v>36</v>
      </c>
      <c r="X33" s="235" t="s">
        <v>36</v>
      </c>
      <c r="Y33" s="233" t="s">
        <v>52</v>
      </c>
      <c r="Z33" s="233" t="s">
        <v>0</v>
      </c>
      <c r="AA33" s="235" t="s">
        <v>40</v>
      </c>
      <c r="AB33" s="235" t="s">
        <v>40</v>
      </c>
      <c r="AC33" s="235">
        <v>3</v>
      </c>
      <c r="AD33" s="235" t="s">
        <v>52</v>
      </c>
      <c r="AE33" s="235" t="s">
        <v>40</v>
      </c>
      <c r="AF33" s="235" t="s">
        <v>40</v>
      </c>
      <c r="AG33" s="235" t="s">
        <v>40</v>
      </c>
      <c r="AH33" s="235" t="s">
        <v>40</v>
      </c>
      <c r="AI33" s="254" t="s">
        <v>0</v>
      </c>
      <c r="AJ33" s="235" t="s">
        <v>40</v>
      </c>
      <c r="AK33" s="235" t="s">
        <v>40</v>
      </c>
      <c r="AL33" s="233" t="s">
        <v>52</v>
      </c>
      <c r="AM33" s="254" t="s">
        <v>1</v>
      </c>
      <c r="AN33" s="254" t="s">
        <v>1</v>
      </c>
      <c r="AO33" s="399" t="s">
        <v>0</v>
      </c>
      <c r="AP33" s="338">
        <v>0</v>
      </c>
      <c r="AQ33" s="167">
        <f t="shared" si="1"/>
        <v>0</v>
      </c>
      <c r="AR33" s="167">
        <v>0</v>
      </c>
      <c r="AS33" s="168">
        <f t="shared" si="31"/>
        <v>0</v>
      </c>
      <c r="AT33" s="332" t="s">
        <v>128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1</v>
      </c>
      <c r="B34" s="39">
        <f>COUNTIF(K34:AO34,2)+COUNTIF(K34:AO34,"中")+COUNTIF(K34:AO34,"M2")+COUNTIF(K34:AO34,"T中")+COUNTIF(K34:AO34,"小夜")</f>
        <v>13</v>
      </c>
      <c r="C34" s="40">
        <f>COUNTIF(K34:AO34,3)+COUNTIF(K34:AO34,"晚")+COUNTIF(K34:AO34,"大夜")</f>
        <v>6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5</v>
      </c>
      <c r="G34" s="41">
        <f>COUNTIF(K34:AO34,"Y")</f>
        <v>5</v>
      </c>
      <c r="H34" s="41">
        <f>COUNTIF(K34:AO34,"Z")</f>
        <v>0</v>
      </c>
      <c r="I34" s="42">
        <f t="shared" si="0"/>
        <v>31</v>
      </c>
      <c r="J34" s="193" t="s">
        <v>23</v>
      </c>
      <c r="K34" s="237" t="s">
        <v>52</v>
      </c>
      <c r="L34" s="239" t="s">
        <v>0</v>
      </c>
      <c r="M34" s="238" t="s">
        <v>38</v>
      </c>
      <c r="N34" s="238" t="s">
        <v>38</v>
      </c>
      <c r="O34" s="238" t="s">
        <v>38</v>
      </c>
      <c r="P34" s="238" t="s">
        <v>0</v>
      </c>
      <c r="Q34" s="238" t="s">
        <v>36</v>
      </c>
      <c r="R34" s="238" t="s">
        <v>38</v>
      </c>
      <c r="S34" s="238" t="s">
        <v>38</v>
      </c>
      <c r="T34" s="238" t="s">
        <v>38</v>
      </c>
      <c r="U34" s="238" t="s">
        <v>52</v>
      </c>
      <c r="V34" s="238" t="s">
        <v>38</v>
      </c>
      <c r="W34" s="238" t="s">
        <v>38</v>
      </c>
      <c r="X34" s="238" t="s">
        <v>38</v>
      </c>
      <c r="Y34" s="239" t="s">
        <v>52</v>
      </c>
      <c r="Z34" s="239" t="s">
        <v>0</v>
      </c>
      <c r="AA34" s="238" t="s">
        <v>38</v>
      </c>
      <c r="AB34" s="238" t="s">
        <v>38</v>
      </c>
      <c r="AC34" s="238" t="s">
        <v>38</v>
      </c>
      <c r="AD34" s="238" t="s">
        <v>52</v>
      </c>
      <c r="AE34" s="238" t="s">
        <v>40</v>
      </c>
      <c r="AF34" s="238" t="s">
        <v>40</v>
      </c>
      <c r="AG34" s="238" t="s">
        <v>40</v>
      </c>
      <c r="AH34" s="238" t="s">
        <v>0</v>
      </c>
      <c r="AI34" s="238" t="s">
        <v>40</v>
      </c>
      <c r="AJ34" s="238" t="s">
        <v>40</v>
      </c>
      <c r="AK34" s="238" t="s">
        <v>40</v>
      </c>
      <c r="AL34" s="271" t="s">
        <v>1</v>
      </c>
      <c r="AM34" s="239" t="s">
        <v>52</v>
      </c>
      <c r="AN34" s="239" t="s">
        <v>0</v>
      </c>
      <c r="AO34" s="241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31"/>
        <v>0</v>
      </c>
      <c r="AT34" s="329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3"/>
        <v>0</v>
      </c>
      <c r="B35" s="39">
        <f t="shared" si="24"/>
        <v>21</v>
      </c>
      <c r="C35" s="40">
        <f t="shared" si="25"/>
        <v>0</v>
      </c>
      <c r="D35" s="39">
        <f t="shared" si="26"/>
        <v>0</v>
      </c>
      <c r="E35" s="41">
        <f t="shared" si="27"/>
        <v>0</v>
      </c>
      <c r="F35" s="41">
        <f t="shared" si="28"/>
        <v>5</v>
      </c>
      <c r="G35" s="41">
        <f t="shared" si="29"/>
        <v>5</v>
      </c>
      <c r="H35" s="41">
        <f t="shared" si="30"/>
        <v>0</v>
      </c>
      <c r="I35" s="42">
        <f t="shared" si="0"/>
        <v>31</v>
      </c>
      <c r="J35" s="193" t="s">
        <v>24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38</v>
      </c>
      <c r="P35" s="238" t="s">
        <v>38</v>
      </c>
      <c r="Q35" s="238" t="s">
        <v>38</v>
      </c>
      <c r="R35" s="239" t="s">
        <v>52</v>
      </c>
      <c r="S35" s="239" t="s">
        <v>0</v>
      </c>
      <c r="T35" s="238" t="s">
        <v>38</v>
      </c>
      <c r="U35" s="238" t="s">
        <v>38</v>
      </c>
      <c r="V35" s="238" t="s">
        <v>38</v>
      </c>
      <c r="W35" s="238" t="s">
        <v>0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38</v>
      </c>
      <c r="AC35" s="238" t="s">
        <v>52</v>
      </c>
      <c r="AD35" s="238" t="s">
        <v>0</v>
      </c>
      <c r="AE35" s="238" t="s">
        <v>0</v>
      </c>
      <c r="AF35" s="239" t="s">
        <v>52</v>
      </c>
      <c r="AG35" s="239" t="s">
        <v>0</v>
      </c>
      <c r="AH35" s="238" t="s">
        <v>38</v>
      </c>
      <c r="AI35" s="238" t="s">
        <v>38</v>
      </c>
      <c r="AJ35" s="238" t="s">
        <v>38</v>
      </c>
      <c r="AK35" s="238" t="s">
        <v>38</v>
      </c>
      <c r="AL35" s="240" t="s">
        <v>52</v>
      </c>
      <c r="AM35" s="238" t="s">
        <v>38</v>
      </c>
      <c r="AN35" s="238" t="s">
        <v>38</v>
      </c>
      <c r="AO35" s="241" t="s">
        <v>38</v>
      </c>
      <c r="AP35" s="45">
        <v>0</v>
      </c>
      <c r="AQ35" s="46">
        <f t="shared" si="1"/>
        <v>0</v>
      </c>
      <c r="AR35" s="46">
        <v>0</v>
      </c>
      <c r="AS35" s="134">
        <f t="shared" si="31"/>
        <v>0</v>
      </c>
      <c r="AT35" s="329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3"/>
        <v>0</v>
      </c>
      <c r="B36" s="39">
        <f t="shared" si="24"/>
        <v>15</v>
      </c>
      <c r="C36" s="40">
        <f t="shared" si="25"/>
        <v>3</v>
      </c>
      <c r="D36" s="39">
        <f t="shared" si="26"/>
        <v>0</v>
      </c>
      <c r="E36" s="41">
        <f t="shared" si="27"/>
        <v>2</v>
      </c>
      <c r="F36" s="41">
        <f t="shared" si="28"/>
        <v>5</v>
      </c>
      <c r="G36" s="41">
        <f t="shared" si="29"/>
        <v>6</v>
      </c>
      <c r="H36" s="41">
        <f t="shared" si="30"/>
        <v>0</v>
      </c>
      <c r="I36" s="42">
        <f t="shared" si="0"/>
        <v>31</v>
      </c>
      <c r="J36" s="214" t="s">
        <v>25</v>
      </c>
      <c r="K36" s="245" t="s">
        <v>40</v>
      </c>
      <c r="L36" s="238" t="s">
        <v>40</v>
      </c>
      <c r="M36" s="238" t="s">
        <v>40</v>
      </c>
      <c r="N36" s="238" t="s">
        <v>52</v>
      </c>
      <c r="O36" s="238" t="s">
        <v>0</v>
      </c>
      <c r="P36" s="238" t="s">
        <v>38</v>
      </c>
      <c r="Q36" s="238" t="s">
        <v>38</v>
      </c>
      <c r="R36" s="238" t="s">
        <v>26</v>
      </c>
      <c r="S36" s="238" t="s">
        <v>38</v>
      </c>
      <c r="T36" s="238" t="s">
        <v>38</v>
      </c>
      <c r="U36" s="238" t="s">
        <v>0</v>
      </c>
      <c r="V36" s="238" t="s">
        <v>52</v>
      </c>
      <c r="W36" s="238" t="s">
        <v>52</v>
      </c>
      <c r="X36" s="238" t="s">
        <v>38</v>
      </c>
      <c r="Y36" s="238" t="s">
        <v>26</v>
      </c>
      <c r="Z36" s="238" t="s">
        <v>38</v>
      </c>
      <c r="AA36" s="238" t="s">
        <v>0</v>
      </c>
      <c r="AB36" s="238" t="s">
        <v>52</v>
      </c>
      <c r="AC36" s="238" t="s">
        <v>0</v>
      </c>
      <c r="AD36" s="234" t="s">
        <v>1</v>
      </c>
      <c r="AE36" s="238" t="s">
        <v>52</v>
      </c>
      <c r="AF36" s="238" t="s">
        <v>38</v>
      </c>
      <c r="AG36" s="238" t="s">
        <v>38</v>
      </c>
      <c r="AH36" s="238" t="s">
        <v>38</v>
      </c>
      <c r="AI36" s="238" t="s">
        <v>38</v>
      </c>
      <c r="AJ36" s="240" t="s">
        <v>0</v>
      </c>
      <c r="AK36" s="234" t="s">
        <v>1</v>
      </c>
      <c r="AL36" s="234" t="s">
        <v>52</v>
      </c>
      <c r="AM36" s="238" t="s">
        <v>26</v>
      </c>
      <c r="AN36" s="238" t="s">
        <v>38</v>
      </c>
      <c r="AO36" s="241" t="s">
        <v>38</v>
      </c>
      <c r="AP36" s="45">
        <v>-1</v>
      </c>
      <c r="AQ36" s="46">
        <f t="shared" si="1"/>
        <v>1</v>
      </c>
      <c r="AR36" s="46">
        <v>0</v>
      </c>
      <c r="AS36" s="134">
        <f t="shared" si="31"/>
        <v>0</v>
      </c>
      <c r="AT36" s="329" t="s">
        <v>128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3"/>
        <v>3</v>
      </c>
      <c r="B37" s="39">
        <f t="shared" si="24"/>
        <v>10</v>
      </c>
      <c r="C37" s="40">
        <f t="shared" si="25"/>
        <v>2</v>
      </c>
      <c r="D37" s="39">
        <f t="shared" si="26"/>
        <v>2</v>
      </c>
      <c r="E37" s="41">
        <f t="shared" si="27"/>
        <v>4</v>
      </c>
      <c r="F37" s="41">
        <f t="shared" si="28"/>
        <v>5</v>
      </c>
      <c r="G37" s="41">
        <f t="shared" si="29"/>
        <v>5</v>
      </c>
      <c r="H37" s="41">
        <f t="shared" si="30"/>
        <v>0</v>
      </c>
      <c r="I37" s="42">
        <f t="shared" si="0"/>
        <v>31</v>
      </c>
      <c r="J37" s="193" t="s">
        <v>27</v>
      </c>
      <c r="K37" s="245" t="s">
        <v>40</v>
      </c>
      <c r="L37" s="238" t="s">
        <v>40</v>
      </c>
      <c r="M37" s="238" t="s">
        <v>52</v>
      </c>
      <c r="N37" s="238" t="s">
        <v>36</v>
      </c>
      <c r="O37" s="242" t="s">
        <v>3</v>
      </c>
      <c r="P37" s="234" t="s">
        <v>1</v>
      </c>
      <c r="Q37" s="234" t="s">
        <v>1</v>
      </c>
      <c r="R37" s="239" t="s">
        <v>52</v>
      </c>
      <c r="S37" s="239" t="s">
        <v>0</v>
      </c>
      <c r="T37" s="234" t="s">
        <v>1</v>
      </c>
      <c r="U37" s="234" t="s">
        <v>1</v>
      </c>
      <c r="V37" s="234" t="s">
        <v>0</v>
      </c>
      <c r="W37" s="234" t="s">
        <v>52</v>
      </c>
      <c r="X37" s="238" t="s">
        <v>0</v>
      </c>
      <c r="Y37" s="238" t="s">
        <v>36</v>
      </c>
      <c r="Z37" s="238" t="s">
        <v>36</v>
      </c>
      <c r="AA37" s="238" t="s">
        <v>52</v>
      </c>
      <c r="AB37" s="242" t="s">
        <v>3</v>
      </c>
      <c r="AC37" s="238" t="s">
        <v>38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38</v>
      </c>
      <c r="AK37" s="238" t="s">
        <v>38</v>
      </c>
      <c r="AL37" s="238" t="s">
        <v>38</v>
      </c>
      <c r="AM37" s="238" t="s">
        <v>38</v>
      </c>
      <c r="AN37" s="238" t="s">
        <v>38</v>
      </c>
      <c r="AO37" s="241" t="s">
        <v>0</v>
      </c>
      <c r="AP37" s="45">
        <v>0</v>
      </c>
      <c r="AQ37" s="46">
        <f t="shared" si="1"/>
        <v>0</v>
      </c>
      <c r="AR37" s="46">
        <v>0</v>
      </c>
      <c r="AS37" s="134">
        <f t="shared" si="31"/>
        <v>0</v>
      </c>
      <c r="AT37" s="329" t="s">
        <v>126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3"/>
        <v>0</v>
      </c>
      <c r="B38" s="39">
        <f t="shared" si="24"/>
        <v>0</v>
      </c>
      <c r="C38" s="40">
        <f t="shared" si="25"/>
        <v>16</v>
      </c>
      <c r="D38" s="39">
        <f t="shared" si="26"/>
        <v>0</v>
      </c>
      <c r="E38" s="41">
        <f t="shared" si="27"/>
        <v>4</v>
      </c>
      <c r="F38" s="41">
        <f t="shared" si="28"/>
        <v>5</v>
      </c>
      <c r="G38" s="41">
        <f t="shared" si="29"/>
        <v>6</v>
      </c>
      <c r="H38" s="41">
        <f t="shared" si="30"/>
        <v>0</v>
      </c>
      <c r="I38" s="42">
        <f t="shared" si="0"/>
        <v>31</v>
      </c>
      <c r="J38" s="193" t="s">
        <v>57</v>
      </c>
      <c r="K38" s="237" t="s">
        <v>52</v>
      </c>
      <c r="L38" s="234" t="s">
        <v>1</v>
      </c>
      <c r="M38" s="234" t="s">
        <v>1</v>
      </c>
      <c r="N38" s="234" t="s">
        <v>1</v>
      </c>
      <c r="O38" s="234" t="s">
        <v>1</v>
      </c>
      <c r="P38" s="239" t="s">
        <v>52</v>
      </c>
      <c r="Q38" s="238" t="s">
        <v>40</v>
      </c>
      <c r="R38" s="238" t="s">
        <v>40</v>
      </c>
      <c r="S38" s="238" t="s">
        <v>40</v>
      </c>
      <c r="T38" s="238" t="s">
        <v>40</v>
      </c>
      <c r="U38" s="238" t="s">
        <v>52</v>
      </c>
      <c r="V38" s="238" t="s">
        <v>40</v>
      </c>
      <c r="W38" s="238" t="s">
        <v>40</v>
      </c>
      <c r="X38" s="238" t="s">
        <v>40</v>
      </c>
      <c r="Y38" s="238" t="s">
        <v>40</v>
      </c>
      <c r="Z38" s="238" t="s">
        <v>40</v>
      </c>
      <c r="AA38" s="238" t="s">
        <v>40</v>
      </c>
      <c r="AB38" s="238" t="s">
        <v>52</v>
      </c>
      <c r="AC38" s="238" t="s">
        <v>0</v>
      </c>
      <c r="AD38" s="234" t="s">
        <v>0</v>
      </c>
      <c r="AE38" s="234" t="s">
        <v>52</v>
      </c>
      <c r="AF38" s="239" t="s">
        <v>0</v>
      </c>
      <c r="AG38" s="239" t="s">
        <v>0</v>
      </c>
      <c r="AH38" s="238" t="s">
        <v>40</v>
      </c>
      <c r="AI38" s="238" t="s">
        <v>40</v>
      </c>
      <c r="AJ38" s="238" t="s">
        <v>52</v>
      </c>
      <c r="AK38" s="238" t="s">
        <v>0</v>
      </c>
      <c r="AL38" s="238" t="s">
        <v>40</v>
      </c>
      <c r="AM38" s="238" t="s">
        <v>40</v>
      </c>
      <c r="AN38" s="238" t="s">
        <v>40</v>
      </c>
      <c r="AO38" s="241" t="s">
        <v>40</v>
      </c>
      <c r="AP38" s="45">
        <v>-1</v>
      </c>
      <c r="AQ38" s="46">
        <f t="shared" si="1"/>
        <v>1</v>
      </c>
      <c r="AR38" s="46">
        <v>0</v>
      </c>
      <c r="AS38" s="134">
        <f t="shared" si="31"/>
        <v>0</v>
      </c>
      <c r="AT38" s="329" t="s">
        <v>126</v>
      </c>
    </row>
    <row r="39" spans="1:226" ht="25.5" customHeight="1" thickBot="1">
      <c r="A39" s="54">
        <f>COUNTIF(K39:AO39,1)+COUNTIF(K39:AO39,"早")+COUNTIF(K39:AO39,"M1")+COUNTIF(K39:AO39,"T早")+COUNTIF(K39:AO39,"日")</f>
        <v>3</v>
      </c>
      <c r="B39" s="55">
        <f>COUNTIF(K39:AO39,2)+COUNTIF(K39:AO39,"中")+COUNTIF(K39:AO39,"M2")+COUNTIF(K39:AO39,"T中")+COUNTIF(K39:AO39,"小夜")</f>
        <v>1</v>
      </c>
      <c r="C39" s="56">
        <f>COUNTIF(K39:AO39,3)+COUNTIF(K39:AO39,"晚")+COUNTIF(K39:AO39,"大夜")</f>
        <v>14</v>
      </c>
      <c r="D39" s="55">
        <f>COUNTIF(K39:AO39,"N")+COUNTIF(K39:AO39,"N8")</f>
        <v>3</v>
      </c>
      <c r="E39" s="17">
        <f>COUNTIF(K39:AO39,"S")</f>
        <v>0</v>
      </c>
      <c r="F39" s="17">
        <f>COUNTIF(K39:AO39,"X")</f>
        <v>5</v>
      </c>
      <c r="G39" s="17">
        <f>COUNTIF(K39:AO39,"Y")</f>
        <v>5</v>
      </c>
      <c r="H39" s="17">
        <f>COUNTIF(K39:AO39,"Z")</f>
        <v>0</v>
      </c>
      <c r="I39" s="57">
        <f t="shared" si="0"/>
        <v>31</v>
      </c>
      <c r="J39" s="215" t="s">
        <v>28</v>
      </c>
      <c r="K39" s="247" t="s">
        <v>36</v>
      </c>
      <c r="L39" s="248" t="s">
        <v>36</v>
      </c>
      <c r="M39" s="248" t="s">
        <v>0</v>
      </c>
      <c r="N39" s="248" t="s">
        <v>40</v>
      </c>
      <c r="O39" s="248" t="s">
        <v>40</v>
      </c>
      <c r="P39" s="248" t="s">
        <v>40</v>
      </c>
      <c r="Q39" s="248" t="s">
        <v>40</v>
      </c>
      <c r="R39" s="249" t="s">
        <v>52</v>
      </c>
      <c r="S39" s="249" t="s">
        <v>0</v>
      </c>
      <c r="T39" s="248" t="s">
        <v>36</v>
      </c>
      <c r="U39" s="248" t="s">
        <v>38</v>
      </c>
      <c r="V39" s="248" t="s">
        <v>52</v>
      </c>
      <c r="W39" s="248" t="s">
        <v>0</v>
      </c>
      <c r="X39" s="248" t="s">
        <v>40</v>
      </c>
      <c r="Y39" s="248" t="s">
        <v>40</v>
      </c>
      <c r="Z39" s="248" t="s">
        <v>40</v>
      </c>
      <c r="AA39" s="248" t="s">
        <v>40</v>
      </c>
      <c r="AB39" s="248" t="s">
        <v>52</v>
      </c>
      <c r="AC39" s="248" t="s">
        <v>40</v>
      </c>
      <c r="AD39" s="248" t="s">
        <v>40</v>
      </c>
      <c r="AE39" s="251" t="s">
        <v>0</v>
      </c>
      <c r="AF39" s="249" t="s">
        <v>52</v>
      </c>
      <c r="AG39" s="249" t="s">
        <v>0</v>
      </c>
      <c r="AH39" s="394" t="s">
        <v>3</v>
      </c>
      <c r="AI39" s="394" t="s">
        <v>3</v>
      </c>
      <c r="AJ39" s="394" t="s">
        <v>3</v>
      </c>
      <c r="AK39" s="248" t="s">
        <v>52</v>
      </c>
      <c r="AL39" s="248" t="s">
        <v>40</v>
      </c>
      <c r="AM39" s="248" t="s">
        <v>40</v>
      </c>
      <c r="AN39" s="248" t="s">
        <v>40</v>
      </c>
      <c r="AO39" s="252" t="s">
        <v>40</v>
      </c>
      <c r="AP39" s="73">
        <v>0</v>
      </c>
      <c r="AQ39" s="74">
        <f t="shared" si="1"/>
        <v>0</v>
      </c>
      <c r="AR39" s="74">
        <v>0</v>
      </c>
      <c r="AS39" s="127">
        <f t="shared" si="31"/>
        <v>0</v>
      </c>
      <c r="AT39" s="330" t="s">
        <v>126</v>
      </c>
    </row>
    <row r="40" spans="1:226" s="50" customFormat="1" ht="24.75" customHeight="1">
      <c r="A40" s="23">
        <f>COUNTIF(K40:AO40,1)+COUNTIF(K40:AO40,"早")+COUNTIF(K40:AO40,"M1")+COUNTIF(K40:AO40,"T早")+COUNTIF(K40:AO40,"日")</f>
        <v>8</v>
      </c>
      <c r="B40" s="24">
        <f>COUNTIF(K40:AO40,2)+COUNTIF(K40:AO40,"中")+COUNTIF(K40:AO40,"M2")+COUNTIF(K40:AO40,"T中")+COUNTIF(K40:AO40,"小夜")</f>
        <v>0</v>
      </c>
      <c r="C40" s="25">
        <f>COUNTIF(K40:AO40,3)+COUNTIF(K40:AO40,"晚")+COUNTIF(K40:AO40,"大夜")</f>
        <v>9</v>
      </c>
      <c r="D40" s="24">
        <f>COUNTIF(K40:AO40,"N")+COUNTIF(K40:AO40,"N8")</f>
        <v>3</v>
      </c>
      <c r="E40" s="26">
        <f>COUNTIF(K40:AO40,"S")</f>
        <v>0</v>
      </c>
      <c r="F40" s="26">
        <f>COUNTIF(K40:AO40,"X")</f>
        <v>5</v>
      </c>
      <c r="G40" s="26">
        <f>COUNTIF(K40:AO40,"Y")</f>
        <v>6</v>
      </c>
      <c r="H40" s="26">
        <f>COUNTIF(K40:AO40,"Z")</f>
        <v>0</v>
      </c>
      <c r="I40" s="176">
        <f t="shared" si="0"/>
        <v>31</v>
      </c>
      <c r="J40" s="66" t="s">
        <v>142</v>
      </c>
      <c r="K40" s="395" t="s">
        <v>55</v>
      </c>
      <c r="L40" s="235" t="s">
        <v>55</v>
      </c>
      <c r="M40" s="235" t="s">
        <v>52</v>
      </c>
      <c r="N40" s="235" t="s">
        <v>3</v>
      </c>
      <c r="O40" s="235" t="s">
        <v>54</v>
      </c>
      <c r="P40" s="235" t="s">
        <v>54</v>
      </c>
      <c r="Q40" s="235" t="s">
        <v>54</v>
      </c>
      <c r="R40" s="233" t="s">
        <v>52</v>
      </c>
      <c r="S40" s="233" t="s">
        <v>0</v>
      </c>
      <c r="T40" s="235" t="s">
        <v>55</v>
      </c>
      <c r="U40" s="235" t="s">
        <v>55</v>
      </c>
      <c r="V40" s="235" t="s">
        <v>55</v>
      </c>
      <c r="W40" s="235" t="s">
        <v>55</v>
      </c>
      <c r="X40" s="235" t="s">
        <v>55</v>
      </c>
      <c r="Y40" s="233" t="s">
        <v>52</v>
      </c>
      <c r="Z40" s="233" t="s">
        <v>0</v>
      </c>
      <c r="AA40" s="235" t="s">
        <v>54</v>
      </c>
      <c r="AB40" s="235" t="s">
        <v>3</v>
      </c>
      <c r="AC40" s="235" t="s">
        <v>0</v>
      </c>
      <c r="AD40" s="235" t="s">
        <v>52</v>
      </c>
      <c r="AE40" s="235" t="s">
        <v>0</v>
      </c>
      <c r="AF40" s="235" t="s">
        <v>55</v>
      </c>
      <c r="AG40" s="235" t="s">
        <v>55</v>
      </c>
      <c r="AH40" s="235" t="s">
        <v>52</v>
      </c>
      <c r="AI40" s="396" t="s">
        <v>3</v>
      </c>
      <c r="AJ40" s="235" t="s">
        <v>54</v>
      </c>
      <c r="AK40" s="235" t="s">
        <v>54</v>
      </c>
      <c r="AL40" s="235" t="s">
        <v>54</v>
      </c>
      <c r="AM40" s="233" t="s">
        <v>52</v>
      </c>
      <c r="AN40" s="233" t="s">
        <v>0</v>
      </c>
      <c r="AO40" s="236" t="s">
        <v>54</v>
      </c>
      <c r="AP40" s="35">
        <v>-1</v>
      </c>
      <c r="AQ40" s="36">
        <f t="shared" si="1"/>
        <v>1</v>
      </c>
      <c r="AR40" s="36">
        <v>0</v>
      </c>
      <c r="AS40" s="133">
        <f t="shared" si="31"/>
        <v>0</v>
      </c>
      <c r="AT40" s="332" t="s">
        <v>128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5</v>
      </c>
      <c r="B41" s="39">
        <f>COUNTIF(K41:AO41,2)+COUNTIF(K41:AO41,"中")+COUNTIF(K41:AO41,"M2")+COUNTIF(K41:AO41,"T中")+COUNTIF(K41:AO41,"小夜")</f>
        <v>11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1</v>
      </c>
      <c r="F41" s="41">
        <f>COUNTIF(K41:AO41,"X")</f>
        <v>5</v>
      </c>
      <c r="G41" s="41">
        <f>COUNTIF(K41:AO41,"Y")</f>
        <v>5</v>
      </c>
      <c r="H41" s="41">
        <f>COUNTIF(K41:AO41,"Z")</f>
        <v>0</v>
      </c>
      <c r="I41" s="177">
        <f t="shared" si="0"/>
        <v>31</v>
      </c>
      <c r="J41" s="67" t="s">
        <v>29</v>
      </c>
      <c r="K41" s="237" t="s">
        <v>52</v>
      </c>
      <c r="L41" s="239" t="s">
        <v>0</v>
      </c>
      <c r="M41" s="234" t="s">
        <v>1</v>
      </c>
      <c r="N41" s="238" t="s">
        <v>56</v>
      </c>
      <c r="O41" s="238" t="s">
        <v>56</v>
      </c>
      <c r="P41" s="238" t="s">
        <v>56</v>
      </c>
      <c r="Q41" s="238" t="s">
        <v>52</v>
      </c>
      <c r="R41" s="238" t="s">
        <v>54</v>
      </c>
      <c r="S41" s="238" t="s">
        <v>54</v>
      </c>
      <c r="T41" s="238" t="s">
        <v>56</v>
      </c>
      <c r="U41" s="238" t="s">
        <v>0</v>
      </c>
      <c r="V41" s="238" t="s">
        <v>3</v>
      </c>
      <c r="W41" s="238" t="s">
        <v>3</v>
      </c>
      <c r="X41" s="238" t="s">
        <v>54</v>
      </c>
      <c r="Y41" s="239" t="s">
        <v>52</v>
      </c>
      <c r="Z41" s="239" t="s">
        <v>0</v>
      </c>
      <c r="AA41" s="238" t="s">
        <v>56</v>
      </c>
      <c r="AB41" s="238" t="s">
        <v>56</v>
      </c>
      <c r="AC41" s="238" t="s">
        <v>56</v>
      </c>
      <c r="AD41" s="238" t="s">
        <v>56</v>
      </c>
      <c r="AE41" s="238" t="s">
        <v>52</v>
      </c>
      <c r="AF41" s="238" t="s">
        <v>54</v>
      </c>
      <c r="AG41" s="238" t="s">
        <v>54</v>
      </c>
      <c r="AH41" s="238" t="s">
        <v>56</v>
      </c>
      <c r="AI41" s="238" t="s">
        <v>56</v>
      </c>
      <c r="AJ41" s="238" t="s">
        <v>0</v>
      </c>
      <c r="AK41" s="238" t="s">
        <v>3</v>
      </c>
      <c r="AL41" s="238" t="s">
        <v>56</v>
      </c>
      <c r="AM41" s="239" t="s">
        <v>52</v>
      </c>
      <c r="AN41" s="239" t="s">
        <v>0</v>
      </c>
      <c r="AO41" s="241" t="s">
        <v>3</v>
      </c>
      <c r="AP41" s="45">
        <v>0</v>
      </c>
      <c r="AQ41" s="46">
        <f t="shared" si="1"/>
        <v>0</v>
      </c>
      <c r="AR41" s="46">
        <v>0</v>
      </c>
      <c r="AS41" s="134">
        <f t="shared" si="31"/>
        <v>0</v>
      </c>
      <c r="AT41" s="329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2" customHeight="1">
      <c r="A42" s="38">
        <f t="shared" ref="A42:A44" si="49">COUNTIF(K42:AO42,1)+COUNTIF(K42:AO42,"早")+COUNTIF(K42:AO42,"M1")+COUNTIF(K42:AO42,"T早")+COUNTIF(K42:AO42,"日")</f>
        <v>1</v>
      </c>
      <c r="B42" s="39">
        <f t="shared" ref="B42:B44" si="50">COUNTIF(K42:AO42,2)+COUNTIF(K42:AO42,"中")+COUNTIF(K42:AO42,"M2")+COUNTIF(K42:AO42,"T中")+COUNTIF(K42:AO42,"小夜")</f>
        <v>8</v>
      </c>
      <c r="C42" s="40">
        <f t="shared" ref="C42:C44" si="51">COUNTIF(K42:AO42,3)+COUNTIF(K42:AO42,"晚")+COUNTIF(K42:AO42,"大夜")</f>
        <v>5</v>
      </c>
      <c r="D42" s="39">
        <f t="shared" ref="D42:D44" si="52">COUNTIF(K42:AO42,"N")+COUNTIF(K42:AO42,"N8")</f>
        <v>5</v>
      </c>
      <c r="E42" s="41">
        <f t="shared" ref="E42:E44" si="53">COUNTIF(K42:AO42,"S")</f>
        <v>2</v>
      </c>
      <c r="F42" s="41">
        <f>COUNTIF(K42:AO42,"X")</f>
        <v>5</v>
      </c>
      <c r="G42" s="41">
        <f t="shared" ref="G42:G44" si="54">COUNTIF(K42:AO42,"Y")</f>
        <v>5</v>
      </c>
      <c r="H42" s="41">
        <f t="shared" ref="H42:H44" si="55">COUNTIF(K42:AO42,"Z")</f>
        <v>0</v>
      </c>
      <c r="I42" s="177">
        <f t="shared" si="0"/>
        <v>31</v>
      </c>
      <c r="J42" s="68" t="s">
        <v>30</v>
      </c>
      <c r="K42" s="237" t="s">
        <v>52</v>
      </c>
      <c r="L42" s="239" t="s">
        <v>0</v>
      </c>
      <c r="M42" s="238" t="s">
        <v>55</v>
      </c>
      <c r="N42" s="238" t="s">
        <v>55</v>
      </c>
      <c r="O42" s="238" t="s">
        <v>55</v>
      </c>
      <c r="P42" s="238" t="s">
        <v>0</v>
      </c>
      <c r="Q42" s="238" t="s">
        <v>0</v>
      </c>
      <c r="R42" s="238" t="s">
        <v>55</v>
      </c>
      <c r="S42" s="238" t="s">
        <v>55</v>
      </c>
      <c r="T42" s="238" t="s">
        <v>52</v>
      </c>
      <c r="U42" s="238" t="s">
        <v>56</v>
      </c>
      <c r="V42" s="238" t="s">
        <v>56</v>
      </c>
      <c r="W42" s="238" t="s">
        <v>56</v>
      </c>
      <c r="X42" s="238" t="s">
        <v>56</v>
      </c>
      <c r="Y42" s="239" t="s">
        <v>52</v>
      </c>
      <c r="Z42" s="234" t="s">
        <v>1</v>
      </c>
      <c r="AA42" s="234" t="s">
        <v>1</v>
      </c>
      <c r="AB42" s="239" t="s">
        <v>0</v>
      </c>
      <c r="AC42" s="238" t="s">
        <v>54</v>
      </c>
      <c r="AD42" s="238" t="s">
        <v>3</v>
      </c>
      <c r="AE42" s="238" t="s">
        <v>56</v>
      </c>
      <c r="AF42" s="238" t="s">
        <v>56</v>
      </c>
      <c r="AG42" s="238" t="s">
        <v>56</v>
      </c>
      <c r="AH42" s="238" t="s">
        <v>52</v>
      </c>
      <c r="AI42" s="393" t="s">
        <v>3</v>
      </c>
      <c r="AJ42" s="238" t="s">
        <v>3</v>
      </c>
      <c r="AK42" s="238" t="s">
        <v>3</v>
      </c>
      <c r="AL42" s="238" t="s">
        <v>3</v>
      </c>
      <c r="AM42" s="239" t="s">
        <v>52</v>
      </c>
      <c r="AN42" s="239" t="s">
        <v>0</v>
      </c>
      <c r="AO42" s="241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31"/>
        <v>0</v>
      </c>
      <c r="AT42" s="329" t="s">
        <v>128</v>
      </c>
    </row>
    <row r="43" spans="1:226" s="50" customFormat="1" ht="25.5" customHeight="1">
      <c r="A43" s="38">
        <f t="shared" si="49"/>
        <v>7</v>
      </c>
      <c r="B43" s="39">
        <f t="shared" si="50"/>
        <v>5</v>
      </c>
      <c r="C43" s="40">
        <f t="shared" si="51"/>
        <v>4</v>
      </c>
      <c r="D43" s="39">
        <f t="shared" si="52"/>
        <v>2</v>
      </c>
      <c r="E43" s="41">
        <f t="shared" si="53"/>
        <v>3</v>
      </c>
      <c r="F43" s="41">
        <f t="shared" ref="F43:F44" si="56">COUNTIF(K43:AO43,"X")</f>
        <v>5</v>
      </c>
      <c r="G43" s="41">
        <f t="shared" si="54"/>
        <v>5</v>
      </c>
      <c r="H43" s="41">
        <f t="shared" si="55"/>
        <v>0</v>
      </c>
      <c r="I43" s="177">
        <f t="shared" si="0"/>
        <v>31</v>
      </c>
      <c r="J43" s="68" t="s">
        <v>31</v>
      </c>
      <c r="K43" s="245" t="s">
        <v>56</v>
      </c>
      <c r="L43" s="238" t="s">
        <v>56</v>
      </c>
      <c r="M43" s="238" t="s">
        <v>56</v>
      </c>
      <c r="N43" s="238" t="s">
        <v>52</v>
      </c>
      <c r="O43" s="234" t="s">
        <v>1</v>
      </c>
      <c r="P43" s="234" t="s">
        <v>1</v>
      </c>
      <c r="Q43" s="234" t="s">
        <v>1</v>
      </c>
      <c r="R43" s="239" t="s">
        <v>52</v>
      </c>
      <c r="S43" s="239" t="s">
        <v>0</v>
      </c>
      <c r="T43" s="238" t="s">
        <v>3</v>
      </c>
      <c r="U43" s="238" t="s">
        <v>3</v>
      </c>
      <c r="V43" s="238" t="s">
        <v>54</v>
      </c>
      <c r="W43" s="238" t="s">
        <v>0</v>
      </c>
      <c r="X43" s="238" t="s">
        <v>52</v>
      </c>
      <c r="Y43" s="238" t="s">
        <v>54</v>
      </c>
      <c r="Z43" s="238" t="s">
        <v>54</v>
      </c>
      <c r="AA43" s="238" t="s">
        <v>0</v>
      </c>
      <c r="AB43" s="238" t="s">
        <v>55</v>
      </c>
      <c r="AC43" s="238" t="s">
        <v>55</v>
      </c>
      <c r="AD43" s="238" t="s">
        <v>55</v>
      </c>
      <c r="AE43" s="238" t="s">
        <v>55</v>
      </c>
      <c r="AF43" s="239" t="s">
        <v>52</v>
      </c>
      <c r="AG43" s="239" t="s">
        <v>0</v>
      </c>
      <c r="AH43" s="238" t="s">
        <v>54</v>
      </c>
      <c r="AI43" s="238" t="s">
        <v>54</v>
      </c>
      <c r="AJ43" s="238" t="s">
        <v>56</v>
      </c>
      <c r="AK43" s="238" t="s">
        <v>56</v>
      </c>
      <c r="AL43" s="238" t="s">
        <v>0</v>
      </c>
      <c r="AM43" s="238" t="s">
        <v>54</v>
      </c>
      <c r="AN43" s="238" t="s">
        <v>54</v>
      </c>
      <c r="AO43" s="241" t="s">
        <v>52</v>
      </c>
      <c r="AP43" s="45">
        <v>0</v>
      </c>
      <c r="AQ43" s="46">
        <f t="shared" si="1"/>
        <v>0</v>
      </c>
      <c r="AR43" s="46">
        <v>0</v>
      </c>
      <c r="AS43" s="134">
        <f t="shared" si="31"/>
        <v>0</v>
      </c>
      <c r="AT43" s="329" t="s">
        <v>126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49"/>
        <v>7</v>
      </c>
      <c r="B44" s="39">
        <f t="shared" si="50"/>
        <v>0</v>
      </c>
      <c r="C44" s="40">
        <f t="shared" si="51"/>
        <v>9</v>
      </c>
      <c r="D44" s="39">
        <f t="shared" si="52"/>
        <v>5</v>
      </c>
      <c r="E44" s="41">
        <f t="shared" si="53"/>
        <v>0</v>
      </c>
      <c r="F44" s="41">
        <f t="shared" si="56"/>
        <v>5</v>
      </c>
      <c r="G44" s="41">
        <f t="shared" si="54"/>
        <v>5</v>
      </c>
      <c r="H44" s="41">
        <f t="shared" si="55"/>
        <v>0</v>
      </c>
      <c r="I44" s="177">
        <f t="shared" si="0"/>
        <v>31</v>
      </c>
      <c r="J44" s="68" t="s">
        <v>32</v>
      </c>
      <c r="K44" s="245" t="s">
        <v>54</v>
      </c>
      <c r="L44" s="238" t="s">
        <v>54</v>
      </c>
      <c r="M44" s="234" t="s">
        <v>52</v>
      </c>
      <c r="N44" s="234" t="s">
        <v>0</v>
      </c>
      <c r="O44" s="238" t="s">
        <v>0</v>
      </c>
      <c r="P44" s="238" t="s">
        <v>55</v>
      </c>
      <c r="Q44" s="238" t="s">
        <v>55</v>
      </c>
      <c r="R44" s="239" t="s">
        <v>52</v>
      </c>
      <c r="S44" s="239" t="s">
        <v>0</v>
      </c>
      <c r="T44" s="238" t="s">
        <v>54</v>
      </c>
      <c r="U44" s="238" t="s">
        <v>54</v>
      </c>
      <c r="V44" s="238" t="s">
        <v>3</v>
      </c>
      <c r="W44" s="238" t="s">
        <v>54</v>
      </c>
      <c r="X44" s="238" t="s">
        <v>52</v>
      </c>
      <c r="Y44" s="238" t="s">
        <v>55</v>
      </c>
      <c r="Z44" s="238" t="s">
        <v>55</v>
      </c>
      <c r="AA44" s="238" t="s">
        <v>55</v>
      </c>
      <c r="AB44" s="238" t="s">
        <v>0</v>
      </c>
      <c r="AC44" s="238" t="s">
        <v>3</v>
      </c>
      <c r="AD44" s="238" t="s">
        <v>54</v>
      </c>
      <c r="AE44" s="238" t="s">
        <v>54</v>
      </c>
      <c r="AF44" s="239" t="s">
        <v>52</v>
      </c>
      <c r="AG44" s="239" t="s">
        <v>0</v>
      </c>
      <c r="AH44" s="238" t="s">
        <v>3</v>
      </c>
      <c r="AI44" s="393" t="s">
        <v>3</v>
      </c>
      <c r="AJ44" s="238" t="s">
        <v>3</v>
      </c>
      <c r="AK44" s="238" t="s">
        <v>52</v>
      </c>
      <c r="AL44" s="238" t="s">
        <v>55</v>
      </c>
      <c r="AM44" s="238" t="s">
        <v>55</v>
      </c>
      <c r="AN44" s="238" t="s">
        <v>55</v>
      </c>
      <c r="AO44" s="241" t="s">
        <v>55</v>
      </c>
      <c r="AP44" s="45">
        <v>0</v>
      </c>
      <c r="AQ44" s="46">
        <f t="shared" si="1"/>
        <v>0</v>
      </c>
      <c r="AR44" s="46">
        <v>0</v>
      </c>
      <c r="AS44" s="134">
        <f t="shared" si="31"/>
        <v>0</v>
      </c>
      <c r="AT44" s="32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69">
        <f t="shared" ref="A45" si="57">COUNTIF(K45:AO45,1)+COUNTIF(K45:AO45,"早")+COUNTIF(K45:AO45,"M1")+COUNTIF(K45:AO45,"T早")+COUNTIF(K45:AO45,"日")</f>
        <v>3</v>
      </c>
      <c r="B45" s="70">
        <f t="shared" ref="B45" si="58">COUNTIF(K45:AO45,2)+COUNTIF(K45:AO45,"中")+COUNTIF(K45:AO45,"M2")+COUNTIF(K45:AO45,"T中")+COUNTIF(K45:AO45,"小夜")</f>
        <v>7</v>
      </c>
      <c r="C45" s="71">
        <f t="shared" ref="C45" si="59">COUNTIF(K45:AO45,3)+COUNTIF(K45:AO45,"晚")+COUNTIF(K45:AO45,"大夜")</f>
        <v>4</v>
      </c>
      <c r="D45" s="70">
        <f t="shared" ref="D45" si="60">COUNTIF(K45:AO45,"N")+COUNTIF(K45:AO45,"N8")</f>
        <v>5</v>
      </c>
      <c r="E45" s="63">
        <f t="shared" ref="E45" si="61">COUNTIF(K45:AO45,"S")</f>
        <v>2</v>
      </c>
      <c r="F45" s="63">
        <f t="shared" ref="F45" si="62">COUNTIF(K45:AO45,"X")</f>
        <v>5</v>
      </c>
      <c r="G45" s="63">
        <f t="shared" ref="G45" si="63">COUNTIF(K45:AO45,"Y")</f>
        <v>5</v>
      </c>
      <c r="H45" s="63">
        <f t="shared" ref="H45" si="64">COUNTIF(K45:AO45,"Z")</f>
        <v>0</v>
      </c>
      <c r="I45" s="178">
        <f t="shared" si="0"/>
        <v>31</v>
      </c>
      <c r="J45" s="72" t="s">
        <v>33</v>
      </c>
      <c r="K45" s="262" t="s">
        <v>0</v>
      </c>
      <c r="L45" s="249" t="s">
        <v>0</v>
      </c>
      <c r="M45" s="248" t="s">
        <v>54</v>
      </c>
      <c r="N45" s="248" t="s">
        <v>54</v>
      </c>
      <c r="O45" s="251" t="s">
        <v>1</v>
      </c>
      <c r="P45" s="248" t="s">
        <v>52</v>
      </c>
      <c r="Q45" s="248" t="s">
        <v>56</v>
      </c>
      <c r="R45" s="248" t="s">
        <v>56</v>
      </c>
      <c r="S45" s="248" t="s">
        <v>56</v>
      </c>
      <c r="T45" s="248" t="s">
        <v>0</v>
      </c>
      <c r="U45" s="251" t="s">
        <v>1</v>
      </c>
      <c r="V45" s="248" t="s">
        <v>52</v>
      </c>
      <c r="W45" s="248" t="s">
        <v>3</v>
      </c>
      <c r="X45" s="248" t="s">
        <v>3</v>
      </c>
      <c r="Y45" s="248" t="s">
        <v>56</v>
      </c>
      <c r="Z45" s="248" t="s">
        <v>56</v>
      </c>
      <c r="AA45" s="248" t="s">
        <v>52</v>
      </c>
      <c r="AB45" s="248" t="s">
        <v>54</v>
      </c>
      <c r="AC45" s="248" t="s">
        <v>3</v>
      </c>
      <c r="AD45" s="248" t="s">
        <v>3</v>
      </c>
      <c r="AE45" s="248" t="s">
        <v>3</v>
      </c>
      <c r="AF45" s="249" t="s">
        <v>52</v>
      </c>
      <c r="AG45" s="249" t="s">
        <v>0</v>
      </c>
      <c r="AH45" s="248" t="s">
        <v>55</v>
      </c>
      <c r="AI45" s="248" t="s">
        <v>55</v>
      </c>
      <c r="AJ45" s="248" t="s">
        <v>55</v>
      </c>
      <c r="AK45" s="248" t="s">
        <v>55</v>
      </c>
      <c r="AL45" s="248" t="s">
        <v>52</v>
      </c>
      <c r="AM45" s="248" t="s">
        <v>56</v>
      </c>
      <c r="AN45" s="248" t="s">
        <v>56</v>
      </c>
      <c r="AO45" s="252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31"/>
        <v>0</v>
      </c>
      <c r="AT45" s="330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 thickBot="1">
      <c r="A46" s="75"/>
      <c r="B46" s="75"/>
      <c r="C46" s="75"/>
      <c r="D46" s="75"/>
      <c r="E46" s="76"/>
      <c r="I46" s="75"/>
      <c r="J46" s="78">
        <v>1</v>
      </c>
      <c r="K46" s="400" cm="2">
        <f t="array" ref="K46">SUMPRODUCT(COUNTIF(K4:K45,{"1";"M1"}))</f>
        <v>3</v>
      </c>
      <c r="L46" s="401" cm="2">
        <f t="array" ref="L46">SUMPRODUCT(COUNTIF(L4:L45,{"1";"M1"}))</f>
        <v>3</v>
      </c>
      <c r="M46" s="401" cm="2">
        <f t="array" ref="M46">SUMPRODUCT(COUNTIF(M4:M45,{"1";"M1"}))</f>
        <v>5</v>
      </c>
      <c r="N46" s="401" cm="2">
        <f t="array" ref="N46">SUMPRODUCT(COUNTIF(N4:N45,{"1";"M1"}))</f>
        <v>5</v>
      </c>
      <c r="O46" s="401" cm="2">
        <f t="array" ref="O46">SUMPRODUCT(COUNTIF(O4:O45,{"1";"M1"}))</f>
        <v>5</v>
      </c>
      <c r="P46" s="401" cm="2">
        <f t="array" ref="P46">SUMPRODUCT(COUNTIF(P4:P45,{"1";"M1"}))</f>
        <v>5</v>
      </c>
      <c r="Q46" s="401" cm="2">
        <f t="array" ref="Q46">SUMPRODUCT(COUNTIF(Q4:Q45,{"1";"M1"}))</f>
        <v>5</v>
      </c>
      <c r="R46" s="401" cm="2">
        <f t="array" ref="R46">SUMPRODUCT(COUNTIF(R4:R45,{"1";"M1"}))</f>
        <v>3</v>
      </c>
      <c r="S46" s="401" cm="2">
        <f t="array" ref="S46">SUMPRODUCT(COUNTIF(S4:S45,{"1";"M1"}))</f>
        <v>3</v>
      </c>
      <c r="T46" s="401" cm="2">
        <f t="array" ref="T46">SUMPRODUCT(COUNTIF(T4:T45,{"1";"M1"}))</f>
        <v>5</v>
      </c>
      <c r="U46" s="401" cm="2">
        <f t="array" ref="U46">SUMPRODUCT(COUNTIF(U4:U45,{"1";"M1"}))</f>
        <v>5</v>
      </c>
      <c r="V46" s="401" cm="2">
        <f t="array" ref="V46">SUMPRODUCT(COUNTIF(V4:V45,{"1";"M1"}))</f>
        <v>5</v>
      </c>
      <c r="W46" s="401" cm="2">
        <f t="array" ref="W46">SUMPRODUCT(COUNTIF(W4:W45,{"1";"M1"}))</f>
        <v>5</v>
      </c>
      <c r="X46" s="401" cm="2">
        <f t="array" ref="X46">SUMPRODUCT(COUNTIF(X4:X45,{"1";"M1"}))</f>
        <v>5</v>
      </c>
      <c r="Y46" s="401" cm="2">
        <f t="array" ref="Y46">SUMPRODUCT(COUNTIF(Y4:Y45,{"1";"M1"}))</f>
        <v>3</v>
      </c>
      <c r="Z46" s="401" cm="2">
        <f t="array" ref="Z46">SUMPRODUCT(COUNTIF(Z4:Z45,{"1";"M1"}))</f>
        <v>3</v>
      </c>
      <c r="AA46" s="401" cm="2">
        <f t="array" ref="AA46">SUMPRODUCT(COUNTIF(AA4:AA45,{"1";"M1"}))</f>
        <v>5</v>
      </c>
      <c r="AB46" s="401" cm="2">
        <f t="array" ref="AB46">SUMPRODUCT(COUNTIF(AB4:AB45,{"1";"M1"}))</f>
        <v>5</v>
      </c>
      <c r="AC46" s="401" cm="2">
        <f t="array" ref="AC46">SUMPRODUCT(COUNTIF(AC4:AC45,{"1";"M1"}))</f>
        <v>5</v>
      </c>
      <c r="AD46" s="401" cm="2">
        <f t="array" ref="AD46">SUMPRODUCT(COUNTIF(AD4:AD45,{"1";"M1"}))</f>
        <v>5</v>
      </c>
      <c r="AE46" s="401" cm="2">
        <f t="array" ref="AE46">SUMPRODUCT(COUNTIF(AE4:AE45,{"1";"M1"}))</f>
        <v>5</v>
      </c>
      <c r="AF46" s="401" cm="2">
        <f t="array" ref="AF46">SUMPRODUCT(COUNTIF(AF4:AF45,{"1";"M1"}))</f>
        <v>3</v>
      </c>
      <c r="AG46" s="401" cm="2">
        <f t="array" ref="AG46">SUMPRODUCT(COUNTIF(AG4:AG45,{"1";"M1"}))</f>
        <v>3</v>
      </c>
      <c r="AH46" s="401" cm="2">
        <f t="array" ref="AH46">SUMPRODUCT(COUNTIF(AH4:AH45,{"1";"M1"}))</f>
        <v>5</v>
      </c>
      <c r="AI46" s="401" cm="2">
        <f t="array" ref="AI46">SUMPRODUCT(COUNTIF(AI4:AI45,{"1";"M1"}))</f>
        <v>5</v>
      </c>
      <c r="AJ46" s="401" cm="2">
        <f t="array" ref="AJ46">SUMPRODUCT(COUNTIF(AJ4:AJ45,{"1";"M1"}))</f>
        <v>5</v>
      </c>
      <c r="AK46" s="401" cm="2">
        <f t="array" ref="AK46">SUMPRODUCT(COUNTIF(AK4:AK45,{"1";"M1"}))</f>
        <v>5</v>
      </c>
      <c r="AL46" s="401" cm="2">
        <f t="array" ref="AL46">SUMPRODUCT(COUNTIF(AL4:AL45,{"1";"M1"}))</f>
        <v>5</v>
      </c>
      <c r="AM46" s="401" cm="2">
        <f t="array" ref="AM46">SUMPRODUCT(COUNTIF(AM4:AM45,{"1";"M1"}))</f>
        <v>3</v>
      </c>
      <c r="AN46" s="401" cm="2">
        <f t="array" ref="AN46">SUMPRODUCT(COUNTIF(AN4:AN45,{"1";"M1"}))</f>
        <v>3</v>
      </c>
      <c r="AO46" s="402" cm="2">
        <f t="array" ref="AO46">SUMPRODUCT(COUNTIF(AO4:AO45,{"1";"M1"}))</f>
        <v>5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403" cm="2">
        <f t="array" ref="K47">SUMPRODUCT(COUNTIF(K4:K45,{"2";"M2"}))</f>
        <v>3</v>
      </c>
      <c r="L47" s="404" cm="2">
        <f t="array" ref="L47">SUMPRODUCT(COUNTIF(L4:L45,{"2";"M2"}))</f>
        <v>3</v>
      </c>
      <c r="M47" s="404" cm="2">
        <f t="array" ref="M47">SUMPRODUCT(COUNTIF(M4:M45,{"2";"M2"}))</f>
        <v>3</v>
      </c>
      <c r="N47" s="404" cm="2">
        <f t="array" ref="N47">SUMPRODUCT(COUNTIF(N4:N45,{"2";"M2"}))</f>
        <v>3</v>
      </c>
      <c r="O47" s="404" cm="2">
        <f t="array" ref="O47">SUMPRODUCT(COUNTIF(O4:O45,{"2";"M2"}))</f>
        <v>3</v>
      </c>
      <c r="P47" s="404" cm="2">
        <f t="array" ref="P47">SUMPRODUCT(COUNTIF(P4:P45,{"2";"M2"}))</f>
        <v>3</v>
      </c>
      <c r="Q47" s="404" cm="2">
        <f t="array" ref="Q47">SUMPRODUCT(COUNTIF(Q4:Q45,{"2";"M2"}))</f>
        <v>3</v>
      </c>
      <c r="R47" s="404" cm="2">
        <f t="array" ref="R47">SUMPRODUCT(COUNTIF(R4:R45,{"2";"M2"}))</f>
        <v>3</v>
      </c>
      <c r="S47" s="404" cm="2">
        <f t="array" ref="S47">SUMPRODUCT(COUNTIF(S4:S45,{"2";"M2"}))</f>
        <v>3</v>
      </c>
      <c r="T47" s="404" cm="2">
        <f t="array" ref="T47">SUMPRODUCT(COUNTIF(T4:T45,{"2";"M2"}))</f>
        <v>3</v>
      </c>
      <c r="U47" s="404" cm="2">
        <f t="array" ref="U47">SUMPRODUCT(COUNTIF(U4:U45,{"2";"M2"}))</f>
        <v>3</v>
      </c>
      <c r="V47" s="404" cm="2">
        <f t="array" ref="V47">SUMPRODUCT(COUNTIF(V4:V45,{"2";"M2"}))</f>
        <v>3</v>
      </c>
      <c r="W47" s="404" cm="2">
        <f t="array" ref="W47">SUMPRODUCT(COUNTIF(W4:W45,{"2";"M2"}))</f>
        <v>3</v>
      </c>
      <c r="X47" s="404" cm="2">
        <f t="array" ref="X47">SUMPRODUCT(COUNTIF(X4:X45,{"2";"M2"}))</f>
        <v>3</v>
      </c>
      <c r="Y47" s="404" cm="2">
        <f t="array" ref="Y47">SUMPRODUCT(COUNTIF(Y4:Y45,{"2";"M2"}))</f>
        <v>3</v>
      </c>
      <c r="Z47" s="404" cm="2">
        <f t="array" ref="Z47">SUMPRODUCT(COUNTIF(Z4:Z45,{"2";"M2"}))</f>
        <v>3</v>
      </c>
      <c r="AA47" s="404" cm="2">
        <f t="array" ref="AA47">SUMPRODUCT(COUNTIF(AA4:AA45,{"2";"M2"}))</f>
        <v>3</v>
      </c>
      <c r="AB47" s="404" cm="2">
        <f t="array" ref="AB47">SUMPRODUCT(COUNTIF(AB4:AB45,{"2";"M2"}))</f>
        <v>3</v>
      </c>
      <c r="AC47" s="404" cm="2">
        <f t="array" ref="AC47">SUMPRODUCT(COUNTIF(AC4:AC45,{"2";"M2"}))</f>
        <v>3</v>
      </c>
      <c r="AD47" s="404" cm="2">
        <f t="array" ref="AD47">SUMPRODUCT(COUNTIF(AD4:AD45,{"2";"M2"}))</f>
        <v>3</v>
      </c>
      <c r="AE47" s="404" cm="2">
        <f t="array" ref="AE47">SUMPRODUCT(COUNTIF(AE4:AE45,{"2";"M2"}))</f>
        <v>3</v>
      </c>
      <c r="AF47" s="404" cm="2">
        <f t="array" ref="AF47">SUMPRODUCT(COUNTIF(AF4:AF45,{"2";"M2"}))</f>
        <v>3</v>
      </c>
      <c r="AG47" s="404" cm="2">
        <f t="array" ref="AG47">SUMPRODUCT(COUNTIF(AG4:AG45,{"2";"M2"}))</f>
        <v>3</v>
      </c>
      <c r="AH47" s="404" cm="2">
        <f t="array" ref="AH47">SUMPRODUCT(COUNTIF(AH4:AH45,{"2";"M2"}))</f>
        <v>3</v>
      </c>
      <c r="AI47" s="404" cm="2">
        <f t="array" ref="AI47">SUMPRODUCT(COUNTIF(AI4:AI45,{"2";"M2"}))</f>
        <v>3</v>
      </c>
      <c r="AJ47" s="404" cm="2">
        <f t="array" ref="AJ47">SUMPRODUCT(COUNTIF(AJ4:AJ45,{"2";"M2"}))</f>
        <v>3</v>
      </c>
      <c r="AK47" s="404" cm="2">
        <f t="array" ref="AK47">SUMPRODUCT(COUNTIF(AK4:AK45,{"2";"M2"}))</f>
        <v>3</v>
      </c>
      <c r="AL47" s="404" cm="2">
        <f t="array" ref="AL47">SUMPRODUCT(COUNTIF(AL4:AL45,{"2";"M2"}))</f>
        <v>3</v>
      </c>
      <c r="AM47" s="404" cm="2">
        <f t="array" ref="AM47">SUMPRODUCT(COUNTIF(AM4:AM45,{"2";"M2"}))</f>
        <v>3</v>
      </c>
      <c r="AN47" s="404" cm="2">
        <f t="array" ref="AN47">SUMPRODUCT(COUNTIF(AN4:AN45,{"2";"M2"}))</f>
        <v>3</v>
      </c>
      <c r="AO47" s="405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406">
        <f t="shared" ref="K48:AO48" si="65">COUNTIF(K4:K45,3)</f>
        <v>2</v>
      </c>
      <c r="L48" s="407">
        <f t="shared" si="65"/>
        <v>2</v>
      </c>
      <c r="M48" s="407">
        <f t="shared" si="65"/>
        <v>3</v>
      </c>
      <c r="N48" s="407">
        <f t="shared" si="65"/>
        <v>3</v>
      </c>
      <c r="O48" s="407">
        <f t="shared" si="65"/>
        <v>3</v>
      </c>
      <c r="P48" s="407">
        <f t="shared" si="65"/>
        <v>3</v>
      </c>
      <c r="Q48" s="407">
        <f t="shared" si="65"/>
        <v>3</v>
      </c>
      <c r="R48" s="407">
        <f t="shared" si="65"/>
        <v>2</v>
      </c>
      <c r="S48" s="407">
        <f t="shared" si="65"/>
        <v>2</v>
      </c>
      <c r="T48" s="407">
        <f t="shared" si="65"/>
        <v>3</v>
      </c>
      <c r="U48" s="407">
        <f t="shared" si="65"/>
        <v>3</v>
      </c>
      <c r="V48" s="407">
        <f t="shared" si="65"/>
        <v>3</v>
      </c>
      <c r="W48" s="407">
        <f t="shared" si="65"/>
        <v>3</v>
      </c>
      <c r="X48" s="407">
        <f t="shared" si="65"/>
        <v>3</v>
      </c>
      <c r="Y48" s="407">
        <f t="shared" si="65"/>
        <v>2</v>
      </c>
      <c r="Z48" s="407">
        <f t="shared" si="65"/>
        <v>2</v>
      </c>
      <c r="AA48" s="407">
        <f t="shared" si="65"/>
        <v>3</v>
      </c>
      <c r="AB48" s="407">
        <f t="shared" si="65"/>
        <v>3</v>
      </c>
      <c r="AC48" s="407">
        <f t="shared" si="65"/>
        <v>3</v>
      </c>
      <c r="AD48" s="407">
        <f t="shared" si="65"/>
        <v>3</v>
      </c>
      <c r="AE48" s="407">
        <f t="shared" si="65"/>
        <v>3</v>
      </c>
      <c r="AF48" s="407">
        <f t="shared" si="65"/>
        <v>2</v>
      </c>
      <c r="AG48" s="407">
        <f t="shared" si="65"/>
        <v>2</v>
      </c>
      <c r="AH48" s="407">
        <f t="shared" si="65"/>
        <v>3</v>
      </c>
      <c r="AI48" s="407">
        <f t="shared" si="65"/>
        <v>3</v>
      </c>
      <c r="AJ48" s="407">
        <f t="shared" si="65"/>
        <v>3</v>
      </c>
      <c r="AK48" s="407">
        <f t="shared" si="65"/>
        <v>3</v>
      </c>
      <c r="AL48" s="407">
        <f t="shared" si="65"/>
        <v>3</v>
      </c>
      <c r="AM48" s="407">
        <f t="shared" si="65"/>
        <v>2</v>
      </c>
      <c r="AN48" s="407">
        <f t="shared" si="65"/>
        <v>2</v>
      </c>
      <c r="AO48" s="408">
        <f t="shared" si="65"/>
        <v>3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409" cm="2">
        <f t="array" ref="K49">SUMPRODUCT(COUNTIF(K4:K45,{"早";"T早"}))</f>
        <v>3</v>
      </c>
      <c r="L49" s="410" cm="2">
        <f t="array" ref="L49">SUMPRODUCT(COUNTIF(L4:L45,{"早";"T早"}))</f>
        <v>3</v>
      </c>
      <c r="M49" s="410" cm="2">
        <f t="array" ref="M49">SUMPRODUCT(COUNTIF(M4:M45,{"早";"T早"}))</f>
        <v>5</v>
      </c>
      <c r="N49" s="410" cm="2">
        <f t="array" ref="N49">SUMPRODUCT(COUNTIF(N4:N45,{"早";"T早"}))</f>
        <v>5</v>
      </c>
      <c r="O49" s="410" cm="2">
        <f t="array" ref="O49">SUMPRODUCT(COUNTIF(O4:O45,{"早";"T早"}))</f>
        <v>5</v>
      </c>
      <c r="P49" s="410" cm="2">
        <f t="array" ref="P49">SUMPRODUCT(COUNTIF(P4:P45,{"早";"T早"}))</f>
        <v>5</v>
      </c>
      <c r="Q49" s="410" cm="2">
        <f t="array" ref="Q49">SUMPRODUCT(COUNTIF(Q4:Q45,{"早";"T早"}))</f>
        <v>5</v>
      </c>
      <c r="R49" s="410" cm="2">
        <f t="array" ref="R49">SUMPRODUCT(COUNTIF(R4:R45,{"早";"T早"}))</f>
        <v>3</v>
      </c>
      <c r="S49" s="410" cm="2">
        <f t="array" ref="S49">SUMPRODUCT(COUNTIF(S4:S45,{"早";"T早"}))</f>
        <v>3</v>
      </c>
      <c r="T49" s="410" cm="2">
        <f t="array" ref="T49">SUMPRODUCT(COUNTIF(T4:T45,{"早";"T早"}))</f>
        <v>5</v>
      </c>
      <c r="U49" s="410" cm="2">
        <f t="array" ref="U49">SUMPRODUCT(COUNTIF(U4:U45,{"早";"T早"}))</f>
        <v>5</v>
      </c>
      <c r="V49" s="410" cm="2">
        <f t="array" ref="V49">SUMPRODUCT(COUNTIF(V4:V45,{"早";"T早"}))</f>
        <v>5</v>
      </c>
      <c r="W49" s="410" cm="2">
        <f t="array" ref="W49">SUMPRODUCT(COUNTIF(W4:W45,{"早";"T早"}))</f>
        <v>5</v>
      </c>
      <c r="X49" s="410" cm="2">
        <f t="array" ref="X49">SUMPRODUCT(COUNTIF(X4:X45,{"早";"T早"}))</f>
        <v>5</v>
      </c>
      <c r="Y49" s="410" cm="2">
        <f t="array" ref="Y49">SUMPRODUCT(COUNTIF(Y4:Y45,{"早";"T早"}))</f>
        <v>3</v>
      </c>
      <c r="Z49" s="410" cm="2">
        <f t="array" ref="Z49">SUMPRODUCT(COUNTIF(Z4:Z45,{"早";"T早"}))</f>
        <v>3</v>
      </c>
      <c r="AA49" s="410" cm="2">
        <f t="array" ref="AA49">SUMPRODUCT(COUNTIF(AA4:AA45,{"早";"T早"}))</f>
        <v>5</v>
      </c>
      <c r="AB49" s="410" cm="2">
        <f t="array" ref="AB49">SUMPRODUCT(COUNTIF(AB4:AB45,{"早";"T早"}))</f>
        <v>5</v>
      </c>
      <c r="AC49" s="410" cm="2">
        <f t="array" ref="AC49">SUMPRODUCT(COUNTIF(AC4:AC45,{"早";"T早"}))</f>
        <v>5</v>
      </c>
      <c r="AD49" s="410" cm="2">
        <f t="array" ref="AD49">SUMPRODUCT(COUNTIF(AD4:AD45,{"早";"T早"}))</f>
        <v>5</v>
      </c>
      <c r="AE49" s="410" cm="2">
        <f t="array" ref="AE49">SUMPRODUCT(COUNTIF(AE4:AE45,{"早";"T早"}))</f>
        <v>5</v>
      </c>
      <c r="AF49" s="410" cm="2">
        <f t="array" ref="AF49">SUMPRODUCT(COUNTIF(AF4:AF45,{"早";"T早"}))</f>
        <v>3</v>
      </c>
      <c r="AG49" s="410" cm="2">
        <f t="array" ref="AG49">SUMPRODUCT(COUNTIF(AG4:AG45,{"早";"T早"}))</f>
        <v>3</v>
      </c>
      <c r="AH49" s="410" cm="2">
        <f t="array" ref="AH49">SUMPRODUCT(COUNTIF(AH4:AH45,{"早";"T早"}))</f>
        <v>5</v>
      </c>
      <c r="AI49" s="410" cm="2">
        <f t="array" ref="AI49">SUMPRODUCT(COUNTIF(AI4:AI45,{"早";"T早"}))</f>
        <v>5</v>
      </c>
      <c r="AJ49" s="410" cm="2">
        <f t="array" ref="AJ49">SUMPRODUCT(COUNTIF(AJ4:AJ45,{"早";"T早"}))</f>
        <v>5</v>
      </c>
      <c r="AK49" s="410" cm="2">
        <f t="array" ref="AK49">SUMPRODUCT(COUNTIF(AK4:AK45,{"早";"T早"}))</f>
        <v>5</v>
      </c>
      <c r="AL49" s="410" cm="2">
        <f t="array" ref="AL49">SUMPRODUCT(COUNTIF(AL4:AL45,{"早";"T早"}))</f>
        <v>5</v>
      </c>
      <c r="AM49" s="410" cm="2">
        <f t="array" ref="AM49">SUMPRODUCT(COUNTIF(AM4:AM45,{"早";"T早"}))</f>
        <v>3</v>
      </c>
      <c r="AN49" s="410" cm="2">
        <f t="array" ref="AN49">SUMPRODUCT(COUNTIF(AN4:AN45,{"早";"T早"}))</f>
        <v>3</v>
      </c>
      <c r="AO49" s="411" cm="2">
        <f t="array" ref="AO49">SUMPRODUCT(COUNTIF(AO4:AO45,{"早";"T早"}))</f>
        <v>5</v>
      </c>
      <c r="AQ49" s="87" t="s">
        <v>37</v>
      </c>
      <c r="AR49" s="75">
        <f>22*(31-I1)</f>
        <v>462</v>
      </c>
      <c r="AS49" s="75">
        <f>3*(31-I1)</f>
        <v>63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412" cm="2">
        <f t="array" ref="K50">SUMPRODUCT(COUNTIF(K4:K45,{"中";"T中"}))</f>
        <v>3</v>
      </c>
      <c r="L50" s="413" cm="2">
        <f t="array" ref="L50">SUMPRODUCT(COUNTIF(L4:L45,{"中";"T中"}))</f>
        <v>3</v>
      </c>
      <c r="M50" s="413" cm="2">
        <f t="array" ref="M50">SUMPRODUCT(COUNTIF(M4:M45,{"中";"T中"}))</f>
        <v>3</v>
      </c>
      <c r="N50" s="413" cm="2">
        <f t="array" ref="N50">SUMPRODUCT(COUNTIF(N4:N45,{"中";"T中"}))</f>
        <v>3</v>
      </c>
      <c r="O50" s="413" cm="2">
        <f t="array" ref="O50">SUMPRODUCT(COUNTIF(O4:O45,{"中";"T中"}))</f>
        <v>3</v>
      </c>
      <c r="P50" s="413" cm="2">
        <f t="array" ref="P50">SUMPRODUCT(COUNTIF(P4:P45,{"中";"T中"}))</f>
        <v>3</v>
      </c>
      <c r="Q50" s="413" cm="2">
        <f t="array" ref="Q50">SUMPRODUCT(COUNTIF(Q4:Q45,{"中";"T中"}))</f>
        <v>3</v>
      </c>
      <c r="R50" s="413" cm="2">
        <f t="array" ref="R50">SUMPRODUCT(COUNTIF(R4:R45,{"中";"T中"}))</f>
        <v>3</v>
      </c>
      <c r="S50" s="413" cm="2">
        <f t="array" ref="S50">SUMPRODUCT(COUNTIF(S4:S45,{"中";"T中"}))</f>
        <v>3</v>
      </c>
      <c r="T50" s="413" cm="2">
        <f t="array" ref="T50">SUMPRODUCT(COUNTIF(T4:T45,{"中";"T中"}))</f>
        <v>3</v>
      </c>
      <c r="U50" s="413" cm="2">
        <f t="array" ref="U50">SUMPRODUCT(COUNTIF(U4:U45,{"中";"T中"}))</f>
        <v>3</v>
      </c>
      <c r="V50" s="413" cm="2">
        <f t="array" ref="V50">SUMPRODUCT(COUNTIF(V4:V45,{"中";"T中"}))</f>
        <v>3</v>
      </c>
      <c r="W50" s="413" cm="2">
        <f t="array" ref="W50">SUMPRODUCT(COUNTIF(W4:W45,{"中";"T中"}))</f>
        <v>3</v>
      </c>
      <c r="X50" s="413" cm="2">
        <f t="array" ref="X50">SUMPRODUCT(COUNTIF(X4:X45,{"中";"T中"}))</f>
        <v>3</v>
      </c>
      <c r="Y50" s="413" cm="2">
        <f t="array" ref="Y50">SUMPRODUCT(COUNTIF(Y4:Y45,{"中";"T中"}))</f>
        <v>3</v>
      </c>
      <c r="Z50" s="413" cm="2">
        <f t="array" ref="Z50">SUMPRODUCT(COUNTIF(Z4:Z45,{"中";"T中"}))</f>
        <v>3</v>
      </c>
      <c r="AA50" s="413" cm="2">
        <f t="array" ref="AA50">SUMPRODUCT(COUNTIF(AA4:AA45,{"中";"T中"}))</f>
        <v>3</v>
      </c>
      <c r="AB50" s="413" cm="2">
        <f t="array" ref="AB50">SUMPRODUCT(COUNTIF(AB4:AB45,{"中";"T中"}))</f>
        <v>3</v>
      </c>
      <c r="AC50" s="413" cm="2">
        <f t="array" ref="AC50">SUMPRODUCT(COUNTIF(AC4:AC45,{"中";"T中"}))</f>
        <v>3</v>
      </c>
      <c r="AD50" s="413" cm="2">
        <f t="array" ref="AD50">SUMPRODUCT(COUNTIF(AD4:AD45,{"中";"T中"}))</f>
        <v>3</v>
      </c>
      <c r="AE50" s="413" cm="2">
        <f t="array" ref="AE50">SUMPRODUCT(COUNTIF(AE4:AE45,{"中";"T中"}))</f>
        <v>3</v>
      </c>
      <c r="AF50" s="413" cm="2">
        <f t="array" ref="AF50">SUMPRODUCT(COUNTIF(AF4:AF45,{"中";"T中"}))</f>
        <v>3</v>
      </c>
      <c r="AG50" s="413" cm="2">
        <f t="array" ref="AG50">SUMPRODUCT(COUNTIF(AG4:AG45,{"中";"T中"}))</f>
        <v>3</v>
      </c>
      <c r="AH50" s="413" cm="2">
        <f t="array" ref="AH50">SUMPRODUCT(COUNTIF(AH4:AH45,{"中";"T中"}))</f>
        <v>3</v>
      </c>
      <c r="AI50" s="413" cm="2">
        <f t="array" ref="AI50">SUMPRODUCT(COUNTIF(AI4:AI45,{"中";"T中"}))</f>
        <v>3</v>
      </c>
      <c r="AJ50" s="413" cm="2">
        <f t="array" ref="AJ50">SUMPRODUCT(COUNTIF(AJ4:AJ45,{"中";"T中"}))</f>
        <v>3</v>
      </c>
      <c r="AK50" s="413" cm="2">
        <f t="array" ref="AK50">SUMPRODUCT(COUNTIF(AK4:AK45,{"中";"T中"}))</f>
        <v>3</v>
      </c>
      <c r="AL50" s="413" cm="2">
        <f t="array" ref="AL50">SUMPRODUCT(COUNTIF(AL4:AL45,{"中";"T中"}))</f>
        <v>3</v>
      </c>
      <c r="AM50" s="413" cm="2">
        <f t="array" ref="AM50">SUMPRODUCT(COUNTIF(AM4:AM45,{"中";"T中"}))</f>
        <v>3</v>
      </c>
      <c r="AN50" s="413" cm="2">
        <f t="array" ref="AN50">SUMPRODUCT(COUNTIF(AN4:AN45,{"中";"T中"}))</f>
        <v>3</v>
      </c>
      <c r="AO50" s="414" cm="2">
        <f t="array" ref="AO50">SUMPRODUCT(COUNTIF(AO4:AO45,{"中";"T中"}))</f>
        <v>3</v>
      </c>
      <c r="AQ50" s="87" t="s">
        <v>39</v>
      </c>
      <c r="AR50" s="75">
        <f>16*I1</f>
        <v>160</v>
      </c>
      <c r="AS50" s="75">
        <f>3*I1</f>
        <v>30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406">
        <f t="shared" ref="K51:AO51" si="66">COUNTIF(K4:K45,"晚")</f>
        <v>2</v>
      </c>
      <c r="L51" s="407">
        <f t="shared" si="66"/>
        <v>2</v>
      </c>
      <c r="M51" s="407">
        <f t="shared" si="66"/>
        <v>3</v>
      </c>
      <c r="N51" s="407">
        <f t="shared" si="66"/>
        <v>3</v>
      </c>
      <c r="O51" s="407">
        <f t="shared" si="66"/>
        <v>3</v>
      </c>
      <c r="P51" s="407">
        <f t="shared" si="66"/>
        <v>3</v>
      </c>
      <c r="Q51" s="407">
        <f t="shared" si="66"/>
        <v>3</v>
      </c>
      <c r="R51" s="407">
        <f t="shared" si="66"/>
        <v>2</v>
      </c>
      <c r="S51" s="407">
        <f t="shared" si="66"/>
        <v>2</v>
      </c>
      <c r="T51" s="407">
        <f t="shared" si="66"/>
        <v>3</v>
      </c>
      <c r="U51" s="407">
        <f t="shared" si="66"/>
        <v>3</v>
      </c>
      <c r="V51" s="407">
        <f t="shared" si="66"/>
        <v>3</v>
      </c>
      <c r="W51" s="407">
        <f t="shared" si="66"/>
        <v>3</v>
      </c>
      <c r="X51" s="407">
        <f t="shared" si="66"/>
        <v>3</v>
      </c>
      <c r="Y51" s="407">
        <f t="shared" si="66"/>
        <v>2</v>
      </c>
      <c r="Z51" s="407">
        <f t="shared" si="66"/>
        <v>2</v>
      </c>
      <c r="AA51" s="407">
        <f t="shared" si="66"/>
        <v>3</v>
      </c>
      <c r="AB51" s="407">
        <f t="shared" si="66"/>
        <v>3</v>
      </c>
      <c r="AC51" s="407">
        <f t="shared" si="66"/>
        <v>3</v>
      </c>
      <c r="AD51" s="407">
        <f t="shared" si="66"/>
        <v>3</v>
      </c>
      <c r="AE51" s="407">
        <f t="shared" si="66"/>
        <v>3</v>
      </c>
      <c r="AF51" s="407">
        <f t="shared" si="66"/>
        <v>2</v>
      </c>
      <c r="AG51" s="407">
        <f t="shared" si="66"/>
        <v>2</v>
      </c>
      <c r="AH51" s="407">
        <f t="shared" si="66"/>
        <v>3</v>
      </c>
      <c r="AI51" s="407">
        <f t="shared" si="66"/>
        <v>3</v>
      </c>
      <c r="AJ51" s="407">
        <f t="shared" si="66"/>
        <v>3</v>
      </c>
      <c r="AK51" s="407">
        <f t="shared" si="66"/>
        <v>3</v>
      </c>
      <c r="AL51" s="407">
        <f t="shared" si="66"/>
        <v>3</v>
      </c>
      <c r="AM51" s="407">
        <f t="shared" si="66"/>
        <v>2</v>
      </c>
      <c r="AN51" s="407">
        <f t="shared" si="66"/>
        <v>2</v>
      </c>
      <c r="AO51" s="408">
        <f t="shared" si="66"/>
        <v>3</v>
      </c>
      <c r="AQ51" s="75" t="s">
        <v>0</v>
      </c>
      <c r="AR51" s="91">
        <f>36*I1</f>
        <v>360</v>
      </c>
      <c r="AS51" s="75">
        <f>6*I1</f>
        <v>60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409">
        <f t="shared" ref="K52:AO52" si="67">COUNTIF(K4:K45,"日")</f>
        <v>1</v>
      </c>
      <c r="L52" s="410">
        <f t="shared" si="67"/>
        <v>1</v>
      </c>
      <c r="M52" s="410">
        <f t="shared" si="67"/>
        <v>1</v>
      </c>
      <c r="N52" s="410">
        <f t="shared" si="67"/>
        <v>1</v>
      </c>
      <c r="O52" s="410">
        <f t="shared" si="67"/>
        <v>1</v>
      </c>
      <c r="P52" s="410">
        <f t="shared" si="67"/>
        <v>1</v>
      </c>
      <c r="Q52" s="410">
        <f t="shared" si="67"/>
        <v>1</v>
      </c>
      <c r="R52" s="410">
        <f t="shared" si="67"/>
        <v>1</v>
      </c>
      <c r="S52" s="410">
        <f t="shared" si="67"/>
        <v>1</v>
      </c>
      <c r="T52" s="410">
        <f t="shared" si="67"/>
        <v>1</v>
      </c>
      <c r="U52" s="410">
        <f t="shared" si="67"/>
        <v>1</v>
      </c>
      <c r="V52" s="410">
        <f t="shared" si="67"/>
        <v>1</v>
      </c>
      <c r="W52" s="410">
        <f t="shared" si="67"/>
        <v>1</v>
      </c>
      <c r="X52" s="410">
        <f t="shared" si="67"/>
        <v>1</v>
      </c>
      <c r="Y52" s="410">
        <f t="shared" si="67"/>
        <v>1</v>
      </c>
      <c r="Z52" s="410">
        <f t="shared" si="67"/>
        <v>1</v>
      </c>
      <c r="AA52" s="410">
        <f t="shared" si="67"/>
        <v>1</v>
      </c>
      <c r="AB52" s="410">
        <f t="shared" si="67"/>
        <v>1</v>
      </c>
      <c r="AC52" s="410">
        <f t="shared" si="67"/>
        <v>1</v>
      </c>
      <c r="AD52" s="410">
        <f t="shared" si="67"/>
        <v>1</v>
      </c>
      <c r="AE52" s="410">
        <f t="shared" si="67"/>
        <v>1</v>
      </c>
      <c r="AF52" s="410">
        <f t="shared" si="67"/>
        <v>1</v>
      </c>
      <c r="AG52" s="410">
        <f t="shared" si="67"/>
        <v>1</v>
      </c>
      <c r="AH52" s="410">
        <f t="shared" si="67"/>
        <v>1</v>
      </c>
      <c r="AI52" s="410">
        <f t="shared" si="67"/>
        <v>1</v>
      </c>
      <c r="AJ52" s="410">
        <f t="shared" si="67"/>
        <v>1</v>
      </c>
      <c r="AK52" s="410">
        <f t="shared" si="67"/>
        <v>1</v>
      </c>
      <c r="AL52" s="410">
        <f t="shared" si="67"/>
        <v>1</v>
      </c>
      <c r="AM52" s="410">
        <f t="shared" si="67"/>
        <v>1</v>
      </c>
      <c r="AN52" s="410">
        <f t="shared" si="67"/>
        <v>1</v>
      </c>
      <c r="AO52" s="411">
        <f t="shared" si="67"/>
        <v>1</v>
      </c>
      <c r="AQ52" s="50" t="s">
        <v>104</v>
      </c>
      <c r="AR52" s="91" cm="2">
        <f t="array" ref="AR52">SUMPRODUCT(COUNTIF(K4:AO39,{"N";"N8"}))</f>
        <v>62</v>
      </c>
      <c r="AS52" s="91" cm="2">
        <f t="array" ref="AS52">SUMPRODUCT(COUNTIF(K40:AO45,{"N";"N8"}))</f>
        <v>24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412">
        <f t="shared" ref="K53:AO53" si="68">COUNTIF(K4:K45,"小夜")</f>
        <v>1</v>
      </c>
      <c r="L53" s="413">
        <f t="shared" si="68"/>
        <v>1</v>
      </c>
      <c r="M53" s="413">
        <f t="shared" si="68"/>
        <v>1</v>
      </c>
      <c r="N53" s="413">
        <f t="shared" si="68"/>
        <v>1</v>
      </c>
      <c r="O53" s="413">
        <f t="shared" si="68"/>
        <v>1</v>
      </c>
      <c r="P53" s="413">
        <f t="shared" si="68"/>
        <v>1</v>
      </c>
      <c r="Q53" s="413">
        <f t="shared" si="68"/>
        <v>1</v>
      </c>
      <c r="R53" s="413">
        <f t="shared" si="68"/>
        <v>1</v>
      </c>
      <c r="S53" s="413">
        <f t="shared" si="68"/>
        <v>1</v>
      </c>
      <c r="T53" s="413">
        <f t="shared" si="68"/>
        <v>1</v>
      </c>
      <c r="U53" s="413">
        <f t="shared" si="68"/>
        <v>1</v>
      </c>
      <c r="V53" s="413">
        <f t="shared" si="68"/>
        <v>1</v>
      </c>
      <c r="W53" s="413">
        <f t="shared" si="68"/>
        <v>1</v>
      </c>
      <c r="X53" s="413">
        <f t="shared" si="68"/>
        <v>1</v>
      </c>
      <c r="Y53" s="413">
        <f t="shared" si="68"/>
        <v>1</v>
      </c>
      <c r="Z53" s="413">
        <f t="shared" si="68"/>
        <v>1</v>
      </c>
      <c r="AA53" s="413">
        <f t="shared" si="68"/>
        <v>1</v>
      </c>
      <c r="AB53" s="413">
        <f t="shared" si="68"/>
        <v>1</v>
      </c>
      <c r="AC53" s="413">
        <f t="shared" si="68"/>
        <v>1</v>
      </c>
      <c r="AD53" s="413">
        <f t="shared" si="68"/>
        <v>1</v>
      </c>
      <c r="AE53" s="413">
        <f t="shared" si="68"/>
        <v>1</v>
      </c>
      <c r="AF53" s="413">
        <f t="shared" si="68"/>
        <v>1</v>
      </c>
      <c r="AG53" s="413">
        <f t="shared" si="68"/>
        <v>1</v>
      </c>
      <c r="AH53" s="413">
        <f t="shared" si="68"/>
        <v>1</v>
      </c>
      <c r="AI53" s="413">
        <f t="shared" si="68"/>
        <v>1</v>
      </c>
      <c r="AJ53" s="413">
        <f t="shared" si="68"/>
        <v>1</v>
      </c>
      <c r="AK53" s="413">
        <f t="shared" si="68"/>
        <v>1</v>
      </c>
      <c r="AL53" s="413">
        <f t="shared" si="68"/>
        <v>1</v>
      </c>
      <c r="AM53" s="413">
        <f t="shared" si="68"/>
        <v>1</v>
      </c>
      <c r="AN53" s="413">
        <f t="shared" si="68"/>
        <v>1</v>
      </c>
      <c r="AO53" s="414">
        <f t="shared" si="68"/>
        <v>1</v>
      </c>
      <c r="AQ53" s="50" t="s">
        <v>105</v>
      </c>
      <c r="AR53" s="92" cm="2">
        <f t="array" ref="AR53">SUMPRODUCT(COUNTIF(K4:AO39,{"S"}))</f>
        <v>64</v>
      </c>
      <c r="AS53" s="75" cm="2">
        <f t="array" ref="AS53">SUMPRODUCT(COUNTIF(K40:AO45,{"S"}))</f>
        <v>8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406">
        <f t="shared" ref="K54:AO54" si="69">COUNTIF(K7:K48,"大夜")</f>
        <v>1</v>
      </c>
      <c r="L54" s="407">
        <f t="shared" si="69"/>
        <v>1</v>
      </c>
      <c r="M54" s="407">
        <f t="shared" si="69"/>
        <v>1</v>
      </c>
      <c r="N54" s="407">
        <f t="shared" si="69"/>
        <v>1</v>
      </c>
      <c r="O54" s="407">
        <f t="shared" si="69"/>
        <v>1</v>
      </c>
      <c r="P54" s="407">
        <f t="shared" si="69"/>
        <v>1</v>
      </c>
      <c r="Q54" s="407">
        <f t="shared" si="69"/>
        <v>1</v>
      </c>
      <c r="R54" s="407">
        <f t="shared" si="69"/>
        <v>1</v>
      </c>
      <c r="S54" s="407">
        <f t="shared" si="69"/>
        <v>1</v>
      </c>
      <c r="T54" s="407">
        <f t="shared" si="69"/>
        <v>1</v>
      </c>
      <c r="U54" s="407">
        <f t="shared" si="69"/>
        <v>1</v>
      </c>
      <c r="V54" s="407">
        <f t="shared" si="69"/>
        <v>1</v>
      </c>
      <c r="W54" s="407">
        <f t="shared" si="69"/>
        <v>1</v>
      </c>
      <c r="X54" s="407">
        <f t="shared" si="69"/>
        <v>1</v>
      </c>
      <c r="Y54" s="407">
        <f t="shared" si="69"/>
        <v>1</v>
      </c>
      <c r="Z54" s="407">
        <f t="shared" si="69"/>
        <v>1</v>
      </c>
      <c r="AA54" s="407">
        <f t="shared" si="69"/>
        <v>1</v>
      </c>
      <c r="AB54" s="407">
        <f t="shared" si="69"/>
        <v>1</v>
      </c>
      <c r="AC54" s="407">
        <f t="shared" si="69"/>
        <v>1</v>
      </c>
      <c r="AD54" s="407">
        <f t="shared" si="69"/>
        <v>1</v>
      </c>
      <c r="AE54" s="407">
        <f t="shared" si="69"/>
        <v>1</v>
      </c>
      <c r="AF54" s="407">
        <f t="shared" si="69"/>
        <v>1</v>
      </c>
      <c r="AG54" s="407">
        <f t="shared" si="69"/>
        <v>1</v>
      </c>
      <c r="AH54" s="407">
        <f t="shared" si="69"/>
        <v>1</v>
      </c>
      <c r="AI54" s="407">
        <f t="shared" si="69"/>
        <v>1</v>
      </c>
      <c r="AJ54" s="407">
        <f t="shared" si="69"/>
        <v>1</v>
      </c>
      <c r="AK54" s="407">
        <f t="shared" si="69"/>
        <v>1</v>
      </c>
      <c r="AL54" s="407">
        <f t="shared" si="69"/>
        <v>1</v>
      </c>
      <c r="AM54" s="407">
        <f t="shared" si="69"/>
        <v>1</v>
      </c>
      <c r="AN54" s="407">
        <f t="shared" si="69"/>
        <v>1</v>
      </c>
      <c r="AO54" s="408">
        <f t="shared" si="69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347">
        <f t="shared" ref="K55:AO55" si="70">COUNTIF(K4:K45,"N")+COUNTIF(K4:K45,"N8")</f>
        <v>0</v>
      </c>
      <c r="L55" s="415">
        <f t="shared" si="70"/>
        <v>0</v>
      </c>
      <c r="M55" s="415">
        <f t="shared" si="70"/>
        <v>3</v>
      </c>
      <c r="N55" s="415">
        <f t="shared" si="70"/>
        <v>6</v>
      </c>
      <c r="O55" s="415">
        <f t="shared" si="70"/>
        <v>5</v>
      </c>
      <c r="P55" s="415">
        <f t="shared" si="70"/>
        <v>1</v>
      </c>
      <c r="Q55" s="415">
        <f t="shared" si="70"/>
        <v>4</v>
      </c>
      <c r="R55" s="415">
        <f t="shared" si="70"/>
        <v>0</v>
      </c>
      <c r="S55" s="415">
        <f t="shared" si="70"/>
        <v>0</v>
      </c>
      <c r="T55" s="415">
        <f t="shared" si="70"/>
        <v>1</v>
      </c>
      <c r="U55" s="415">
        <f t="shared" si="70"/>
        <v>3</v>
      </c>
      <c r="V55" s="415">
        <f t="shared" si="70"/>
        <v>7</v>
      </c>
      <c r="W55" s="415">
        <f t="shared" si="70"/>
        <v>5</v>
      </c>
      <c r="X55" s="415">
        <f t="shared" si="70"/>
        <v>1</v>
      </c>
      <c r="Y55" s="415">
        <f t="shared" si="70"/>
        <v>0</v>
      </c>
      <c r="Z55" s="415">
        <f t="shared" si="70"/>
        <v>0</v>
      </c>
      <c r="AA55" s="415">
        <f t="shared" si="70"/>
        <v>5</v>
      </c>
      <c r="AB55" s="415">
        <f t="shared" si="70"/>
        <v>10</v>
      </c>
      <c r="AC55" s="415">
        <f t="shared" si="70"/>
        <v>6</v>
      </c>
      <c r="AD55" s="415">
        <f t="shared" si="70"/>
        <v>5</v>
      </c>
      <c r="AE55" s="415">
        <f t="shared" si="70"/>
        <v>2</v>
      </c>
      <c r="AF55" s="415">
        <f t="shared" si="70"/>
        <v>0</v>
      </c>
      <c r="AG55" s="415">
        <f t="shared" si="70"/>
        <v>1</v>
      </c>
      <c r="AH55" s="415">
        <f t="shared" si="70"/>
        <v>3</v>
      </c>
      <c r="AI55" s="415">
        <f t="shared" si="70"/>
        <v>6</v>
      </c>
      <c r="AJ55" s="415">
        <f t="shared" si="70"/>
        <v>7</v>
      </c>
      <c r="AK55" s="415">
        <f t="shared" si="70"/>
        <v>2</v>
      </c>
      <c r="AL55" s="415">
        <f t="shared" si="70"/>
        <v>2</v>
      </c>
      <c r="AM55" s="415">
        <f t="shared" si="70"/>
        <v>0</v>
      </c>
      <c r="AN55" s="415">
        <f t="shared" si="70"/>
        <v>0</v>
      </c>
      <c r="AO55" s="416">
        <f t="shared" si="70"/>
        <v>1</v>
      </c>
      <c r="AQ55" s="100" t="s">
        <v>42</v>
      </c>
      <c r="AR55" s="101">
        <v>-9</v>
      </c>
      <c r="AS55" s="75">
        <v>-1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297">
        <f t="shared" ref="K56:AO56" si="71">COUNTIF(K4:K45,"X")+COUNTIF(K4:K45,"Y")+COUNTIF(K4:K45,"Z")</f>
        <v>23</v>
      </c>
      <c r="L56" s="24">
        <f t="shared" si="71"/>
        <v>21</v>
      </c>
      <c r="M56" s="24">
        <f t="shared" si="71"/>
        <v>11</v>
      </c>
      <c r="N56" s="24">
        <f t="shared" si="71"/>
        <v>8</v>
      </c>
      <c r="O56" s="24">
        <f t="shared" si="71"/>
        <v>6</v>
      </c>
      <c r="P56" s="24">
        <f t="shared" si="71"/>
        <v>11</v>
      </c>
      <c r="Q56" s="24">
        <f t="shared" si="71"/>
        <v>10</v>
      </c>
      <c r="R56" s="24">
        <f t="shared" si="71"/>
        <v>23</v>
      </c>
      <c r="S56" s="24">
        <f t="shared" si="71"/>
        <v>23</v>
      </c>
      <c r="T56" s="24">
        <f t="shared" si="71"/>
        <v>12</v>
      </c>
      <c r="U56" s="24">
        <f t="shared" si="71"/>
        <v>9</v>
      </c>
      <c r="V56" s="24">
        <f t="shared" si="71"/>
        <v>8</v>
      </c>
      <c r="W56" s="24">
        <f t="shared" si="71"/>
        <v>9</v>
      </c>
      <c r="X56" s="24">
        <f t="shared" si="71"/>
        <v>13</v>
      </c>
      <c r="Y56" s="24">
        <f t="shared" si="71"/>
        <v>23</v>
      </c>
      <c r="Z56" s="24">
        <f t="shared" si="71"/>
        <v>21</v>
      </c>
      <c r="AA56" s="24">
        <f t="shared" si="71"/>
        <v>10</v>
      </c>
      <c r="AB56" s="24">
        <f t="shared" si="71"/>
        <v>7</v>
      </c>
      <c r="AC56" s="24">
        <f t="shared" si="71"/>
        <v>11</v>
      </c>
      <c r="AD56" s="24">
        <f t="shared" si="71"/>
        <v>11</v>
      </c>
      <c r="AE56" s="24">
        <f t="shared" si="71"/>
        <v>14</v>
      </c>
      <c r="AF56" s="24">
        <f t="shared" si="71"/>
        <v>20</v>
      </c>
      <c r="AG56" s="24">
        <f t="shared" si="71"/>
        <v>18</v>
      </c>
      <c r="AH56" s="24">
        <f t="shared" si="71"/>
        <v>12</v>
      </c>
      <c r="AI56" s="24">
        <f t="shared" si="71"/>
        <v>9</v>
      </c>
      <c r="AJ56" s="24">
        <f t="shared" si="71"/>
        <v>9</v>
      </c>
      <c r="AK56" s="24">
        <f t="shared" si="71"/>
        <v>11</v>
      </c>
      <c r="AL56" s="24">
        <f t="shared" si="71"/>
        <v>11</v>
      </c>
      <c r="AM56" s="24">
        <f t="shared" si="71"/>
        <v>20</v>
      </c>
      <c r="AN56" s="24">
        <f t="shared" si="71"/>
        <v>20</v>
      </c>
      <c r="AO56" s="102">
        <f t="shared" si="71"/>
        <v>15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294">
        <f t="shared" ref="K57:AO57" si="72">COUNTIF(K4:K45,"S")</f>
        <v>0</v>
      </c>
      <c r="L57" s="39">
        <f t="shared" si="72"/>
        <v>2</v>
      </c>
      <c r="M57" s="39">
        <f t="shared" si="72"/>
        <v>3</v>
      </c>
      <c r="N57" s="39">
        <f t="shared" si="72"/>
        <v>3</v>
      </c>
      <c r="O57" s="39">
        <f t="shared" si="72"/>
        <v>6</v>
      </c>
      <c r="P57" s="39">
        <f t="shared" si="72"/>
        <v>5</v>
      </c>
      <c r="Q57" s="39">
        <f t="shared" si="72"/>
        <v>3</v>
      </c>
      <c r="R57" s="39">
        <f t="shared" si="72"/>
        <v>0</v>
      </c>
      <c r="S57" s="39">
        <f t="shared" si="72"/>
        <v>0</v>
      </c>
      <c r="T57" s="39">
        <f t="shared" si="72"/>
        <v>4</v>
      </c>
      <c r="U57" s="39">
        <f t="shared" si="72"/>
        <v>5</v>
      </c>
      <c r="V57" s="39">
        <f t="shared" si="72"/>
        <v>2</v>
      </c>
      <c r="W57" s="39">
        <f t="shared" si="72"/>
        <v>3</v>
      </c>
      <c r="X57" s="39">
        <f t="shared" si="72"/>
        <v>3</v>
      </c>
      <c r="Y57" s="39">
        <f t="shared" si="72"/>
        <v>0</v>
      </c>
      <c r="Z57" s="39">
        <f t="shared" si="72"/>
        <v>2</v>
      </c>
      <c r="AA57" s="39">
        <f t="shared" si="72"/>
        <v>2</v>
      </c>
      <c r="AB57" s="39">
        <f t="shared" si="72"/>
        <v>0</v>
      </c>
      <c r="AC57" s="39">
        <f t="shared" si="72"/>
        <v>0</v>
      </c>
      <c r="AD57" s="39">
        <f t="shared" si="72"/>
        <v>1</v>
      </c>
      <c r="AE57" s="39">
        <f t="shared" si="72"/>
        <v>1</v>
      </c>
      <c r="AF57" s="39">
        <f t="shared" si="72"/>
        <v>3</v>
      </c>
      <c r="AG57" s="39">
        <f t="shared" si="72"/>
        <v>4</v>
      </c>
      <c r="AH57" s="39">
        <f t="shared" si="72"/>
        <v>2</v>
      </c>
      <c r="AI57" s="39">
        <f t="shared" si="72"/>
        <v>2</v>
      </c>
      <c r="AJ57" s="39">
        <f t="shared" si="72"/>
        <v>1</v>
      </c>
      <c r="AK57" s="39">
        <f t="shared" si="72"/>
        <v>4</v>
      </c>
      <c r="AL57" s="39">
        <f t="shared" si="72"/>
        <v>4</v>
      </c>
      <c r="AM57" s="39">
        <f t="shared" si="72"/>
        <v>3</v>
      </c>
      <c r="AN57" s="39">
        <f t="shared" si="72"/>
        <v>3</v>
      </c>
      <c r="AO57" s="83">
        <f t="shared" si="72"/>
        <v>1</v>
      </c>
      <c r="AQ57" s="107" t="s">
        <v>46</v>
      </c>
      <c r="AR57" s="105">
        <f>AR48-AR49-AR51-AR52-AR53-AR54+AR55+AR56-AR50</f>
        <v>-1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294">
        <f t="shared" ref="K58:AO58" si="73">COUNTIF(K4:K45,"T")</f>
        <v>0</v>
      </c>
      <c r="L58" s="39">
        <f t="shared" si="73"/>
        <v>0</v>
      </c>
      <c r="M58" s="39">
        <f t="shared" si="73"/>
        <v>0</v>
      </c>
      <c r="N58" s="39">
        <f t="shared" si="73"/>
        <v>0</v>
      </c>
      <c r="O58" s="39">
        <f t="shared" si="73"/>
        <v>0</v>
      </c>
      <c r="P58" s="39">
        <f t="shared" si="73"/>
        <v>0</v>
      </c>
      <c r="Q58" s="39">
        <f t="shared" si="73"/>
        <v>0</v>
      </c>
      <c r="R58" s="39">
        <f t="shared" si="73"/>
        <v>0</v>
      </c>
      <c r="S58" s="39">
        <f t="shared" si="73"/>
        <v>0</v>
      </c>
      <c r="T58" s="39">
        <f t="shared" si="73"/>
        <v>0</v>
      </c>
      <c r="U58" s="39">
        <f t="shared" si="73"/>
        <v>0</v>
      </c>
      <c r="V58" s="39">
        <f t="shared" si="73"/>
        <v>0</v>
      </c>
      <c r="W58" s="39">
        <f t="shared" si="73"/>
        <v>0</v>
      </c>
      <c r="X58" s="39">
        <f t="shared" si="73"/>
        <v>0</v>
      </c>
      <c r="Y58" s="39">
        <f t="shared" si="73"/>
        <v>0</v>
      </c>
      <c r="Z58" s="39">
        <f t="shared" si="73"/>
        <v>0</v>
      </c>
      <c r="AA58" s="39">
        <f t="shared" si="73"/>
        <v>0</v>
      </c>
      <c r="AB58" s="39">
        <f t="shared" si="73"/>
        <v>0</v>
      </c>
      <c r="AC58" s="39">
        <f t="shared" si="73"/>
        <v>0</v>
      </c>
      <c r="AD58" s="39">
        <f t="shared" si="73"/>
        <v>0</v>
      </c>
      <c r="AE58" s="39">
        <f t="shared" si="73"/>
        <v>0</v>
      </c>
      <c r="AF58" s="39">
        <f t="shared" si="73"/>
        <v>0</v>
      </c>
      <c r="AG58" s="39">
        <f t="shared" si="73"/>
        <v>0</v>
      </c>
      <c r="AH58" s="39">
        <f t="shared" si="73"/>
        <v>0</v>
      </c>
      <c r="AI58" s="39">
        <f t="shared" si="73"/>
        <v>0</v>
      </c>
      <c r="AJ58" s="39">
        <f t="shared" si="73"/>
        <v>0</v>
      </c>
      <c r="AK58" s="39">
        <f t="shared" si="73"/>
        <v>0</v>
      </c>
      <c r="AL58" s="39">
        <f t="shared" si="73"/>
        <v>0</v>
      </c>
      <c r="AM58" s="39">
        <f t="shared" si="73"/>
        <v>0</v>
      </c>
      <c r="AN58" s="39">
        <f t="shared" si="73"/>
        <v>0</v>
      </c>
      <c r="AO58" s="83">
        <f t="shared" si="73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298">
        <f>SUM(K46:K58)</f>
        <v>42</v>
      </c>
      <c r="L59" s="109">
        <f t="shared" ref="L59:AO59" si="74">SUM(L46:L58)</f>
        <v>42</v>
      </c>
      <c r="M59" s="109">
        <f t="shared" si="74"/>
        <v>42</v>
      </c>
      <c r="N59" s="109">
        <f t="shared" si="74"/>
        <v>42</v>
      </c>
      <c r="O59" s="109">
        <f t="shared" si="74"/>
        <v>42</v>
      </c>
      <c r="P59" s="109">
        <f t="shared" si="74"/>
        <v>42</v>
      </c>
      <c r="Q59" s="109">
        <f t="shared" si="74"/>
        <v>42</v>
      </c>
      <c r="R59" s="109">
        <f t="shared" si="74"/>
        <v>42</v>
      </c>
      <c r="S59" s="109">
        <f t="shared" si="74"/>
        <v>42</v>
      </c>
      <c r="T59" s="109">
        <f t="shared" si="74"/>
        <v>42</v>
      </c>
      <c r="U59" s="109">
        <f t="shared" si="74"/>
        <v>42</v>
      </c>
      <c r="V59" s="109">
        <f t="shared" si="74"/>
        <v>42</v>
      </c>
      <c r="W59" s="109">
        <f t="shared" si="74"/>
        <v>42</v>
      </c>
      <c r="X59" s="109">
        <f t="shared" si="74"/>
        <v>42</v>
      </c>
      <c r="Y59" s="109">
        <f t="shared" si="74"/>
        <v>42</v>
      </c>
      <c r="Z59" s="109">
        <f t="shared" si="74"/>
        <v>42</v>
      </c>
      <c r="AA59" s="109">
        <f t="shared" si="74"/>
        <v>42</v>
      </c>
      <c r="AB59" s="109">
        <f t="shared" si="74"/>
        <v>42</v>
      </c>
      <c r="AC59" s="109">
        <f t="shared" si="74"/>
        <v>42</v>
      </c>
      <c r="AD59" s="109">
        <f t="shared" si="74"/>
        <v>42</v>
      </c>
      <c r="AE59" s="109">
        <f t="shared" si="74"/>
        <v>42</v>
      </c>
      <c r="AF59" s="109">
        <f t="shared" si="74"/>
        <v>42</v>
      </c>
      <c r="AG59" s="109">
        <f t="shared" si="74"/>
        <v>42</v>
      </c>
      <c r="AH59" s="109">
        <f t="shared" si="74"/>
        <v>42</v>
      </c>
      <c r="AI59" s="109">
        <f t="shared" si="74"/>
        <v>42</v>
      </c>
      <c r="AJ59" s="109">
        <f t="shared" si="74"/>
        <v>42</v>
      </c>
      <c r="AK59" s="109">
        <f t="shared" si="74"/>
        <v>42</v>
      </c>
      <c r="AL59" s="109">
        <f t="shared" si="74"/>
        <v>42</v>
      </c>
      <c r="AM59" s="109">
        <f t="shared" si="74"/>
        <v>42</v>
      </c>
      <c r="AN59" s="109">
        <f t="shared" si="74"/>
        <v>42</v>
      </c>
      <c r="AO59" s="110">
        <f t="shared" si="74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42-M55-M56-M57-25</f>
        <v>0</v>
      </c>
      <c r="N60" s="113">
        <f t="shared" ref="N60:Q60" si="75">42-N55-N56-N57-25</f>
        <v>0</v>
      </c>
      <c r="O60" s="113">
        <f t="shared" si="75"/>
        <v>0</v>
      </c>
      <c r="P60" s="113">
        <f t="shared" si="75"/>
        <v>0</v>
      </c>
      <c r="Q60" s="113">
        <f t="shared" si="75"/>
        <v>0</v>
      </c>
      <c r="R60" s="113">
        <f>42-R55-R56-R57-19</f>
        <v>0</v>
      </c>
      <c r="S60" s="113">
        <f>42-S55-S56-S57-19</f>
        <v>0</v>
      </c>
      <c r="T60" s="113">
        <f>42-T55-T56-T57-25</f>
        <v>0</v>
      </c>
      <c r="U60" s="113">
        <f t="shared" ref="U60:X60" si="76">42-U55-U56-U57-25</f>
        <v>0</v>
      </c>
      <c r="V60" s="113">
        <f t="shared" si="76"/>
        <v>0</v>
      </c>
      <c r="W60" s="113">
        <f t="shared" si="76"/>
        <v>0</v>
      </c>
      <c r="X60" s="113">
        <f t="shared" si="76"/>
        <v>0</v>
      </c>
      <c r="Y60" s="113">
        <f>42-Y55-Y56-Y57-19</f>
        <v>0</v>
      </c>
      <c r="Z60" s="113">
        <f>42-Z55-Z56-Z57-19</f>
        <v>0</v>
      </c>
      <c r="AA60" s="113">
        <f>42-AA55-AA56-AA57-25</f>
        <v>0</v>
      </c>
      <c r="AB60" s="113">
        <f t="shared" ref="AB60:AE60" si="77">42-AB55-AB56-AB57-25</f>
        <v>0</v>
      </c>
      <c r="AC60" s="113">
        <f t="shared" si="77"/>
        <v>0</v>
      </c>
      <c r="AD60" s="113">
        <f t="shared" si="77"/>
        <v>0</v>
      </c>
      <c r="AE60" s="113">
        <f t="shared" si="77"/>
        <v>0</v>
      </c>
      <c r="AF60" s="113">
        <f>42-AF55-AF56-AF57-19</f>
        <v>0</v>
      </c>
      <c r="AG60" s="113">
        <f>42-AG55-AG56-AG57-19</f>
        <v>0</v>
      </c>
      <c r="AH60" s="113">
        <f>42-AH55-AH56-AH57-25</f>
        <v>0</v>
      </c>
      <c r="AI60" s="113">
        <f t="shared" ref="AI60:AL60" si="78">42-AI55-AI56-AI57-25</f>
        <v>0</v>
      </c>
      <c r="AJ60" s="113">
        <f t="shared" si="78"/>
        <v>0</v>
      </c>
      <c r="AK60" s="113">
        <f t="shared" si="78"/>
        <v>0</v>
      </c>
      <c r="AL60" s="113">
        <f t="shared" si="78"/>
        <v>0</v>
      </c>
      <c r="AM60" s="113">
        <f>42-AM55-AM56-AM57-19</f>
        <v>0</v>
      </c>
      <c r="AN60" s="113">
        <f>42-AN55-AN56-AN57-19</f>
        <v>0</v>
      </c>
      <c r="AO60" s="113">
        <f>42-AO55-AO56-AO57-25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1</v>
      </c>
      <c r="L63" s="231" cm="1">
        <f t="array" ref="L63">SUMPRODUCT(COUNTIF(L4:L18,{"1";"M1"}))</f>
        <v>1</v>
      </c>
      <c r="M63" s="230" cm="1">
        <f t="array" ref="M63">SUMPRODUCT(COUNTIF(M4:M18,{"1";"M1"}))</f>
        <v>2</v>
      </c>
      <c r="N63" s="230" cm="1">
        <f t="array" ref="N63">SUMPRODUCT(COUNTIF(N4:N18,{"1";"M1"}))</f>
        <v>2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2</v>
      </c>
      <c r="R63" s="231" cm="1">
        <f t="array" ref="R63">SUMPRODUCT(COUNTIF(R4:R18,{"1";"M1"}))</f>
        <v>3</v>
      </c>
      <c r="S63" s="231" cm="1">
        <f t="array" ref="S63">SUMPRODUCT(COUNTIF(S4:S18,{"1";"M1"}))</f>
        <v>3</v>
      </c>
      <c r="T63" s="230" cm="1">
        <f t="array" ref="T63">SUMPRODUCT(COUNTIF(T4:T18,{"1";"M1"}))</f>
        <v>1</v>
      </c>
      <c r="U63" s="230" cm="1">
        <f t="array" ref="U63">SUMPRODUCT(COUNTIF(U4:U18,{"1";"M1"}))</f>
        <v>2</v>
      </c>
      <c r="V63" s="230" cm="1">
        <f t="array" ref="V63">SUMPRODUCT(COUNTIF(V4:V18,{"1";"M1"}))</f>
        <v>3</v>
      </c>
      <c r="W63" s="230" cm="1">
        <f t="array" ref="W63">SUMPRODUCT(COUNTIF(W4:W18,{"1";"M1"}))</f>
        <v>2</v>
      </c>
      <c r="X63" s="230" cm="1">
        <f t="array" ref="X63">SUMPRODUCT(COUNTIF(X4:X18,{"1";"M1"}))</f>
        <v>2</v>
      </c>
      <c r="Y63" s="231" cm="1">
        <f t="array" ref="Y63">SUMPRODUCT(COUNTIF(Y4:Y18,{"1";"M1"}))</f>
        <v>1</v>
      </c>
      <c r="Z63" s="231" cm="1">
        <f t="array" ref="Z63">SUMPRODUCT(COUNTIF(Z4:Z18,{"1";"M1"}))</f>
        <v>2</v>
      </c>
      <c r="AA63" s="230" cm="1">
        <f t="array" ref="AA63">SUMPRODUCT(COUNTIF(AA4:AA18,{"1";"M1"}))</f>
        <v>1</v>
      </c>
      <c r="AB63" s="230" cm="1">
        <f t="array" ref="AB63">SUMPRODUCT(COUNTIF(AB4:AB18,{"1";"M1"}))</f>
        <v>2</v>
      </c>
      <c r="AC63" s="230" cm="1">
        <f t="array" ref="AC63">SUMPRODUCT(COUNTIF(AC4:AC18,{"1";"M1"}))</f>
        <v>2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1" cm="1">
        <f t="array" ref="AF63">SUMPRODUCT(COUNTIF(AF4:AF18,{"1";"M1"}))</f>
        <v>3</v>
      </c>
      <c r="AG63" s="231" cm="1">
        <f t="array" ref="AG63">SUMPRODUCT(COUNTIF(AG4:AG18,{"1";"M1"}))</f>
        <v>3</v>
      </c>
      <c r="AH63" s="230" cm="1">
        <f t="array" ref="AH63">SUMPRODUCT(COUNTIF(AH4:AH18,{"1";"M1"}))</f>
        <v>1</v>
      </c>
      <c r="AI63" s="230" cm="1">
        <f t="array" ref="AI63">SUMPRODUCT(COUNTIF(AI4:AI18,{"1";"M1"}))</f>
        <v>1</v>
      </c>
      <c r="AJ63" s="230" cm="1">
        <f t="array" ref="AJ63">SUMPRODUCT(COUNTIF(AJ4:AJ18,{"1";"M1"}))</f>
        <v>2</v>
      </c>
      <c r="AK63" s="230" cm="1">
        <f t="array" ref="AK63">SUMPRODUCT(COUNTIF(AK4:AK18,{"1";"M1"}))</f>
        <v>2</v>
      </c>
      <c r="AL63" s="230" cm="1">
        <f t="array" ref="AL63">SUMPRODUCT(COUNTIF(AL4:AL18,{"1";"M1"}))</f>
        <v>1</v>
      </c>
      <c r="AM63" s="231" cm="1">
        <f t="array" ref="AM63">SUMPRODUCT(COUNTIF(AM4:AM18,{"1";"M1"}))</f>
        <v>2</v>
      </c>
      <c r="AN63" s="231" cm="1">
        <f t="array" ref="AN63">SUMPRODUCT(COUNTIF(AN4:AN18,{"1";"M1"}))</f>
        <v>2</v>
      </c>
      <c r="AO63" s="232" cm="1">
        <f t="array" ref="AO63">SUMPRODUCT(COUNTIF(AO4:AO18,{"1";"M1"}))</f>
        <v>1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spans="10:226" s="77" customFormat="1" ht="13.8"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7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</row>
    <row r="186" spans="15:15" ht="24.6" customHeight="1">
      <c r="O186" s="6" t="s">
        <v>168</v>
      </c>
    </row>
  </sheetData>
  <autoFilter ref="AT3:AT58" xr:uid="{00000000-0009-0000-0000-000007000000}"/>
  <mergeCells count="11">
    <mergeCell ref="AW2:AY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5">
    <cfRule type="expression" dxfId="162" priority="1">
      <formula>OR(K4="晚", K4=3, K4="大夜")</formula>
    </cfRule>
    <cfRule type="expression" dxfId="161" priority="2">
      <formula>OR(K4="T中", K4="中", K4=2, K4="小夜")</formula>
    </cfRule>
    <cfRule type="expression" dxfId="160" priority="3">
      <formula>OR(K4="T早", K4="早", K4="M1", K4=1, K4="日")</formula>
    </cfRule>
    <cfRule type="expression" dxfId="159" priority="13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6:AO46">
    <cfRule type="cellIs" dxfId="158" priority="12" operator="greaterThan">
      <formula>5</formula>
    </cfRule>
  </conditionalFormatting>
  <conditionalFormatting sqref="K46:AO54">
    <cfRule type="cellIs" dxfId="157" priority="1110" operator="equal">
      <formula>5</formula>
    </cfRule>
    <cfRule type="cellIs" dxfId="156" priority="1111" operator="equal">
      <formula>4</formula>
    </cfRule>
    <cfRule type="cellIs" dxfId="155" priority="1112" operator="equal">
      <formula>3</formula>
    </cfRule>
    <cfRule type="cellIs" dxfId="154" priority="1113" operator="equal">
      <formula>2</formula>
    </cfRule>
    <cfRule type="cellIs" dxfId="153" priority="1114" operator="equal">
      <formula>1</formula>
    </cfRule>
  </conditionalFormatting>
  <conditionalFormatting sqref="K52:AO54">
    <cfRule type="cellIs" dxfId="152" priority="1115" operator="equal">
      <formula>"T中"</formula>
    </cfRule>
  </conditionalFormatting>
  <conditionalFormatting sqref="AP24">
    <cfRule type="cellIs" dxfId="151" priority="1157" operator="equal">
      <formula>"T中"</formula>
    </cfRule>
    <cfRule type="cellIs" dxfId="150" priority="1158" operator="equal">
      <formula>"中"</formula>
    </cfRule>
    <cfRule type="cellIs" dxfId="149" priority="1159" operator="equal">
      <formula>"M2"</formula>
    </cfRule>
    <cfRule type="cellIs" dxfId="148" priority="1160" operator="equal">
      <formula>2</formula>
    </cfRule>
    <cfRule type="cellIs" dxfId="147" priority="1161" operator="equal">
      <formula>"日"</formula>
    </cfRule>
    <cfRule type="cellIs" dxfId="146" priority="1162" operator="equal">
      <formula>"T早"</formula>
    </cfRule>
    <cfRule type="cellIs" dxfId="145" priority="1163" operator="equal">
      <formula>"早"</formula>
    </cfRule>
    <cfRule type="cellIs" dxfId="144" priority="1164" operator="equal">
      <formula>"M1"</formula>
    </cfRule>
    <cfRule type="cellIs" dxfId="143" priority="1165" operator="equal">
      <formula>1</formula>
    </cfRule>
    <cfRule type="cellIs" dxfId="142" priority="1153" operator="equal">
      <formula>"大夜"</formula>
    </cfRule>
    <cfRule type="cellIs" dxfId="141" priority="1154" operator="equal">
      <formula>"晚"</formula>
    </cfRule>
    <cfRule type="cellIs" dxfId="140" priority="1155" operator="equal">
      <formula>3</formula>
    </cfRule>
    <cfRule type="cellIs" dxfId="139" priority="1156" operator="equal">
      <formula>"小夜"</formula>
    </cfRule>
  </conditionalFormatting>
  <conditionalFormatting sqref="AP31:AP32">
    <cfRule type="cellIs" dxfId="138" priority="1138" operator="equal">
      <formula>"大夜"</formula>
    </cfRule>
    <cfRule type="cellIs" dxfId="137" priority="1139" operator="equal">
      <formula>"晚"</formula>
    </cfRule>
    <cfRule type="cellIs" dxfId="136" priority="1140" operator="equal">
      <formula>3</formula>
    </cfRule>
    <cfRule type="cellIs" dxfId="135" priority="1141" operator="equal">
      <formula>"小夜"</formula>
    </cfRule>
    <cfRule type="cellIs" dxfId="134" priority="1142" operator="equal">
      <formula>"T中"</formula>
    </cfRule>
    <cfRule type="cellIs" dxfId="133" priority="1143" operator="equal">
      <formula>"中"</formula>
    </cfRule>
    <cfRule type="cellIs" dxfId="132" priority="1144" operator="equal">
      <formula>"M2"</formula>
    </cfRule>
    <cfRule type="cellIs" dxfId="131" priority="1145" operator="equal">
      <formula>2</formula>
    </cfRule>
    <cfRule type="cellIs" dxfId="130" priority="1147" operator="equal">
      <formula>"T早"</formula>
    </cfRule>
    <cfRule type="cellIs" dxfId="129" priority="1148" operator="equal">
      <formula>"早"</formula>
    </cfRule>
    <cfRule type="cellIs" dxfId="128" priority="1149" operator="equal">
      <formula>"M1"</formula>
    </cfRule>
    <cfRule type="cellIs" dxfId="127" priority="1150" operator="equal">
      <formula>1</formula>
    </cfRule>
    <cfRule type="cellIs" dxfId="126" priority="1146" operator="equal">
      <formula>"日"</formula>
    </cfRule>
  </conditionalFormatting>
  <conditionalFormatting sqref="AS4:AS45">
    <cfRule type="cellIs" dxfId="125" priority="1151" operator="equal">
      <formula>-2</formula>
    </cfRule>
    <cfRule type="cellIs" dxfId="124" priority="115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5F565-E5B2-4901-8F14-7B2FB2D5712B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N10" sqref="N10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3" width="9" style="6" customWidth="1"/>
    <col min="234" max="234" width="7.109375" style="6" customWidth="1"/>
    <col min="235" max="16384" width="9" style="6"/>
  </cols>
  <sheetData>
    <row r="1" spans="1:225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500" t="str">
        <f>"TPKC剩餘人力："&amp;AQ58&amp;" / NK剩餘人力："&amp;AR58&amp;" /  N班人力："&amp;AQ53</f>
        <v>TPKC剩餘人力：-1 / NK剩餘人力：0 /  N班人力：71</v>
      </c>
      <c r="L1" s="501"/>
      <c r="M1" s="501"/>
      <c r="N1" s="501"/>
      <c r="O1" s="501"/>
      <c r="P1" s="501"/>
      <c r="Q1" s="501"/>
      <c r="R1" s="501"/>
      <c r="S1" s="501"/>
      <c r="T1" s="501"/>
      <c r="U1" s="501"/>
      <c r="V1" s="501"/>
      <c r="W1" s="501"/>
      <c r="X1" s="501"/>
      <c r="Y1" s="501"/>
      <c r="Z1" s="501"/>
      <c r="AA1" s="501"/>
      <c r="AB1" s="501"/>
      <c r="AC1" s="501"/>
      <c r="AD1" s="501"/>
      <c r="AE1" s="501"/>
      <c r="AF1" s="501"/>
      <c r="AG1" s="501"/>
      <c r="AH1" s="501"/>
      <c r="AI1" s="502"/>
      <c r="AJ1" s="502"/>
      <c r="AK1" s="502"/>
      <c r="AL1" s="503"/>
      <c r="AM1" s="503"/>
      <c r="AN1" s="503"/>
      <c r="AQ1" s="6"/>
      <c r="AR1" s="7"/>
    </row>
    <row r="2" spans="1:225" ht="23.25" customHeight="1" thickBot="1">
      <c r="A2" s="507">
        <v>1</v>
      </c>
      <c r="B2" s="509">
        <v>2</v>
      </c>
      <c r="C2" s="509">
        <v>3</v>
      </c>
      <c r="D2" s="511" t="s">
        <v>104</v>
      </c>
      <c r="E2" s="513" t="s">
        <v>105</v>
      </c>
      <c r="F2" s="8" t="s">
        <v>106</v>
      </c>
      <c r="G2" s="8" t="s">
        <v>107</v>
      </c>
      <c r="H2" s="8" t="s">
        <v>108</v>
      </c>
      <c r="I2" s="504" t="s">
        <v>109</v>
      </c>
      <c r="J2" s="493" t="s">
        <v>169</v>
      </c>
      <c r="K2" s="281" t="s">
        <v>113</v>
      </c>
      <c r="L2" s="9" t="s">
        <v>114</v>
      </c>
      <c r="M2" s="9" t="s">
        <v>115</v>
      </c>
      <c r="N2" s="10" t="s">
        <v>116</v>
      </c>
      <c r="O2" s="11" t="s">
        <v>117</v>
      </c>
      <c r="P2" s="11" t="s">
        <v>111</v>
      </c>
      <c r="Q2" s="12" t="s">
        <v>112</v>
      </c>
      <c r="R2" s="12" t="s">
        <v>113</v>
      </c>
      <c r="S2" s="12" t="s">
        <v>114</v>
      </c>
      <c r="T2" s="12" t="s">
        <v>115</v>
      </c>
      <c r="U2" s="13" t="s">
        <v>116</v>
      </c>
      <c r="V2" s="14" t="s">
        <v>117</v>
      </c>
      <c r="W2" s="14" t="s">
        <v>111</v>
      </c>
      <c r="X2" s="9" t="s">
        <v>112</v>
      </c>
      <c r="Y2" s="9" t="s">
        <v>113</v>
      </c>
      <c r="Z2" s="9" t="s">
        <v>114</v>
      </c>
      <c r="AA2" s="9" t="s">
        <v>115</v>
      </c>
      <c r="AB2" s="10" t="s">
        <v>116</v>
      </c>
      <c r="AC2" s="11" t="s">
        <v>117</v>
      </c>
      <c r="AD2" s="11" t="s">
        <v>111</v>
      </c>
      <c r="AE2" s="12" t="s">
        <v>112</v>
      </c>
      <c r="AF2" s="12" t="s">
        <v>113</v>
      </c>
      <c r="AG2" s="12" t="s">
        <v>114</v>
      </c>
      <c r="AH2" s="12" t="s">
        <v>115</v>
      </c>
      <c r="AI2" s="13" t="s">
        <v>116</v>
      </c>
      <c r="AJ2" s="14" t="s">
        <v>117</v>
      </c>
      <c r="AK2" s="14" t="s">
        <v>111</v>
      </c>
      <c r="AL2" s="9" t="s">
        <v>112</v>
      </c>
      <c r="AM2" s="9" t="s">
        <v>113</v>
      </c>
      <c r="AN2" s="225" t="s">
        <v>114</v>
      </c>
      <c r="AQ2" s="6"/>
      <c r="AV2" s="471" t="s">
        <v>48</v>
      </c>
      <c r="AW2" s="472"/>
      <c r="AX2" s="473"/>
    </row>
    <row r="3" spans="1:225" ht="24.6" customHeight="1" thickBot="1">
      <c r="A3" s="508"/>
      <c r="B3" s="510"/>
      <c r="C3" s="510"/>
      <c r="D3" s="512"/>
      <c r="E3" s="514"/>
      <c r="F3" s="15" t="s">
        <v>118</v>
      </c>
      <c r="G3" s="15" t="s">
        <v>119</v>
      </c>
      <c r="H3" s="16" t="s">
        <v>120</v>
      </c>
      <c r="I3" s="505"/>
      <c r="J3" s="506"/>
      <c r="K3" s="286">
        <v>1</v>
      </c>
      <c r="L3" s="63">
        <v>2</v>
      </c>
      <c r="M3" s="63">
        <v>3</v>
      </c>
      <c r="N3" s="63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63">
        <v>11</v>
      </c>
      <c r="V3" s="221">
        <v>12</v>
      </c>
      <c r="W3" s="221">
        <v>13</v>
      </c>
      <c r="X3" s="63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T3" s="417"/>
      <c r="AV3" s="117" t="s">
        <v>49</v>
      </c>
      <c r="AW3" s="117" t="s">
        <v>50</v>
      </c>
      <c r="AX3" s="117" t="s">
        <v>51</v>
      </c>
    </row>
    <row r="4" spans="1:225" ht="25.5" customHeight="1">
      <c r="A4" s="23">
        <f t="shared" ref="A4:A46" si="0">COUNTIF(K4:AN4,1)+COUNTIF(K4:AN4,"早")+COUNTIF(K4:AN4,"M1")+COUNTIF(K4:AN4,"T早")+COUNTIF(K4:AN4,"日")</f>
        <v>0</v>
      </c>
      <c r="B4" s="24">
        <f t="shared" ref="B4:B46" si="1">COUNTIF(K4:AN4,2)+COUNTIF(K4:AN4,"中")+COUNTIF(K4:AN4,"M2")+COUNTIF(K4:AN4,"T中")+COUNTIF(K4:AN4,"小夜")</f>
        <v>0</v>
      </c>
      <c r="C4" s="25">
        <f t="shared" ref="C4:C46" si="2">COUNTIF(K4:AN4,3)+COUNTIF(K4:AN4,"晚")+COUNTIF(K4:AN4,"大夜")</f>
        <v>19</v>
      </c>
      <c r="D4" s="24">
        <f t="shared" ref="D4:D46" si="3">COUNTIF(K4:AN4,"N")+COUNTIF(K4:AN4,"N8")</f>
        <v>0</v>
      </c>
      <c r="E4" s="26">
        <f t="shared" ref="E4:E46" si="4">COUNTIF(K4:AN4,"S")</f>
        <v>1</v>
      </c>
      <c r="F4" s="26">
        <f t="shared" ref="F4:F46" si="5">COUNTIF(K4:AN4,"X")</f>
        <v>4</v>
      </c>
      <c r="G4" s="26">
        <f t="shared" ref="G4:G46" si="6">COUNTIF(K4:AN4,"Y")</f>
        <v>4</v>
      </c>
      <c r="H4" s="26">
        <f t="shared" ref="H4:H46" si="7">COUNTIF(K4:AN4,"Z")</f>
        <v>2</v>
      </c>
      <c r="I4" s="27">
        <f t="shared" ref="I4:I15" si="8">SUM(A4:H4)</f>
        <v>30</v>
      </c>
      <c r="J4" s="282" t="s">
        <v>152</v>
      </c>
      <c r="K4" s="389" t="s">
        <v>40</v>
      </c>
      <c r="L4" s="390" t="s">
        <v>40</v>
      </c>
      <c r="M4" s="390">
        <v>3</v>
      </c>
      <c r="N4" s="390">
        <v>3</v>
      </c>
      <c r="O4" s="233" t="s">
        <v>52</v>
      </c>
      <c r="P4" s="233" t="s">
        <v>0</v>
      </c>
      <c r="Q4" s="254" t="s">
        <v>1</v>
      </c>
      <c r="R4" s="235" t="s">
        <v>53</v>
      </c>
      <c r="S4" s="235" t="s">
        <v>53</v>
      </c>
      <c r="T4" s="235" t="s">
        <v>52</v>
      </c>
      <c r="U4" s="390">
        <v>3</v>
      </c>
      <c r="V4" s="235">
        <v>3</v>
      </c>
      <c r="W4" s="390">
        <v>3</v>
      </c>
      <c r="X4" s="390">
        <v>3</v>
      </c>
      <c r="Y4" s="235" t="s">
        <v>52</v>
      </c>
      <c r="Z4" s="235" t="s">
        <v>0</v>
      </c>
      <c r="AA4" s="390">
        <v>3</v>
      </c>
      <c r="AB4" s="390">
        <v>3</v>
      </c>
      <c r="AC4" s="233" t="s">
        <v>52</v>
      </c>
      <c r="AD4" s="233" t="s">
        <v>0</v>
      </c>
      <c r="AE4" s="390">
        <v>3</v>
      </c>
      <c r="AF4" s="390">
        <v>3</v>
      </c>
      <c r="AG4" s="390">
        <v>3</v>
      </c>
      <c r="AH4" s="390">
        <v>3</v>
      </c>
      <c r="AI4" s="390" t="s">
        <v>40</v>
      </c>
      <c r="AJ4" s="235" t="s">
        <v>0</v>
      </c>
      <c r="AK4" s="390">
        <v>3</v>
      </c>
      <c r="AL4" s="390">
        <v>3</v>
      </c>
      <c r="AM4" s="390">
        <v>3</v>
      </c>
      <c r="AN4" s="420">
        <v>3</v>
      </c>
      <c r="AO4" s="283">
        <v>0</v>
      </c>
      <c r="AP4" s="36">
        <f t="shared" ref="AP4:AP46" si="9">$F4+$G4+H4-$I$1</f>
        <v>0</v>
      </c>
      <c r="AQ4" s="36">
        <v>0</v>
      </c>
      <c r="AR4" s="26">
        <f>SUM(AO4:AQ4)</f>
        <v>0</v>
      </c>
      <c r="AS4" s="328" t="s">
        <v>128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0</v>
      </c>
      <c r="AW4" s="6">
        <v>6</v>
      </c>
      <c r="AX4" s="6">
        <f>AV4+AW4</f>
        <v>6</v>
      </c>
    </row>
    <row r="5" spans="1:225" ht="25.5" customHeight="1">
      <c r="A5" s="38">
        <f t="shared" si="0"/>
        <v>3</v>
      </c>
      <c r="B5" s="39">
        <f t="shared" si="1"/>
        <v>4</v>
      </c>
      <c r="C5" s="40">
        <f t="shared" si="2"/>
        <v>8</v>
      </c>
      <c r="D5" s="39">
        <f t="shared" si="3"/>
        <v>1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424" t="s">
        <v>1</v>
      </c>
      <c r="L5" s="234" t="s">
        <v>1</v>
      </c>
      <c r="M5" s="234" t="s">
        <v>1</v>
      </c>
      <c r="N5" s="234" t="s">
        <v>1</v>
      </c>
      <c r="O5" s="239" t="s">
        <v>52</v>
      </c>
      <c r="P5" s="259">
        <v>3</v>
      </c>
      <c r="Q5" s="259">
        <v>3</v>
      </c>
      <c r="R5" s="259">
        <v>3</v>
      </c>
      <c r="S5" s="259">
        <v>3</v>
      </c>
      <c r="T5" s="259">
        <v>3</v>
      </c>
      <c r="U5" s="234" t="s">
        <v>0</v>
      </c>
      <c r="V5" s="239" t="s">
        <v>52</v>
      </c>
      <c r="W5" s="238" t="s">
        <v>0</v>
      </c>
      <c r="X5" s="238">
        <v>3</v>
      </c>
      <c r="Y5" s="259">
        <v>3</v>
      </c>
      <c r="Z5" s="259">
        <v>3</v>
      </c>
      <c r="AA5" s="393" t="s">
        <v>3</v>
      </c>
      <c r="AB5" s="234" t="s">
        <v>53</v>
      </c>
      <c r="AC5" s="239" t="s">
        <v>52</v>
      </c>
      <c r="AD5" s="239" t="s">
        <v>0</v>
      </c>
      <c r="AE5" s="234" t="s">
        <v>53</v>
      </c>
      <c r="AF5" s="238" t="s">
        <v>36</v>
      </c>
      <c r="AG5" s="238" t="s">
        <v>36</v>
      </c>
      <c r="AH5" s="238" t="s">
        <v>52</v>
      </c>
      <c r="AI5" s="259">
        <v>2</v>
      </c>
      <c r="AJ5" s="259">
        <v>2</v>
      </c>
      <c r="AK5" s="259">
        <v>2</v>
      </c>
      <c r="AL5" s="259">
        <v>2</v>
      </c>
      <c r="AM5" s="238" t="s">
        <v>0</v>
      </c>
      <c r="AN5" s="241">
        <v>1</v>
      </c>
      <c r="AO5" s="175">
        <v>0</v>
      </c>
      <c r="AP5" s="46">
        <f t="shared" si="9"/>
        <v>0</v>
      </c>
      <c r="AQ5" s="46">
        <v>0</v>
      </c>
      <c r="AR5" s="41">
        <f t="shared" ref="AR5:AR10" si="10">SUM(AO5:AQ5)</f>
        <v>0</v>
      </c>
      <c r="AS5" s="329" t="s">
        <v>126</v>
      </c>
    </row>
    <row r="6" spans="1:225" ht="25.5" customHeight="1">
      <c r="A6" s="38">
        <f t="shared" si="0"/>
        <v>13</v>
      </c>
      <c r="B6" s="39">
        <f t="shared" si="1"/>
        <v>0</v>
      </c>
      <c r="C6" s="40">
        <f t="shared" si="2"/>
        <v>0</v>
      </c>
      <c r="D6" s="39">
        <f t="shared" si="3"/>
        <v>6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93" t="s">
        <v>3</v>
      </c>
      <c r="L6" s="242" t="s">
        <v>3</v>
      </c>
      <c r="M6" s="393" t="s">
        <v>3</v>
      </c>
      <c r="N6" s="259">
        <v>1</v>
      </c>
      <c r="O6" s="238" t="s">
        <v>52</v>
      </c>
      <c r="P6" s="238" t="s">
        <v>36</v>
      </c>
      <c r="Q6" s="238" t="s">
        <v>3</v>
      </c>
      <c r="R6" s="238" t="s">
        <v>0</v>
      </c>
      <c r="S6" s="238">
        <v>1</v>
      </c>
      <c r="T6" s="238">
        <v>1</v>
      </c>
      <c r="U6" s="238" t="s">
        <v>53</v>
      </c>
      <c r="V6" s="239" t="s">
        <v>52</v>
      </c>
      <c r="W6" s="239" t="s">
        <v>0</v>
      </c>
      <c r="X6" s="259">
        <v>1</v>
      </c>
      <c r="Y6" s="393" t="s">
        <v>3</v>
      </c>
      <c r="Z6" s="393" t="s">
        <v>3</v>
      </c>
      <c r="AA6" s="238" t="s">
        <v>0</v>
      </c>
      <c r="AB6" s="238" t="s">
        <v>36</v>
      </c>
      <c r="AC6" s="234" t="s">
        <v>1</v>
      </c>
      <c r="AD6" s="239" t="s">
        <v>0</v>
      </c>
      <c r="AE6" s="259">
        <v>1</v>
      </c>
      <c r="AF6" s="238" t="s">
        <v>52</v>
      </c>
      <c r="AG6" s="238" t="s">
        <v>36</v>
      </c>
      <c r="AH6" s="238" t="s">
        <v>36</v>
      </c>
      <c r="AI6" s="234" t="s">
        <v>53</v>
      </c>
      <c r="AJ6" s="239" t="s">
        <v>52</v>
      </c>
      <c r="AK6" s="238" t="s">
        <v>36</v>
      </c>
      <c r="AL6" s="259" t="s">
        <v>36</v>
      </c>
      <c r="AM6" s="270" t="s">
        <v>36</v>
      </c>
      <c r="AN6" s="274" t="s">
        <v>36</v>
      </c>
      <c r="AO6" s="17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126</v>
      </c>
      <c r="AV6" s="6" cm="2">
        <f t="array" ref="AV6">SUMPRODUCT(COUNTIF(O6:P6,{"X";"Y";"Z";"S"}))+SUMPRODUCT(COUNTIF(V6:W6,{"X";"Y";"Z";"S"}))+SUMPRODUCT(COUNTIF(AC6:AD6,{"X";"Y";"Z";"S"}))+SUMPRODUCT(COUNTIF(AJ6:AK6,{"X";"Y";"Z";"S"}))-5</f>
        <v>1</v>
      </c>
      <c r="AW6" s="6">
        <v>4</v>
      </c>
      <c r="AX6" s="6">
        <f t="shared" ref="AX6:AX12" si="11">AV6+AW6</f>
        <v>5</v>
      </c>
    </row>
    <row r="7" spans="1:225" ht="25.5" customHeight="1">
      <c r="A7" s="38">
        <f t="shared" si="0"/>
        <v>16</v>
      </c>
      <c r="B7" s="39">
        <f t="shared" si="1"/>
        <v>0</v>
      </c>
      <c r="C7" s="40">
        <f t="shared" si="2"/>
        <v>0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245">
        <v>1</v>
      </c>
      <c r="L7" s="259" t="s">
        <v>36</v>
      </c>
      <c r="M7" s="238" t="s">
        <v>52</v>
      </c>
      <c r="N7" s="238" t="s">
        <v>36</v>
      </c>
      <c r="O7" s="259">
        <v>1</v>
      </c>
      <c r="P7" s="259">
        <v>1</v>
      </c>
      <c r="Q7" s="259" t="s">
        <v>36</v>
      </c>
      <c r="R7" s="259" t="s">
        <v>36</v>
      </c>
      <c r="S7" s="238" t="s">
        <v>52</v>
      </c>
      <c r="T7" s="234" t="s">
        <v>1</v>
      </c>
      <c r="U7" s="238" t="s">
        <v>36</v>
      </c>
      <c r="V7" s="239" t="s">
        <v>53</v>
      </c>
      <c r="W7" s="239" t="s">
        <v>0</v>
      </c>
      <c r="X7" s="259" t="s">
        <v>36</v>
      </c>
      <c r="Y7" s="259" t="s">
        <v>36</v>
      </c>
      <c r="Z7" s="238" t="s">
        <v>0</v>
      </c>
      <c r="AA7" s="238" t="s">
        <v>52</v>
      </c>
      <c r="AB7" s="238" t="s">
        <v>36</v>
      </c>
      <c r="AC7" s="238" t="s">
        <v>36</v>
      </c>
      <c r="AD7" s="238" t="s">
        <v>36</v>
      </c>
      <c r="AE7" s="238" t="s">
        <v>36</v>
      </c>
      <c r="AF7" s="234" t="s">
        <v>0</v>
      </c>
      <c r="AG7" s="238" t="s">
        <v>36</v>
      </c>
      <c r="AH7" s="238" t="s">
        <v>36</v>
      </c>
      <c r="AI7" s="234" t="s">
        <v>1</v>
      </c>
      <c r="AJ7" s="239" t="s">
        <v>52</v>
      </c>
      <c r="AK7" s="239" t="s">
        <v>53</v>
      </c>
      <c r="AL7" s="234" t="s">
        <v>1</v>
      </c>
      <c r="AM7" s="238" t="s">
        <v>0</v>
      </c>
      <c r="AN7" s="426" t="s">
        <v>3</v>
      </c>
      <c r="AO7" s="17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126</v>
      </c>
      <c r="AV7" s="6" cm="2">
        <f t="array" ref="AV7">SUMPRODUCT(COUNTIF(O7:P7,{"X";"Y";"Z";"S"}))+SUMPRODUCT(COUNTIF(V7:W7,{"X";"Y";"Z";"S"}))+SUMPRODUCT(COUNTIF(AC7:AD7,{"X";"Y";"Z";"S"}))+SUMPRODUCT(COUNTIF(AJ7:AK7,{"X";"Y";"Z";"S"}))-5</f>
        <v>-1</v>
      </c>
      <c r="AW7" s="6">
        <v>3</v>
      </c>
      <c r="AX7" s="6">
        <f t="shared" si="11"/>
        <v>2</v>
      </c>
    </row>
    <row r="8" spans="1:225" s="50" customFormat="1" ht="24.75" customHeight="1">
      <c r="A8" s="38">
        <f t="shared" si="0"/>
        <v>16</v>
      </c>
      <c r="B8" s="39">
        <f t="shared" si="1"/>
        <v>2</v>
      </c>
      <c r="C8" s="40">
        <f t="shared" si="2"/>
        <v>1</v>
      </c>
      <c r="D8" s="39">
        <f t="shared" si="3"/>
        <v>1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4</v>
      </c>
      <c r="K8" s="245" t="s">
        <v>36</v>
      </c>
      <c r="L8" s="238" t="s">
        <v>52</v>
      </c>
      <c r="M8" s="256" t="s">
        <v>5</v>
      </c>
      <c r="N8" s="238" t="s">
        <v>36</v>
      </c>
      <c r="O8" s="238" t="s">
        <v>38</v>
      </c>
      <c r="P8" s="259">
        <v>2</v>
      </c>
      <c r="Q8" s="238" t="s">
        <v>52</v>
      </c>
      <c r="R8" s="238" t="s">
        <v>36</v>
      </c>
      <c r="S8" s="259">
        <v>1</v>
      </c>
      <c r="T8" s="256" t="s">
        <v>5</v>
      </c>
      <c r="U8" s="234" t="s">
        <v>0</v>
      </c>
      <c r="V8" s="259">
        <v>3</v>
      </c>
      <c r="W8" s="239" t="s">
        <v>53</v>
      </c>
      <c r="X8" s="238" t="s">
        <v>36</v>
      </c>
      <c r="Y8" s="238">
        <v>1</v>
      </c>
      <c r="Z8" s="259">
        <v>1</v>
      </c>
      <c r="AA8" s="259">
        <v>1</v>
      </c>
      <c r="AB8" s="234" t="s">
        <v>52</v>
      </c>
      <c r="AC8" s="238">
        <v>1</v>
      </c>
      <c r="AD8" s="239" t="s">
        <v>0</v>
      </c>
      <c r="AE8" s="238" t="s">
        <v>36</v>
      </c>
      <c r="AF8" s="238" t="s">
        <v>36</v>
      </c>
      <c r="AG8" s="238" t="s">
        <v>36</v>
      </c>
      <c r="AH8" s="238" t="s">
        <v>36</v>
      </c>
      <c r="AI8" s="234" t="s">
        <v>0</v>
      </c>
      <c r="AJ8" s="272" t="s">
        <v>53</v>
      </c>
      <c r="AK8" s="272" t="s">
        <v>52</v>
      </c>
      <c r="AL8" s="271" t="s">
        <v>0</v>
      </c>
      <c r="AM8" s="238" t="s">
        <v>3</v>
      </c>
      <c r="AN8" s="260">
        <v>1</v>
      </c>
      <c r="AO8" s="17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128</v>
      </c>
      <c r="AT8" s="6"/>
      <c r="AU8" s="6"/>
      <c r="AV8" s="6" cm="2">
        <f t="array" ref="AV8">SUMPRODUCT(COUNTIF(O8:P8,{"X";"Y";"Z";"S"}))+SUMPRODUCT(COUNTIF(V8:W8,{"X";"Y";"Z";"S"}))+SUMPRODUCT(COUNTIF(AC8:AD8,{"X";"Y";"Z";"S"}))+SUMPRODUCT(COUNTIF(AJ8:AK8,{"X";"Y";"Z";"S"}))-5</f>
        <v>-1</v>
      </c>
      <c r="AW8" s="6">
        <v>7</v>
      </c>
      <c r="AX8" s="6">
        <f t="shared" si="11"/>
        <v>6</v>
      </c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</row>
    <row r="9" spans="1:225" s="50" customFormat="1" ht="28.8" customHeight="1">
      <c r="A9" s="38">
        <f t="shared" si="0"/>
        <v>16</v>
      </c>
      <c r="B9" s="39">
        <f t="shared" si="1"/>
        <v>4</v>
      </c>
      <c r="C9" s="40">
        <f t="shared" si="2"/>
        <v>0</v>
      </c>
      <c r="D9" s="39">
        <f t="shared" si="3"/>
        <v>0</v>
      </c>
      <c r="E9" s="41">
        <f t="shared" si="4"/>
        <v>0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10" t="s">
        <v>134</v>
      </c>
      <c r="K9" s="245" t="s">
        <v>36</v>
      </c>
      <c r="L9" s="238" t="s">
        <v>36</v>
      </c>
      <c r="M9" s="238" t="s">
        <v>52</v>
      </c>
      <c r="N9" s="259" t="s">
        <v>36</v>
      </c>
      <c r="O9" s="238">
        <v>1</v>
      </c>
      <c r="P9" s="238" t="s">
        <v>0</v>
      </c>
      <c r="Q9" s="238">
        <v>1</v>
      </c>
      <c r="R9" s="238">
        <v>1</v>
      </c>
      <c r="S9" s="259" t="s">
        <v>36</v>
      </c>
      <c r="T9" s="238" t="s">
        <v>36</v>
      </c>
      <c r="U9" s="259">
        <v>2</v>
      </c>
      <c r="V9" s="239" t="s">
        <v>52</v>
      </c>
      <c r="W9" s="239" t="s">
        <v>0</v>
      </c>
      <c r="X9" s="234" t="s">
        <v>0</v>
      </c>
      <c r="Y9" s="238" t="s">
        <v>36</v>
      </c>
      <c r="Z9" s="238" t="s">
        <v>36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52</v>
      </c>
      <c r="AF9" s="259" t="s">
        <v>38</v>
      </c>
      <c r="AG9" s="259">
        <v>2</v>
      </c>
      <c r="AH9" s="259">
        <v>2</v>
      </c>
      <c r="AI9" s="234" t="s">
        <v>52</v>
      </c>
      <c r="AJ9" s="239" t="s">
        <v>53</v>
      </c>
      <c r="AK9" s="239" t="s">
        <v>53</v>
      </c>
      <c r="AL9" s="234" t="s">
        <v>0</v>
      </c>
      <c r="AM9" s="238">
        <v>1</v>
      </c>
      <c r="AN9" s="241">
        <v>1</v>
      </c>
      <c r="AO9" s="17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/>
      <c r="AV9" s="6" cm="2">
        <f t="array" ref="AV9">SUMPRODUCT(COUNTIF(O9:P9,{"X";"Y";"Z";"S"}))+SUMPRODUCT(COUNTIF(V9:W9,{"X";"Y";"Z";"S"}))+SUMPRODUCT(COUNTIF(AC9:AD9,{"X";"Y";"Z";"S"}))+SUMPRODUCT(COUNTIF(AJ9:AK9,{"X";"Y";"Z";"S"}))-5</f>
        <v>0</v>
      </c>
      <c r="AW9" s="6">
        <v>2</v>
      </c>
      <c r="AX9" s="6">
        <f t="shared" si="11"/>
        <v>2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0" customFormat="1" ht="25.5" customHeight="1">
      <c r="A10" s="38">
        <f t="shared" si="0"/>
        <v>12</v>
      </c>
      <c r="B10" s="39">
        <f t="shared" si="1"/>
        <v>3</v>
      </c>
      <c r="C10" s="40">
        <f t="shared" si="2"/>
        <v>1</v>
      </c>
      <c r="D10" s="39">
        <f t="shared" si="3"/>
        <v>2</v>
      </c>
      <c r="E10" s="41">
        <f t="shared" si="4"/>
        <v>2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09" t="s">
        <v>6</v>
      </c>
      <c r="K10" s="427" t="s">
        <v>5</v>
      </c>
      <c r="L10" s="238" t="s">
        <v>36</v>
      </c>
      <c r="M10" s="238" t="s">
        <v>36</v>
      </c>
      <c r="N10" s="234" t="s">
        <v>1</v>
      </c>
      <c r="O10" s="239" t="s">
        <v>52</v>
      </c>
      <c r="P10" s="239" t="s">
        <v>0</v>
      </c>
      <c r="Q10" s="238" t="s">
        <v>36</v>
      </c>
      <c r="R10" s="238" t="s">
        <v>36</v>
      </c>
      <c r="S10" s="242" t="s">
        <v>3</v>
      </c>
      <c r="T10" s="238" t="s">
        <v>52</v>
      </c>
      <c r="U10" s="238" t="s">
        <v>38</v>
      </c>
      <c r="V10" s="238" t="s">
        <v>38</v>
      </c>
      <c r="W10" s="238" t="s">
        <v>38</v>
      </c>
      <c r="X10" s="238" t="s">
        <v>0</v>
      </c>
      <c r="Y10" s="238" t="s">
        <v>36</v>
      </c>
      <c r="Z10" s="238" t="s">
        <v>36</v>
      </c>
      <c r="AA10" s="238" t="s">
        <v>36</v>
      </c>
      <c r="AB10" s="234" t="s">
        <v>53</v>
      </c>
      <c r="AC10" s="239" t="s">
        <v>52</v>
      </c>
      <c r="AD10" s="239" t="s">
        <v>0</v>
      </c>
      <c r="AE10" s="234" t="s">
        <v>1</v>
      </c>
      <c r="AF10" s="238">
        <v>1</v>
      </c>
      <c r="AG10" s="242" t="s">
        <v>3</v>
      </c>
      <c r="AH10" s="256" t="s">
        <v>5</v>
      </c>
      <c r="AI10" s="234" t="s">
        <v>52</v>
      </c>
      <c r="AJ10" s="259">
        <v>3</v>
      </c>
      <c r="AK10" s="238" t="s">
        <v>53</v>
      </c>
      <c r="AL10" s="271" t="s">
        <v>0</v>
      </c>
      <c r="AM10" s="256" t="s">
        <v>5</v>
      </c>
      <c r="AN10" s="241" t="s">
        <v>36</v>
      </c>
      <c r="AO10" s="17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/>
      <c r="AV10" s="6" cm="2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4</v>
      </c>
      <c r="AX10" s="6">
        <f t="shared" si="11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0" customFormat="1" ht="25.5" customHeight="1">
      <c r="A11" s="38">
        <f t="shared" si="0"/>
        <v>17</v>
      </c>
      <c r="B11" s="39">
        <f t="shared" si="1"/>
        <v>3</v>
      </c>
      <c r="C11" s="40">
        <f t="shared" si="2"/>
        <v>0</v>
      </c>
      <c r="D11" s="39">
        <f t="shared" si="3"/>
        <v>0</v>
      </c>
      <c r="E11" s="41">
        <f t="shared" si="4"/>
        <v>0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135</v>
      </c>
      <c r="K11" s="245" t="s">
        <v>36</v>
      </c>
      <c r="L11" s="238" t="s">
        <v>36</v>
      </c>
      <c r="M11" s="238">
        <v>1</v>
      </c>
      <c r="N11" s="238" t="s">
        <v>52</v>
      </c>
      <c r="O11" s="259">
        <v>2</v>
      </c>
      <c r="P11" s="238">
        <v>2</v>
      </c>
      <c r="Q11" s="238" t="s">
        <v>0</v>
      </c>
      <c r="R11" s="238" t="s">
        <v>36</v>
      </c>
      <c r="S11" s="238" t="s">
        <v>36</v>
      </c>
      <c r="T11" s="238" t="s">
        <v>36</v>
      </c>
      <c r="U11" s="238" t="s">
        <v>36</v>
      </c>
      <c r="V11" s="239" t="s">
        <v>52</v>
      </c>
      <c r="W11" s="239" t="s">
        <v>0</v>
      </c>
      <c r="X11" s="238" t="s">
        <v>36</v>
      </c>
      <c r="Y11" s="238" t="s">
        <v>36</v>
      </c>
      <c r="Z11" s="238" t="s">
        <v>36</v>
      </c>
      <c r="AA11" s="238" t="s">
        <v>52</v>
      </c>
      <c r="AB11" s="238">
        <v>1</v>
      </c>
      <c r="AC11" s="259">
        <v>1</v>
      </c>
      <c r="AD11" s="259">
        <v>1</v>
      </c>
      <c r="AE11" s="259" t="s">
        <v>38</v>
      </c>
      <c r="AF11" s="238" t="s">
        <v>0</v>
      </c>
      <c r="AG11" s="259">
        <v>1</v>
      </c>
      <c r="AH11" s="238" t="s">
        <v>36</v>
      </c>
      <c r="AI11" s="234" t="s">
        <v>53</v>
      </c>
      <c r="AJ11" s="239" t="s">
        <v>53</v>
      </c>
      <c r="AK11" s="239" t="s">
        <v>52</v>
      </c>
      <c r="AL11" s="271" t="s">
        <v>0</v>
      </c>
      <c r="AM11" s="238" t="s">
        <v>36</v>
      </c>
      <c r="AN11" s="241" t="s">
        <v>36</v>
      </c>
      <c r="AO11" s="175">
        <v>0</v>
      </c>
      <c r="AP11" s="46">
        <f t="shared" si="9"/>
        <v>0</v>
      </c>
      <c r="AQ11" s="46">
        <v>0</v>
      </c>
      <c r="AR11" s="41">
        <f>SUM(AO11:AQ11)</f>
        <v>0</v>
      </c>
      <c r="AS11" s="329" t="s">
        <v>126</v>
      </c>
      <c r="AT11" s="6"/>
      <c r="AU11" s="6"/>
      <c r="AV11" s="6" cm="2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2</v>
      </c>
      <c r="AX11" s="6">
        <f t="shared" si="11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0" customFormat="1" ht="28.35" customHeight="1">
      <c r="A12" s="38">
        <f t="shared" si="0"/>
        <v>17</v>
      </c>
      <c r="B12" s="39">
        <f t="shared" si="1"/>
        <v>1</v>
      </c>
      <c r="C12" s="40">
        <f t="shared" si="2"/>
        <v>0</v>
      </c>
      <c r="D12" s="39">
        <f t="shared" si="3"/>
        <v>1</v>
      </c>
      <c r="E12" s="41">
        <f t="shared" si="4"/>
        <v>1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10" t="s">
        <v>136</v>
      </c>
      <c r="K12" s="258" t="s">
        <v>58</v>
      </c>
      <c r="L12" s="259">
        <v>1</v>
      </c>
      <c r="M12" s="238">
        <v>1</v>
      </c>
      <c r="N12" s="234" t="s">
        <v>1</v>
      </c>
      <c r="O12" s="239" t="s">
        <v>52</v>
      </c>
      <c r="P12" s="239" t="s">
        <v>0</v>
      </c>
      <c r="Q12" s="238" t="s">
        <v>36</v>
      </c>
      <c r="R12" s="234" t="s">
        <v>52</v>
      </c>
      <c r="S12" s="238" t="s">
        <v>36</v>
      </c>
      <c r="T12" s="238" t="s">
        <v>36</v>
      </c>
      <c r="U12" s="259" t="s">
        <v>58</v>
      </c>
      <c r="V12" s="259">
        <v>2</v>
      </c>
      <c r="W12" s="238" t="s">
        <v>0</v>
      </c>
      <c r="X12" s="238" t="s">
        <v>36</v>
      </c>
      <c r="Y12" s="238" t="s">
        <v>36</v>
      </c>
      <c r="Z12" s="238" t="s">
        <v>52</v>
      </c>
      <c r="AA12" s="238">
        <v>1</v>
      </c>
      <c r="AB12" s="259" t="s">
        <v>58</v>
      </c>
      <c r="AC12" s="239" t="s">
        <v>53</v>
      </c>
      <c r="AD12" s="239" t="s">
        <v>0</v>
      </c>
      <c r="AE12" s="259" t="s">
        <v>58</v>
      </c>
      <c r="AF12" s="242" t="s">
        <v>3</v>
      </c>
      <c r="AG12" s="238">
        <v>1</v>
      </c>
      <c r="AH12" s="238" t="s">
        <v>53</v>
      </c>
      <c r="AI12" s="234" t="s">
        <v>52</v>
      </c>
      <c r="AJ12" s="238">
        <v>1</v>
      </c>
      <c r="AK12" s="238">
        <v>1</v>
      </c>
      <c r="AL12" s="271" t="s">
        <v>0</v>
      </c>
      <c r="AM12" s="259" t="s">
        <v>58</v>
      </c>
      <c r="AN12" s="260" t="s">
        <v>36</v>
      </c>
      <c r="AO12" s="175">
        <v>0</v>
      </c>
      <c r="AP12" s="46">
        <f t="shared" si="9"/>
        <v>0</v>
      </c>
      <c r="AQ12" s="46">
        <v>0</v>
      </c>
      <c r="AR12" s="41">
        <f t="shared" ref="AR12:AR15" si="12">SUM(AO12:AQ12)</f>
        <v>0</v>
      </c>
      <c r="AS12" s="329" t="s">
        <v>128</v>
      </c>
      <c r="AT12" s="6"/>
      <c r="AU12" s="6"/>
      <c r="AV12" s="6" cm="2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6">
        <v>4</v>
      </c>
      <c r="AX12" s="6">
        <f t="shared" si="11"/>
        <v>4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0" customFormat="1" ht="25.5" customHeight="1">
      <c r="A13" s="38">
        <f t="shared" si="0"/>
        <v>0</v>
      </c>
      <c r="B13" s="39">
        <f t="shared" si="1"/>
        <v>13</v>
      </c>
      <c r="C13" s="40">
        <f t="shared" si="2"/>
        <v>5</v>
      </c>
      <c r="D13" s="39">
        <f t="shared" si="3"/>
        <v>1</v>
      </c>
      <c r="E13" s="41">
        <f t="shared" si="4"/>
        <v>1</v>
      </c>
      <c r="F13" s="41">
        <f t="shared" si="5"/>
        <v>4</v>
      </c>
      <c r="G13" s="41">
        <f t="shared" si="6"/>
        <v>4</v>
      </c>
      <c r="H13" s="41">
        <f t="shared" si="7"/>
        <v>2</v>
      </c>
      <c r="I13" s="42">
        <f t="shared" si="8"/>
        <v>30</v>
      </c>
      <c r="J13" s="211" t="s">
        <v>7</v>
      </c>
      <c r="K13" s="258">
        <v>2</v>
      </c>
      <c r="L13" s="259">
        <v>2</v>
      </c>
      <c r="M13" s="234" t="s">
        <v>0</v>
      </c>
      <c r="N13" s="238" t="s">
        <v>52</v>
      </c>
      <c r="O13" s="259">
        <v>3</v>
      </c>
      <c r="P13" s="238" t="s">
        <v>0</v>
      </c>
      <c r="Q13" s="259">
        <v>2</v>
      </c>
      <c r="R13" s="238">
        <v>2</v>
      </c>
      <c r="S13" s="238">
        <v>2</v>
      </c>
      <c r="T13" s="238">
        <v>2</v>
      </c>
      <c r="U13" s="238">
        <v>2</v>
      </c>
      <c r="V13" s="239" t="s">
        <v>52</v>
      </c>
      <c r="W13" s="238">
        <v>3</v>
      </c>
      <c r="X13" s="238" t="s">
        <v>53</v>
      </c>
      <c r="Y13" s="234" t="s">
        <v>1</v>
      </c>
      <c r="Z13" s="259">
        <v>2</v>
      </c>
      <c r="AA13" s="259">
        <v>2</v>
      </c>
      <c r="AB13" s="238" t="s">
        <v>52</v>
      </c>
      <c r="AC13" s="259">
        <v>3</v>
      </c>
      <c r="AD13" s="259">
        <v>3</v>
      </c>
      <c r="AE13" s="238" t="s">
        <v>0</v>
      </c>
      <c r="AF13" s="242" t="s">
        <v>3</v>
      </c>
      <c r="AG13" s="238">
        <v>2</v>
      </c>
      <c r="AH13" s="238">
        <v>2</v>
      </c>
      <c r="AI13" s="238" t="s">
        <v>52</v>
      </c>
      <c r="AJ13" s="239" t="s">
        <v>53</v>
      </c>
      <c r="AK13" s="239" t="s">
        <v>0</v>
      </c>
      <c r="AL13" s="238" t="s">
        <v>40</v>
      </c>
      <c r="AM13" s="259">
        <v>2</v>
      </c>
      <c r="AN13" s="260">
        <v>2</v>
      </c>
      <c r="AO13" s="175">
        <v>0</v>
      </c>
      <c r="AP13" s="46">
        <f t="shared" si="9"/>
        <v>0</v>
      </c>
      <c r="AQ13" s="46">
        <v>0</v>
      </c>
      <c r="AR13" s="41">
        <f t="shared" si="12"/>
        <v>0</v>
      </c>
      <c r="AS13" s="329" t="s">
        <v>126</v>
      </c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0" customFormat="1" ht="25.5" customHeight="1">
      <c r="A14" s="38">
        <f t="shared" si="0"/>
        <v>13</v>
      </c>
      <c r="B14" s="39">
        <f t="shared" si="1"/>
        <v>3</v>
      </c>
      <c r="C14" s="40">
        <f t="shared" si="2"/>
        <v>0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09" t="s">
        <v>8</v>
      </c>
      <c r="K14" s="245" t="s">
        <v>0</v>
      </c>
      <c r="L14" s="242" t="s">
        <v>3</v>
      </c>
      <c r="M14" s="259" t="s">
        <v>58</v>
      </c>
      <c r="N14" s="238" t="s">
        <v>53</v>
      </c>
      <c r="O14" s="239" t="s">
        <v>52</v>
      </c>
      <c r="P14" s="239" t="s">
        <v>0</v>
      </c>
      <c r="Q14" s="238" t="s">
        <v>36</v>
      </c>
      <c r="R14" s="238" t="s">
        <v>36</v>
      </c>
      <c r="S14" s="242" t="s">
        <v>3</v>
      </c>
      <c r="T14" s="259" t="s">
        <v>58</v>
      </c>
      <c r="U14" s="238" t="s">
        <v>52</v>
      </c>
      <c r="V14" s="238">
        <v>2</v>
      </c>
      <c r="W14" s="259">
        <v>2</v>
      </c>
      <c r="X14" s="238" t="s">
        <v>0</v>
      </c>
      <c r="Y14" s="238">
        <v>1</v>
      </c>
      <c r="Z14" s="259" t="s">
        <v>36</v>
      </c>
      <c r="AA14" s="259" t="s">
        <v>36</v>
      </c>
      <c r="AB14" s="259">
        <v>2</v>
      </c>
      <c r="AC14" s="239" t="s">
        <v>52</v>
      </c>
      <c r="AD14" s="259">
        <v>1</v>
      </c>
      <c r="AE14" s="238" t="s">
        <v>36</v>
      </c>
      <c r="AF14" s="242" t="s">
        <v>3</v>
      </c>
      <c r="AG14" s="238" t="s">
        <v>0</v>
      </c>
      <c r="AH14" s="259" t="s">
        <v>58</v>
      </c>
      <c r="AI14" s="259" t="s">
        <v>36</v>
      </c>
      <c r="AJ14" s="238" t="s">
        <v>36</v>
      </c>
      <c r="AK14" s="238" t="s">
        <v>36</v>
      </c>
      <c r="AL14" s="239" t="s">
        <v>53</v>
      </c>
      <c r="AM14" s="238" t="s">
        <v>52</v>
      </c>
      <c r="AN14" s="261" t="s">
        <v>1</v>
      </c>
      <c r="AO14" s="175">
        <v>0</v>
      </c>
      <c r="AP14" s="46">
        <f t="shared" si="9"/>
        <v>0</v>
      </c>
      <c r="AQ14" s="46">
        <v>0</v>
      </c>
      <c r="AR14" s="41">
        <f t="shared" si="12"/>
        <v>0</v>
      </c>
      <c r="AS14" s="329" t="s">
        <v>128</v>
      </c>
      <c r="AT14" s="6"/>
      <c r="AU14" s="6"/>
      <c r="AV14" s="6" cm="2">
        <f t="array" ref="AV14">SUMPRODUCT(COUNTIF(O14:P14,{"X";"Y";"Z";"S"}))+SUMPRODUCT(COUNTIF(V14:W14,{"X";"Y";"Z";"S"}))+SUMPRODUCT(COUNTIF(AC14:AD14,{"X";"Y";"Z";"S"}))+SUMPRODUCT(COUNTIF(AJ14:AK14,{"X";"Y";"Z";"S"}))-5</f>
        <v>-2</v>
      </c>
      <c r="AW14" s="6">
        <v>4</v>
      </c>
      <c r="AX14" s="6">
        <f t="shared" ref="AX14:AX17" si="13">AV14+AW14</f>
        <v>2</v>
      </c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0" customFormat="1" ht="25.5" customHeight="1">
      <c r="A15" s="38">
        <f t="shared" si="0"/>
        <v>10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3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12" t="s">
        <v>93</v>
      </c>
      <c r="K15" s="245" t="s">
        <v>0</v>
      </c>
      <c r="L15" s="393" t="s">
        <v>3</v>
      </c>
      <c r="M15" s="242" t="s">
        <v>3</v>
      </c>
      <c r="N15" s="393" t="s">
        <v>3</v>
      </c>
      <c r="O15" s="239" t="s">
        <v>52</v>
      </c>
      <c r="P15" s="238">
        <v>1</v>
      </c>
      <c r="Q15" s="259">
        <v>1</v>
      </c>
      <c r="R15" s="256" t="s">
        <v>5</v>
      </c>
      <c r="S15" s="234" t="s">
        <v>1</v>
      </c>
      <c r="T15" s="242" t="s">
        <v>3</v>
      </c>
      <c r="U15" s="234" t="s">
        <v>1</v>
      </c>
      <c r="V15" s="239" t="s">
        <v>52</v>
      </c>
      <c r="W15" s="234" t="s">
        <v>1</v>
      </c>
      <c r="X15" s="393" t="s">
        <v>3</v>
      </c>
      <c r="Y15" s="256" t="s">
        <v>5</v>
      </c>
      <c r="Z15" s="234" t="s">
        <v>52</v>
      </c>
      <c r="AA15" s="238" t="s">
        <v>53</v>
      </c>
      <c r="AB15" s="238" t="s">
        <v>36</v>
      </c>
      <c r="AC15" s="238" t="s">
        <v>36</v>
      </c>
      <c r="AD15" s="238" t="s">
        <v>36</v>
      </c>
      <c r="AE15" s="234" t="s">
        <v>0</v>
      </c>
      <c r="AF15" s="256" t="s">
        <v>5</v>
      </c>
      <c r="AG15" s="242" t="s">
        <v>3</v>
      </c>
      <c r="AH15" s="238" t="s">
        <v>38</v>
      </c>
      <c r="AI15" s="234" t="s">
        <v>52</v>
      </c>
      <c r="AJ15" s="239" t="s">
        <v>53</v>
      </c>
      <c r="AK15" s="239" t="s">
        <v>0</v>
      </c>
      <c r="AL15" s="238" t="s">
        <v>36</v>
      </c>
      <c r="AM15" s="238" t="s">
        <v>36</v>
      </c>
      <c r="AN15" s="241" t="s">
        <v>0</v>
      </c>
      <c r="AO15" s="175">
        <v>0</v>
      </c>
      <c r="AP15" s="46">
        <f t="shared" si="9"/>
        <v>0</v>
      </c>
      <c r="AQ15" s="46">
        <v>0</v>
      </c>
      <c r="AR15" s="41">
        <f t="shared" si="12"/>
        <v>0</v>
      </c>
      <c r="AS15" s="329" t="s">
        <v>126</v>
      </c>
      <c r="AT15" s="6"/>
      <c r="AU15" s="6"/>
      <c r="AV15" s="6" cm="2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6">
        <v>4</v>
      </c>
      <c r="AX15" s="6">
        <f t="shared" si="13"/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5" ht="25.5" customHeight="1">
      <c r="A16" s="54">
        <f t="shared" si="0"/>
        <v>7</v>
      </c>
      <c r="B16" s="55">
        <f t="shared" si="1"/>
        <v>8</v>
      </c>
      <c r="C16" s="56">
        <f t="shared" si="2"/>
        <v>3</v>
      </c>
      <c r="D16" s="55">
        <f t="shared" si="3"/>
        <v>0</v>
      </c>
      <c r="E16" s="17">
        <f t="shared" si="4"/>
        <v>2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57">
        <f>SUM(A16:H16)</f>
        <v>30</v>
      </c>
      <c r="J16" s="209" t="s">
        <v>9</v>
      </c>
      <c r="K16" s="245" t="s">
        <v>0</v>
      </c>
      <c r="L16" s="234" t="s">
        <v>1</v>
      </c>
      <c r="M16" s="259">
        <v>2</v>
      </c>
      <c r="N16" s="259">
        <v>2</v>
      </c>
      <c r="O16" s="239" t="s">
        <v>52</v>
      </c>
      <c r="P16" s="239" t="s">
        <v>53</v>
      </c>
      <c r="Q16" s="234" t="s">
        <v>1</v>
      </c>
      <c r="R16" s="259">
        <v>2</v>
      </c>
      <c r="S16" s="259">
        <v>2</v>
      </c>
      <c r="T16" s="259">
        <v>2</v>
      </c>
      <c r="U16" s="238" t="s">
        <v>52</v>
      </c>
      <c r="V16" s="259" t="s">
        <v>36</v>
      </c>
      <c r="W16" s="259" t="s">
        <v>36</v>
      </c>
      <c r="X16" s="259">
        <v>2</v>
      </c>
      <c r="Y16" s="259">
        <v>2</v>
      </c>
      <c r="Z16" s="238" t="s">
        <v>52</v>
      </c>
      <c r="AA16" s="238" t="s">
        <v>38</v>
      </c>
      <c r="AB16" s="238" t="s">
        <v>0</v>
      </c>
      <c r="AC16" s="239" t="s">
        <v>53</v>
      </c>
      <c r="AD16" s="239" t="s">
        <v>0</v>
      </c>
      <c r="AE16" s="238">
        <v>3</v>
      </c>
      <c r="AF16" s="238">
        <v>3</v>
      </c>
      <c r="AG16" s="238">
        <v>3</v>
      </c>
      <c r="AH16" s="238" t="s">
        <v>52</v>
      </c>
      <c r="AI16" s="238" t="s">
        <v>36</v>
      </c>
      <c r="AJ16" s="259" t="s">
        <v>36</v>
      </c>
      <c r="AK16" s="259" t="s">
        <v>36</v>
      </c>
      <c r="AL16" s="238" t="s">
        <v>36</v>
      </c>
      <c r="AM16" s="238" t="s">
        <v>36</v>
      </c>
      <c r="AN16" s="241" t="s">
        <v>0</v>
      </c>
      <c r="AO16" s="175">
        <v>0</v>
      </c>
      <c r="AP16" s="46">
        <f t="shared" si="9"/>
        <v>0</v>
      </c>
      <c r="AQ16" s="46">
        <v>0</v>
      </c>
      <c r="AR16" s="41">
        <f>SUM(AO16:AQ16)</f>
        <v>0</v>
      </c>
      <c r="AS16" s="329" t="s">
        <v>128</v>
      </c>
      <c r="AV16" s="6" cm="2">
        <f t="array" ref="AV16">SUMPRODUCT(COUNTIF(O16:P16,{"X";"Y";"Z";"S"}))+SUMPRODUCT(COUNTIF(V16:W16,{"X";"Y";"Z";"S"}))+SUMPRODUCT(COUNTIF(AC16:AD16,{"X";"Y";"Z";"S"}))+SUMPRODUCT(COUNTIF(AJ16:AK16,{"X";"Y";"Z";"S"}))-5</f>
        <v>-1</v>
      </c>
      <c r="AW16" s="6">
        <v>6</v>
      </c>
      <c r="AX16" s="6">
        <f t="shared" si="13"/>
        <v>5</v>
      </c>
    </row>
    <row r="17" spans="1:225" ht="25.5" customHeight="1" thickBot="1">
      <c r="A17" s="54">
        <f t="shared" si="0"/>
        <v>14</v>
      </c>
      <c r="B17" s="55">
        <f t="shared" si="1"/>
        <v>2</v>
      </c>
      <c r="C17" s="56">
        <f t="shared" si="2"/>
        <v>0</v>
      </c>
      <c r="D17" s="55">
        <f t="shared" si="3"/>
        <v>3</v>
      </c>
      <c r="E17" s="17">
        <f t="shared" si="4"/>
        <v>1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 t="shared" ref="I17:I40" si="14">SUM(A17:H17)</f>
        <v>30</v>
      </c>
      <c r="J17" s="213" t="s">
        <v>137</v>
      </c>
      <c r="K17" s="435" t="s">
        <v>36</v>
      </c>
      <c r="L17" s="436" t="s">
        <v>3</v>
      </c>
      <c r="M17" s="437" t="s">
        <v>52</v>
      </c>
      <c r="N17" s="437" t="s">
        <v>36</v>
      </c>
      <c r="O17" s="437" t="s">
        <v>36</v>
      </c>
      <c r="P17" s="437" t="s">
        <v>36</v>
      </c>
      <c r="Q17" s="437" t="s">
        <v>36</v>
      </c>
      <c r="R17" s="437" t="s">
        <v>0</v>
      </c>
      <c r="S17" s="438" t="s">
        <v>3</v>
      </c>
      <c r="T17" s="439">
        <v>1</v>
      </c>
      <c r="U17" s="437" t="s">
        <v>36</v>
      </c>
      <c r="V17" s="440" t="s">
        <v>52</v>
      </c>
      <c r="W17" s="440" t="s">
        <v>0</v>
      </c>
      <c r="X17" s="437" t="s">
        <v>0</v>
      </c>
      <c r="Y17" s="437" t="s">
        <v>0</v>
      </c>
      <c r="Z17" s="437" t="s">
        <v>36</v>
      </c>
      <c r="AA17" s="437" t="s">
        <v>36</v>
      </c>
      <c r="AB17" s="441">
        <v>1</v>
      </c>
      <c r="AC17" s="441">
        <v>2</v>
      </c>
      <c r="AD17" s="441">
        <v>2</v>
      </c>
      <c r="AE17" s="437" t="s">
        <v>52</v>
      </c>
      <c r="AF17" s="441" t="s">
        <v>36</v>
      </c>
      <c r="AG17" s="441" t="s">
        <v>36</v>
      </c>
      <c r="AH17" s="439">
        <v>1</v>
      </c>
      <c r="AI17" s="442" t="s">
        <v>53</v>
      </c>
      <c r="AJ17" s="443" t="s">
        <v>53</v>
      </c>
      <c r="AK17" s="444" t="s">
        <v>1</v>
      </c>
      <c r="AL17" s="443" t="s">
        <v>52</v>
      </c>
      <c r="AM17" s="439">
        <v>1</v>
      </c>
      <c r="AN17" s="445" t="s">
        <v>3</v>
      </c>
      <c r="AO17" s="354">
        <v>0</v>
      </c>
      <c r="AP17" s="386">
        <f t="shared" si="9"/>
        <v>0</v>
      </c>
      <c r="AQ17" s="386">
        <v>0</v>
      </c>
      <c r="AR17" s="17">
        <f t="shared" ref="AR17:AR46" si="15">SUM(AO17:AQ17)</f>
        <v>0</v>
      </c>
      <c r="AS17" s="387" t="s">
        <v>126</v>
      </c>
      <c r="AV17" s="6" cm="2">
        <f t="array" ref="AV17">SUMPRODUCT(COUNTIF(O17:P17,{"X";"Y";"Z";"S"}))+SUMPRODUCT(COUNTIF(V17:W17,{"X";"Y";"Z";"S"}))+SUMPRODUCT(COUNTIF(AC17:AD17,{"X";"Y";"Z";"S"}))+SUMPRODUCT(COUNTIF(AJ17:AK17,{"X";"Y";"Z";"S"}))-5</f>
        <v>-1</v>
      </c>
      <c r="AW17" s="6">
        <v>3</v>
      </c>
      <c r="AX17" s="6">
        <f t="shared" si="13"/>
        <v>2</v>
      </c>
    </row>
    <row r="18" spans="1:225" s="50" customFormat="1" ht="25.5" customHeight="1">
      <c r="A18" s="23">
        <f t="shared" si="0"/>
        <v>0</v>
      </c>
      <c r="B18" s="24">
        <f t="shared" si="1"/>
        <v>13</v>
      </c>
      <c r="C18" s="25">
        <f t="shared" si="2"/>
        <v>5</v>
      </c>
      <c r="D18" s="24">
        <f t="shared" si="3"/>
        <v>0</v>
      </c>
      <c r="E18" s="26">
        <f t="shared" si="4"/>
        <v>2</v>
      </c>
      <c r="F18" s="26">
        <f t="shared" si="5"/>
        <v>4</v>
      </c>
      <c r="G18" s="26">
        <f t="shared" si="6"/>
        <v>4</v>
      </c>
      <c r="H18" s="26">
        <f t="shared" si="7"/>
        <v>2</v>
      </c>
      <c r="I18" s="27">
        <f t="shared" si="14"/>
        <v>30</v>
      </c>
      <c r="J18" s="189" t="s">
        <v>10</v>
      </c>
      <c r="K18" s="395">
        <v>3</v>
      </c>
      <c r="L18" s="235">
        <v>3</v>
      </c>
      <c r="M18" s="235" t="s">
        <v>52</v>
      </c>
      <c r="N18" s="235">
        <v>2</v>
      </c>
      <c r="O18" s="235">
        <v>2</v>
      </c>
      <c r="P18" s="235">
        <v>2</v>
      </c>
      <c r="Q18" s="235">
        <v>2</v>
      </c>
      <c r="R18" s="235" t="s">
        <v>0</v>
      </c>
      <c r="S18" s="235">
        <v>3</v>
      </c>
      <c r="T18" s="235">
        <v>3</v>
      </c>
      <c r="U18" s="235">
        <v>3</v>
      </c>
      <c r="V18" s="235" t="s">
        <v>52</v>
      </c>
      <c r="W18" s="235">
        <v>2</v>
      </c>
      <c r="X18" s="235">
        <v>2</v>
      </c>
      <c r="Y18" s="254" t="s">
        <v>0</v>
      </c>
      <c r="Z18" s="254" t="s">
        <v>1</v>
      </c>
      <c r="AA18" s="254" t="s">
        <v>1</v>
      </c>
      <c r="AB18" s="254" t="s">
        <v>52</v>
      </c>
      <c r="AC18" s="235">
        <v>2</v>
      </c>
      <c r="AD18" s="235">
        <v>2</v>
      </c>
      <c r="AE18" s="235">
        <v>2</v>
      </c>
      <c r="AF18" s="235">
        <v>2</v>
      </c>
      <c r="AG18" s="235" t="s">
        <v>0</v>
      </c>
      <c r="AH18" s="235">
        <v>2</v>
      </c>
      <c r="AI18" s="235">
        <v>2</v>
      </c>
      <c r="AJ18" s="235">
        <v>2</v>
      </c>
      <c r="AK18" s="233" t="s">
        <v>52</v>
      </c>
      <c r="AL18" s="254" t="s">
        <v>53</v>
      </c>
      <c r="AM18" s="254" t="s">
        <v>53</v>
      </c>
      <c r="AN18" s="391" t="s">
        <v>0</v>
      </c>
      <c r="AO18" s="28">
        <v>0</v>
      </c>
      <c r="AP18" s="36">
        <f t="shared" si="9"/>
        <v>0</v>
      </c>
      <c r="AQ18" s="36">
        <v>0</v>
      </c>
      <c r="AR18" s="26">
        <f t="shared" si="15"/>
        <v>0</v>
      </c>
      <c r="AS18" s="328" t="s">
        <v>126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0" customFormat="1" ht="25.5" customHeight="1">
      <c r="A19" s="38">
        <f t="shared" si="0"/>
        <v>4</v>
      </c>
      <c r="B19" s="39">
        <f t="shared" si="1"/>
        <v>9</v>
      </c>
      <c r="C19" s="40">
        <f t="shared" si="2"/>
        <v>2</v>
      </c>
      <c r="D19" s="39">
        <f t="shared" si="3"/>
        <v>3</v>
      </c>
      <c r="E19" s="41">
        <f t="shared" si="4"/>
        <v>2</v>
      </c>
      <c r="F19" s="41">
        <f t="shared" si="5"/>
        <v>4</v>
      </c>
      <c r="G19" s="41">
        <f t="shared" si="6"/>
        <v>4</v>
      </c>
      <c r="H19" s="41">
        <f t="shared" si="7"/>
        <v>2</v>
      </c>
      <c r="I19" s="42">
        <f t="shared" si="14"/>
        <v>30</v>
      </c>
      <c r="J19" s="190" t="s">
        <v>11</v>
      </c>
      <c r="K19" s="245" t="s">
        <v>52</v>
      </c>
      <c r="L19" s="393" t="s">
        <v>3</v>
      </c>
      <c r="M19" s="238" t="s">
        <v>36</v>
      </c>
      <c r="N19" s="238">
        <v>1</v>
      </c>
      <c r="O19" s="238" t="s">
        <v>38</v>
      </c>
      <c r="P19" s="238" t="s">
        <v>38</v>
      </c>
      <c r="Q19" s="238" t="s">
        <v>38</v>
      </c>
      <c r="R19" s="238" t="s">
        <v>0</v>
      </c>
      <c r="S19" s="238" t="s">
        <v>36</v>
      </c>
      <c r="T19" s="242" t="s">
        <v>3</v>
      </c>
      <c r="U19" s="234" t="s">
        <v>1</v>
      </c>
      <c r="V19" s="239" t="s">
        <v>52</v>
      </c>
      <c r="W19" s="239" t="s">
        <v>0</v>
      </c>
      <c r="X19" s="234" t="s">
        <v>1</v>
      </c>
      <c r="Y19" s="234" t="s">
        <v>0</v>
      </c>
      <c r="Z19" s="238" t="s">
        <v>38</v>
      </c>
      <c r="AA19" s="238" t="s">
        <v>38</v>
      </c>
      <c r="AB19" s="238" t="s">
        <v>38</v>
      </c>
      <c r="AC19" s="238" t="s">
        <v>38</v>
      </c>
      <c r="AD19" s="238" t="s">
        <v>38</v>
      </c>
      <c r="AE19" s="238" t="s">
        <v>52</v>
      </c>
      <c r="AF19" s="238" t="s">
        <v>36</v>
      </c>
      <c r="AG19" s="242" t="s">
        <v>3</v>
      </c>
      <c r="AH19" s="238" t="s">
        <v>38</v>
      </c>
      <c r="AI19" s="234" t="s">
        <v>52</v>
      </c>
      <c r="AJ19" s="239" t="s">
        <v>53</v>
      </c>
      <c r="AK19" s="239" t="s">
        <v>53</v>
      </c>
      <c r="AL19" s="234" t="s">
        <v>0</v>
      </c>
      <c r="AM19" s="238">
        <v>3</v>
      </c>
      <c r="AN19" s="241">
        <v>3</v>
      </c>
      <c r="AO19" s="175">
        <v>0</v>
      </c>
      <c r="AP19" s="46">
        <f t="shared" si="9"/>
        <v>0</v>
      </c>
      <c r="AQ19" s="46">
        <v>0</v>
      </c>
      <c r="AR19" s="41">
        <f t="shared" si="15"/>
        <v>0</v>
      </c>
      <c r="AS19" s="329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38">
        <f t="shared" si="0"/>
        <v>6</v>
      </c>
      <c r="B20" s="39">
        <f t="shared" si="1"/>
        <v>7</v>
      </c>
      <c r="C20" s="40">
        <f t="shared" si="2"/>
        <v>3</v>
      </c>
      <c r="D20" s="39">
        <f t="shared" si="3"/>
        <v>1</v>
      </c>
      <c r="E20" s="41">
        <f t="shared" si="4"/>
        <v>3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14"/>
        <v>30</v>
      </c>
      <c r="J20" s="192" t="s">
        <v>12</v>
      </c>
      <c r="K20" s="245" t="s">
        <v>0</v>
      </c>
      <c r="L20" s="238">
        <v>1</v>
      </c>
      <c r="M20" s="242" t="s">
        <v>3</v>
      </c>
      <c r="N20" s="239" t="s">
        <v>53</v>
      </c>
      <c r="O20" s="234" t="s">
        <v>1</v>
      </c>
      <c r="P20" s="234" t="s">
        <v>1</v>
      </c>
      <c r="Q20" s="234" t="s">
        <v>1</v>
      </c>
      <c r="R20" s="238" t="s">
        <v>0</v>
      </c>
      <c r="S20" s="239" t="s">
        <v>53</v>
      </c>
      <c r="T20" s="238">
        <v>2</v>
      </c>
      <c r="U20" s="238" t="s">
        <v>0</v>
      </c>
      <c r="V20" s="238" t="s">
        <v>36</v>
      </c>
      <c r="W20" s="238">
        <v>1</v>
      </c>
      <c r="X20" s="238">
        <v>2</v>
      </c>
      <c r="Y20" s="238" t="s">
        <v>52</v>
      </c>
      <c r="Z20" s="238" t="s">
        <v>38</v>
      </c>
      <c r="AA20" s="238">
        <v>2</v>
      </c>
      <c r="AB20" s="238" t="s">
        <v>52</v>
      </c>
      <c r="AC20" s="238">
        <v>1</v>
      </c>
      <c r="AD20" s="239" t="s">
        <v>0</v>
      </c>
      <c r="AE20" s="238" t="s">
        <v>40</v>
      </c>
      <c r="AF20" s="238" t="s">
        <v>40</v>
      </c>
      <c r="AG20" s="238" t="s">
        <v>40</v>
      </c>
      <c r="AH20" s="238" t="s">
        <v>52</v>
      </c>
      <c r="AI20" s="238" t="s">
        <v>36</v>
      </c>
      <c r="AJ20" s="238" t="s">
        <v>36</v>
      </c>
      <c r="AK20" s="238">
        <v>2</v>
      </c>
      <c r="AL20" s="239" t="s">
        <v>52</v>
      </c>
      <c r="AM20" s="238" t="s">
        <v>38</v>
      </c>
      <c r="AN20" s="241" t="s">
        <v>38</v>
      </c>
      <c r="AO20" s="175">
        <v>0</v>
      </c>
      <c r="AP20" s="46">
        <f t="shared" si="9"/>
        <v>0</v>
      </c>
      <c r="AQ20" s="46">
        <v>0</v>
      </c>
      <c r="AR20" s="41">
        <f t="shared" si="15"/>
        <v>0</v>
      </c>
      <c r="AS20" s="329" t="s">
        <v>128</v>
      </c>
    </row>
    <row r="21" spans="1:225" ht="25.5" customHeight="1">
      <c r="A21" s="38">
        <f t="shared" si="0"/>
        <v>0</v>
      </c>
      <c r="B21" s="39">
        <f t="shared" si="1"/>
        <v>0</v>
      </c>
      <c r="C21" s="40">
        <f t="shared" si="2"/>
        <v>18</v>
      </c>
      <c r="D21" s="39">
        <f t="shared" si="3"/>
        <v>0</v>
      </c>
      <c r="E21" s="41">
        <f t="shared" si="4"/>
        <v>2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14"/>
        <v>30</v>
      </c>
      <c r="J21" s="190" t="s">
        <v>13</v>
      </c>
      <c r="K21" s="237" t="s">
        <v>52</v>
      </c>
      <c r="L21" s="238" t="s">
        <v>40</v>
      </c>
      <c r="M21" s="238" t="s">
        <v>40</v>
      </c>
      <c r="N21" s="238" t="s">
        <v>40</v>
      </c>
      <c r="O21" s="238" t="s">
        <v>40</v>
      </c>
      <c r="P21" s="238" t="s">
        <v>40</v>
      </c>
      <c r="Q21" s="238" t="s">
        <v>40</v>
      </c>
      <c r="R21" s="238" t="s">
        <v>0</v>
      </c>
      <c r="S21" s="238" t="s">
        <v>40</v>
      </c>
      <c r="T21" s="238" t="s">
        <v>40</v>
      </c>
      <c r="U21" s="238" t="s">
        <v>40</v>
      </c>
      <c r="V21" s="239" t="s">
        <v>53</v>
      </c>
      <c r="W21" s="239" t="s">
        <v>0</v>
      </c>
      <c r="X21" s="238" t="s">
        <v>40</v>
      </c>
      <c r="Y21" s="238" t="s">
        <v>40</v>
      </c>
      <c r="Z21" s="238" t="s">
        <v>0</v>
      </c>
      <c r="AA21" s="238" t="s">
        <v>52</v>
      </c>
      <c r="AB21" s="238" t="s">
        <v>40</v>
      </c>
      <c r="AC21" s="238" t="s">
        <v>40</v>
      </c>
      <c r="AD21" s="238" t="s">
        <v>40</v>
      </c>
      <c r="AE21" s="238" t="s">
        <v>52</v>
      </c>
      <c r="AF21" s="238" t="s">
        <v>0</v>
      </c>
      <c r="AG21" s="238" t="s">
        <v>40</v>
      </c>
      <c r="AH21" s="238" t="s">
        <v>40</v>
      </c>
      <c r="AI21" s="239" t="s">
        <v>53</v>
      </c>
      <c r="AJ21" s="234" t="s">
        <v>1</v>
      </c>
      <c r="AK21" s="234" t="s">
        <v>1</v>
      </c>
      <c r="AL21" s="234" t="s">
        <v>52</v>
      </c>
      <c r="AM21" s="238" t="s">
        <v>40</v>
      </c>
      <c r="AN21" s="241" t="s">
        <v>40</v>
      </c>
      <c r="AO21" s="175">
        <v>0</v>
      </c>
      <c r="AP21" s="46">
        <f t="shared" si="9"/>
        <v>0</v>
      </c>
      <c r="AQ21" s="46">
        <v>0</v>
      </c>
      <c r="AR21" s="41">
        <f t="shared" si="15"/>
        <v>0</v>
      </c>
      <c r="AS21" s="329" t="s">
        <v>126</v>
      </c>
    </row>
    <row r="22" spans="1:225" s="50" customFormat="1" ht="25.5" customHeight="1">
      <c r="A22" s="38">
        <f t="shared" si="0"/>
        <v>3</v>
      </c>
      <c r="B22" s="39">
        <f t="shared" si="1"/>
        <v>16</v>
      </c>
      <c r="C22" s="40">
        <f t="shared" si="2"/>
        <v>0</v>
      </c>
      <c r="D22" s="39">
        <f t="shared" si="3"/>
        <v>0</v>
      </c>
      <c r="E22" s="41">
        <f t="shared" si="4"/>
        <v>1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14"/>
        <v>30</v>
      </c>
      <c r="J22" s="193" t="s">
        <v>138</v>
      </c>
      <c r="K22" s="245" t="s">
        <v>38</v>
      </c>
      <c r="L22" s="238" t="s">
        <v>0</v>
      </c>
      <c r="M22" s="238" t="s">
        <v>36</v>
      </c>
      <c r="N22" s="238" t="s">
        <v>38</v>
      </c>
      <c r="O22" s="239" t="s">
        <v>52</v>
      </c>
      <c r="P22" s="239" t="s">
        <v>0</v>
      </c>
      <c r="Q22" s="238" t="s">
        <v>38</v>
      </c>
      <c r="R22" s="238" t="s">
        <v>38</v>
      </c>
      <c r="S22" s="238" t="s">
        <v>38</v>
      </c>
      <c r="T22" s="238" t="s">
        <v>38</v>
      </c>
      <c r="U22" s="238" t="s">
        <v>0</v>
      </c>
      <c r="V22" s="238" t="s">
        <v>36</v>
      </c>
      <c r="W22" s="238" t="s">
        <v>36</v>
      </c>
      <c r="X22" s="238" t="s">
        <v>38</v>
      </c>
      <c r="Y22" s="238" t="s">
        <v>38</v>
      </c>
      <c r="Z22" s="238" t="s">
        <v>52</v>
      </c>
      <c r="AA22" s="238" t="s">
        <v>0</v>
      </c>
      <c r="AB22" s="238">
        <v>2</v>
      </c>
      <c r="AC22" s="238" t="s">
        <v>38</v>
      </c>
      <c r="AD22" s="238" t="s">
        <v>38</v>
      </c>
      <c r="AE22" s="238" t="s">
        <v>38</v>
      </c>
      <c r="AF22" s="238" t="s">
        <v>38</v>
      </c>
      <c r="AG22" s="238" t="s">
        <v>38</v>
      </c>
      <c r="AH22" s="238" t="s">
        <v>52</v>
      </c>
      <c r="AI22" s="234" t="s">
        <v>1</v>
      </c>
      <c r="AJ22" s="239" t="s">
        <v>53</v>
      </c>
      <c r="AK22" s="239" t="s">
        <v>53</v>
      </c>
      <c r="AL22" s="234" t="s">
        <v>52</v>
      </c>
      <c r="AM22" s="238" t="s">
        <v>38</v>
      </c>
      <c r="AN22" s="241" t="s">
        <v>38</v>
      </c>
      <c r="AO22" s="175">
        <v>0</v>
      </c>
      <c r="AP22" s="46">
        <f t="shared" si="9"/>
        <v>0</v>
      </c>
      <c r="AQ22" s="46">
        <v>0</v>
      </c>
      <c r="AR22" s="41">
        <f t="shared" si="15"/>
        <v>0</v>
      </c>
      <c r="AS22" s="329" t="s">
        <v>128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0" customFormat="1" ht="25.5" customHeight="1">
      <c r="A23" s="38">
        <f t="shared" si="0"/>
        <v>13</v>
      </c>
      <c r="B23" s="39">
        <f t="shared" si="1"/>
        <v>0</v>
      </c>
      <c r="C23" s="40">
        <f t="shared" si="2"/>
        <v>0</v>
      </c>
      <c r="D23" s="39">
        <f t="shared" si="3"/>
        <v>8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2</v>
      </c>
      <c r="I23" s="42">
        <f t="shared" si="14"/>
        <v>30</v>
      </c>
      <c r="J23" s="194" t="s">
        <v>165</v>
      </c>
      <c r="K23" s="245">
        <v>1</v>
      </c>
      <c r="L23" s="238">
        <v>1</v>
      </c>
      <c r="M23" s="238" t="s">
        <v>3</v>
      </c>
      <c r="N23" s="238" t="s">
        <v>3</v>
      </c>
      <c r="O23" s="239" t="s">
        <v>52</v>
      </c>
      <c r="P23" s="239" t="s">
        <v>0</v>
      </c>
      <c r="Q23" s="238">
        <v>1</v>
      </c>
      <c r="R23" s="238">
        <v>1</v>
      </c>
      <c r="S23" s="238">
        <v>1</v>
      </c>
      <c r="T23" s="238" t="s">
        <v>3</v>
      </c>
      <c r="U23" s="259">
        <v>1</v>
      </c>
      <c r="V23" s="239" t="s">
        <v>52</v>
      </c>
      <c r="W23" s="238">
        <v>1</v>
      </c>
      <c r="X23" s="238">
        <v>1</v>
      </c>
      <c r="Y23" s="238" t="s">
        <v>3</v>
      </c>
      <c r="Z23" s="238">
        <v>1</v>
      </c>
      <c r="AA23" s="238">
        <v>1</v>
      </c>
      <c r="AB23" s="238">
        <v>1</v>
      </c>
      <c r="AC23" s="239" t="s">
        <v>52</v>
      </c>
      <c r="AD23" s="239" t="s">
        <v>0</v>
      </c>
      <c r="AE23" s="238">
        <v>1</v>
      </c>
      <c r="AF23" s="238">
        <v>1</v>
      </c>
      <c r="AG23" s="242" t="s">
        <v>3</v>
      </c>
      <c r="AH23" s="238" t="s">
        <v>3</v>
      </c>
      <c r="AI23" s="239" t="s">
        <v>52</v>
      </c>
      <c r="AJ23" s="239" t="s">
        <v>53</v>
      </c>
      <c r="AK23" s="239" t="s">
        <v>53</v>
      </c>
      <c r="AL23" s="239" t="s">
        <v>0</v>
      </c>
      <c r="AM23" s="238" t="s">
        <v>3</v>
      </c>
      <c r="AN23" s="241" t="s">
        <v>3</v>
      </c>
      <c r="AO23" s="175">
        <v>0</v>
      </c>
      <c r="AP23" s="46">
        <f t="shared" si="9"/>
        <v>-1</v>
      </c>
      <c r="AQ23" s="46">
        <v>0</v>
      </c>
      <c r="AR23" s="41">
        <f t="shared" si="15"/>
        <v>-1</v>
      </c>
      <c r="AS23" s="329" t="s">
        <v>133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5" s="50" customFormat="1" ht="25.5" customHeight="1">
      <c r="A24" s="38">
        <f t="shared" si="0"/>
        <v>7</v>
      </c>
      <c r="B24" s="39">
        <f t="shared" si="1"/>
        <v>8</v>
      </c>
      <c r="C24" s="40">
        <f t="shared" si="2"/>
        <v>3</v>
      </c>
      <c r="D24" s="39">
        <f t="shared" si="3"/>
        <v>0</v>
      </c>
      <c r="E24" s="41">
        <f t="shared" si="4"/>
        <v>2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14"/>
        <v>30</v>
      </c>
      <c r="J24" s="194" t="s">
        <v>16</v>
      </c>
      <c r="K24" s="245" t="s">
        <v>0</v>
      </c>
      <c r="L24" s="238" t="s">
        <v>38</v>
      </c>
      <c r="M24" s="238" t="s">
        <v>38</v>
      </c>
      <c r="N24" s="239" t="s">
        <v>52</v>
      </c>
      <c r="O24" s="234" t="s">
        <v>1</v>
      </c>
      <c r="P24" s="234" t="s">
        <v>1</v>
      </c>
      <c r="Q24" s="239" t="s">
        <v>53</v>
      </c>
      <c r="R24" s="238" t="s">
        <v>52</v>
      </c>
      <c r="S24" s="238" t="s">
        <v>36</v>
      </c>
      <c r="T24" s="238" t="s">
        <v>36</v>
      </c>
      <c r="U24" s="238" t="s">
        <v>36</v>
      </c>
      <c r="V24" s="238">
        <v>1</v>
      </c>
      <c r="W24" s="239" t="s">
        <v>0</v>
      </c>
      <c r="X24" s="234" t="s">
        <v>53</v>
      </c>
      <c r="Y24" s="238" t="s">
        <v>0</v>
      </c>
      <c r="Z24" s="238" t="s">
        <v>40</v>
      </c>
      <c r="AA24" s="238" t="s">
        <v>40</v>
      </c>
      <c r="AB24" s="238" t="s">
        <v>40</v>
      </c>
      <c r="AC24" s="239" t="s">
        <v>52</v>
      </c>
      <c r="AD24" s="238">
        <v>1</v>
      </c>
      <c r="AE24" s="238" t="s">
        <v>36</v>
      </c>
      <c r="AF24" s="238" t="s">
        <v>0</v>
      </c>
      <c r="AG24" s="238" t="s">
        <v>38</v>
      </c>
      <c r="AH24" s="238" t="s">
        <v>38</v>
      </c>
      <c r="AI24" s="238">
        <v>2</v>
      </c>
      <c r="AJ24" s="238">
        <v>2</v>
      </c>
      <c r="AK24" s="238">
        <v>2</v>
      </c>
      <c r="AL24" s="238">
        <v>2</v>
      </c>
      <c r="AM24" s="238" t="s">
        <v>52</v>
      </c>
      <c r="AN24" s="241" t="s">
        <v>36</v>
      </c>
      <c r="AO24" s="175">
        <v>0</v>
      </c>
      <c r="AP24" s="46">
        <f t="shared" si="9"/>
        <v>0</v>
      </c>
      <c r="AQ24" s="46">
        <v>0</v>
      </c>
      <c r="AR24" s="41">
        <f t="shared" si="15"/>
        <v>0</v>
      </c>
      <c r="AS24" s="329" t="s">
        <v>128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0" customFormat="1" ht="27" customHeight="1">
      <c r="A25" s="38">
        <f t="shared" si="0"/>
        <v>3</v>
      </c>
      <c r="B25" s="39">
        <f t="shared" si="1"/>
        <v>0</v>
      </c>
      <c r="C25" s="40">
        <f t="shared" si="2"/>
        <v>15</v>
      </c>
      <c r="D25" s="39">
        <f t="shared" si="3"/>
        <v>1</v>
      </c>
      <c r="E25" s="41">
        <f t="shared" si="4"/>
        <v>1</v>
      </c>
      <c r="F25" s="41">
        <f t="shared" si="5"/>
        <v>4</v>
      </c>
      <c r="G25" s="41">
        <f t="shared" si="6"/>
        <v>4</v>
      </c>
      <c r="H25" s="41">
        <f t="shared" si="7"/>
        <v>2</v>
      </c>
      <c r="I25" s="42">
        <f t="shared" si="14"/>
        <v>30</v>
      </c>
      <c r="J25" s="194" t="s">
        <v>139</v>
      </c>
      <c r="K25" s="245">
        <v>3</v>
      </c>
      <c r="L25" s="238">
        <v>3</v>
      </c>
      <c r="M25" s="238">
        <v>3</v>
      </c>
      <c r="N25" s="238">
        <v>3</v>
      </c>
      <c r="O25" s="239" t="s">
        <v>52</v>
      </c>
      <c r="P25" s="239" t="s">
        <v>53</v>
      </c>
      <c r="Q25" s="234" t="s">
        <v>53</v>
      </c>
      <c r="R25" s="234" t="s">
        <v>1</v>
      </c>
      <c r="S25" s="238" t="s">
        <v>0</v>
      </c>
      <c r="T25" s="242" t="s">
        <v>3</v>
      </c>
      <c r="U25" s="238">
        <v>1</v>
      </c>
      <c r="V25" s="238">
        <v>1</v>
      </c>
      <c r="W25" s="238">
        <v>1</v>
      </c>
      <c r="X25" s="238" t="s">
        <v>52</v>
      </c>
      <c r="Y25" s="238">
        <v>3</v>
      </c>
      <c r="Z25" s="238">
        <v>3</v>
      </c>
      <c r="AA25" s="238">
        <v>3</v>
      </c>
      <c r="AB25" s="234" t="s">
        <v>0</v>
      </c>
      <c r="AC25" s="239" t="s">
        <v>52</v>
      </c>
      <c r="AD25" s="239" t="s">
        <v>0</v>
      </c>
      <c r="AE25" s="238">
        <v>3</v>
      </c>
      <c r="AF25" s="238">
        <v>3</v>
      </c>
      <c r="AG25" s="238" t="s">
        <v>0</v>
      </c>
      <c r="AH25" s="238">
        <v>3</v>
      </c>
      <c r="AI25" s="238">
        <v>3</v>
      </c>
      <c r="AJ25" s="238">
        <v>3</v>
      </c>
      <c r="AK25" s="238">
        <v>3</v>
      </c>
      <c r="AL25" s="238">
        <v>3</v>
      </c>
      <c r="AM25" s="238">
        <v>3</v>
      </c>
      <c r="AN25" s="241" t="s">
        <v>52</v>
      </c>
      <c r="AO25" s="175">
        <v>0</v>
      </c>
      <c r="AP25" s="46">
        <f t="shared" si="9"/>
        <v>0</v>
      </c>
      <c r="AQ25" s="46">
        <v>0</v>
      </c>
      <c r="AR25" s="41">
        <f t="shared" si="15"/>
        <v>0</v>
      </c>
      <c r="AS25" s="329" t="s">
        <v>128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14"/>
        <v>30</v>
      </c>
      <c r="J26" s="194" t="s">
        <v>140</v>
      </c>
      <c r="K26" s="245">
        <v>3</v>
      </c>
      <c r="L26" s="238">
        <v>3</v>
      </c>
      <c r="M26" s="238">
        <v>3</v>
      </c>
      <c r="N26" s="238">
        <v>3</v>
      </c>
      <c r="O26" s="239" t="s">
        <v>52</v>
      </c>
      <c r="P26" s="239" t="s">
        <v>0</v>
      </c>
      <c r="Q26" s="238">
        <v>3</v>
      </c>
      <c r="R26" s="238">
        <v>3</v>
      </c>
      <c r="S26" s="238" t="s">
        <v>53</v>
      </c>
      <c r="T26" s="238" t="s">
        <v>0</v>
      </c>
      <c r="U26" s="238">
        <v>2</v>
      </c>
      <c r="V26" s="243">
        <v>2</v>
      </c>
      <c r="W26" s="243">
        <v>2</v>
      </c>
      <c r="X26" s="238" t="s">
        <v>52</v>
      </c>
      <c r="Y26" s="238" t="s">
        <v>0</v>
      </c>
      <c r="Z26" s="238">
        <v>1</v>
      </c>
      <c r="AA26" s="238">
        <v>2</v>
      </c>
      <c r="AB26" s="238">
        <v>2</v>
      </c>
      <c r="AC26" s="238">
        <v>2</v>
      </c>
      <c r="AD26" s="238">
        <v>2</v>
      </c>
      <c r="AE26" s="238">
        <v>2</v>
      </c>
      <c r="AF26" s="238" t="s">
        <v>52</v>
      </c>
      <c r="AG26" s="238">
        <v>1</v>
      </c>
      <c r="AH26" s="238">
        <v>1</v>
      </c>
      <c r="AI26" s="238">
        <v>1</v>
      </c>
      <c r="AJ26" s="239" t="s">
        <v>53</v>
      </c>
      <c r="AK26" s="239" t="s">
        <v>0</v>
      </c>
      <c r="AL26" s="238">
        <v>1</v>
      </c>
      <c r="AM26" s="238" t="s">
        <v>52</v>
      </c>
      <c r="AN26" s="241">
        <v>3</v>
      </c>
      <c r="AO26" s="291">
        <v>0</v>
      </c>
      <c r="AP26" s="46">
        <f t="shared" si="9"/>
        <v>0</v>
      </c>
      <c r="AQ26" s="46">
        <v>0</v>
      </c>
      <c r="AR26" s="41">
        <f t="shared" si="15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s="50" customFormat="1" ht="25.5" customHeight="1">
      <c r="A27" s="38">
        <f t="shared" si="0"/>
        <v>0</v>
      </c>
      <c r="B27" s="39">
        <f t="shared" si="1"/>
        <v>7</v>
      </c>
      <c r="C27" s="40">
        <f t="shared" si="2"/>
        <v>10</v>
      </c>
      <c r="D27" s="39">
        <f t="shared" si="3"/>
        <v>0</v>
      </c>
      <c r="E27" s="41">
        <f t="shared" si="4"/>
        <v>3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14"/>
        <v>30</v>
      </c>
      <c r="J27" s="194" t="s">
        <v>19</v>
      </c>
      <c r="K27" s="245" t="s">
        <v>0</v>
      </c>
      <c r="L27" s="238">
        <v>2</v>
      </c>
      <c r="M27" s="238">
        <v>2</v>
      </c>
      <c r="N27" s="238" t="s">
        <v>52</v>
      </c>
      <c r="O27" s="238">
        <v>3</v>
      </c>
      <c r="P27" s="238">
        <v>3</v>
      </c>
      <c r="Q27" s="238">
        <v>3</v>
      </c>
      <c r="R27" s="238">
        <v>3</v>
      </c>
      <c r="S27" s="239" t="s">
        <v>52</v>
      </c>
      <c r="T27" s="234" t="s">
        <v>1</v>
      </c>
      <c r="U27" s="234" t="s">
        <v>1</v>
      </c>
      <c r="V27" s="234" t="s">
        <v>1</v>
      </c>
      <c r="W27" s="239" t="s">
        <v>0</v>
      </c>
      <c r="X27" s="238" t="s">
        <v>53</v>
      </c>
      <c r="Y27" s="238">
        <v>2</v>
      </c>
      <c r="Z27" s="238">
        <v>2</v>
      </c>
      <c r="AA27" s="238" t="s">
        <v>52</v>
      </c>
      <c r="AB27" s="238">
        <v>3</v>
      </c>
      <c r="AC27" s="238">
        <v>3</v>
      </c>
      <c r="AD27" s="238">
        <v>3</v>
      </c>
      <c r="AE27" s="234" t="s">
        <v>0</v>
      </c>
      <c r="AF27" s="238" t="s">
        <v>52</v>
      </c>
      <c r="AG27" s="238">
        <v>3</v>
      </c>
      <c r="AH27" s="238">
        <v>3</v>
      </c>
      <c r="AI27" s="238">
        <v>3</v>
      </c>
      <c r="AJ27" s="239" t="s">
        <v>53</v>
      </c>
      <c r="AK27" s="239" t="s">
        <v>0</v>
      </c>
      <c r="AL27" s="238">
        <v>2</v>
      </c>
      <c r="AM27" s="238">
        <v>2</v>
      </c>
      <c r="AN27" s="241">
        <v>2</v>
      </c>
      <c r="AO27" s="291">
        <v>0</v>
      </c>
      <c r="AP27" s="46">
        <f t="shared" si="9"/>
        <v>0</v>
      </c>
      <c r="AQ27" s="46">
        <v>0</v>
      </c>
      <c r="AR27" s="41">
        <f t="shared" si="15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0" customFormat="1" ht="25.5" customHeight="1">
      <c r="A28" s="38">
        <f t="shared" si="0"/>
        <v>7</v>
      </c>
      <c r="B28" s="39">
        <f t="shared" si="1"/>
        <v>13</v>
      </c>
      <c r="C28" s="40">
        <f t="shared" si="2"/>
        <v>0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>SUM(A28:H28)</f>
        <v>30</v>
      </c>
      <c r="J28" s="194" t="s">
        <v>20</v>
      </c>
      <c r="K28" s="245">
        <v>2</v>
      </c>
      <c r="L28" s="238">
        <v>2</v>
      </c>
      <c r="M28" s="238">
        <v>2</v>
      </c>
      <c r="N28" s="238">
        <v>2</v>
      </c>
      <c r="O28" s="246">
        <v>2</v>
      </c>
      <c r="P28" s="239" t="s">
        <v>0</v>
      </c>
      <c r="Q28" s="238">
        <v>2</v>
      </c>
      <c r="R28" s="238">
        <v>2</v>
      </c>
      <c r="S28" s="238">
        <v>2</v>
      </c>
      <c r="T28" s="238" t="s">
        <v>52</v>
      </c>
      <c r="U28" s="238">
        <v>1</v>
      </c>
      <c r="V28" s="238">
        <v>1</v>
      </c>
      <c r="W28" s="239" t="s">
        <v>0</v>
      </c>
      <c r="X28" s="238">
        <v>1</v>
      </c>
      <c r="Y28" s="238">
        <v>2</v>
      </c>
      <c r="Z28" s="238">
        <v>2</v>
      </c>
      <c r="AA28" s="238" t="s">
        <v>52</v>
      </c>
      <c r="AB28" s="234" t="s">
        <v>53</v>
      </c>
      <c r="AC28" s="239" t="s">
        <v>53</v>
      </c>
      <c r="AD28" s="239" t="s">
        <v>0</v>
      </c>
      <c r="AE28" s="238">
        <v>2</v>
      </c>
      <c r="AF28" s="238">
        <v>2</v>
      </c>
      <c r="AG28" s="238" t="s">
        <v>52</v>
      </c>
      <c r="AH28" s="238" t="s">
        <v>0</v>
      </c>
      <c r="AI28" s="238">
        <v>1</v>
      </c>
      <c r="AJ28" s="238">
        <v>1</v>
      </c>
      <c r="AK28" s="238">
        <v>1</v>
      </c>
      <c r="AL28" s="238">
        <v>1</v>
      </c>
      <c r="AM28" s="238">
        <v>2</v>
      </c>
      <c r="AN28" s="241" t="s">
        <v>52</v>
      </c>
      <c r="AO28" s="291">
        <v>0</v>
      </c>
      <c r="AP28" s="46">
        <f t="shared" si="9"/>
        <v>0</v>
      </c>
      <c r="AQ28" s="46">
        <v>0</v>
      </c>
      <c r="AR28" s="41">
        <f>SUM(AO28:AQ28)</f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0" customFormat="1" ht="25.5" customHeight="1">
      <c r="A29" s="38">
        <f t="shared" si="0"/>
        <v>8</v>
      </c>
      <c r="B29" s="39">
        <f t="shared" si="1"/>
        <v>4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ref="I29:I32" si="16">SUM(A29:H29)</f>
        <v>30</v>
      </c>
      <c r="J29" s="194" t="s">
        <v>21</v>
      </c>
      <c r="K29" s="245">
        <v>2</v>
      </c>
      <c r="L29" s="238" t="s">
        <v>52</v>
      </c>
      <c r="M29" s="238" t="s">
        <v>53</v>
      </c>
      <c r="N29" s="238">
        <v>1</v>
      </c>
      <c r="O29" s="243">
        <v>1</v>
      </c>
      <c r="P29" s="243">
        <v>1</v>
      </c>
      <c r="Q29" s="234" t="s">
        <v>0</v>
      </c>
      <c r="R29" s="238" t="s">
        <v>0</v>
      </c>
      <c r="S29" s="238">
        <v>3</v>
      </c>
      <c r="T29" s="238">
        <v>3</v>
      </c>
      <c r="U29" s="238">
        <v>3</v>
      </c>
      <c r="V29" s="239" t="s">
        <v>52</v>
      </c>
      <c r="W29" s="239" t="s">
        <v>0</v>
      </c>
      <c r="X29" s="238">
        <v>3</v>
      </c>
      <c r="Y29" s="238">
        <v>3</v>
      </c>
      <c r="Z29" s="238">
        <v>3</v>
      </c>
      <c r="AA29" s="238">
        <v>3</v>
      </c>
      <c r="AB29" s="238">
        <v>3</v>
      </c>
      <c r="AC29" s="239" t="s">
        <v>52</v>
      </c>
      <c r="AD29" s="239" t="s">
        <v>53</v>
      </c>
      <c r="AE29" s="238">
        <v>1</v>
      </c>
      <c r="AF29" s="238">
        <v>2</v>
      </c>
      <c r="AG29" s="238">
        <v>2</v>
      </c>
      <c r="AH29" s="238" t="s">
        <v>52</v>
      </c>
      <c r="AI29" s="238">
        <v>1</v>
      </c>
      <c r="AJ29" s="238">
        <v>1</v>
      </c>
      <c r="AK29" s="238">
        <v>1</v>
      </c>
      <c r="AL29" s="238">
        <v>1</v>
      </c>
      <c r="AM29" s="238" t="s">
        <v>0</v>
      </c>
      <c r="AN29" s="241">
        <v>2</v>
      </c>
      <c r="AO29" s="291">
        <v>0</v>
      </c>
      <c r="AP29" s="46">
        <f t="shared" si="9"/>
        <v>0</v>
      </c>
      <c r="AQ29" s="46">
        <v>0</v>
      </c>
      <c r="AR29" s="41">
        <f t="shared" ref="AR29:AR31" si="17">SUM(AO29:AQ29)</f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0" customFormat="1" ht="25.5" customHeight="1">
      <c r="A30" s="38">
        <f t="shared" si="0"/>
        <v>20</v>
      </c>
      <c r="B30" s="39">
        <f t="shared" si="1"/>
        <v>0</v>
      </c>
      <c r="C30" s="40">
        <f t="shared" si="2"/>
        <v>0</v>
      </c>
      <c r="D30" s="39">
        <f t="shared" si="3"/>
        <v>0</v>
      </c>
      <c r="E30" s="41">
        <f t="shared" si="4"/>
        <v>0</v>
      </c>
      <c r="F30" s="41">
        <f t="shared" si="5"/>
        <v>4</v>
      </c>
      <c r="G30" s="41">
        <f t="shared" si="6"/>
        <v>4</v>
      </c>
      <c r="H30" s="41">
        <f t="shared" si="7"/>
        <v>2</v>
      </c>
      <c r="I30" s="42">
        <f t="shared" si="16"/>
        <v>30</v>
      </c>
      <c r="J30" s="194" t="s">
        <v>166</v>
      </c>
      <c r="K30" s="245">
        <v>1</v>
      </c>
      <c r="L30" s="238">
        <v>1</v>
      </c>
      <c r="M30" s="238">
        <v>1</v>
      </c>
      <c r="N30" s="238">
        <v>1</v>
      </c>
      <c r="O30" s="239" t="s">
        <v>52</v>
      </c>
      <c r="P30" s="239" t="s">
        <v>0</v>
      </c>
      <c r="Q30" s="238">
        <v>1</v>
      </c>
      <c r="R30" s="238">
        <v>1</v>
      </c>
      <c r="S30" s="238">
        <v>1</v>
      </c>
      <c r="T30" s="238">
        <v>1</v>
      </c>
      <c r="U30" s="238">
        <v>1</v>
      </c>
      <c r="V30" s="239" t="s">
        <v>52</v>
      </c>
      <c r="W30" s="239" t="s">
        <v>0</v>
      </c>
      <c r="X30" s="238">
        <v>1</v>
      </c>
      <c r="Y30" s="238">
        <v>1</v>
      </c>
      <c r="Z30" s="238">
        <v>1</v>
      </c>
      <c r="AA30" s="238">
        <v>1</v>
      </c>
      <c r="AB30" s="238">
        <v>1</v>
      </c>
      <c r="AC30" s="239" t="s">
        <v>52</v>
      </c>
      <c r="AD30" s="239" t="s">
        <v>0</v>
      </c>
      <c r="AE30" s="238">
        <v>1</v>
      </c>
      <c r="AF30" s="238">
        <v>1</v>
      </c>
      <c r="AG30" s="238">
        <v>1</v>
      </c>
      <c r="AH30" s="238">
        <v>1</v>
      </c>
      <c r="AI30" s="239" t="s">
        <v>53</v>
      </c>
      <c r="AJ30" s="239" t="s">
        <v>52</v>
      </c>
      <c r="AK30" s="239" t="s">
        <v>0</v>
      </c>
      <c r="AL30" s="239" t="s">
        <v>53</v>
      </c>
      <c r="AM30" s="238">
        <v>1</v>
      </c>
      <c r="AN30" s="241">
        <v>1</v>
      </c>
      <c r="AO30" s="175">
        <v>0</v>
      </c>
      <c r="AP30" s="46">
        <f t="shared" si="9"/>
        <v>0</v>
      </c>
      <c r="AQ30" s="46">
        <v>0</v>
      </c>
      <c r="AR30" s="41">
        <f t="shared" si="17"/>
        <v>0</v>
      </c>
      <c r="AS30" s="329" t="s">
        <v>133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0" customFormat="1" ht="25.5" customHeight="1">
      <c r="A31" s="38">
        <f t="shared" si="0"/>
        <v>20</v>
      </c>
      <c r="B31" s="39">
        <f t="shared" si="1"/>
        <v>0</v>
      </c>
      <c r="C31" s="40">
        <f t="shared" si="2"/>
        <v>0</v>
      </c>
      <c r="D31" s="39">
        <f t="shared" si="3"/>
        <v>0</v>
      </c>
      <c r="E31" s="41">
        <f t="shared" si="4"/>
        <v>0</v>
      </c>
      <c r="F31" s="41">
        <f t="shared" si="5"/>
        <v>4</v>
      </c>
      <c r="G31" s="41">
        <f t="shared" si="6"/>
        <v>4</v>
      </c>
      <c r="H31" s="41">
        <f t="shared" si="7"/>
        <v>2</v>
      </c>
      <c r="I31" s="42">
        <f t="shared" si="16"/>
        <v>30</v>
      </c>
      <c r="J31" s="194" t="s">
        <v>167</v>
      </c>
      <c r="K31" s="245">
        <v>1</v>
      </c>
      <c r="L31" s="238">
        <v>1</v>
      </c>
      <c r="M31" s="238">
        <v>1</v>
      </c>
      <c r="N31" s="238">
        <v>1</v>
      </c>
      <c r="O31" s="239" t="s">
        <v>52</v>
      </c>
      <c r="P31" s="239" t="s">
        <v>0</v>
      </c>
      <c r="Q31" s="238">
        <v>1</v>
      </c>
      <c r="R31" s="238">
        <v>1</v>
      </c>
      <c r="S31" s="238">
        <v>1</v>
      </c>
      <c r="T31" s="238">
        <v>1</v>
      </c>
      <c r="U31" s="238">
        <v>1</v>
      </c>
      <c r="V31" s="239" t="s">
        <v>52</v>
      </c>
      <c r="W31" s="239" t="s">
        <v>0</v>
      </c>
      <c r="X31" s="238">
        <v>1</v>
      </c>
      <c r="Y31" s="238">
        <v>1</v>
      </c>
      <c r="Z31" s="238">
        <v>1</v>
      </c>
      <c r="AA31" s="238">
        <v>1</v>
      </c>
      <c r="AB31" s="238">
        <v>1</v>
      </c>
      <c r="AC31" s="239" t="s">
        <v>52</v>
      </c>
      <c r="AD31" s="239" t="s">
        <v>0</v>
      </c>
      <c r="AE31" s="238">
        <v>1</v>
      </c>
      <c r="AF31" s="238">
        <v>1</v>
      </c>
      <c r="AG31" s="238">
        <v>1</v>
      </c>
      <c r="AH31" s="238">
        <v>1</v>
      </c>
      <c r="AI31" s="239" t="s">
        <v>53</v>
      </c>
      <c r="AJ31" s="239" t="s">
        <v>52</v>
      </c>
      <c r="AK31" s="239" t="s">
        <v>0</v>
      </c>
      <c r="AL31" s="239" t="s">
        <v>53</v>
      </c>
      <c r="AM31" s="238">
        <v>1</v>
      </c>
      <c r="AN31" s="241">
        <v>1</v>
      </c>
      <c r="AO31" s="175">
        <v>0</v>
      </c>
      <c r="AP31" s="46">
        <f t="shared" si="9"/>
        <v>0</v>
      </c>
      <c r="AQ31" s="46">
        <v>0</v>
      </c>
      <c r="AR31" s="41">
        <f t="shared" si="17"/>
        <v>0</v>
      </c>
      <c r="AS31" s="329" t="s">
        <v>133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0" customFormat="1" ht="25.5" customHeight="1">
      <c r="A32" s="38">
        <f t="shared" si="0"/>
        <v>10</v>
      </c>
      <c r="B32" s="39">
        <f t="shared" si="1"/>
        <v>2</v>
      </c>
      <c r="C32" s="40">
        <f t="shared" si="2"/>
        <v>4</v>
      </c>
      <c r="D32" s="39">
        <f t="shared" si="3"/>
        <v>4</v>
      </c>
      <c r="E32" s="41">
        <f t="shared" si="4"/>
        <v>0</v>
      </c>
      <c r="F32" s="41">
        <f t="shared" si="5"/>
        <v>4</v>
      </c>
      <c r="G32" s="41">
        <f t="shared" si="6"/>
        <v>4</v>
      </c>
      <c r="H32" s="41">
        <f t="shared" si="7"/>
        <v>2</v>
      </c>
      <c r="I32" s="42">
        <f t="shared" si="16"/>
        <v>30</v>
      </c>
      <c r="J32" s="194" t="s">
        <v>170</v>
      </c>
      <c r="K32" s="393" t="s">
        <v>3</v>
      </c>
      <c r="L32" s="393" t="s">
        <v>3</v>
      </c>
      <c r="M32" s="393" t="s">
        <v>3</v>
      </c>
      <c r="N32" s="393" t="s">
        <v>3</v>
      </c>
      <c r="O32" s="239" t="s">
        <v>52</v>
      </c>
      <c r="P32" s="239" t="s">
        <v>0</v>
      </c>
      <c r="Q32" s="242">
        <v>1</v>
      </c>
      <c r="R32" s="242">
        <v>1</v>
      </c>
      <c r="S32" s="242">
        <v>1</v>
      </c>
      <c r="T32" s="242">
        <v>1</v>
      </c>
      <c r="U32" s="242">
        <v>1</v>
      </c>
      <c r="V32" s="239" t="s">
        <v>52</v>
      </c>
      <c r="W32" s="239" t="s">
        <v>0</v>
      </c>
      <c r="X32" s="242">
        <v>1</v>
      </c>
      <c r="Y32" s="242">
        <v>1</v>
      </c>
      <c r="Z32" s="242">
        <v>1</v>
      </c>
      <c r="AA32" s="242">
        <v>1</v>
      </c>
      <c r="AB32" s="242">
        <v>1</v>
      </c>
      <c r="AC32" s="239" t="s">
        <v>52</v>
      </c>
      <c r="AD32" s="239" t="s">
        <v>0</v>
      </c>
      <c r="AE32" s="242">
        <v>3</v>
      </c>
      <c r="AF32" s="242">
        <v>3</v>
      </c>
      <c r="AG32" s="242">
        <v>3</v>
      </c>
      <c r="AH32" s="242">
        <v>3</v>
      </c>
      <c r="AI32" s="239" t="s">
        <v>52</v>
      </c>
      <c r="AJ32" s="239" t="s">
        <v>53</v>
      </c>
      <c r="AK32" s="239" t="s">
        <v>53</v>
      </c>
      <c r="AL32" s="239" t="s">
        <v>0</v>
      </c>
      <c r="AM32" s="242">
        <v>2</v>
      </c>
      <c r="AN32" s="447">
        <v>2</v>
      </c>
      <c r="AO32" s="175">
        <v>0</v>
      </c>
      <c r="AP32" s="46">
        <f t="shared" ref="AP32" si="18">$F32+$G32+H32-$I$1</f>
        <v>0</v>
      </c>
      <c r="AQ32" s="46">
        <v>0</v>
      </c>
      <c r="AR32" s="41">
        <f t="shared" ref="AR32" si="19">SUM(AO32:AQ32)</f>
        <v>0</v>
      </c>
      <c r="AS32" s="329" t="s">
        <v>126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0" customFormat="1" ht="25.5" customHeight="1" thickBot="1">
      <c r="A33" s="54">
        <f t="shared" ref="A33" si="20">COUNTIF(K33:AN33,1)+COUNTIF(K33:AN33,"早")+COUNTIF(K33:AN33,"M1")+COUNTIF(K33:AN33,"T早")+COUNTIF(K33:AN33,"日")</f>
        <v>6</v>
      </c>
      <c r="B33" s="55">
        <f t="shared" ref="B33" si="21">COUNTIF(K33:AN33,2)+COUNTIF(K33:AN33,"中")+COUNTIF(K33:AN33,"M2")+COUNTIF(K33:AN33,"T中")+COUNTIF(K33:AN33,"小夜")</f>
        <v>2</v>
      </c>
      <c r="C33" s="56">
        <f t="shared" ref="C33" si="22">COUNTIF(K33:AN33,3)+COUNTIF(K33:AN33,"晚")+COUNTIF(K33:AN33,"大夜")</f>
        <v>0</v>
      </c>
      <c r="D33" s="55">
        <f t="shared" ref="D33" si="23">COUNTIF(K33:AN33,"N")+COUNTIF(K33:AN33,"N8")</f>
        <v>12</v>
      </c>
      <c r="E33" s="17">
        <f t="shared" ref="E33" si="24">COUNTIF(K33:AN33,"S")</f>
        <v>0</v>
      </c>
      <c r="F33" s="17">
        <f t="shared" ref="F33" si="25">COUNTIF(K33:AN33,"X")</f>
        <v>4</v>
      </c>
      <c r="G33" s="17">
        <f t="shared" ref="G33" si="26">COUNTIF(K33:AN33,"Y")</f>
        <v>4</v>
      </c>
      <c r="H33" s="17">
        <f t="shared" ref="H33" si="27">COUNTIF(K33:AN33,"Z")</f>
        <v>2</v>
      </c>
      <c r="I33" s="57">
        <f t="shared" ref="I33" si="28">SUM(A33:H33)</f>
        <v>30</v>
      </c>
      <c r="J33" s="302" t="s">
        <v>171</v>
      </c>
      <c r="K33" s="448" t="s">
        <v>3</v>
      </c>
      <c r="L33" s="449" t="s">
        <v>3</v>
      </c>
      <c r="M33" s="449" t="s">
        <v>3</v>
      </c>
      <c r="N33" s="449" t="s">
        <v>3</v>
      </c>
      <c r="O33" s="450" t="s">
        <v>52</v>
      </c>
      <c r="P33" s="450" t="s">
        <v>0</v>
      </c>
      <c r="Q33" s="449" t="s">
        <v>3</v>
      </c>
      <c r="R33" s="449" t="s">
        <v>3</v>
      </c>
      <c r="S33" s="449" t="s">
        <v>3</v>
      </c>
      <c r="T33" s="449" t="s">
        <v>3</v>
      </c>
      <c r="U33" s="449" t="s">
        <v>3</v>
      </c>
      <c r="V33" s="450" t="s">
        <v>52</v>
      </c>
      <c r="W33" s="450" t="s">
        <v>0</v>
      </c>
      <c r="X33" s="393" t="s">
        <v>3</v>
      </c>
      <c r="Y33" s="393" t="s">
        <v>3</v>
      </c>
      <c r="Z33" s="393" t="s">
        <v>3</v>
      </c>
      <c r="AA33" s="394">
        <v>1</v>
      </c>
      <c r="AB33" s="394">
        <v>1</v>
      </c>
      <c r="AC33" s="249" t="s">
        <v>52</v>
      </c>
      <c r="AD33" s="249" t="s">
        <v>0</v>
      </c>
      <c r="AE33" s="394">
        <v>1</v>
      </c>
      <c r="AF33" s="394">
        <v>1</v>
      </c>
      <c r="AG33" s="394">
        <v>1</v>
      </c>
      <c r="AH33" s="394">
        <v>1</v>
      </c>
      <c r="AI33" s="249" t="s">
        <v>52</v>
      </c>
      <c r="AJ33" s="249" t="s">
        <v>53</v>
      </c>
      <c r="AK33" s="249" t="s">
        <v>53</v>
      </c>
      <c r="AL33" s="249" t="s">
        <v>0</v>
      </c>
      <c r="AM33" s="242">
        <v>2</v>
      </c>
      <c r="AN33" s="451">
        <v>2</v>
      </c>
      <c r="AO33" s="286">
        <v>0</v>
      </c>
      <c r="AP33" s="74">
        <f t="shared" ref="AP33" si="29">$F33+$G33+H33-$I$1</f>
        <v>0</v>
      </c>
      <c r="AQ33" s="74">
        <v>0</v>
      </c>
      <c r="AR33" s="63">
        <f t="shared" ref="AR33" si="30">SUM(AO33:AQ33)</f>
        <v>0</v>
      </c>
      <c r="AS33" s="330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0" customFormat="1" ht="27.75" customHeight="1">
      <c r="A34" s="23">
        <f t="shared" si="0"/>
        <v>1</v>
      </c>
      <c r="B34" s="24">
        <f t="shared" si="1"/>
        <v>0</v>
      </c>
      <c r="C34" s="25">
        <f t="shared" si="2"/>
        <v>17</v>
      </c>
      <c r="D34" s="24">
        <f t="shared" si="3"/>
        <v>0</v>
      </c>
      <c r="E34" s="26">
        <f t="shared" si="4"/>
        <v>2</v>
      </c>
      <c r="F34" s="26">
        <f t="shared" si="5"/>
        <v>4</v>
      </c>
      <c r="G34" s="26">
        <f t="shared" si="6"/>
        <v>4</v>
      </c>
      <c r="H34" s="26">
        <f t="shared" si="7"/>
        <v>2</v>
      </c>
      <c r="I34" s="176">
        <f t="shared" si="14"/>
        <v>30</v>
      </c>
      <c r="J34" s="189" t="s">
        <v>22</v>
      </c>
      <c r="K34" s="269" t="s">
        <v>40</v>
      </c>
      <c r="L34" s="270" t="s">
        <v>40</v>
      </c>
      <c r="M34" s="270" t="s">
        <v>40</v>
      </c>
      <c r="N34" s="270" t="s">
        <v>40</v>
      </c>
      <c r="O34" s="272" t="s">
        <v>52</v>
      </c>
      <c r="P34" s="272" t="s">
        <v>0</v>
      </c>
      <c r="Q34" s="270" t="s">
        <v>40</v>
      </c>
      <c r="R34" s="270" t="s">
        <v>40</v>
      </c>
      <c r="S34" s="270" t="s">
        <v>0</v>
      </c>
      <c r="T34" s="270" t="s">
        <v>40</v>
      </c>
      <c r="U34" s="270" t="s">
        <v>40</v>
      </c>
      <c r="V34" s="270" t="s">
        <v>40</v>
      </c>
      <c r="W34" s="270" t="s">
        <v>40</v>
      </c>
      <c r="X34" s="270" t="s">
        <v>40</v>
      </c>
      <c r="Y34" s="270" t="s">
        <v>52</v>
      </c>
      <c r="Z34" s="271" t="s">
        <v>0</v>
      </c>
      <c r="AA34" s="270" t="s">
        <v>40</v>
      </c>
      <c r="AB34" s="270" t="s">
        <v>40</v>
      </c>
      <c r="AC34" s="270" t="s">
        <v>40</v>
      </c>
      <c r="AD34" s="270" t="s">
        <v>40</v>
      </c>
      <c r="AE34" s="271" t="s">
        <v>156</v>
      </c>
      <c r="AF34" s="270" t="s">
        <v>36</v>
      </c>
      <c r="AG34" s="271" t="s">
        <v>52</v>
      </c>
      <c r="AH34" s="270" t="s">
        <v>53</v>
      </c>
      <c r="AI34" s="272" t="s">
        <v>53</v>
      </c>
      <c r="AJ34" s="271" t="s">
        <v>1</v>
      </c>
      <c r="AK34" s="271" t="s">
        <v>1</v>
      </c>
      <c r="AL34" s="272" t="s">
        <v>52</v>
      </c>
      <c r="AM34" s="270" t="s">
        <v>40</v>
      </c>
      <c r="AN34" s="270" t="s">
        <v>40</v>
      </c>
      <c r="AO34" s="446">
        <v>0</v>
      </c>
      <c r="AP34" s="167">
        <f t="shared" si="9"/>
        <v>0</v>
      </c>
      <c r="AQ34" s="167">
        <v>0</v>
      </c>
      <c r="AR34" s="331">
        <f t="shared" si="15"/>
        <v>0</v>
      </c>
      <c r="AS34" s="332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0" customFormat="1" ht="27.75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1</v>
      </c>
      <c r="F35" s="41">
        <f t="shared" si="5"/>
        <v>4</v>
      </c>
      <c r="G35" s="41">
        <f t="shared" si="6"/>
        <v>4</v>
      </c>
      <c r="H35" s="41">
        <f t="shared" si="7"/>
        <v>2</v>
      </c>
      <c r="I35" s="177">
        <f t="shared" si="14"/>
        <v>30</v>
      </c>
      <c r="J35" s="193" t="s">
        <v>23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36</v>
      </c>
      <c r="P35" s="238" t="s">
        <v>38</v>
      </c>
      <c r="Q35" s="238" t="s">
        <v>0</v>
      </c>
      <c r="R35" s="238" t="s">
        <v>38</v>
      </c>
      <c r="S35" s="238" t="s">
        <v>38</v>
      </c>
      <c r="T35" s="238" t="s">
        <v>38</v>
      </c>
      <c r="U35" s="238" t="s">
        <v>38</v>
      </c>
      <c r="V35" s="239" t="s">
        <v>52</v>
      </c>
      <c r="W35" s="239" t="s">
        <v>53</v>
      </c>
      <c r="X35" s="238" t="s">
        <v>53</v>
      </c>
      <c r="Y35" s="238" t="s">
        <v>0</v>
      </c>
      <c r="Z35" s="238" t="s">
        <v>38</v>
      </c>
      <c r="AA35" s="238" t="s">
        <v>38</v>
      </c>
      <c r="AB35" s="238" t="s">
        <v>38</v>
      </c>
      <c r="AC35" s="239" t="s">
        <v>52</v>
      </c>
      <c r="AD35" s="239" t="s">
        <v>0</v>
      </c>
      <c r="AE35" s="238" t="s">
        <v>40</v>
      </c>
      <c r="AF35" s="238" t="s">
        <v>40</v>
      </c>
      <c r="AG35" s="238" t="s">
        <v>52</v>
      </c>
      <c r="AH35" s="234" t="s">
        <v>1</v>
      </c>
      <c r="AI35" s="238" t="s">
        <v>38</v>
      </c>
      <c r="AJ35" s="238" t="s">
        <v>38</v>
      </c>
      <c r="AK35" s="238" t="s">
        <v>38</v>
      </c>
      <c r="AL35" s="238" t="s">
        <v>38</v>
      </c>
      <c r="AM35" s="238" t="s">
        <v>38</v>
      </c>
      <c r="AN35" s="238" t="s">
        <v>0</v>
      </c>
      <c r="AO35" s="175">
        <v>0</v>
      </c>
      <c r="AP35" s="46">
        <f t="shared" si="9"/>
        <v>0</v>
      </c>
      <c r="AQ35" s="46">
        <v>0</v>
      </c>
      <c r="AR35" s="41">
        <f t="shared" si="15"/>
        <v>0</v>
      </c>
      <c r="AS35" s="329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0" customFormat="1" ht="27.6" customHeight="1">
      <c r="A36" s="38">
        <f t="shared" si="0"/>
        <v>1</v>
      </c>
      <c r="B36" s="39">
        <f t="shared" si="1"/>
        <v>19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4</v>
      </c>
      <c r="G36" s="41">
        <f t="shared" si="6"/>
        <v>4</v>
      </c>
      <c r="H36" s="41">
        <f t="shared" si="7"/>
        <v>2</v>
      </c>
      <c r="I36" s="177">
        <f t="shared" si="14"/>
        <v>30</v>
      </c>
      <c r="J36" s="193" t="s">
        <v>24</v>
      </c>
      <c r="K36" s="245" t="s">
        <v>0</v>
      </c>
      <c r="L36" s="238" t="s">
        <v>38</v>
      </c>
      <c r="M36" s="238" t="s">
        <v>38</v>
      </c>
      <c r="N36" s="238" t="s">
        <v>38</v>
      </c>
      <c r="O36" s="239" t="s">
        <v>52</v>
      </c>
      <c r="P36" s="239" t="s">
        <v>0</v>
      </c>
      <c r="Q36" s="238" t="s">
        <v>38</v>
      </c>
      <c r="R36" s="238" t="s">
        <v>38</v>
      </c>
      <c r="S36" s="238" t="s">
        <v>38</v>
      </c>
      <c r="T36" s="238" t="s">
        <v>38</v>
      </c>
      <c r="U36" s="271" t="s">
        <v>52</v>
      </c>
      <c r="V36" s="238" t="s">
        <v>38</v>
      </c>
      <c r="W36" s="238" t="s">
        <v>38</v>
      </c>
      <c r="X36" s="238" t="s">
        <v>38</v>
      </c>
      <c r="Y36" s="238" t="s">
        <v>38</v>
      </c>
      <c r="Z36" s="238" t="s">
        <v>0</v>
      </c>
      <c r="AA36" s="238" t="s">
        <v>36</v>
      </c>
      <c r="AB36" s="238" t="s">
        <v>38</v>
      </c>
      <c r="AC36" s="239" t="s">
        <v>52</v>
      </c>
      <c r="AD36" s="239" t="s">
        <v>53</v>
      </c>
      <c r="AE36" s="238" t="s">
        <v>53</v>
      </c>
      <c r="AF36" s="238" t="s">
        <v>38</v>
      </c>
      <c r="AG36" s="238" t="s">
        <v>38</v>
      </c>
      <c r="AH36" s="271" t="s">
        <v>52</v>
      </c>
      <c r="AI36" s="238" t="s">
        <v>38</v>
      </c>
      <c r="AJ36" s="238" t="s">
        <v>38</v>
      </c>
      <c r="AK36" s="238" t="s">
        <v>38</v>
      </c>
      <c r="AL36" s="238" t="s">
        <v>38</v>
      </c>
      <c r="AM36" s="238" t="s">
        <v>0</v>
      </c>
      <c r="AN36" s="238" t="s">
        <v>38</v>
      </c>
      <c r="AO36" s="175">
        <v>0</v>
      </c>
      <c r="AP36" s="46">
        <f t="shared" si="9"/>
        <v>0</v>
      </c>
      <c r="AQ36" s="46">
        <v>0</v>
      </c>
      <c r="AR36" s="41">
        <f t="shared" si="15"/>
        <v>0</v>
      </c>
      <c r="AS36" s="329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0" customFormat="1" ht="24" customHeight="1">
      <c r="A37" s="38">
        <f t="shared" si="0"/>
        <v>0</v>
      </c>
      <c r="B37" s="39">
        <f t="shared" si="1"/>
        <v>16</v>
      </c>
      <c r="C37" s="40">
        <f t="shared" si="2"/>
        <v>2</v>
      </c>
      <c r="D37" s="39">
        <f t="shared" si="3"/>
        <v>0</v>
      </c>
      <c r="E37" s="41">
        <f t="shared" si="4"/>
        <v>2</v>
      </c>
      <c r="F37" s="41">
        <f t="shared" si="5"/>
        <v>4</v>
      </c>
      <c r="G37" s="41">
        <f t="shared" si="6"/>
        <v>4</v>
      </c>
      <c r="H37" s="41">
        <f t="shared" si="7"/>
        <v>2</v>
      </c>
      <c r="I37" s="177">
        <f t="shared" si="14"/>
        <v>30</v>
      </c>
      <c r="J37" s="214" t="s">
        <v>25</v>
      </c>
      <c r="K37" s="245" t="s">
        <v>38</v>
      </c>
      <c r="L37" s="238" t="s">
        <v>0</v>
      </c>
      <c r="M37" s="234" t="s">
        <v>1</v>
      </c>
      <c r="N37" s="238" t="s">
        <v>38</v>
      </c>
      <c r="O37" s="238" t="s">
        <v>26</v>
      </c>
      <c r="P37" s="238" t="s">
        <v>38</v>
      </c>
      <c r="Q37" s="238" t="s">
        <v>0</v>
      </c>
      <c r="R37" s="238" t="s">
        <v>40</v>
      </c>
      <c r="S37" s="238" t="s">
        <v>40</v>
      </c>
      <c r="T37" s="234" t="s">
        <v>52</v>
      </c>
      <c r="U37" s="238" t="s">
        <v>38</v>
      </c>
      <c r="V37" s="238" t="s">
        <v>38</v>
      </c>
      <c r="W37" s="238" t="s">
        <v>38</v>
      </c>
      <c r="X37" s="238" t="s">
        <v>38</v>
      </c>
      <c r="Y37" s="238" t="s">
        <v>38</v>
      </c>
      <c r="Z37" s="238" t="s">
        <v>0</v>
      </c>
      <c r="AA37" s="238" t="s">
        <v>52</v>
      </c>
      <c r="AB37" s="238" t="s">
        <v>53</v>
      </c>
      <c r="AC37" s="238" t="s">
        <v>26</v>
      </c>
      <c r="AD37" s="238" t="s">
        <v>38</v>
      </c>
      <c r="AE37" s="238" t="s">
        <v>38</v>
      </c>
      <c r="AF37" s="238" t="s">
        <v>52</v>
      </c>
      <c r="AG37" s="234" t="s">
        <v>1</v>
      </c>
      <c r="AH37" s="238" t="s">
        <v>53</v>
      </c>
      <c r="AI37" s="238" t="s">
        <v>38</v>
      </c>
      <c r="AJ37" s="238" t="s">
        <v>26</v>
      </c>
      <c r="AK37" s="238" t="s">
        <v>38</v>
      </c>
      <c r="AL37" s="238" t="s">
        <v>38</v>
      </c>
      <c r="AM37" s="234" t="s">
        <v>52</v>
      </c>
      <c r="AN37" s="241" t="s">
        <v>0</v>
      </c>
      <c r="AO37" s="175">
        <v>0</v>
      </c>
      <c r="AP37" s="46">
        <f t="shared" si="9"/>
        <v>0</v>
      </c>
      <c r="AQ37" s="46">
        <v>0</v>
      </c>
      <c r="AR37" s="41">
        <f t="shared" si="15"/>
        <v>0</v>
      </c>
      <c r="AS37" s="329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0" customFormat="1" ht="25.5" customHeight="1">
      <c r="A38" s="38">
        <f t="shared" si="0"/>
        <v>7</v>
      </c>
      <c r="B38" s="39">
        <f t="shared" si="1"/>
        <v>0</v>
      </c>
      <c r="C38" s="40">
        <f t="shared" si="2"/>
        <v>9</v>
      </c>
      <c r="D38" s="39">
        <f t="shared" si="3"/>
        <v>2</v>
      </c>
      <c r="E38" s="41">
        <f t="shared" si="4"/>
        <v>2</v>
      </c>
      <c r="F38" s="41">
        <f t="shared" si="5"/>
        <v>4</v>
      </c>
      <c r="G38" s="41">
        <f t="shared" si="6"/>
        <v>4</v>
      </c>
      <c r="H38" s="41">
        <f t="shared" si="7"/>
        <v>2</v>
      </c>
      <c r="I38" s="177">
        <f t="shared" si="14"/>
        <v>30</v>
      </c>
      <c r="J38" s="193" t="s">
        <v>27</v>
      </c>
      <c r="K38" s="245" t="s">
        <v>52</v>
      </c>
      <c r="L38" s="238" t="s">
        <v>36</v>
      </c>
      <c r="M38" s="238" t="s">
        <v>36</v>
      </c>
      <c r="N38" s="238" t="s">
        <v>36</v>
      </c>
      <c r="O38" s="238" t="s">
        <v>36</v>
      </c>
      <c r="P38" s="238" t="s">
        <v>36</v>
      </c>
      <c r="Q38" s="238" t="s">
        <v>0</v>
      </c>
      <c r="R38" s="238" t="s">
        <v>40</v>
      </c>
      <c r="S38" s="238" t="s">
        <v>40</v>
      </c>
      <c r="T38" s="238" t="s">
        <v>40</v>
      </c>
      <c r="U38" s="238" t="s">
        <v>40</v>
      </c>
      <c r="V38" s="238" t="s">
        <v>52</v>
      </c>
      <c r="W38" s="238" t="s">
        <v>36</v>
      </c>
      <c r="X38" s="238" t="s">
        <v>36</v>
      </c>
      <c r="Y38" s="242" t="s">
        <v>3</v>
      </c>
      <c r="Z38" s="271" t="s">
        <v>52</v>
      </c>
      <c r="AA38" s="234" t="s">
        <v>1</v>
      </c>
      <c r="AB38" s="234" t="s">
        <v>1</v>
      </c>
      <c r="AC38" s="239" t="s">
        <v>53</v>
      </c>
      <c r="AD38" s="239" t="s">
        <v>53</v>
      </c>
      <c r="AE38" s="271" t="s">
        <v>0</v>
      </c>
      <c r="AF38" s="242" t="s">
        <v>3</v>
      </c>
      <c r="AG38" s="238" t="s">
        <v>52</v>
      </c>
      <c r="AH38" s="238" t="s">
        <v>40</v>
      </c>
      <c r="AI38" s="238" t="s">
        <v>40</v>
      </c>
      <c r="AJ38" s="238" t="s">
        <v>40</v>
      </c>
      <c r="AK38" s="238" t="s">
        <v>40</v>
      </c>
      <c r="AL38" s="238" t="s">
        <v>40</v>
      </c>
      <c r="AM38" s="238" t="s">
        <v>0</v>
      </c>
      <c r="AN38" s="241" t="s">
        <v>0</v>
      </c>
      <c r="AO38" s="175">
        <v>0</v>
      </c>
      <c r="AP38" s="46">
        <f t="shared" si="9"/>
        <v>0</v>
      </c>
      <c r="AQ38" s="46">
        <v>0</v>
      </c>
      <c r="AR38" s="41">
        <f t="shared" si="15"/>
        <v>0</v>
      </c>
      <c r="AS38" s="329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ht="25.5" customHeight="1">
      <c r="A39" s="38">
        <f t="shared" si="0"/>
        <v>0</v>
      </c>
      <c r="B39" s="39">
        <f t="shared" si="1"/>
        <v>0</v>
      </c>
      <c r="C39" s="40">
        <f t="shared" si="2"/>
        <v>17</v>
      </c>
      <c r="D39" s="39">
        <f t="shared" si="3"/>
        <v>2</v>
      </c>
      <c r="E39" s="41">
        <f t="shared" si="4"/>
        <v>1</v>
      </c>
      <c r="F39" s="41">
        <f t="shared" si="5"/>
        <v>4</v>
      </c>
      <c r="G39" s="41">
        <f t="shared" si="6"/>
        <v>4</v>
      </c>
      <c r="H39" s="41">
        <f t="shared" si="7"/>
        <v>2</v>
      </c>
      <c r="I39" s="177">
        <f t="shared" si="14"/>
        <v>30</v>
      </c>
      <c r="J39" s="193" t="s">
        <v>57</v>
      </c>
      <c r="K39" s="245" t="s">
        <v>40</v>
      </c>
      <c r="L39" s="238" t="s">
        <v>52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40</v>
      </c>
      <c r="R39" s="238" t="s">
        <v>0</v>
      </c>
      <c r="S39" s="271" t="s">
        <v>1</v>
      </c>
      <c r="T39" s="238" t="s">
        <v>3</v>
      </c>
      <c r="U39" s="393" t="s">
        <v>3</v>
      </c>
      <c r="V39" s="239" t="s">
        <v>53</v>
      </c>
      <c r="W39" s="239" t="s">
        <v>53</v>
      </c>
      <c r="X39" s="271" t="s">
        <v>0</v>
      </c>
      <c r="Y39" s="238" t="s">
        <v>40</v>
      </c>
      <c r="Z39" s="238" t="s">
        <v>40</v>
      </c>
      <c r="AA39" s="238" t="s">
        <v>40</v>
      </c>
      <c r="AB39" s="238" t="s">
        <v>52</v>
      </c>
      <c r="AC39" s="239" t="s">
        <v>52</v>
      </c>
      <c r="AD39" s="239" t="s">
        <v>0</v>
      </c>
      <c r="AE39" s="238" t="s">
        <v>40</v>
      </c>
      <c r="AF39" s="238" t="s">
        <v>40</v>
      </c>
      <c r="AG39" s="238" t="s">
        <v>40</v>
      </c>
      <c r="AH39" s="238" t="s">
        <v>40</v>
      </c>
      <c r="AI39" s="271" t="s">
        <v>52</v>
      </c>
      <c r="AJ39" s="238" t="s">
        <v>40</v>
      </c>
      <c r="AK39" s="238" t="s">
        <v>40</v>
      </c>
      <c r="AL39" s="234" t="s">
        <v>0</v>
      </c>
      <c r="AM39" s="238" t="s">
        <v>40</v>
      </c>
      <c r="AN39" s="241" t="s">
        <v>40</v>
      </c>
      <c r="AO39" s="175">
        <v>0</v>
      </c>
      <c r="AP39" s="46">
        <f t="shared" si="9"/>
        <v>0</v>
      </c>
      <c r="AQ39" s="46">
        <v>0</v>
      </c>
      <c r="AR39" s="41">
        <f t="shared" si="15"/>
        <v>0</v>
      </c>
      <c r="AS39" s="329" t="s">
        <v>128</v>
      </c>
    </row>
    <row r="40" spans="1:225" ht="24.75" customHeight="1" thickBot="1">
      <c r="A40" s="69">
        <f t="shared" si="0"/>
        <v>0</v>
      </c>
      <c r="B40" s="70">
        <f t="shared" si="1"/>
        <v>0</v>
      </c>
      <c r="C40" s="71">
        <f t="shared" si="2"/>
        <v>5</v>
      </c>
      <c r="D40" s="70">
        <f t="shared" si="3"/>
        <v>13</v>
      </c>
      <c r="E40" s="63">
        <f t="shared" si="4"/>
        <v>2</v>
      </c>
      <c r="F40" s="63">
        <f t="shared" si="5"/>
        <v>5</v>
      </c>
      <c r="G40" s="63">
        <f t="shared" si="6"/>
        <v>3</v>
      </c>
      <c r="H40" s="63">
        <f t="shared" si="7"/>
        <v>2</v>
      </c>
      <c r="I40" s="178">
        <f t="shared" si="14"/>
        <v>30</v>
      </c>
      <c r="J40" s="215" t="s">
        <v>28</v>
      </c>
      <c r="K40" s="247" t="s">
        <v>52</v>
      </c>
      <c r="L40" s="394" t="s">
        <v>3</v>
      </c>
      <c r="M40" s="394" t="s">
        <v>3</v>
      </c>
      <c r="N40" s="394" t="s">
        <v>3</v>
      </c>
      <c r="O40" s="249" t="s">
        <v>52</v>
      </c>
      <c r="P40" s="249" t="s">
        <v>0</v>
      </c>
      <c r="Q40" s="394" t="s">
        <v>3</v>
      </c>
      <c r="R40" s="394" t="s">
        <v>3</v>
      </c>
      <c r="S40" s="394" t="s">
        <v>3</v>
      </c>
      <c r="T40" s="394" t="s">
        <v>3</v>
      </c>
      <c r="U40" s="248" t="s">
        <v>0</v>
      </c>
      <c r="V40" s="248" t="s">
        <v>40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0</v>
      </c>
      <c r="AB40" s="421" t="s">
        <v>1</v>
      </c>
      <c r="AC40" s="421" t="s">
        <v>1</v>
      </c>
      <c r="AD40" s="249" t="s">
        <v>0</v>
      </c>
      <c r="AE40" s="248" t="s">
        <v>3</v>
      </c>
      <c r="AF40" s="418" t="s">
        <v>3</v>
      </c>
      <c r="AG40" s="418" t="s">
        <v>3</v>
      </c>
      <c r="AH40" s="418" t="s">
        <v>3</v>
      </c>
      <c r="AI40" s="418" t="s">
        <v>53</v>
      </c>
      <c r="AJ40" s="418" t="s">
        <v>52</v>
      </c>
      <c r="AK40" s="418" t="s">
        <v>0</v>
      </c>
      <c r="AL40" s="418" t="s">
        <v>53</v>
      </c>
      <c r="AM40" s="418" t="s">
        <v>3</v>
      </c>
      <c r="AN40" s="419" t="s">
        <v>3</v>
      </c>
      <c r="AO40" s="286">
        <v>0</v>
      </c>
      <c r="AP40" s="74">
        <f t="shared" si="9"/>
        <v>0</v>
      </c>
      <c r="AQ40" s="74">
        <v>0</v>
      </c>
      <c r="AR40" s="63">
        <f t="shared" si="15"/>
        <v>0</v>
      </c>
      <c r="AS40" s="330" t="s">
        <v>128</v>
      </c>
    </row>
    <row r="41" spans="1:225" s="50" customFormat="1" ht="24.75" customHeight="1">
      <c r="A41" s="23">
        <f t="shared" si="0"/>
        <v>1</v>
      </c>
      <c r="B41" s="24">
        <f t="shared" si="1"/>
        <v>2</v>
      </c>
      <c r="C41" s="25">
        <f t="shared" si="2"/>
        <v>10</v>
      </c>
      <c r="D41" s="24">
        <f t="shared" si="3"/>
        <v>2</v>
      </c>
      <c r="E41" s="26">
        <f t="shared" si="4"/>
        <v>5</v>
      </c>
      <c r="F41" s="26">
        <f t="shared" si="5"/>
        <v>4</v>
      </c>
      <c r="G41" s="26">
        <f t="shared" si="6"/>
        <v>4</v>
      </c>
      <c r="H41" s="26">
        <f t="shared" si="7"/>
        <v>2</v>
      </c>
      <c r="I41" s="176">
        <f>SUM(A41:H41)</f>
        <v>30</v>
      </c>
      <c r="J41" s="66" t="s">
        <v>142</v>
      </c>
      <c r="K41" s="28" t="s">
        <v>54</v>
      </c>
      <c r="L41" s="29" t="s">
        <v>3</v>
      </c>
      <c r="M41" s="29" t="s">
        <v>3</v>
      </c>
      <c r="N41" s="29" t="s">
        <v>52</v>
      </c>
      <c r="O41" s="29" t="s">
        <v>55</v>
      </c>
      <c r="P41" s="29" t="s">
        <v>55</v>
      </c>
      <c r="Q41" s="29" t="s">
        <v>55</v>
      </c>
      <c r="R41" s="29" t="s">
        <v>55</v>
      </c>
      <c r="S41" s="29" t="s">
        <v>0</v>
      </c>
      <c r="T41" s="29" t="s">
        <v>56</v>
      </c>
      <c r="U41" s="29" t="s">
        <v>56</v>
      </c>
      <c r="V41" s="31" t="s">
        <v>52</v>
      </c>
      <c r="W41" s="31" t="s">
        <v>53</v>
      </c>
      <c r="X41" s="29" t="s">
        <v>53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32" t="s">
        <v>1</v>
      </c>
      <c r="AH41" s="32" t="s">
        <v>1</v>
      </c>
      <c r="AI41" s="32" t="s">
        <v>1</v>
      </c>
      <c r="AJ41" s="31" t="s">
        <v>52</v>
      </c>
      <c r="AK41" s="31" t="s">
        <v>0</v>
      </c>
      <c r="AL41" s="32" t="s">
        <v>1</v>
      </c>
      <c r="AM41" s="32" t="s">
        <v>1</v>
      </c>
      <c r="AN41" s="34" t="s">
        <v>0</v>
      </c>
      <c r="AO41" s="428">
        <v>0</v>
      </c>
      <c r="AP41" s="167">
        <f t="shared" si="9"/>
        <v>0</v>
      </c>
      <c r="AQ41" s="167">
        <v>0</v>
      </c>
      <c r="AR41" s="331">
        <f t="shared" si="15"/>
        <v>0</v>
      </c>
      <c r="AS41" s="332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s="50" customFormat="1" ht="25.5" customHeight="1">
      <c r="A42" s="38">
        <f t="shared" si="0"/>
        <v>8</v>
      </c>
      <c r="B42" s="39">
        <f t="shared" si="1"/>
        <v>10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4</v>
      </c>
      <c r="H42" s="41">
        <f t="shared" si="7"/>
        <v>2</v>
      </c>
      <c r="I42" s="177">
        <f t="shared" ref="I42:I46" si="31">SUM(A42:H42)</f>
        <v>30</v>
      </c>
      <c r="J42" s="67" t="s">
        <v>29</v>
      </c>
      <c r="K42" s="49" t="s">
        <v>3</v>
      </c>
      <c r="L42" s="30" t="s">
        <v>54</v>
      </c>
      <c r="M42" s="30" t="s">
        <v>56</v>
      </c>
      <c r="N42" s="30" t="s">
        <v>56</v>
      </c>
      <c r="O42" s="44" t="s">
        <v>52</v>
      </c>
      <c r="P42" s="44" t="s">
        <v>0</v>
      </c>
      <c r="Q42" s="30" t="s">
        <v>56</v>
      </c>
      <c r="R42" s="30" t="s">
        <v>56</v>
      </c>
      <c r="S42" s="30" t="s">
        <v>56</v>
      </c>
      <c r="T42" s="30" t="s">
        <v>52</v>
      </c>
      <c r="U42" s="30" t="s">
        <v>3</v>
      </c>
      <c r="V42" s="30" t="s">
        <v>54</v>
      </c>
      <c r="W42" s="30" t="s">
        <v>54</v>
      </c>
      <c r="X42" s="30" t="s">
        <v>54</v>
      </c>
      <c r="Y42" s="30" t="s">
        <v>54</v>
      </c>
      <c r="Z42" s="30" t="s">
        <v>54</v>
      </c>
      <c r="AA42" s="30" t="s">
        <v>52</v>
      </c>
      <c r="AB42" s="30" t="s">
        <v>53</v>
      </c>
      <c r="AC42" s="44" t="s">
        <v>53</v>
      </c>
      <c r="AD42" s="44" t="s">
        <v>0</v>
      </c>
      <c r="AE42" s="30" t="s">
        <v>56</v>
      </c>
      <c r="AF42" s="316" t="s">
        <v>0</v>
      </c>
      <c r="AG42" s="30" t="s">
        <v>52</v>
      </c>
      <c r="AH42" s="30" t="s">
        <v>56</v>
      </c>
      <c r="AI42" s="30" t="s">
        <v>56</v>
      </c>
      <c r="AJ42" s="30" t="s">
        <v>56</v>
      </c>
      <c r="AK42" s="30" t="s">
        <v>56</v>
      </c>
      <c r="AL42" s="30" t="s">
        <v>0</v>
      </c>
      <c r="AM42" s="30" t="s">
        <v>54</v>
      </c>
      <c r="AN42" s="30" t="s">
        <v>54</v>
      </c>
      <c r="AO42" s="175">
        <v>0</v>
      </c>
      <c r="AP42" s="46">
        <f t="shared" si="9"/>
        <v>0</v>
      </c>
      <c r="AQ42" s="46">
        <v>0</v>
      </c>
      <c r="AR42" s="41">
        <f t="shared" si="15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ht="25.5" customHeight="1">
      <c r="A43" s="38">
        <f t="shared" si="0"/>
        <v>3</v>
      </c>
      <c r="B43" s="39">
        <f t="shared" si="1"/>
        <v>7</v>
      </c>
      <c r="C43" s="40">
        <f t="shared" si="2"/>
        <v>4</v>
      </c>
      <c r="D43" s="39">
        <f t="shared" si="3"/>
        <v>3</v>
      </c>
      <c r="E43" s="41">
        <f t="shared" si="4"/>
        <v>3</v>
      </c>
      <c r="F43" s="41">
        <f t="shared" si="5"/>
        <v>4</v>
      </c>
      <c r="G43" s="41">
        <f t="shared" si="6"/>
        <v>4</v>
      </c>
      <c r="H43" s="41">
        <f t="shared" si="7"/>
        <v>2</v>
      </c>
      <c r="I43" s="177">
        <f t="shared" si="31"/>
        <v>30</v>
      </c>
      <c r="J43" s="68" t="s">
        <v>30</v>
      </c>
      <c r="K43" s="49" t="s">
        <v>56</v>
      </c>
      <c r="L43" s="30" t="s">
        <v>52</v>
      </c>
      <c r="M43" s="30" t="s">
        <v>53</v>
      </c>
      <c r="N43" s="30" t="s">
        <v>53</v>
      </c>
      <c r="O43" s="30" t="s">
        <v>56</v>
      </c>
      <c r="P43" s="30" t="s">
        <v>56</v>
      </c>
      <c r="Q43" s="30" t="s">
        <v>0</v>
      </c>
      <c r="R43" s="30" t="s">
        <v>3</v>
      </c>
      <c r="S43" s="30" t="s">
        <v>3</v>
      </c>
      <c r="T43" s="30" t="s">
        <v>3</v>
      </c>
      <c r="U43" s="30" t="s">
        <v>54</v>
      </c>
      <c r="V43" s="44" t="s">
        <v>52</v>
      </c>
      <c r="W43" s="32" t="s">
        <v>1</v>
      </c>
      <c r="X43" s="32" t="s">
        <v>1</v>
      </c>
      <c r="Y43" s="44" t="s">
        <v>0</v>
      </c>
      <c r="Z43" s="30" t="s">
        <v>56</v>
      </c>
      <c r="AA43" s="30" t="s">
        <v>56</v>
      </c>
      <c r="AB43" s="30" t="s">
        <v>52</v>
      </c>
      <c r="AC43" s="30" t="s">
        <v>54</v>
      </c>
      <c r="AD43" s="30" t="s">
        <v>54</v>
      </c>
      <c r="AE43" s="44" t="s">
        <v>0</v>
      </c>
      <c r="AF43" s="30" t="s">
        <v>55</v>
      </c>
      <c r="AG43" s="30" t="s">
        <v>55</v>
      </c>
      <c r="AH43" s="30" t="s">
        <v>55</v>
      </c>
      <c r="AI43" s="30" t="s">
        <v>55</v>
      </c>
      <c r="AJ43" s="44" t="s">
        <v>52</v>
      </c>
      <c r="AK43" s="32" t="s">
        <v>1</v>
      </c>
      <c r="AL43" s="30" t="s">
        <v>56</v>
      </c>
      <c r="AM43" s="30" t="s">
        <v>56</v>
      </c>
      <c r="AN43" s="30" t="s">
        <v>0</v>
      </c>
      <c r="AO43" s="45">
        <v>0</v>
      </c>
      <c r="AP43" s="46">
        <f t="shared" si="9"/>
        <v>0</v>
      </c>
      <c r="AQ43" s="46">
        <v>0</v>
      </c>
      <c r="AR43" s="41">
        <f t="shared" si="15"/>
        <v>0</v>
      </c>
      <c r="AS43" s="329" t="s">
        <v>126</v>
      </c>
    </row>
    <row r="44" spans="1:225" s="50" customFormat="1" ht="25.5" customHeight="1">
      <c r="A44" s="38">
        <f t="shared" si="0"/>
        <v>6</v>
      </c>
      <c r="B44" s="39">
        <f t="shared" si="1"/>
        <v>2</v>
      </c>
      <c r="C44" s="40">
        <f t="shared" si="2"/>
        <v>9</v>
      </c>
      <c r="D44" s="39">
        <f t="shared" si="3"/>
        <v>2</v>
      </c>
      <c r="E44" s="41">
        <f t="shared" si="4"/>
        <v>1</v>
      </c>
      <c r="F44" s="41">
        <f t="shared" si="5"/>
        <v>4</v>
      </c>
      <c r="G44" s="41">
        <f t="shared" si="6"/>
        <v>4</v>
      </c>
      <c r="H44" s="41">
        <f t="shared" si="7"/>
        <v>2</v>
      </c>
      <c r="I44" s="177">
        <f t="shared" si="31"/>
        <v>30</v>
      </c>
      <c r="J44" s="68" t="s">
        <v>31</v>
      </c>
      <c r="K44" s="49" t="s">
        <v>55</v>
      </c>
      <c r="L44" s="30" t="s">
        <v>55</v>
      </c>
      <c r="M44" s="30" t="s">
        <v>55</v>
      </c>
      <c r="N44" s="30" t="s">
        <v>55</v>
      </c>
      <c r="O44" s="44" t="s">
        <v>52</v>
      </c>
      <c r="P44" s="44" t="s">
        <v>0</v>
      </c>
      <c r="Q44" s="30" t="s">
        <v>3</v>
      </c>
      <c r="R44" s="30" t="s">
        <v>54</v>
      </c>
      <c r="S44" s="30" t="s">
        <v>54</v>
      </c>
      <c r="T44" s="30" t="s">
        <v>52</v>
      </c>
      <c r="U44" s="30" t="s">
        <v>55</v>
      </c>
      <c r="V44" s="30" t="s">
        <v>55</v>
      </c>
      <c r="W44" s="30" t="s">
        <v>55</v>
      </c>
      <c r="X44" s="30" t="s">
        <v>55</v>
      </c>
      <c r="Y44" s="30" t="s">
        <v>55</v>
      </c>
      <c r="Z44" s="32" t="s">
        <v>1</v>
      </c>
      <c r="AA44" s="30" t="s">
        <v>52</v>
      </c>
      <c r="AB44" s="30" t="s">
        <v>53</v>
      </c>
      <c r="AC44" s="44" t="s">
        <v>53</v>
      </c>
      <c r="AD44" s="44" t="s">
        <v>0</v>
      </c>
      <c r="AE44" s="30" t="s">
        <v>3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54</v>
      </c>
      <c r="AL44" s="30" t="s">
        <v>54</v>
      </c>
      <c r="AM44" s="30" t="s">
        <v>0</v>
      </c>
      <c r="AN44" s="30" t="s">
        <v>0</v>
      </c>
      <c r="AO44" s="45">
        <v>0</v>
      </c>
      <c r="AP44" s="46">
        <f t="shared" si="9"/>
        <v>0</v>
      </c>
      <c r="AQ44" s="46">
        <v>0</v>
      </c>
      <c r="AR44" s="41">
        <f t="shared" si="15"/>
        <v>0</v>
      </c>
      <c r="AS44" s="329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0" customFormat="1" ht="25.2" customHeight="1">
      <c r="A45" s="38">
        <f t="shared" si="0"/>
        <v>8</v>
      </c>
      <c r="B45" s="39">
        <f t="shared" si="1"/>
        <v>3</v>
      </c>
      <c r="C45" s="40">
        <f t="shared" si="2"/>
        <v>2</v>
      </c>
      <c r="D45" s="39">
        <f t="shared" si="3"/>
        <v>4</v>
      </c>
      <c r="E45" s="41">
        <f t="shared" si="4"/>
        <v>3</v>
      </c>
      <c r="F45" s="41">
        <f t="shared" si="5"/>
        <v>4</v>
      </c>
      <c r="G45" s="41">
        <f t="shared" si="6"/>
        <v>4</v>
      </c>
      <c r="H45" s="41">
        <f t="shared" si="7"/>
        <v>2</v>
      </c>
      <c r="I45" s="177">
        <f t="shared" si="31"/>
        <v>30</v>
      </c>
      <c r="J45" s="68" t="s">
        <v>32</v>
      </c>
      <c r="K45" s="326" t="s">
        <v>0</v>
      </c>
      <c r="L45" s="30" t="s">
        <v>52</v>
      </c>
      <c r="M45" s="30" t="s">
        <v>54</v>
      </c>
      <c r="N45" s="30" t="s">
        <v>54</v>
      </c>
      <c r="O45" s="30" t="s">
        <v>54</v>
      </c>
      <c r="P45" s="30" t="s">
        <v>54</v>
      </c>
      <c r="Q45" s="30" t="s">
        <v>54</v>
      </c>
      <c r="R45" s="30" t="s">
        <v>0</v>
      </c>
      <c r="S45" s="53" t="s">
        <v>3</v>
      </c>
      <c r="T45" s="30" t="s">
        <v>54</v>
      </c>
      <c r="U45" s="32" t="s">
        <v>1</v>
      </c>
      <c r="V45" s="44" t="s">
        <v>52</v>
      </c>
      <c r="W45" s="44" t="s">
        <v>53</v>
      </c>
      <c r="X45" s="32" t="s">
        <v>1</v>
      </c>
      <c r="Y45" s="32" t="s">
        <v>0</v>
      </c>
      <c r="Z45" s="30" t="s">
        <v>3</v>
      </c>
      <c r="AA45" s="30" t="s">
        <v>54</v>
      </c>
      <c r="AB45" s="30" t="s">
        <v>56</v>
      </c>
      <c r="AC45" s="30" t="s">
        <v>56</v>
      </c>
      <c r="AD45" s="30" t="s">
        <v>56</v>
      </c>
      <c r="AE45" s="30" t="s">
        <v>52</v>
      </c>
      <c r="AF45" s="30" t="s">
        <v>3</v>
      </c>
      <c r="AG45" s="53" t="s">
        <v>3</v>
      </c>
      <c r="AH45" s="30" t="s">
        <v>54</v>
      </c>
      <c r="AI45" s="32" t="s">
        <v>1</v>
      </c>
      <c r="AJ45" s="44" t="s">
        <v>53</v>
      </c>
      <c r="AK45" s="44" t="s">
        <v>0</v>
      </c>
      <c r="AL45" s="32" t="s">
        <v>52</v>
      </c>
      <c r="AM45" s="30" t="s">
        <v>55</v>
      </c>
      <c r="AN45" s="30" t="s">
        <v>55</v>
      </c>
      <c r="AO45" s="45">
        <v>0</v>
      </c>
      <c r="AP45" s="46">
        <f t="shared" si="9"/>
        <v>0</v>
      </c>
      <c r="AQ45" s="46">
        <v>0</v>
      </c>
      <c r="AR45" s="41">
        <f t="shared" si="15"/>
        <v>0</v>
      </c>
      <c r="AS45" s="329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0" customFormat="1" ht="30.6" customHeight="1" thickBot="1">
      <c r="A46" s="69">
        <f t="shared" si="0"/>
        <v>4</v>
      </c>
      <c r="B46" s="70">
        <f t="shared" si="1"/>
        <v>6</v>
      </c>
      <c r="C46" s="71">
        <f t="shared" si="2"/>
        <v>5</v>
      </c>
      <c r="D46" s="70">
        <f t="shared" si="3"/>
        <v>3</v>
      </c>
      <c r="E46" s="63">
        <f t="shared" si="4"/>
        <v>2</v>
      </c>
      <c r="F46" s="63">
        <f t="shared" si="5"/>
        <v>4</v>
      </c>
      <c r="G46" s="63">
        <f t="shared" si="6"/>
        <v>4</v>
      </c>
      <c r="H46" s="63">
        <f t="shared" si="7"/>
        <v>2</v>
      </c>
      <c r="I46" s="178">
        <f t="shared" si="31"/>
        <v>30</v>
      </c>
      <c r="J46" s="72" t="s">
        <v>33</v>
      </c>
      <c r="K46" s="58" t="s">
        <v>0</v>
      </c>
      <c r="L46" s="60" t="s">
        <v>56</v>
      </c>
      <c r="M46" s="59" t="s">
        <v>52</v>
      </c>
      <c r="N46" s="60" t="s">
        <v>3</v>
      </c>
      <c r="O46" s="59" t="s">
        <v>53</v>
      </c>
      <c r="P46" s="52" t="s">
        <v>1</v>
      </c>
      <c r="Q46" s="52" t="s">
        <v>1</v>
      </c>
      <c r="R46" s="422" t="s">
        <v>0</v>
      </c>
      <c r="S46" s="337" t="s">
        <v>55</v>
      </c>
      <c r="T46" s="337" t="s">
        <v>55</v>
      </c>
      <c r="U46" s="337" t="s">
        <v>52</v>
      </c>
      <c r="V46" s="337" t="s">
        <v>56</v>
      </c>
      <c r="W46" s="337" t="s">
        <v>56</v>
      </c>
      <c r="X46" s="337" t="s">
        <v>56</v>
      </c>
      <c r="Y46" s="337" t="s">
        <v>56</v>
      </c>
      <c r="Z46" s="337" t="s">
        <v>52</v>
      </c>
      <c r="AA46" s="337" t="s">
        <v>3</v>
      </c>
      <c r="AB46" s="337" t="s">
        <v>54</v>
      </c>
      <c r="AC46" s="423" t="s">
        <v>53</v>
      </c>
      <c r="AD46" s="423" t="s">
        <v>0</v>
      </c>
      <c r="AE46" s="337" t="s">
        <v>54</v>
      </c>
      <c r="AF46" s="337" t="s">
        <v>54</v>
      </c>
      <c r="AG46" s="337" t="s">
        <v>54</v>
      </c>
      <c r="AH46" s="337" t="s">
        <v>3</v>
      </c>
      <c r="AI46" s="337" t="s">
        <v>52</v>
      </c>
      <c r="AJ46" s="337" t="s">
        <v>55</v>
      </c>
      <c r="AK46" s="60" t="s">
        <v>55</v>
      </c>
      <c r="AL46" s="60" t="s">
        <v>55</v>
      </c>
      <c r="AM46" s="60" t="s">
        <v>0</v>
      </c>
      <c r="AN46" s="48" t="s">
        <v>56</v>
      </c>
      <c r="AO46" s="286">
        <v>0</v>
      </c>
      <c r="AP46" s="74">
        <f t="shared" si="9"/>
        <v>0</v>
      </c>
      <c r="AQ46" s="74">
        <v>0</v>
      </c>
      <c r="AR46" s="63">
        <f t="shared" si="15"/>
        <v>0</v>
      </c>
      <c r="AS46" s="330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29" cm="2">
        <f t="array" ref="K47">SUMPRODUCT(COUNTIF(K4:K46,{"1";"M1"}))</f>
        <v>5</v>
      </c>
      <c r="L47" s="402" cm="2">
        <f t="array" ref="L47">SUMPRODUCT(COUNTIF(L4:L46,{"1";"M1"}))</f>
        <v>5</v>
      </c>
      <c r="M47" s="402" cm="2">
        <f t="array" ref="M47">SUMPRODUCT(COUNTIF(M4:M46,{"1";"M1"}))</f>
        <v>5</v>
      </c>
      <c r="N47" s="402" cm="2">
        <f t="array" ref="N47">SUMPRODUCT(COUNTIF(N4:N46,{"1";"M1"}))</f>
        <v>5</v>
      </c>
      <c r="O47" s="402" cm="2">
        <f t="array" ref="O47">SUMPRODUCT(COUNTIF(O4:O46,{"1";"M1"}))</f>
        <v>3</v>
      </c>
      <c r="P47" s="402" cm="2">
        <f t="array" ref="P47">SUMPRODUCT(COUNTIF(P4:P46,{"1";"M1"}))</f>
        <v>3</v>
      </c>
      <c r="Q47" s="402" cm="2">
        <f t="array" ref="Q47">SUMPRODUCT(COUNTIF(Q4:Q46,{"1";"M1"}))</f>
        <v>6</v>
      </c>
      <c r="R47" s="402" cm="2">
        <f t="array" ref="R47">SUMPRODUCT(COUNTIF(R4:R46,{"1";"M1"}))</f>
        <v>6</v>
      </c>
      <c r="S47" s="402" cm="2">
        <f t="array" ref="S47">SUMPRODUCT(COUNTIF(S4:S46,{"1";"M1"}))</f>
        <v>6</v>
      </c>
      <c r="T47" s="402" cm="2">
        <f t="array" ref="T47">SUMPRODUCT(COUNTIF(T4:T46,{"1";"M1"}))</f>
        <v>6</v>
      </c>
      <c r="U47" s="402" cm="2">
        <f t="array" ref="U47">SUMPRODUCT(COUNTIF(U4:U46,{"1";"M1"}))</f>
        <v>6</v>
      </c>
      <c r="V47" s="402" cm="2">
        <f t="array" ref="V47">SUMPRODUCT(COUNTIF(V4:V46,{"1";"M1"}))</f>
        <v>3</v>
      </c>
      <c r="W47" s="402" cm="2">
        <f t="array" ref="W47">SUMPRODUCT(COUNTIF(W4:W46,{"1";"M1"}))</f>
        <v>3</v>
      </c>
      <c r="X47" s="402" cm="2">
        <f t="array" ref="X47">SUMPRODUCT(COUNTIF(X4:X46,{"1";"M1"}))</f>
        <v>6</v>
      </c>
      <c r="Y47" s="402" cm="2">
        <f t="array" ref="Y47">SUMPRODUCT(COUNTIF(Y4:Y46,{"1";"M1"}))</f>
        <v>6</v>
      </c>
      <c r="Z47" s="402" cm="2">
        <f t="array" ref="Z47">SUMPRODUCT(COUNTIF(Z4:Z46,{"1";"M1"}))</f>
        <v>6</v>
      </c>
      <c r="AA47" s="402" cm="2">
        <f t="array" ref="AA47">SUMPRODUCT(COUNTIF(AA4:AA46,{"1";"M1"}))</f>
        <v>7</v>
      </c>
      <c r="AB47" s="402" cm="2">
        <f t="array" ref="AB47">SUMPRODUCT(COUNTIF(AB4:AB46,{"1";"M1"}))</f>
        <v>7</v>
      </c>
      <c r="AC47" s="402" cm="2">
        <f t="array" ref="AC47">SUMPRODUCT(COUNTIF(AC4:AC46,{"1";"M1"}))</f>
        <v>3</v>
      </c>
      <c r="AD47" s="402" cm="2">
        <f t="array" ref="AD47">SUMPRODUCT(COUNTIF(AD4:AD46,{"1";"M1"}))</f>
        <v>3</v>
      </c>
      <c r="AE47" s="402" cm="2">
        <f t="array" ref="AE47">SUMPRODUCT(COUNTIF(AE4:AE46,{"1";"M1"}))</f>
        <v>6</v>
      </c>
      <c r="AF47" s="402" cm="2">
        <f t="array" ref="AF47">SUMPRODUCT(COUNTIF(AF4:AF46,{"1";"M1"}))</f>
        <v>6</v>
      </c>
      <c r="AG47" s="402" cm="2">
        <f t="array" ref="AG47">SUMPRODUCT(COUNTIF(AG4:AG46,{"1";"M1"}))</f>
        <v>6</v>
      </c>
      <c r="AH47" s="402" cm="2">
        <f t="array" ref="AH47">SUMPRODUCT(COUNTIF(AH4:AH46,{"1";"M1"}))</f>
        <v>6</v>
      </c>
      <c r="AI47" s="402" cm="2">
        <f t="array" ref="AI47">SUMPRODUCT(COUNTIF(AI4:AI46,{"1";"M1"}))</f>
        <v>3</v>
      </c>
      <c r="AJ47" s="402" cm="2">
        <f t="array" ref="AJ47">SUMPRODUCT(COUNTIF(AJ4:AJ46,{"1";"M1"}))</f>
        <v>3</v>
      </c>
      <c r="AK47" s="402" cm="2">
        <f t="array" ref="AK47">SUMPRODUCT(COUNTIF(AK4:AK46,{"1";"M1"}))</f>
        <v>3</v>
      </c>
      <c r="AL47" s="402" cm="2">
        <f t="array" ref="AL47">SUMPRODUCT(COUNTIF(AL4:AL46,{"1";"M1"}))</f>
        <v>3</v>
      </c>
      <c r="AM47" s="402" cm="2">
        <f t="array" ref="AM47">SUMPRODUCT(COUNTIF(AM4:AM46,{"1";"M1"}))</f>
        <v>5</v>
      </c>
      <c r="AN47" s="402" cm="2">
        <f t="array" ref="AN47">SUMPRODUCT(COUNTIF(AN4:AN46,{"1";"M1"}))</f>
        <v>5</v>
      </c>
      <c r="AP47" s="50"/>
      <c r="AQ47" s="6"/>
      <c r="AR47" s="75"/>
      <c r="AS47" s="79"/>
      <c r="AT47" s="79"/>
      <c r="AW47" s="6"/>
      <c r="AX47" s="6"/>
      <c r="AY47" s="6"/>
    </row>
    <row r="48" spans="1:225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30" cm="2">
        <f t="array" ref="K48">SUMPRODUCT(COUNTIF(K4:K46,{"2";"M2"}))</f>
        <v>3</v>
      </c>
      <c r="L48" s="405" cm="2">
        <f t="array" ref="L48">SUMPRODUCT(COUNTIF(L4:L46,{"2";"M2"}))</f>
        <v>3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3</v>
      </c>
      <c r="AF48" s="405" cm="2">
        <f t="array" ref="AF48">SUMPRODUCT(COUNTIF(AF4:AF46,{"2";"M2"}))</f>
        <v>3</v>
      </c>
      <c r="AG48" s="405" cm="2">
        <f t="array" ref="AG48">SUMPRODUCT(COUNTIF(AG4:AG46,{"2";"M2"}))</f>
        <v>3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5</v>
      </c>
      <c r="AN48" s="405" cm="2">
        <f t="array" ref="AN48">SUMPRODUCT(COUNTIF(AN4:AN46,{"2";"M2"}))</f>
        <v>5</v>
      </c>
      <c r="AP48" s="50"/>
      <c r="AQ48" s="6" t="s">
        <v>34</v>
      </c>
      <c r="AR48" s="75" t="s">
        <v>35</v>
      </c>
      <c r="AS48" s="84"/>
      <c r="AT48" s="84"/>
    </row>
    <row r="49" spans="1:51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31">
        <f t="shared" ref="K49:AN49" si="32">COUNTIF(K4:K46,3)</f>
        <v>3</v>
      </c>
      <c r="L49" s="408">
        <f t="shared" si="32"/>
        <v>3</v>
      </c>
      <c r="M49" s="408">
        <f t="shared" si="32"/>
        <v>3</v>
      </c>
      <c r="N49" s="408">
        <f t="shared" si="32"/>
        <v>3</v>
      </c>
      <c r="O49" s="408">
        <f t="shared" si="32"/>
        <v>2</v>
      </c>
      <c r="P49" s="408">
        <f t="shared" si="32"/>
        <v>2</v>
      </c>
      <c r="Q49" s="408">
        <f t="shared" si="32"/>
        <v>3</v>
      </c>
      <c r="R49" s="408">
        <f t="shared" si="32"/>
        <v>3</v>
      </c>
      <c r="S49" s="408">
        <f t="shared" si="32"/>
        <v>3</v>
      </c>
      <c r="T49" s="408">
        <f t="shared" si="32"/>
        <v>3</v>
      </c>
      <c r="U49" s="408">
        <f t="shared" si="32"/>
        <v>3</v>
      </c>
      <c r="V49" s="408">
        <f t="shared" si="32"/>
        <v>2</v>
      </c>
      <c r="W49" s="408">
        <f t="shared" si="32"/>
        <v>2</v>
      </c>
      <c r="X49" s="408">
        <f t="shared" si="32"/>
        <v>3</v>
      </c>
      <c r="Y49" s="408">
        <f t="shared" si="32"/>
        <v>3</v>
      </c>
      <c r="Z49" s="408">
        <f t="shared" si="32"/>
        <v>3</v>
      </c>
      <c r="AA49" s="408">
        <f t="shared" si="32"/>
        <v>3</v>
      </c>
      <c r="AB49" s="408">
        <f t="shared" si="32"/>
        <v>3</v>
      </c>
      <c r="AC49" s="408">
        <f t="shared" si="32"/>
        <v>2</v>
      </c>
      <c r="AD49" s="408">
        <f t="shared" si="32"/>
        <v>2</v>
      </c>
      <c r="AE49" s="408">
        <f t="shared" si="32"/>
        <v>4</v>
      </c>
      <c r="AF49" s="408">
        <f t="shared" si="32"/>
        <v>4</v>
      </c>
      <c r="AG49" s="408">
        <f t="shared" si="32"/>
        <v>4</v>
      </c>
      <c r="AH49" s="408">
        <f t="shared" si="32"/>
        <v>4</v>
      </c>
      <c r="AI49" s="408">
        <f t="shared" si="32"/>
        <v>2</v>
      </c>
      <c r="AJ49" s="408">
        <f t="shared" si="32"/>
        <v>2</v>
      </c>
      <c r="AK49" s="408">
        <f t="shared" si="32"/>
        <v>2</v>
      </c>
      <c r="AL49" s="408">
        <f t="shared" si="32"/>
        <v>2</v>
      </c>
      <c r="AM49" s="408">
        <f t="shared" si="32"/>
        <v>3</v>
      </c>
      <c r="AN49" s="408">
        <f t="shared" si="32"/>
        <v>3</v>
      </c>
      <c r="AP49" s="75" t="s">
        <v>109</v>
      </c>
      <c r="AQ49" s="75">
        <f>37*30</f>
        <v>1110</v>
      </c>
      <c r="AR49" s="75">
        <f>6*30</f>
        <v>180</v>
      </c>
      <c r="AS49" s="84"/>
      <c r="AT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32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5</v>
      </c>
      <c r="N50" s="411" cm="2">
        <f t="array" ref="N50">SUMPRODUCT(COUNTIF(N4:N46,{"早";"T早"}))</f>
        <v>5</v>
      </c>
      <c r="O50" s="411" cm="2">
        <f t="array" ref="O50">SUMPRODUCT(COUNTIF(O4:O46,{"早";"T早"}))</f>
        <v>3</v>
      </c>
      <c r="P50" s="411" cm="2">
        <f t="array" ref="P50">SUMPRODUCT(COUNTIF(P4:P46,{"早";"T早"}))</f>
        <v>3</v>
      </c>
      <c r="Q50" s="411" cm="2">
        <f t="array" ref="Q50">SUMPRODUCT(COUNTIF(Q4:Q46,{"早";"T早"}))</f>
        <v>5</v>
      </c>
      <c r="R50" s="411" cm="2">
        <f t="array" ref="R50">SUMPRODUCT(COUNTIF(R4:R46,{"早";"T早"}))</f>
        <v>5</v>
      </c>
      <c r="S50" s="411" cm="2">
        <f t="array" ref="S50">SUMPRODUCT(COUNTIF(S4:S46,{"早";"T早"}))</f>
        <v>5</v>
      </c>
      <c r="T50" s="411" cm="2">
        <f t="array" ref="T50">SUMPRODUCT(COUNTIF(T4:T46,{"早";"T早"}))</f>
        <v>5</v>
      </c>
      <c r="U50" s="411" cm="2">
        <f t="array" ref="U50">SUMPRODUCT(COUNTIF(U4:U46,{"早";"T早"}))</f>
        <v>5</v>
      </c>
      <c r="V50" s="411" cm="2">
        <f t="array" ref="V50">SUMPRODUCT(COUNTIF(V4:V46,{"早";"T早"}))</f>
        <v>3</v>
      </c>
      <c r="W50" s="411" cm="2">
        <f t="array" ref="W50">SUMPRODUCT(COUNTIF(W4:W46,{"早";"T早"}))</f>
        <v>3</v>
      </c>
      <c r="X50" s="411" cm="2">
        <f t="array" ref="X50">SUMPRODUCT(COUNTIF(X4:X46,{"早";"T早"}))</f>
        <v>5</v>
      </c>
      <c r="Y50" s="411" cm="2">
        <f t="array" ref="Y50">SUMPRODUCT(COUNTIF(Y4:Y46,{"早";"T早"}))</f>
        <v>5</v>
      </c>
      <c r="Z50" s="411" cm="2">
        <f t="array" ref="Z50">SUMPRODUCT(COUNTIF(Z4:Z46,{"早";"T早"}))</f>
        <v>5</v>
      </c>
      <c r="AA50" s="411" cm="2">
        <f t="array" ref="AA50">SUMPRODUCT(COUNTIF(AA4:AA46,{"早";"T早"}))</f>
        <v>5</v>
      </c>
      <c r="AB50" s="411" cm="2">
        <f t="array" ref="AB50">SUMPRODUCT(COUNTIF(AB4:AB46,{"早";"T早"}))</f>
        <v>5</v>
      </c>
      <c r="AC50" s="411" cm="2">
        <f t="array" ref="AC50">SUMPRODUCT(COUNTIF(AC4:AC46,{"早";"T早"}))</f>
        <v>3</v>
      </c>
      <c r="AD50" s="411" cm="2">
        <f t="array" ref="AD50">SUMPRODUCT(COUNTIF(AD4:AD46,{"早";"T早"}))</f>
        <v>3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5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3</v>
      </c>
      <c r="AL50" s="411" cm="2">
        <f t="array" ref="AL50">SUMPRODUCT(COUNTIF(AL4:AL46,{"早";"T早"}))</f>
        <v>3</v>
      </c>
      <c r="AM50" s="411" cm="2">
        <f t="array" ref="AM50">SUMPRODUCT(COUNTIF(AM4:AM46,{"早";"T早"}))</f>
        <v>5</v>
      </c>
      <c r="AN50" s="411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U50" s="84"/>
    </row>
    <row r="51" spans="1:51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33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3</v>
      </c>
      <c r="AF51" s="414" cm="2">
        <f t="array" ref="AF51">SUMPRODUCT(COUNTIF(AF4:AF46,{"中";"T中"}))</f>
        <v>3</v>
      </c>
      <c r="AG51" s="414" cm="2">
        <f t="array" ref="AG51">SUMPRODUCT(COUNTIF(AG4:AG46,{"中";"T中"}))</f>
        <v>3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U51" s="89"/>
    </row>
    <row r="52" spans="1:51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31">
        <f t="shared" ref="K52:AN52" si="33">COUNTIF(K4:K46,"晚")</f>
        <v>3</v>
      </c>
      <c r="L52" s="408">
        <f t="shared" si="33"/>
        <v>3</v>
      </c>
      <c r="M52" s="408">
        <f t="shared" si="33"/>
        <v>3</v>
      </c>
      <c r="N52" s="408">
        <f t="shared" si="33"/>
        <v>3</v>
      </c>
      <c r="O52" s="408">
        <f t="shared" si="33"/>
        <v>2</v>
      </c>
      <c r="P52" s="408">
        <f t="shared" si="33"/>
        <v>2</v>
      </c>
      <c r="Q52" s="408">
        <f t="shared" si="33"/>
        <v>3</v>
      </c>
      <c r="R52" s="408">
        <f t="shared" si="33"/>
        <v>3</v>
      </c>
      <c r="S52" s="408">
        <f t="shared" si="33"/>
        <v>3</v>
      </c>
      <c r="T52" s="408">
        <f t="shared" si="33"/>
        <v>3</v>
      </c>
      <c r="U52" s="408">
        <f t="shared" si="33"/>
        <v>3</v>
      </c>
      <c r="V52" s="408">
        <f t="shared" si="33"/>
        <v>2</v>
      </c>
      <c r="W52" s="408">
        <f t="shared" si="33"/>
        <v>2</v>
      </c>
      <c r="X52" s="408">
        <f t="shared" si="33"/>
        <v>3</v>
      </c>
      <c r="Y52" s="408">
        <f t="shared" si="33"/>
        <v>3</v>
      </c>
      <c r="Z52" s="408">
        <f t="shared" si="33"/>
        <v>3</v>
      </c>
      <c r="AA52" s="408">
        <f t="shared" si="33"/>
        <v>3</v>
      </c>
      <c r="AB52" s="408">
        <f t="shared" si="33"/>
        <v>3</v>
      </c>
      <c r="AC52" s="408">
        <f t="shared" si="33"/>
        <v>2</v>
      </c>
      <c r="AD52" s="408">
        <f t="shared" si="33"/>
        <v>2</v>
      </c>
      <c r="AE52" s="408">
        <f t="shared" si="33"/>
        <v>3</v>
      </c>
      <c r="AF52" s="408">
        <f t="shared" si="33"/>
        <v>3</v>
      </c>
      <c r="AG52" s="408">
        <f t="shared" si="33"/>
        <v>3</v>
      </c>
      <c r="AH52" s="408">
        <f t="shared" si="33"/>
        <v>3</v>
      </c>
      <c r="AI52" s="408">
        <f t="shared" si="33"/>
        <v>2</v>
      </c>
      <c r="AJ52" s="408">
        <f t="shared" si="33"/>
        <v>2</v>
      </c>
      <c r="AK52" s="408">
        <f t="shared" si="33"/>
        <v>2</v>
      </c>
      <c r="AL52" s="408">
        <f t="shared" si="33"/>
        <v>2</v>
      </c>
      <c r="AM52" s="408">
        <f t="shared" si="33"/>
        <v>3</v>
      </c>
      <c r="AN52" s="408">
        <f t="shared" si="33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32">
        <f t="shared" ref="K53:AN53" si="34">COUNTIF(K4:K46,"日")</f>
        <v>1</v>
      </c>
      <c r="L53" s="411">
        <f t="shared" si="34"/>
        <v>1</v>
      </c>
      <c r="M53" s="411">
        <f t="shared" si="34"/>
        <v>1</v>
      </c>
      <c r="N53" s="411">
        <f t="shared" si="34"/>
        <v>1</v>
      </c>
      <c r="O53" s="411">
        <f t="shared" si="34"/>
        <v>1</v>
      </c>
      <c r="P53" s="411">
        <f t="shared" si="34"/>
        <v>1</v>
      </c>
      <c r="Q53" s="411">
        <f t="shared" si="34"/>
        <v>1</v>
      </c>
      <c r="R53" s="411">
        <f t="shared" si="34"/>
        <v>1</v>
      </c>
      <c r="S53" s="411">
        <f t="shared" si="34"/>
        <v>1</v>
      </c>
      <c r="T53" s="411">
        <f t="shared" si="34"/>
        <v>1</v>
      </c>
      <c r="U53" s="411">
        <f t="shared" si="34"/>
        <v>1</v>
      </c>
      <c r="V53" s="411">
        <f t="shared" si="34"/>
        <v>1</v>
      </c>
      <c r="W53" s="411">
        <f t="shared" si="34"/>
        <v>1</v>
      </c>
      <c r="X53" s="411">
        <f t="shared" si="34"/>
        <v>1</v>
      </c>
      <c r="Y53" s="411">
        <f t="shared" si="34"/>
        <v>1</v>
      </c>
      <c r="Z53" s="411">
        <f t="shared" si="34"/>
        <v>1</v>
      </c>
      <c r="AA53" s="411">
        <f t="shared" si="34"/>
        <v>1</v>
      </c>
      <c r="AB53" s="411">
        <f t="shared" si="34"/>
        <v>1</v>
      </c>
      <c r="AC53" s="411">
        <f t="shared" si="34"/>
        <v>1</v>
      </c>
      <c r="AD53" s="411">
        <f t="shared" si="34"/>
        <v>1</v>
      </c>
      <c r="AE53" s="411">
        <f t="shared" si="34"/>
        <v>1</v>
      </c>
      <c r="AF53" s="411">
        <f t="shared" si="34"/>
        <v>1</v>
      </c>
      <c r="AG53" s="411">
        <f t="shared" si="34"/>
        <v>1</v>
      </c>
      <c r="AH53" s="411">
        <f t="shared" si="34"/>
        <v>1</v>
      </c>
      <c r="AI53" s="411">
        <f t="shared" si="34"/>
        <v>1</v>
      </c>
      <c r="AJ53" s="411">
        <f t="shared" si="34"/>
        <v>1</v>
      </c>
      <c r="AK53" s="411">
        <f t="shared" si="34"/>
        <v>1</v>
      </c>
      <c r="AL53" s="411">
        <f t="shared" si="34"/>
        <v>1</v>
      </c>
      <c r="AM53" s="411">
        <f t="shared" si="34"/>
        <v>1</v>
      </c>
      <c r="AN53" s="411">
        <f t="shared" si="34"/>
        <v>1</v>
      </c>
      <c r="AP53" s="50" t="s">
        <v>104</v>
      </c>
      <c r="AQ53" s="91" cm="1">
        <f t="array" ref="AQ53">SUMPRODUCT(COUNTIF(K4:AN40,{"N";"N8"}))</f>
        <v>71</v>
      </c>
      <c r="AR53" s="91" cm="1">
        <f t="array" ref="AR53">SUMPRODUCT(COUNTIF(K41:AN46,{"N";"N8"}))</f>
        <v>16</v>
      </c>
    </row>
    <row r="54" spans="1:51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33">
        <f t="shared" ref="K54:AN54" si="35">COUNTIF(K4:K46,"小夜")</f>
        <v>1</v>
      </c>
      <c r="L54" s="414">
        <f t="shared" si="35"/>
        <v>1</v>
      </c>
      <c r="M54" s="414">
        <f t="shared" si="35"/>
        <v>1</v>
      </c>
      <c r="N54" s="414">
        <f t="shared" si="35"/>
        <v>1</v>
      </c>
      <c r="O54" s="414">
        <f t="shared" si="35"/>
        <v>1</v>
      </c>
      <c r="P54" s="414">
        <f t="shared" si="35"/>
        <v>1</v>
      </c>
      <c r="Q54" s="414">
        <f t="shared" si="35"/>
        <v>1</v>
      </c>
      <c r="R54" s="414">
        <f t="shared" si="35"/>
        <v>1</v>
      </c>
      <c r="S54" s="414">
        <f t="shared" si="35"/>
        <v>1</v>
      </c>
      <c r="T54" s="414">
        <f t="shared" si="35"/>
        <v>1</v>
      </c>
      <c r="U54" s="414">
        <f t="shared" si="35"/>
        <v>1</v>
      </c>
      <c r="V54" s="414">
        <f t="shared" si="35"/>
        <v>1</v>
      </c>
      <c r="W54" s="414">
        <f t="shared" si="35"/>
        <v>1</v>
      </c>
      <c r="X54" s="414">
        <f t="shared" si="35"/>
        <v>1</v>
      </c>
      <c r="Y54" s="414">
        <f t="shared" si="35"/>
        <v>1</v>
      </c>
      <c r="Z54" s="414">
        <f t="shared" si="35"/>
        <v>1</v>
      </c>
      <c r="AA54" s="414">
        <f t="shared" si="35"/>
        <v>1</v>
      </c>
      <c r="AB54" s="414">
        <f t="shared" si="35"/>
        <v>1</v>
      </c>
      <c r="AC54" s="414">
        <f t="shared" si="35"/>
        <v>1</v>
      </c>
      <c r="AD54" s="414">
        <f t="shared" si="35"/>
        <v>1</v>
      </c>
      <c r="AE54" s="414">
        <f t="shared" si="35"/>
        <v>1</v>
      </c>
      <c r="AF54" s="414">
        <f t="shared" si="35"/>
        <v>1</v>
      </c>
      <c r="AG54" s="414">
        <f t="shared" si="35"/>
        <v>1</v>
      </c>
      <c r="AH54" s="414">
        <f t="shared" si="35"/>
        <v>1</v>
      </c>
      <c r="AI54" s="414">
        <f t="shared" si="35"/>
        <v>1</v>
      </c>
      <c r="AJ54" s="414">
        <f t="shared" si="35"/>
        <v>1</v>
      </c>
      <c r="AK54" s="414">
        <f t="shared" si="35"/>
        <v>1</v>
      </c>
      <c r="AL54" s="414">
        <f t="shared" si="35"/>
        <v>1</v>
      </c>
      <c r="AM54" s="414">
        <f t="shared" si="35"/>
        <v>1</v>
      </c>
      <c r="AN54" s="414">
        <f t="shared" si="35"/>
        <v>1</v>
      </c>
      <c r="AP54" s="50" t="s">
        <v>105</v>
      </c>
      <c r="AQ54" s="92">
        <f>SUMPRODUCT(COUNTIF(K4:AN40,{"S"}))</f>
        <v>46</v>
      </c>
      <c r="AR54" s="75" cm="2">
        <f t="array" ref="AR54">SUMPRODUCT(COUNTIF(K41:AN46,{"S"}))</f>
        <v>14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31">
        <f t="shared" ref="K55:AN55" si="36">COUNTIF(K7:K49,"大夜")</f>
        <v>1</v>
      </c>
      <c r="L55" s="408">
        <f t="shared" si="36"/>
        <v>1</v>
      </c>
      <c r="M55" s="408">
        <f t="shared" si="36"/>
        <v>1</v>
      </c>
      <c r="N55" s="408">
        <f t="shared" si="36"/>
        <v>1</v>
      </c>
      <c r="O55" s="408">
        <f t="shared" si="36"/>
        <v>1</v>
      </c>
      <c r="P55" s="408">
        <f t="shared" si="36"/>
        <v>1</v>
      </c>
      <c r="Q55" s="408">
        <f t="shared" si="36"/>
        <v>1</v>
      </c>
      <c r="R55" s="408">
        <f t="shared" si="36"/>
        <v>1</v>
      </c>
      <c r="S55" s="408">
        <f t="shared" si="36"/>
        <v>1</v>
      </c>
      <c r="T55" s="408">
        <f t="shared" si="36"/>
        <v>1</v>
      </c>
      <c r="U55" s="408">
        <f t="shared" si="36"/>
        <v>1</v>
      </c>
      <c r="V55" s="408">
        <f t="shared" si="36"/>
        <v>1</v>
      </c>
      <c r="W55" s="408">
        <f t="shared" si="36"/>
        <v>1</v>
      </c>
      <c r="X55" s="408">
        <f t="shared" si="36"/>
        <v>1</v>
      </c>
      <c r="Y55" s="408">
        <f t="shared" si="36"/>
        <v>1</v>
      </c>
      <c r="Z55" s="408">
        <f t="shared" si="36"/>
        <v>1</v>
      </c>
      <c r="AA55" s="408">
        <f t="shared" si="36"/>
        <v>1</v>
      </c>
      <c r="AB55" s="408">
        <f t="shared" si="36"/>
        <v>1</v>
      </c>
      <c r="AC55" s="408">
        <f t="shared" si="36"/>
        <v>1</v>
      </c>
      <c r="AD55" s="408">
        <f t="shared" si="36"/>
        <v>1</v>
      </c>
      <c r="AE55" s="408">
        <f t="shared" si="36"/>
        <v>1</v>
      </c>
      <c r="AF55" s="408">
        <f t="shared" si="36"/>
        <v>1</v>
      </c>
      <c r="AG55" s="408">
        <f t="shared" si="36"/>
        <v>1</v>
      </c>
      <c r="AH55" s="408">
        <f t="shared" si="36"/>
        <v>1</v>
      </c>
      <c r="AI55" s="408">
        <f t="shared" si="36"/>
        <v>1</v>
      </c>
      <c r="AJ55" s="408">
        <f t="shared" si="36"/>
        <v>1</v>
      </c>
      <c r="AK55" s="408">
        <f t="shared" si="36"/>
        <v>1</v>
      </c>
      <c r="AL55" s="408">
        <f t="shared" si="36"/>
        <v>1</v>
      </c>
      <c r="AM55" s="408">
        <f t="shared" si="36"/>
        <v>1</v>
      </c>
      <c r="AN55" s="408">
        <f t="shared" si="36"/>
        <v>1</v>
      </c>
      <c r="AP55" s="93" t="s">
        <v>145</v>
      </c>
      <c r="AQ55" s="75">
        <v>24</v>
      </c>
      <c r="AR55" s="75">
        <v>0</v>
      </c>
    </row>
    <row r="56" spans="1:51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N56" si="37">COUNTIF(K4:K46,"N")+COUNTIF(K4:K46,"N8")</f>
        <v>4</v>
      </c>
      <c r="L56" s="96">
        <f t="shared" si="37"/>
        <v>9</v>
      </c>
      <c r="M56" s="96">
        <f t="shared" si="37"/>
        <v>8</v>
      </c>
      <c r="N56" s="96">
        <f t="shared" si="37"/>
        <v>6</v>
      </c>
      <c r="O56" s="96">
        <f t="shared" si="37"/>
        <v>0</v>
      </c>
      <c r="P56" s="96">
        <f t="shared" si="37"/>
        <v>0</v>
      </c>
      <c r="Q56" s="96">
        <f t="shared" si="37"/>
        <v>4</v>
      </c>
      <c r="R56" s="96">
        <f t="shared" si="37"/>
        <v>3</v>
      </c>
      <c r="S56" s="96">
        <f t="shared" si="37"/>
        <v>7</v>
      </c>
      <c r="T56" s="96">
        <f t="shared" si="37"/>
        <v>8</v>
      </c>
      <c r="U56" s="96">
        <f t="shared" si="37"/>
        <v>3</v>
      </c>
      <c r="V56" s="96">
        <f t="shared" si="37"/>
        <v>0</v>
      </c>
      <c r="W56" s="96">
        <f t="shared" si="37"/>
        <v>0</v>
      </c>
      <c r="X56" s="96">
        <f t="shared" si="37"/>
        <v>2</v>
      </c>
      <c r="Y56" s="96">
        <f t="shared" si="37"/>
        <v>4</v>
      </c>
      <c r="Z56" s="96">
        <f t="shared" si="37"/>
        <v>3</v>
      </c>
      <c r="AA56" s="96">
        <f t="shared" si="37"/>
        <v>2</v>
      </c>
      <c r="AB56" s="96">
        <f t="shared" si="37"/>
        <v>0</v>
      </c>
      <c r="AC56" s="96">
        <f t="shared" si="37"/>
        <v>0</v>
      </c>
      <c r="AD56" s="96">
        <f t="shared" si="37"/>
        <v>0</v>
      </c>
      <c r="AE56" s="96">
        <f t="shared" si="37"/>
        <v>2</v>
      </c>
      <c r="AF56" s="96">
        <f t="shared" si="37"/>
        <v>6</v>
      </c>
      <c r="AG56" s="96">
        <f t="shared" si="37"/>
        <v>6</v>
      </c>
      <c r="AH56" s="96">
        <f t="shared" si="37"/>
        <v>3</v>
      </c>
      <c r="AI56" s="96">
        <f t="shared" si="37"/>
        <v>0</v>
      </c>
      <c r="AJ56" s="96">
        <f t="shared" si="37"/>
        <v>0</v>
      </c>
      <c r="AK56" s="96">
        <f t="shared" si="37"/>
        <v>0</v>
      </c>
      <c r="AL56" s="96">
        <f t="shared" si="37"/>
        <v>0</v>
      </c>
      <c r="AM56" s="97">
        <f t="shared" si="37"/>
        <v>3</v>
      </c>
      <c r="AN56" s="99">
        <f t="shared" si="37"/>
        <v>4</v>
      </c>
      <c r="AP56" s="100" t="s">
        <v>42</v>
      </c>
      <c r="AQ56" s="101">
        <v>0</v>
      </c>
      <c r="AR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N57" si="38">COUNTIF(K4:K46,"X")+COUNTIF(K4:K46,"Y")+COUNTIF(K4:K46,"Z")</f>
        <v>13</v>
      </c>
      <c r="L57" s="24">
        <f t="shared" si="38"/>
        <v>7</v>
      </c>
      <c r="M57" s="24">
        <f t="shared" si="38"/>
        <v>8</v>
      </c>
      <c r="N57" s="24">
        <f t="shared" si="38"/>
        <v>9</v>
      </c>
      <c r="O57" s="24">
        <f t="shared" si="38"/>
        <v>22</v>
      </c>
      <c r="P57" s="24">
        <f t="shared" si="38"/>
        <v>21</v>
      </c>
      <c r="Q57" s="24">
        <f t="shared" si="38"/>
        <v>9</v>
      </c>
      <c r="R57" s="24">
        <f t="shared" si="38"/>
        <v>13</v>
      </c>
      <c r="S57" s="24">
        <f t="shared" si="38"/>
        <v>8</v>
      </c>
      <c r="T57" s="24">
        <f t="shared" si="38"/>
        <v>7</v>
      </c>
      <c r="U57" s="24">
        <f t="shared" si="38"/>
        <v>10</v>
      </c>
      <c r="V57" s="24">
        <f t="shared" si="38"/>
        <v>23</v>
      </c>
      <c r="W57" s="24">
        <f t="shared" si="38"/>
        <v>22</v>
      </c>
      <c r="X57" s="24">
        <f t="shared" si="38"/>
        <v>12</v>
      </c>
      <c r="Y57" s="24">
        <f t="shared" si="38"/>
        <v>12</v>
      </c>
      <c r="Z57" s="24">
        <f t="shared" si="38"/>
        <v>12</v>
      </c>
      <c r="AA57" s="24">
        <f t="shared" si="38"/>
        <v>12</v>
      </c>
      <c r="AB57" s="24">
        <f t="shared" si="38"/>
        <v>14</v>
      </c>
      <c r="AC57" s="24">
        <f t="shared" si="38"/>
        <v>22</v>
      </c>
      <c r="AD57" s="24">
        <f t="shared" si="38"/>
        <v>24</v>
      </c>
      <c r="AE57" s="24">
        <f t="shared" si="38"/>
        <v>13</v>
      </c>
      <c r="AF57" s="24">
        <f t="shared" si="38"/>
        <v>10</v>
      </c>
      <c r="AG57" s="24">
        <f t="shared" si="38"/>
        <v>8</v>
      </c>
      <c r="AH57" s="24">
        <f t="shared" si="38"/>
        <v>11</v>
      </c>
      <c r="AI57" s="24">
        <f t="shared" si="38"/>
        <v>20</v>
      </c>
      <c r="AJ57" s="24">
        <f t="shared" si="38"/>
        <v>22</v>
      </c>
      <c r="AK57" s="24">
        <f t="shared" si="38"/>
        <v>20</v>
      </c>
      <c r="AL57" s="24">
        <f t="shared" si="38"/>
        <v>22</v>
      </c>
      <c r="AM57" s="24">
        <f t="shared" si="38"/>
        <v>12</v>
      </c>
      <c r="AN57" s="102">
        <f t="shared" si="38"/>
        <v>11</v>
      </c>
      <c r="AP57" s="100" t="s">
        <v>146</v>
      </c>
      <c r="AQ57" s="101">
        <v>0</v>
      </c>
      <c r="AR57" s="75">
        <v>0</v>
      </c>
    </row>
    <row r="58" spans="1:51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N58" si="39">COUNTIF(K4:K46,"S")</f>
        <v>1</v>
      </c>
      <c r="L58" s="39">
        <f t="shared" si="39"/>
        <v>2</v>
      </c>
      <c r="M58" s="39">
        <f t="shared" si="39"/>
        <v>2</v>
      </c>
      <c r="N58" s="39">
        <f t="shared" si="39"/>
        <v>3</v>
      </c>
      <c r="O58" s="39">
        <f t="shared" si="39"/>
        <v>2</v>
      </c>
      <c r="P58" s="39">
        <f t="shared" si="39"/>
        <v>3</v>
      </c>
      <c r="Q58" s="39">
        <f t="shared" si="39"/>
        <v>4</v>
      </c>
      <c r="R58" s="39">
        <f t="shared" si="39"/>
        <v>1</v>
      </c>
      <c r="S58" s="39">
        <f t="shared" si="39"/>
        <v>2</v>
      </c>
      <c r="T58" s="39">
        <f t="shared" si="39"/>
        <v>2</v>
      </c>
      <c r="U58" s="39">
        <f t="shared" si="39"/>
        <v>4</v>
      </c>
      <c r="V58" s="39">
        <f t="shared" si="39"/>
        <v>1</v>
      </c>
      <c r="W58" s="39">
        <f t="shared" si="39"/>
        <v>2</v>
      </c>
      <c r="X58" s="39">
        <f t="shared" si="39"/>
        <v>3</v>
      </c>
      <c r="Y58" s="39">
        <f t="shared" si="39"/>
        <v>1</v>
      </c>
      <c r="Z58" s="39">
        <f t="shared" si="39"/>
        <v>2</v>
      </c>
      <c r="AA58" s="39">
        <f t="shared" si="39"/>
        <v>2</v>
      </c>
      <c r="AB58" s="39">
        <f t="shared" si="39"/>
        <v>2</v>
      </c>
      <c r="AC58" s="39">
        <f t="shared" si="39"/>
        <v>2</v>
      </c>
      <c r="AD58" s="39">
        <f t="shared" si="39"/>
        <v>0</v>
      </c>
      <c r="AE58" s="39">
        <f t="shared" si="39"/>
        <v>1</v>
      </c>
      <c r="AF58" s="39">
        <f t="shared" si="39"/>
        <v>0</v>
      </c>
      <c r="AG58" s="39">
        <f t="shared" si="39"/>
        <v>2</v>
      </c>
      <c r="AH58" s="39">
        <f t="shared" si="39"/>
        <v>2</v>
      </c>
      <c r="AI58" s="39">
        <f t="shared" si="39"/>
        <v>4</v>
      </c>
      <c r="AJ58" s="39">
        <f t="shared" si="39"/>
        <v>2</v>
      </c>
      <c r="AK58" s="39">
        <f t="shared" si="39"/>
        <v>4</v>
      </c>
      <c r="AL58" s="39">
        <f t="shared" si="39"/>
        <v>2</v>
      </c>
      <c r="AM58" s="39">
        <f t="shared" si="39"/>
        <v>1</v>
      </c>
      <c r="AN58" s="83">
        <f t="shared" si="39"/>
        <v>1</v>
      </c>
      <c r="AP58" s="107" t="s">
        <v>46</v>
      </c>
      <c r="AQ58" s="105">
        <f>AQ49-AQ50-AQ52-AQ53-AQ54-AQ55+AQ56+AQ57-AQ51</f>
        <v>-1</v>
      </c>
      <c r="AR58" s="105">
        <f>AR49-AR50-AR52-AR53-AR54-AR55+AR56+AR57-AR51</f>
        <v>0</v>
      </c>
      <c r="AS58" s="6"/>
      <c r="AT58" s="6"/>
    </row>
    <row r="59" spans="1:51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N59" si="40">COUNTIF(K4:K46,"T")</f>
        <v>0</v>
      </c>
      <c r="L59" s="39">
        <f t="shared" si="40"/>
        <v>0</v>
      </c>
      <c r="M59" s="39">
        <f t="shared" si="40"/>
        <v>0</v>
      </c>
      <c r="N59" s="39">
        <f t="shared" si="40"/>
        <v>0</v>
      </c>
      <c r="O59" s="39">
        <f t="shared" si="40"/>
        <v>0</v>
      </c>
      <c r="P59" s="39">
        <f t="shared" si="40"/>
        <v>0</v>
      </c>
      <c r="Q59" s="39">
        <f t="shared" si="40"/>
        <v>0</v>
      </c>
      <c r="R59" s="39">
        <f t="shared" si="40"/>
        <v>0</v>
      </c>
      <c r="S59" s="39">
        <f t="shared" si="40"/>
        <v>0</v>
      </c>
      <c r="T59" s="39">
        <f t="shared" si="40"/>
        <v>0</v>
      </c>
      <c r="U59" s="39">
        <f t="shared" si="40"/>
        <v>0</v>
      </c>
      <c r="V59" s="39">
        <f t="shared" si="40"/>
        <v>0</v>
      </c>
      <c r="W59" s="39">
        <f t="shared" si="40"/>
        <v>0</v>
      </c>
      <c r="X59" s="39">
        <f t="shared" si="40"/>
        <v>0</v>
      </c>
      <c r="Y59" s="39">
        <f t="shared" si="40"/>
        <v>0</v>
      </c>
      <c r="Z59" s="39">
        <f t="shared" si="40"/>
        <v>0</v>
      </c>
      <c r="AA59" s="39">
        <f t="shared" si="40"/>
        <v>0</v>
      </c>
      <c r="AB59" s="39">
        <f t="shared" si="40"/>
        <v>0</v>
      </c>
      <c r="AC59" s="39">
        <f t="shared" si="40"/>
        <v>0</v>
      </c>
      <c r="AD59" s="39">
        <f t="shared" si="40"/>
        <v>0</v>
      </c>
      <c r="AE59" s="39">
        <f t="shared" si="40"/>
        <v>0</v>
      </c>
      <c r="AF59" s="39">
        <f t="shared" si="40"/>
        <v>0</v>
      </c>
      <c r="AG59" s="39">
        <f t="shared" si="40"/>
        <v>0</v>
      </c>
      <c r="AH59" s="39">
        <f t="shared" si="40"/>
        <v>0</v>
      </c>
      <c r="AI59" s="39">
        <f t="shared" si="40"/>
        <v>0</v>
      </c>
      <c r="AJ59" s="39">
        <f t="shared" si="40"/>
        <v>0</v>
      </c>
      <c r="AK59" s="39">
        <f t="shared" si="40"/>
        <v>0</v>
      </c>
      <c r="AL59" s="39">
        <f t="shared" si="40"/>
        <v>0</v>
      </c>
      <c r="AM59" s="39">
        <f t="shared" si="40"/>
        <v>0</v>
      </c>
      <c r="AN59" s="83">
        <f t="shared" si="40"/>
        <v>0</v>
      </c>
      <c r="AO59" s="77"/>
      <c r="AQ59" s="50"/>
      <c r="AR59" s="111"/>
      <c r="AU59" s="77"/>
      <c r="AW59" s="77"/>
      <c r="AX59" s="77"/>
      <c r="AY59" s="77"/>
    </row>
    <row r="60" spans="1:51" ht="24.6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N60" si="41">SUM(L47:L59)</f>
        <v>43</v>
      </c>
      <c r="M60" s="109">
        <f t="shared" si="41"/>
        <v>43</v>
      </c>
      <c r="N60" s="109">
        <f t="shared" si="41"/>
        <v>43</v>
      </c>
      <c r="O60" s="109">
        <f t="shared" si="41"/>
        <v>43</v>
      </c>
      <c r="P60" s="109">
        <f t="shared" si="41"/>
        <v>43</v>
      </c>
      <c r="Q60" s="109">
        <f t="shared" si="41"/>
        <v>43</v>
      </c>
      <c r="R60" s="109">
        <f t="shared" si="41"/>
        <v>43</v>
      </c>
      <c r="S60" s="109">
        <f t="shared" si="41"/>
        <v>43</v>
      </c>
      <c r="T60" s="109">
        <f t="shared" si="41"/>
        <v>43</v>
      </c>
      <c r="U60" s="109">
        <f t="shared" si="41"/>
        <v>43</v>
      </c>
      <c r="V60" s="109">
        <f t="shared" si="41"/>
        <v>43</v>
      </c>
      <c r="W60" s="109">
        <f t="shared" si="41"/>
        <v>43</v>
      </c>
      <c r="X60" s="109">
        <f t="shared" si="41"/>
        <v>43</v>
      </c>
      <c r="Y60" s="109">
        <f t="shared" si="41"/>
        <v>43</v>
      </c>
      <c r="Z60" s="109">
        <f t="shared" si="41"/>
        <v>43</v>
      </c>
      <c r="AA60" s="109">
        <f t="shared" si="41"/>
        <v>43</v>
      </c>
      <c r="AB60" s="109">
        <f t="shared" si="41"/>
        <v>43</v>
      </c>
      <c r="AC60" s="109">
        <f t="shared" si="41"/>
        <v>43</v>
      </c>
      <c r="AD60" s="109">
        <f t="shared" si="41"/>
        <v>43</v>
      </c>
      <c r="AE60" s="109">
        <f t="shared" si="41"/>
        <v>43</v>
      </c>
      <c r="AF60" s="109">
        <f t="shared" si="41"/>
        <v>43</v>
      </c>
      <c r="AG60" s="109">
        <f t="shared" si="41"/>
        <v>43</v>
      </c>
      <c r="AH60" s="109">
        <f t="shared" si="41"/>
        <v>43</v>
      </c>
      <c r="AI60" s="109">
        <f t="shared" si="41"/>
        <v>43</v>
      </c>
      <c r="AJ60" s="109">
        <f t="shared" si="41"/>
        <v>43</v>
      </c>
      <c r="AK60" s="109">
        <f t="shared" si="41"/>
        <v>43</v>
      </c>
      <c r="AL60" s="109">
        <f t="shared" si="41"/>
        <v>43</v>
      </c>
      <c r="AM60" s="109">
        <f t="shared" si="41"/>
        <v>43</v>
      </c>
      <c r="AN60" s="110">
        <f t="shared" si="41"/>
        <v>43</v>
      </c>
      <c r="AP60" s="7"/>
      <c r="AQ60" s="6"/>
      <c r="AR60" s="111"/>
      <c r="AU60" s="37"/>
    </row>
    <row r="61" spans="1:51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0</v>
      </c>
      <c r="L61" s="113">
        <f t="shared" ref="L61:N61" si="42">43-L56-L57-L58-25</f>
        <v>0</v>
      </c>
      <c r="M61" s="113">
        <f t="shared" si="42"/>
        <v>0</v>
      </c>
      <c r="N61" s="113">
        <f t="shared" si="42"/>
        <v>0</v>
      </c>
      <c r="O61" s="113">
        <f>43-O56-O57-O58-19</f>
        <v>0</v>
      </c>
      <c r="P61" s="113">
        <f>43-P56-P57-P58-19</f>
        <v>0</v>
      </c>
      <c r="Q61" s="113">
        <f t="shared" ref="Q61:U61" si="43">43-Q56-Q57-Q58-25</f>
        <v>1</v>
      </c>
      <c r="R61" s="113">
        <f t="shared" si="43"/>
        <v>1</v>
      </c>
      <c r="S61" s="113">
        <f t="shared" si="43"/>
        <v>1</v>
      </c>
      <c r="T61" s="113">
        <f t="shared" si="43"/>
        <v>1</v>
      </c>
      <c r="U61" s="113">
        <f t="shared" si="43"/>
        <v>1</v>
      </c>
      <c r="V61" s="113">
        <f>43-V56-V57-V58-19</f>
        <v>0</v>
      </c>
      <c r="W61" s="113">
        <f>43-W56-W57-W58-19</f>
        <v>0</v>
      </c>
      <c r="X61" s="113">
        <f t="shared" ref="X61:AB61" si="44">43-X56-X57-X58-25</f>
        <v>1</v>
      </c>
      <c r="Y61" s="113">
        <f t="shared" si="44"/>
        <v>1</v>
      </c>
      <c r="Z61" s="113">
        <f t="shared" si="44"/>
        <v>1</v>
      </c>
      <c r="AA61" s="113">
        <f t="shared" si="44"/>
        <v>2</v>
      </c>
      <c r="AB61" s="113">
        <f t="shared" si="44"/>
        <v>2</v>
      </c>
      <c r="AC61" s="113">
        <f>43-AC56-AC57-AC58-19</f>
        <v>0</v>
      </c>
      <c r="AD61" s="113">
        <f>43-AD56-AD57-AD58-19</f>
        <v>0</v>
      </c>
      <c r="AE61" s="113">
        <f t="shared" ref="AE61:AH61" si="45">43-AE56-AE57-AE58-25</f>
        <v>2</v>
      </c>
      <c r="AF61" s="113">
        <f t="shared" si="45"/>
        <v>2</v>
      </c>
      <c r="AG61" s="113">
        <f t="shared" si="45"/>
        <v>2</v>
      </c>
      <c r="AH61" s="113">
        <f t="shared" si="45"/>
        <v>2</v>
      </c>
      <c r="AI61" s="113">
        <f>43-AI56-AI57-AI58-19</f>
        <v>0</v>
      </c>
      <c r="AJ61" s="113">
        <f>43-AJ56-AJ57-AJ58-19</f>
        <v>0</v>
      </c>
      <c r="AK61" s="113">
        <f>43-AK56-AK57-AK58-19</f>
        <v>0</v>
      </c>
      <c r="AL61" s="113">
        <f>43-AL56-AL57-AL58-19</f>
        <v>0</v>
      </c>
      <c r="AM61" s="113">
        <f t="shared" ref="AM61:AN61" si="46">43-AM56-AM57-AM58-25</f>
        <v>2</v>
      </c>
      <c r="AN61" s="113">
        <f t="shared" si="46"/>
        <v>2</v>
      </c>
    </row>
    <row r="62" spans="1:51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51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51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0" cm="1">
        <f t="array" ref="M64">SUMPRODUCT(COUNTIF(M4:M17,{"1";"M1"}))</f>
        <v>3</v>
      </c>
      <c r="N64" s="230" cm="1">
        <f t="array" ref="N64">SUMPRODUCT(COUNTIF(N4:N17,{"1";"M1"}))</f>
        <v>1</v>
      </c>
      <c r="O64" s="231" cm="1">
        <f t="array" ref="O64">SUMPRODUCT(COUNTIF(O4:O17,{"1";"M1"}))</f>
        <v>2</v>
      </c>
      <c r="P64" s="231" cm="1">
        <f t="array" ref="P64">SUMPRODUCT(COUNTIF(P4:P17,{"1";"M1"}))</f>
        <v>2</v>
      </c>
      <c r="Q64" s="230" cm="1">
        <f t="array" ref="Q64">SUMPRODUCT(COUNTIF(Q4:Q17,{"1";"M1"}))</f>
        <v>2</v>
      </c>
      <c r="R64" s="230" cm="1">
        <f t="array" ref="R64">SUMPRODUCT(COUNTIF(R4:R17,{"1";"M1"}))</f>
        <v>2</v>
      </c>
      <c r="S64" s="230" cm="1">
        <f t="array" ref="S64">SUMPRODUCT(COUNTIF(S4:S17,{"1";"M1"}))</f>
        <v>2</v>
      </c>
      <c r="T64" s="230" cm="1">
        <f t="array" ref="T64">SUMPRODUCT(COUNTIF(T4:T17,{"1";"M1"}))</f>
        <v>3</v>
      </c>
      <c r="U64" s="230" cm="1">
        <f t="array" ref="U64">SUMPRODUCT(COUNTIF(U4:U17,{"1";"M1"}))</f>
        <v>0</v>
      </c>
      <c r="V64" s="231" cm="1">
        <f t="array" ref="V64">SUMPRODUCT(COUNTIF(V4:V17,{"1";"M1"}))</f>
        <v>0</v>
      </c>
      <c r="W64" s="231" cm="1">
        <f t="array" ref="W64">SUMPRODUCT(COUNTIF(W4:W17,{"1";"M1"}))</f>
        <v>0</v>
      </c>
      <c r="X64" s="230" cm="1">
        <f t="array" ref="X64">SUMPRODUCT(COUNTIF(X4:X17,{"1";"M1"}))</f>
        <v>1</v>
      </c>
      <c r="Y64" s="230" cm="1">
        <f t="array" ref="Y64">SUMPRODUCT(COUNTIF(Y4:Y17,{"1";"M1"}))</f>
        <v>3</v>
      </c>
      <c r="Z64" s="230" cm="1">
        <f t="array" ref="Z64">SUMPRODUCT(COUNTIF(Z4:Z17,{"1";"M1"}))</f>
        <v>1</v>
      </c>
      <c r="AA64" s="230" cm="1">
        <f t="array" ref="AA64">SUMPRODUCT(COUNTIF(AA4:AA17,{"1";"M1"}))</f>
        <v>2</v>
      </c>
      <c r="AB64" s="230" cm="1">
        <f t="array" ref="AB64">SUMPRODUCT(COUNTIF(AB4:AB17,{"1";"M1"}))</f>
        <v>2</v>
      </c>
      <c r="AC64" s="231" cm="1">
        <f t="array" ref="AC64">SUMPRODUCT(COUNTIF(AC4:AC17,{"1";"M1"}))</f>
        <v>2</v>
      </c>
      <c r="AD64" s="231" cm="1">
        <f t="array" ref="AD64">SUMPRODUCT(COUNTIF(AD4:AD17,{"1";"M1"}))</f>
        <v>2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2</v>
      </c>
      <c r="AH64" s="230" cm="1">
        <f t="array" ref="AH64">SUMPRODUCT(COUNTIF(AH4:AH17,{"1";"M1"}))</f>
        <v>2</v>
      </c>
      <c r="AI64" s="231" cm="1">
        <f t="array" ref="AI64">SUMPRODUCT(COUNTIF(AI4:AI17,{"1";"M1"}))</f>
        <v>0</v>
      </c>
      <c r="AJ64" s="231" cm="1">
        <f t="array" ref="AJ64">SUMPRODUCT(COUNTIF(AJ4:AJ17,{"1";"M1"}))</f>
        <v>1</v>
      </c>
      <c r="AK64" s="231" cm="1">
        <f t="array" ref="AK64">SUMPRODUCT(COUNTIF(AK4:AK17,{"1";"M1"}))</f>
        <v>1</v>
      </c>
      <c r="AL64" s="231" cm="1">
        <f t="array" ref="AL64">SUMPRODUCT(COUNTIF(AL4:AL17,{"1";"M1"}))</f>
        <v>0</v>
      </c>
      <c r="AM64" s="230" cm="1">
        <f t="array" ref="AM64">SUMPRODUCT(COUNTIF(AM4:AM17,{"1";"M1"}))</f>
        <v>3</v>
      </c>
      <c r="AN64" s="230" cm="1">
        <f t="array" ref="AN64">SUMPRODUCT(COUNTIF(AN4:AN17,{"1";"M1"}))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6" s="77" customFormat="1" ht="24.6" customHeight="1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</row>
  </sheetData>
  <autoFilter ref="AS3:AS58" xr:uid="{00000000-0009-0000-0000-000008000000}"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N46">
    <cfRule type="expression" dxfId="123" priority="1">
      <formula>OR(K4="晚", K4=3, K4="大夜")</formula>
    </cfRule>
    <cfRule type="expression" dxfId="122" priority="2">
      <formula>OR(K4="T中", K4="中", K4=2, K4="小夜")</formula>
    </cfRule>
    <cfRule type="expression" dxfId="121" priority="3">
      <formula>OR(K4="T早", K4="早", K4="M1", K4=1, K4="日")</formula>
    </cfRule>
    <cfRule type="expression" dxfId="120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N47">
    <cfRule type="cellIs" dxfId="119" priority="5" operator="greaterThan">
      <formula>5</formula>
    </cfRule>
  </conditionalFormatting>
  <conditionalFormatting sqref="K47:AN55">
    <cfRule type="cellIs" dxfId="118" priority="6" operator="equal">
      <formula>5</formula>
    </cfRule>
    <cfRule type="cellIs" dxfId="117" priority="7" operator="equal">
      <formula>4</formula>
    </cfRule>
    <cfRule type="cellIs" dxfId="116" priority="8" operator="equal">
      <formula>3</formula>
    </cfRule>
    <cfRule type="cellIs" dxfId="115" priority="9" operator="equal">
      <formula>2</formula>
    </cfRule>
    <cfRule type="cellIs" dxfId="114" priority="10" operator="equal">
      <formula>1</formula>
    </cfRule>
  </conditionalFormatting>
  <conditionalFormatting sqref="K53:AN55">
    <cfRule type="cellIs" dxfId="113" priority="11" operator="equal">
      <formula>"T中"</formula>
    </cfRule>
  </conditionalFormatting>
  <conditionalFormatting sqref="AO23">
    <cfRule type="cellIs" dxfId="112" priority="31" operator="equal">
      <formula>"T中"</formula>
    </cfRule>
    <cfRule type="cellIs" dxfId="111" priority="32" operator="equal">
      <formula>"中"</formula>
    </cfRule>
    <cfRule type="cellIs" dxfId="110" priority="33" operator="equal">
      <formula>"M2"</formula>
    </cfRule>
    <cfRule type="cellIs" dxfId="109" priority="34" operator="equal">
      <formula>2</formula>
    </cfRule>
    <cfRule type="cellIs" dxfId="108" priority="35" operator="equal">
      <formula>"日"</formula>
    </cfRule>
    <cfRule type="cellIs" dxfId="107" priority="36" operator="equal">
      <formula>"T早"</formula>
    </cfRule>
    <cfRule type="cellIs" dxfId="106" priority="37" operator="equal">
      <formula>"早"</formula>
    </cfRule>
    <cfRule type="cellIs" dxfId="105" priority="38" operator="equal">
      <formula>"M1"</formula>
    </cfRule>
    <cfRule type="cellIs" dxfId="104" priority="39" operator="equal">
      <formula>1</formula>
    </cfRule>
    <cfRule type="cellIs" dxfId="103" priority="27" operator="equal">
      <formula>"大夜"</formula>
    </cfRule>
    <cfRule type="cellIs" dxfId="102" priority="28" operator="equal">
      <formula>"晚"</formula>
    </cfRule>
    <cfRule type="cellIs" dxfId="101" priority="29" operator="equal">
      <formula>3</formula>
    </cfRule>
    <cfRule type="cellIs" dxfId="100" priority="30" operator="equal">
      <formula>"小夜"</formula>
    </cfRule>
  </conditionalFormatting>
  <conditionalFormatting sqref="AO30:AO33">
    <cfRule type="cellIs" dxfId="99" priority="12" operator="equal">
      <formula>"大夜"</formula>
    </cfRule>
    <cfRule type="cellIs" dxfId="98" priority="13" operator="equal">
      <formula>"晚"</formula>
    </cfRule>
    <cfRule type="cellIs" dxfId="97" priority="14" operator="equal">
      <formula>3</formula>
    </cfRule>
    <cfRule type="cellIs" dxfId="96" priority="15" operator="equal">
      <formula>"小夜"</formula>
    </cfRule>
    <cfRule type="cellIs" dxfId="95" priority="16" operator="equal">
      <formula>"T中"</formula>
    </cfRule>
    <cfRule type="cellIs" dxfId="94" priority="17" operator="equal">
      <formula>"中"</formula>
    </cfRule>
    <cfRule type="cellIs" dxfId="93" priority="18" operator="equal">
      <formula>"M2"</formula>
    </cfRule>
    <cfRule type="cellIs" dxfId="92" priority="19" operator="equal">
      <formula>2</formula>
    </cfRule>
    <cfRule type="cellIs" dxfId="91" priority="21" operator="equal">
      <formula>"T早"</formula>
    </cfRule>
    <cfRule type="cellIs" dxfId="90" priority="22" operator="equal">
      <formula>"早"</formula>
    </cfRule>
    <cfRule type="cellIs" dxfId="89" priority="23" operator="equal">
      <formula>"M1"</formula>
    </cfRule>
    <cfRule type="cellIs" dxfId="88" priority="24" operator="equal">
      <formula>1</formula>
    </cfRule>
    <cfRule type="cellIs" dxfId="87" priority="20" operator="equal">
      <formula>"日"</formula>
    </cfRule>
  </conditionalFormatting>
  <conditionalFormatting sqref="AR4:AR46">
    <cfRule type="cellIs" dxfId="86" priority="25" operator="equal">
      <formula>-2</formula>
    </cfRule>
    <cfRule type="cellIs" dxfId="85" priority="26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3B71-9B67-4418-936D-736B25AF6DB2}">
  <sheetPr>
    <pageSetUpPr fitToPage="1"/>
  </sheetPr>
  <dimension ref="A1:HS117"/>
  <sheetViews>
    <sheetView tabSelected="1" zoomScale="65" zoomScaleNormal="65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G6" sqref="AG6"/>
    </sheetView>
  </sheetViews>
  <sheetFormatPr defaultColWidth="9" defaultRowHeight="24.6" customHeight="1"/>
  <cols>
    <col min="1" max="8" width="4.109375" style="77" customWidth="1"/>
    <col min="9" max="9" width="5.77734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4" width="9" style="6" customWidth="1"/>
    <col min="235" max="235" width="7.109375" style="6" customWidth="1"/>
    <col min="236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74" t="str">
        <f>"TPKC剩餘人力："&amp;AR58&amp;" / NK剩餘人力："&amp;AS58&amp;" /  N班人力："&amp;AR53</f>
        <v>TPKC剩餘人力：7 / NK剩餘人力：2 /  N班人力：60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81" t="s">
        <v>172</v>
      </c>
      <c r="K2" s="281" t="s">
        <v>115</v>
      </c>
      <c r="L2" s="10" t="s">
        <v>116</v>
      </c>
      <c r="M2" s="11" t="s">
        <v>117</v>
      </c>
      <c r="N2" s="11" t="s">
        <v>111</v>
      </c>
      <c r="O2" s="12" t="s">
        <v>112</v>
      </c>
      <c r="P2" s="12" t="s">
        <v>113</v>
      </c>
      <c r="Q2" s="12" t="s">
        <v>114</v>
      </c>
      <c r="R2" s="12" t="s">
        <v>115</v>
      </c>
      <c r="S2" s="13" t="s">
        <v>116</v>
      </c>
      <c r="T2" s="14" t="s">
        <v>117</v>
      </c>
      <c r="U2" s="14" t="s">
        <v>111</v>
      </c>
      <c r="V2" s="9" t="s">
        <v>112</v>
      </c>
      <c r="W2" s="9" t="s">
        <v>113</v>
      </c>
      <c r="X2" s="9" t="s">
        <v>114</v>
      </c>
      <c r="Y2" s="9" t="s">
        <v>115</v>
      </c>
      <c r="Z2" s="10" t="s">
        <v>116</v>
      </c>
      <c r="AA2" s="11" t="s">
        <v>117</v>
      </c>
      <c r="AB2" s="11" t="s">
        <v>111</v>
      </c>
      <c r="AC2" s="12" t="s">
        <v>112</v>
      </c>
      <c r="AD2" s="12" t="s">
        <v>113</v>
      </c>
      <c r="AE2" s="12" t="s">
        <v>114</v>
      </c>
      <c r="AF2" s="12" t="s">
        <v>115</v>
      </c>
      <c r="AG2" s="13" t="s">
        <v>116</v>
      </c>
      <c r="AH2" s="14" t="s">
        <v>117</v>
      </c>
      <c r="AI2" s="14" t="s">
        <v>111</v>
      </c>
      <c r="AJ2" s="9" t="s">
        <v>112</v>
      </c>
      <c r="AK2" s="9" t="s">
        <v>113</v>
      </c>
      <c r="AL2" s="9" t="s">
        <v>114</v>
      </c>
      <c r="AM2" s="9" t="s">
        <v>115</v>
      </c>
      <c r="AN2" s="10" t="s">
        <v>116</v>
      </c>
      <c r="AO2" s="452" t="s">
        <v>117</v>
      </c>
      <c r="AR2" s="6"/>
      <c r="AW2" s="471" t="s">
        <v>48</v>
      </c>
      <c r="AX2" s="472"/>
      <c r="AY2" s="473"/>
    </row>
    <row r="3" spans="1:226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82"/>
      <c r="K3" s="35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8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8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U3" s="417"/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17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2</v>
      </c>
      <c r="I4" s="176">
        <f>SUM(A4:H4)</f>
        <v>31</v>
      </c>
      <c r="J4" s="282" t="s">
        <v>152</v>
      </c>
      <c r="K4" s="389">
        <v>3</v>
      </c>
      <c r="L4" s="390">
        <v>3</v>
      </c>
      <c r="M4" s="235" t="s">
        <v>52</v>
      </c>
      <c r="N4" s="235">
        <v>1</v>
      </c>
      <c r="O4" s="235">
        <v>1</v>
      </c>
      <c r="P4" s="234" t="s">
        <v>1</v>
      </c>
      <c r="Q4" s="235" t="s">
        <v>0</v>
      </c>
      <c r="R4" s="390">
        <v>3</v>
      </c>
      <c r="S4" s="390">
        <v>3</v>
      </c>
      <c r="T4" s="390">
        <v>3</v>
      </c>
      <c r="U4" s="390">
        <v>3</v>
      </c>
      <c r="V4" s="390">
        <v>3</v>
      </c>
      <c r="W4" s="235" t="s">
        <v>0</v>
      </c>
      <c r="X4" s="235">
        <v>3</v>
      </c>
      <c r="Y4" s="390">
        <v>3</v>
      </c>
      <c r="Z4" s="390">
        <v>3</v>
      </c>
      <c r="AA4" s="233" t="s">
        <v>52</v>
      </c>
      <c r="AB4" s="233" t="s">
        <v>0</v>
      </c>
      <c r="AC4" s="390">
        <v>3</v>
      </c>
      <c r="AD4" s="390">
        <v>3</v>
      </c>
      <c r="AE4" s="390">
        <v>3</v>
      </c>
      <c r="AF4" s="390">
        <v>3</v>
      </c>
      <c r="AG4" s="390">
        <v>3</v>
      </c>
      <c r="AH4" s="233" t="s">
        <v>52</v>
      </c>
      <c r="AI4" s="233" t="s">
        <v>53</v>
      </c>
      <c r="AJ4" s="254" t="s">
        <v>53</v>
      </c>
      <c r="AK4" s="254" t="s">
        <v>0</v>
      </c>
      <c r="AL4" s="235" t="s">
        <v>52</v>
      </c>
      <c r="AM4" s="390">
        <v>3</v>
      </c>
      <c r="AN4" s="390">
        <v>3</v>
      </c>
      <c r="AO4" s="399" t="s">
        <v>52</v>
      </c>
      <c r="AP4" s="35">
        <v>0</v>
      </c>
      <c r="AQ4" s="36">
        <f t="shared" ref="AQ4:AQ46" si="0">$F4+$G4+H4-$I$1</f>
        <v>0</v>
      </c>
      <c r="AR4" s="36">
        <v>0</v>
      </c>
      <c r="AS4" s="26">
        <f>SUM(AP4:AR4)</f>
        <v>0</v>
      </c>
      <c r="AT4" s="328" t="s">
        <v>128</v>
      </c>
      <c r="AW4" s="6" cm="1">
        <f t="array" ref="AW4">SUMPRODUCT(COUNTIF(M4:N4,{"X";"Y";"Z";"S"}))+SUMPRODUCT(COUNTIF(T4:U4,{"X";"Y";"Z";"S"}))+SUMPRODUCT(COUNTIF(AA4:AB4,{"X";"Y";"Z";"S"}))+SUMPRODUCT(COUNTIF(AH4:AI4,{"X";"Y";"Z";"S"}))+SUMPRODUCT(COUNTIF(AO4:AO4,{"X";"Y";"Z";"S"}))-5</f>
        <v>1</v>
      </c>
      <c r="AX4" s="6">
        <v>6</v>
      </c>
      <c r="AY4" s="6">
        <f>AW4+AX4</f>
        <v>7</v>
      </c>
    </row>
    <row r="5" spans="1:226" ht="25.5" customHeight="1">
      <c r="A5" s="38">
        <f t="shared" ref="A5:A46" si="1">COUNTIF(K5:AO5,1)+COUNTIF(K5:AO5,"早")+COUNTIF(K5:AO5,"M1")+COUNTIF(K5:AO5,"T早")+COUNTIF(K5:AO5,"日")</f>
        <v>7</v>
      </c>
      <c r="B5" s="39">
        <f t="shared" ref="B5:B46" si="2">COUNTIF(K5:AO5,2)+COUNTIF(K5:AO5,"中")+COUNTIF(K5:AO5,"M2")+COUNTIF(K5:AO5,"T中")+COUNTIF(K5:AO5,"小夜")</f>
        <v>3</v>
      </c>
      <c r="C5" s="40">
        <f t="shared" ref="C5:C46" si="3">COUNTIF(K5:AO5,3)+COUNTIF(K5:AO5,"晚")+COUNTIF(K5:AO5,"大夜")</f>
        <v>10</v>
      </c>
      <c r="D5" s="39">
        <f t="shared" ref="D5:D46" si="4">COUNTIF(K5:AO5,"N")+COUNTIF(K5:AO5,"N8")</f>
        <v>0</v>
      </c>
      <c r="E5" s="41">
        <f t="shared" ref="E5:E46" si="5">COUNTIF(K5:AO5,"S")</f>
        <v>0</v>
      </c>
      <c r="F5" s="41">
        <f t="shared" ref="F5:F46" si="6">COUNTIF(K5:AO5,"X")</f>
        <v>4</v>
      </c>
      <c r="G5" s="41">
        <f t="shared" ref="G5:G46" si="7">COUNTIF(K5:AO5,"Y")</f>
        <v>4</v>
      </c>
      <c r="H5" s="41">
        <f t="shared" ref="H5:H46" si="8">COUNTIF(K5:AO5,"Z")</f>
        <v>2</v>
      </c>
      <c r="I5" s="177">
        <f t="shared" ref="I5:I46" si="9">SUM(A5:H5)</f>
        <v>30</v>
      </c>
      <c r="J5" s="453" t="s">
        <v>2</v>
      </c>
      <c r="K5" s="245">
        <v>1</v>
      </c>
      <c r="L5" s="259">
        <v>1</v>
      </c>
      <c r="M5" s="239" t="s">
        <v>52</v>
      </c>
      <c r="N5" s="239" t="s">
        <v>0</v>
      </c>
      <c r="O5" s="259" t="s">
        <v>40</v>
      </c>
      <c r="P5" s="259" t="s">
        <v>40</v>
      </c>
      <c r="Q5" s="259">
        <v>3</v>
      </c>
      <c r="R5" s="238" t="s">
        <v>52</v>
      </c>
      <c r="S5" s="259">
        <v>2</v>
      </c>
      <c r="T5" s="259">
        <v>2</v>
      </c>
      <c r="U5" s="259">
        <v>2</v>
      </c>
      <c r="V5" s="238" t="s">
        <v>0</v>
      </c>
      <c r="W5" s="259">
        <v>3</v>
      </c>
      <c r="X5" s="259">
        <v>3</v>
      </c>
      <c r="Y5" s="238" t="s">
        <v>52</v>
      </c>
      <c r="Z5" s="234" t="s">
        <v>53</v>
      </c>
      <c r="AA5" s="239" t="s">
        <v>53</v>
      </c>
      <c r="AB5" s="239" t="s">
        <v>0</v>
      </c>
      <c r="AC5" s="238" t="s">
        <v>36</v>
      </c>
      <c r="AD5" s="238" t="s">
        <v>36</v>
      </c>
      <c r="AE5" s="238" t="s">
        <v>36</v>
      </c>
      <c r="AF5" s="238" t="s">
        <v>36</v>
      </c>
      <c r="AG5" s="234" t="s">
        <v>163</v>
      </c>
      <c r="AH5" s="259">
        <v>3</v>
      </c>
      <c r="AI5" s="259">
        <v>3</v>
      </c>
      <c r="AJ5" s="259">
        <v>3</v>
      </c>
      <c r="AK5" s="259">
        <v>3</v>
      </c>
      <c r="AL5" s="259">
        <v>3</v>
      </c>
      <c r="AM5" s="238" t="s">
        <v>0</v>
      </c>
      <c r="AN5" s="234" t="s">
        <v>52</v>
      </c>
      <c r="AO5" s="241" t="s">
        <v>36</v>
      </c>
      <c r="AP5" s="45">
        <v>0</v>
      </c>
      <c r="AQ5" s="46">
        <f t="shared" si="0"/>
        <v>-1</v>
      </c>
      <c r="AR5" s="46">
        <v>0</v>
      </c>
      <c r="AS5" s="41">
        <f t="shared" ref="AS5:AS10" si="10">SUM(AP5:AR5)</f>
        <v>-1</v>
      </c>
      <c r="AT5" s="329" t="s">
        <v>126</v>
      </c>
    </row>
    <row r="6" spans="1:226" ht="25.5" customHeight="1">
      <c r="A6" s="38">
        <f t="shared" si="1"/>
        <v>11</v>
      </c>
      <c r="B6" s="39">
        <f t="shared" si="2"/>
        <v>1</v>
      </c>
      <c r="C6" s="40">
        <f t="shared" si="3"/>
        <v>0</v>
      </c>
      <c r="D6" s="39">
        <f t="shared" si="4"/>
        <v>8</v>
      </c>
      <c r="E6" s="41">
        <f t="shared" si="5"/>
        <v>0</v>
      </c>
      <c r="F6" s="41">
        <f t="shared" si="6"/>
        <v>4</v>
      </c>
      <c r="G6" s="41">
        <f t="shared" si="7"/>
        <v>5</v>
      </c>
      <c r="H6" s="41">
        <f t="shared" si="8"/>
        <v>2</v>
      </c>
      <c r="I6" s="177">
        <f t="shared" si="9"/>
        <v>31</v>
      </c>
      <c r="J6" s="454" t="s">
        <v>129</v>
      </c>
      <c r="K6" s="466" t="s">
        <v>3</v>
      </c>
      <c r="L6" s="238" t="s">
        <v>52</v>
      </c>
      <c r="M6" s="259">
        <v>1</v>
      </c>
      <c r="N6" s="238">
        <v>1</v>
      </c>
      <c r="O6" s="238">
        <v>1</v>
      </c>
      <c r="P6" s="238">
        <v>1</v>
      </c>
      <c r="Q6" s="259" t="s">
        <v>36</v>
      </c>
      <c r="R6" s="242" t="s">
        <v>3</v>
      </c>
      <c r="S6" s="234" t="s">
        <v>156</v>
      </c>
      <c r="T6" s="239" t="s">
        <v>52</v>
      </c>
      <c r="U6" s="239" t="s">
        <v>0</v>
      </c>
      <c r="V6" s="238" t="s">
        <v>36</v>
      </c>
      <c r="W6" s="242" t="s">
        <v>3</v>
      </c>
      <c r="X6" s="238" t="s">
        <v>52</v>
      </c>
      <c r="Y6" s="242" t="s">
        <v>3</v>
      </c>
      <c r="Z6" s="238" t="s">
        <v>36</v>
      </c>
      <c r="AA6" s="238" t="s">
        <v>36</v>
      </c>
      <c r="AB6" s="238" t="s">
        <v>0</v>
      </c>
      <c r="AC6" s="242" t="s">
        <v>3</v>
      </c>
      <c r="AD6" s="242" t="s">
        <v>3</v>
      </c>
      <c r="AE6" s="238" t="s">
        <v>3</v>
      </c>
      <c r="AF6" s="238" t="s">
        <v>3</v>
      </c>
      <c r="AG6" s="259" t="s">
        <v>38</v>
      </c>
      <c r="AH6" s="239" t="s">
        <v>52</v>
      </c>
      <c r="AI6" s="239" t="s">
        <v>0</v>
      </c>
      <c r="AJ6" s="238" t="s">
        <v>52</v>
      </c>
      <c r="AK6" s="238" t="s">
        <v>53</v>
      </c>
      <c r="AL6" s="238" t="s">
        <v>53</v>
      </c>
      <c r="AM6" s="238">
        <v>1</v>
      </c>
      <c r="AN6" s="238">
        <v>1</v>
      </c>
      <c r="AO6" s="260">
        <v>1</v>
      </c>
      <c r="AP6" s="45">
        <v>0</v>
      </c>
      <c r="AQ6" s="46">
        <f t="shared" si="0"/>
        <v>0</v>
      </c>
      <c r="AR6" s="46">
        <v>0</v>
      </c>
      <c r="AS6" s="41">
        <f t="shared" si="10"/>
        <v>0</v>
      </c>
      <c r="AT6" s="329" t="s">
        <v>126</v>
      </c>
      <c r="AW6" s="6" cm="1">
        <f t="array" ref="AW6">SUMPRODUCT(COUNTIF(M6:N6,{"X";"Y";"Z";"S"}))+SUMPRODUCT(COUNTIF(T6:U6,{"X";"Y";"Z";"S"}))+SUMPRODUCT(COUNTIF(AA6:AB6,{"X";"Y";"Z";"S"}))+SUMPRODUCT(COUNTIF(AH6:AI6,{"X";"Y";"Z";"S"}))+SUMPRODUCT(COUNTIF(AO6:AO6,{"X";"Y";"Z";"S"}))-5</f>
        <v>0</v>
      </c>
      <c r="AX6" s="6">
        <v>5</v>
      </c>
      <c r="AY6" s="6">
        <f t="shared" ref="AY6:AY12" si="11">AW6+AX6</f>
        <v>5</v>
      </c>
    </row>
    <row r="7" spans="1:226" ht="25.5" customHeight="1">
      <c r="A7" s="38">
        <f t="shared" si="1"/>
        <v>17</v>
      </c>
      <c r="B7" s="39">
        <f t="shared" si="2"/>
        <v>0</v>
      </c>
      <c r="C7" s="40">
        <f t="shared" si="3"/>
        <v>1</v>
      </c>
      <c r="D7" s="39">
        <f t="shared" si="4"/>
        <v>1</v>
      </c>
      <c r="E7" s="41">
        <f t="shared" si="5"/>
        <v>1</v>
      </c>
      <c r="F7" s="41">
        <f t="shared" si="6"/>
        <v>4</v>
      </c>
      <c r="G7" s="41">
        <f t="shared" si="7"/>
        <v>5</v>
      </c>
      <c r="H7" s="41">
        <f t="shared" si="8"/>
        <v>2</v>
      </c>
      <c r="I7" s="177">
        <f t="shared" si="9"/>
        <v>31</v>
      </c>
      <c r="J7" s="209" t="s">
        <v>130</v>
      </c>
      <c r="K7" s="245" t="s">
        <v>36</v>
      </c>
      <c r="L7" s="238" t="s">
        <v>52</v>
      </c>
      <c r="M7" s="259">
        <v>3</v>
      </c>
      <c r="N7" s="238" t="s">
        <v>0</v>
      </c>
      <c r="O7" s="238" t="s">
        <v>36</v>
      </c>
      <c r="P7" s="238" t="s">
        <v>36</v>
      </c>
      <c r="Q7" s="238" t="s">
        <v>36</v>
      </c>
      <c r="R7" s="234" t="s">
        <v>1</v>
      </c>
      <c r="S7" s="234" t="s">
        <v>52</v>
      </c>
      <c r="T7" s="239" t="s">
        <v>53</v>
      </c>
      <c r="U7" s="239" t="s">
        <v>0</v>
      </c>
      <c r="V7" s="238" t="s">
        <v>3</v>
      </c>
      <c r="W7" s="238" t="s">
        <v>36</v>
      </c>
      <c r="X7" s="238" t="s">
        <v>36</v>
      </c>
      <c r="Y7" s="238" t="s">
        <v>52</v>
      </c>
      <c r="Z7" s="259">
        <v>1</v>
      </c>
      <c r="AA7" s="259">
        <v>1</v>
      </c>
      <c r="AB7" s="259">
        <v>1</v>
      </c>
      <c r="AC7" s="259">
        <v>1</v>
      </c>
      <c r="AD7" s="238" t="s">
        <v>0</v>
      </c>
      <c r="AE7" s="238" t="s">
        <v>52</v>
      </c>
      <c r="AF7" s="238" t="s">
        <v>36</v>
      </c>
      <c r="AG7" s="238" t="s">
        <v>36</v>
      </c>
      <c r="AH7" s="239" t="s">
        <v>53</v>
      </c>
      <c r="AI7" s="239" t="s">
        <v>0</v>
      </c>
      <c r="AJ7" s="259" t="s">
        <v>36</v>
      </c>
      <c r="AK7" s="238" t="s">
        <v>36</v>
      </c>
      <c r="AL7" s="238" t="s">
        <v>36</v>
      </c>
      <c r="AM7" s="238" t="s">
        <v>52</v>
      </c>
      <c r="AN7" s="238" t="s">
        <v>36</v>
      </c>
      <c r="AO7" s="241" t="s">
        <v>36</v>
      </c>
      <c r="AP7" s="45">
        <v>0</v>
      </c>
      <c r="AQ7" s="46">
        <f t="shared" si="0"/>
        <v>0</v>
      </c>
      <c r="AR7" s="46">
        <v>0</v>
      </c>
      <c r="AS7" s="41">
        <f t="shared" si="10"/>
        <v>0</v>
      </c>
      <c r="AT7" s="329" t="s">
        <v>126</v>
      </c>
      <c r="AW7" s="6" cm="1">
        <f t="array" ref="AW7">SUMPRODUCT(COUNTIF(M7:N7,{"X";"Y";"Z";"S"}))+SUMPRODUCT(COUNTIF(T7:U7,{"X";"Y";"Z";"S"}))+SUMPRODUCT(COUNTIF(AA7:AB7,{"X";"Y";"Z";"S"}))+SUMPRODUCT(COUNTIF(AH7:AI7,{"X";"Y";"Z";"S"}))+SUMPRODUCT(COUNTIF(AO7:AO7,{"X";"Y";"Z";"S"}))-5</f>
        <v>0</v>
      </c>
      <c r="AX7" s="6">
        <v>2</v>
      </c>
      <c r="AY7" s="6">
        <f t="shared" si="11"/>
        <v>2</v>
      </c>
    </row>
    <row r="8" spans="1:226" s="50" customFormat="1" ht="24.75" customHeight="1">
      <c r="A8" s="38">
        <f t="shared" si="1"/>
        <v>15</v>
      </c>
      <c r="B8" s="39">
        <f t="shared" si="2"/>
        <v>0</v>
      </c>
      <c r="C8" s="40">
        <f t="shared" si="3"/>
        <v>1</v>
      </c>
      <c r="D8" s="39">
        <f t="shared" si="4"/>
        <v>2</v>
      </c>
      <c r="E8" s="41">
        <f t="shared" si="5"/>
        <v>1</v>
      </c>
      <c r="F8" s="41">
        <f t="shared" si="6"/>
        <v>4</v>
      </c>
      <c r="G8" s="41">
        <f t="shared" si="7"/>
        <v>5</v>
      </c>
      <c r="H8" s="41">
        <f t="shared" si="8"/>
        <v>2</v>
      </c>
      <c r="I8" s="177">
        <f t="shared" si="9"/>
        <v>30</v>
      </c>
      <c r="J8" s="454" t="s">
        <v>4</v>
      </c>
      <c r="K8" s="427" t="s">
        <v>155</v>
      </c>
      <c r="L8" s="234" t="s">
        <v>52</v>
      </c>
      <c r="M8" s="238">
        <v>1</v>
      </c>
      <c r="N8" s="259">
        <v>1</v>
      </c>
      <c r="O8" s="238" t="s">
        <v>36</v>
      </c>
      <c r="P8" s="238" t="s">
        <v>52</v>
      </c>
      <c r="Q8" s="238" t="s">
        <v>36</v>
      </c>
      <c r="R8" s="242" t="s">
        <v>3</v>
      </c>
      <c r="S8" s="234" t="s">
        <v>1</v>
      </c>
      <c r="T8" s="239" t="s">
        <v>0</v>
      </c>
      <c r="U8" s="239" t="s">
        <v>53</v>
      </c>
      <c r="V8" s="238" t="s">
        <v>3</v>
      </c>
      <c r="W8" s="238" t="s">
        <v>36</v>
      </c>
      <c r="X8" s="238" t="s">
        <v>36</v>
      </c>
      <c r="Y8" s="256" t="s">
        <v>155</v>
      </c>
      <c r="Z8" s="234" t="s">
        <v>156</v>
      </c>
      <c r="AA8" s="259">
        <v>3</v>
      </c>
      <c r="AB8" s="238" t="s">
        <v>52</v>
      </c>
      <c r="AC8" s="238" t="s">
        <v>36</v>
      </c>
      <c r="AD8" s="238" t="s">
        <v>52</v>
      </c>
      <c r="AE8" s="238" t="s">
        <v>36</v>
      </c>
      <c r="AF8" s="259">
        <v>1</v>
      </c>
      <c r="AG8" s="234" t="s">
        <v>163</v>
      </c>
      <c r="AH8" s="239" t="s">
        <v>52</v>
      </c>
      <c r="AI8" s="239" t="s">
        <v>53</v>
      </c>
      <c r="AJ8" s="234" t="s">
        <v>0</v>
      </c>
      <c r="AK8" s="238" t="s">
        <v>36</v>
      </c>
      <c r="AL8" s="238" t="s">
        <v>36</v>
      </c>
      <c r="AM8" s="238" t="s">
        <v>36</v>
      </c>
      <c r="AN8" s="238">
        <v>1</v>
      </c>
      <c r="AO8" s="397" t="s">
        <v>0</v>
      </c>
      <c r="AP8" s="45">
        <v>0</v>
      </c>
      <c r="AQ8" s="46">
        <f t="shared" si="0"/>
        <v>0</v>
      </c>
      <c r="AR8" s="46">
        <v>0</v>
      </c>
      <c r="AS8" s="41">
        <f t="shared" si="10"/>
        <v>0</v>
      </c>
      <c r="AT8" s="329" t="s">
        <v>128</v>
      </c>
      <c r="AU8" s="6"/>
      <c r="AV8" s="6"/>
      <c r="AW8" s="6" cm="1">
        <f t="array" ref="AW8">SUMPRODUCT(COUNTIF(M8:N8,{"X";"Y";"Z";"S"}))+SUMPRODUCT(COUNTIF(T8:U8,{"X";"Y";"Z";"S"}))+SUMPRODUCT(COUNTIF(AA8:AB8,{"X";"Y";"Z";"S"}))+SUMPRODUCT(COUNTIF(AH8:AI8,{"X";"Y";"Z";"S"}))+SUMPRODUCT(COUNTIF(AO8:AO8,{"X";"Y";"Z";"S"}))-5</f>
        <v>1</v>
      </c>
      <c r="AX8" s="6">
        <v>6</v>
      </c>
      <c r="AY8" s="6">
        <f t="shared" si="11"/>
        <v>7</v>
      </c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</row>
    <row r="9" spans="1:226" s="50" customFormat="1" ht="29.25" customHeight="1">
      <c r="A9" s="38">
        <f t="shared" si="1"/>
        <v>16</v>
      </c>
      <c r="B9" s="39">
        <f t="shared" si="2"/>
        <v>3</v>
      </c>
      <c r="C9" s="40">
        <f t="shared" si="3"/>
        <v>0</v>
      </c>
      <c r="D9" s="39">
        <f t="shared" si="4"/>
        <v>1</v>
      </c>
      <c r="E9" s="41">
        <f t="shared" si="5"/>
        <v>0</v>
      </c>
      <c r="F9" s="41">
        <f t="shared" si="6"/>
        <v>4</v>
      </c>
      <c r="G9" s="41">
        <f t="shared" si="7"/>
        <v>5</v>
      </c>
      <c r="H9" s="41">
        <f t="shared" si="8"/>
        <v>2</v>
      </c>
      <c r="I9" s="177">
        <f t="shared" si="9"/>
        <v>31</v>
      </c>
      <c r="J9" s="51" t="s">
        <v>134</v>
      </c>
      <c r="K9" s="245" t="s">
        <v>36</v>
      </c>
      <c r="L9" s="238" t="s">
        <v>36</v>
      </c>
      <c r="M9" s="238" t="s">
        <v>36</v>
      </c>
      <c r="N9" s="238" t="s">
        <v>36</v>
      </c>
      <c r="O9" s="238" t="s">
        <v>52</v>
      </c>
      <c r="P9" s="121">
        <v>2</v>
      </c>
      <c r="Q9" s="121">
        <v>2</v>
      </c>
      <c r="R9" s="121">
        <v>2</v>
      </c>
      <c r="S9" s="234" t="s">
        <v>52</v>
      </c>
      <c r="T9" s="239" t="s">
        <v>53</v>
      </c>
      <c r="U9" s="239" t="s">
        <v>0</v>
      </c>
      <c r="V9" s="259">
        <v>1</v>
      </c>
      <c r="W9" s="259" t="s">
        <v>36</v>
      </c>
      <c r="X9" s="259" t="s">
        <v>36</v>
      </c>
      <c r="Y9" s="238" t="s">
        <v>3</v>
      </c>
      <c r="Z9" s="234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0</v>
      </c>
      <c r="AF9" s="238" t="s">
        <v>36</v>
      </c>
      <c r="AG9" s="238" t="s">
        <v>36</v>
      </c>
      <c r="AH9" s="239" t="s">
        <v>52</v>
      </c>
      <c r="AI9" s="239" t="s">
        <v>53</v>
      </c>
      <c r="AJ9" s="234" t="s">
        <v>156</v>
      </c>
      <c r="AK9" s="234" t="s">
        <v>156</v>
      </c>
      <c r="AL9" s="238" t="s">
        <v>36</v>
      </c>
      <c r="AM9" s="238" t="s">
        <v>36</v>
      </c>
      <c r="AN9" s="238" t="s">
        <v>36</v>
      </c>
      <c r="AO9" s="241" t="s">
        <v>52</v>
      </c>
      <c r="AP9" s="45">
        <v>0</v>
      </c>
      <c r="AQ9" s="46">
        <f t="shared" si="0"/>
        <v>0</v>
      </c>
      <c r="AR9" s="46">
        <v>0</v>
      </c>
      <c r="AS9" s="41">
        <f t="shared" si="10"/>
        <v>0</v>
      </c>
      <c r="AT9" s="329" t="s">
        <v>126</v>
      </c>
      <c r="AU9" s="6"/>
      <c r="AV9" s="6"/>
      <c r="AW9" s="6" cm="1">
        <f t="array" ref="AW9">SUMPRODUCT(COUNTIF(M9:N9,{"X";"Y";"Z";"S"}))+SUMPRODUCT(COUNTIF(T9:U9,{"X";"Y";"Z";"S"}))+SUMPRODUCT(COUNTIF(AA9:AB9,{"X";"Y";"Z";"S"}))+SUMPRODUCT(COUNTIF(AH9:AI9,{"X";"Y";"Z";"S"}))+SUMPRODUCT(COUNTIF(AO9:AO9,{"X";"Y";"Z";"S"}))-5</f>
        <v>0</v>
      </c>
      <c r="AX9" s="6">
        <v>2</v>
      </c>
      <c r="AY9" s="6">
        <f t="shared" si="11"/>
        <v>2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5.5" customHeight="1">
      <c r="A10" s="38">
        <f t="shared" si="1"/>
        <v>9</v>
      </c>
      <c r="B10" s="39">
        <f t="shared" si="2"/>
        <v>3</v>
      </c>
      <c r="C10" s="40">
        <f t="shared" si="3"/>
        <v>0</v>
      </c>
      <c r="D10" s="39">
        <f t="shared" si="4"/>
        <v>5</v>
      </c>
      <c r="E10" s="41">
        <f t="shared" si="5"/>
        <v>3</v>
      </c>
      <c r="F10" s="41">
        <f t="shared" si="6"/>
        <v>4</v>
      </c>
      <c r="G10" s="41">
        <f t="shared" si="7"/>
        <v>5</v>
      </c>
      <c r="H10" s="41">
        <f t="shared" si="8"/>
        <v>2</v>
      </c>
      <c r="I10" s="177">
        <f t="shared" si="9"/>
        <v>31</v>
      </c>
      <c r="J10" s="209" t="s">
        <v>6</v>
      </c>
      <c r="K10" s="245" t="s">
        <v>52</v>
      </c>
      <c r="L10" s="234" t="s">
        <v>154</v>
      </c>
      <c r="M10" s="238">
        <v>2</v>
      </c>
      <c r="N10" s="259">
        <v>2</v>
      </c>
      <c r="O10" s="238" t="s">
        <v>0</v>
      </c>
      <c r="P10" s="242" t="s">
        <v>3</v>
      </c>
      <c r="Q10" s="242" t="s">
        <v>3</v>
      </c>
      <c r="R10" s="256" t="s">
        <v>155</v>
      </c>
      <c r="S10" s="234" t="s">
        <v>52</v>
      </c>
      <c r="T10" s="239" t="s">
        <v>53</v>
      </c>
      <c r="U10" s="239" t="s">
        <v>0</v>
      </c>
      <c r="V10" s="234" t="s">
        <v>154</v>
      </c>
      <c r="W10" s="242" t="s">
        <v>3</v>
      </c>
      <c r="X10" s="256" t="s">
        <v>155</v>
      </c>
      <c r="Y10" s="242" t="s">
        <v>3</v>
      </c>
      <c r="Z10" s="234" t="s">
        <v>52</v>
      </c>
      <c r="AA10" s="239" t="s">
        <v>52</v>
      </c>
      <c r="AB10" s="259">
        <v>2</v>
      </c>
      <c r="AC10" s="238" t="s">
        <v>0</v>
      </c>
      <c r="AD10" s="256" t="s">
        <v>155</v>
      </c>
      <c r="AE10" s="259">
        <v>1</v>
      </c>
      <c r="AF10" s="238">
        <v>1</v>
      </c>
      <c r="AG10" s="238" t="s">
        <v>36</v>
      </c>
      <c r="AH10" s="238" t="s">
        <v>36</v>
      </c>
      <c r="AI10" s="239" t="s">
        <v>53</v>
      </c>
      <c r="AJ10" s="234" t="s">
        <v>52</v>
      </c>
      <c r="AK10" s="234" t="s">
        <v>1</v>
      </c>
      <c r="AL10" s="393" t="s">
        <v>3</v>
      </c>
      <c r="AM10" s="256" t="s">
        <v>155</v>
      </c>
      <c r="AN10" s="238" t="s">
        <v>36</v>
      </c>
      <c r="AO10" s="397" t="s">
        <v>156</v>
      </c>
      <c r="AP10" s="45">
        <v>0</v>
      </c>
      <c r="AQ10" s="46">
        <f t="shared" si="0"/>
        <v>0</v>
      </c>
      <c r="AR10" s="46">
        <v>0</v>
      </c>
      <c r="AS10" s="41">
        <f t="shared" si="10"/>
        <v>0</v>
      </c>
      <c r="AT10" s="329" t="s">
        <v>128</v>
      </c>
      <c r="AU10" s="6"/>
      <c r="AV10" s="6"/>
      <c r="AW10" s="6" cm="1">
        <f t="array" ref="AW10">SUMPRODUCT(COUNTIF(M10:N10,{"X";"Y";"Z";"S"}))+SUMPRODUCT(COUNTIF(T10:U10,{"X";"Y";"Z";"S"}))+SUMPRODUCT(COUNTIF(AA10:AB10,{"X";"Y";"Z";"S"}))+SUMPRODUCT(COUNTIF(AH10:AI10,{"X";"Y";"Z";"S"}))+SUMPRODUCT(COUNTIF(AO10:AO10,{"X";"Y";"Z";"S"}))-5</f>
        <v>0</v>
      </c>
      <c r="AX10" s="6">
        <v>4</v>
      </c>
      <c r="AY10" s="6">
        <f t="shared" si="11"/>
        <v>4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"/>
        <v>18</v>
      </c>
      <c r="B11" s="39">
        <f t="shared" si="2"/>
        <v>1</v>
      </c>
      <c r="C11" s="40">
        <f t="shared" si="3"/>
        <v>0</v>
      </c>
      <c r="D11" s="39">
        <f t="shared" si="4"/>
        <v>0</v>
      </c>
      <c r="E11" s="41">
        <f t="shared" si="5"/>
        <v>1</v>
      </c>
      <c r="F11" s="41">
        <f t="shared" si="6"/>
        <v>4</v>
      </c>
      <c r="G11" s="41">
        <f t="shared" si="7"/>
        <v>5</v>
      </c>
      <c r="H11" s="41">
        <f t="shared" si="8"/>
        <v>2</v>
      </c>
      <c r="I11" s="177">
        <f t="shared" si="9"/>
        <v>31</v>
      </c>
      <c r="J11" s="454" t="s">
        <v>135</v>
      </c>
      <c r="K11" s="245" t="s">
        <v>36</v>
      </c>
      <c r="L11" s="234" t="s">
        <v>154</v>
      </c>
      <c r="M11" s="239" t="s">
        <v>52</v>
      </c>
      <c r="N11" s="239" t="s">
        <v>53</v>
      </c>
      <c r="O11" s="259">
        <v>1</v>
      </c>
      <c r="P11" s="238" t="s">
        <v>36</v>
      </c>
      <c r="Q11" s="238" t="s">
        <v>36</v>
      </c>
      <c r="R11" s="238" t="s">
        <v>36</v>
      </c>
      <c r="S11" s="234" t="s">
        <v>52</v>
      </c>
      <c r="T11" s="259">
        <v>1</v>
      </c>
      <c r="U11" s="259">
        <v>1</v>
      </c>
      <c r="V11" s="238" t="s">
        <v>36</v>
      </c>
      <c r="W11" s="238" t="s">
        <v>36</v>
      </c>
      <c r="X11" s="238" t="s">
        <v>36</v>
      </c>
      <c r="Y11" s="238" t="s">
        <v>0</v>
      </c>
      <c r="Z11" s="234" t="s">
        <v>52</v>
      </c>
      <c r="AA11" s="238" t="s">
        <v>36</v>
      </c>
      <c r="AB11" s="238" t="s">
        <v>36</v>
      </c>
      <c r="AC11" s="259" t="s">
        <v>36</v>
      </c>
      <c r="AD11" s="238" t="s">
        <v>0</v>
      </c>
      <c r="AE11" s="238" t="s">
        <v>36</v>
      </c>
      <c r="AF11" s="238" t="s">
        <v>36</v>
      </c>
      <c r="AG11" s="259">
        <v>1</v>
      </c>
      <c r="AH11" s="239" t="s">
        <v>52</v>
      </c>
      <c r="AI11" s="239" t="s">
        <v>53</v>
      </c>
      <c r="AJ11" s="234" t="s">
        <v>0</v>
      </c>
      <c r="AK11" s="238" t="s">
        <v>36</v>
      </c>
      <c r="AL11" s="238" t="s">
        <v>36</v>
      </c>
      <c r="AM11" s="238" t="s">
        <v>52</v>
      </c>
      <c r="AN11" s="238" t="s">
        <v>0</v>
      </c>
      <c r="AO11" s="260">
        <v>2</v>
      </c>
      <c r="AP11" s="45">
        <v>0</v>
      </c>
      <c r="AQ11" s="46">
        <f t="shared" si="0"/>
        <v>0</v>
      </c>
      <c r="AR11" s="46">
        <v>0</v>
      </c>
      <c r="AS11" s="41">
        <f>SUM(AP11:AR11)</f>
        <v>0</v>
      </c>
      <c r="AT11" s="329" t="s">
        <v>126</v>
      </c>
      <c r="AU11" s="6"/>
      <c r="AV11" s="6"/>
      <c r="AW11" s="6" cm="1">
        <f t="array" ref="AW11">SUMPRODUCT(COUNTIF(M11:N11,{"X";"Y";"Z";"S"}))+SUMPRODUCT(COUNTIF(T11:U11,{"X";"Y";"Z";"S"}))+SUMPRODUCT(COUNTIF(AA11:AB11,{"X";"Y";"Z";"S"}))+SUMPRODUCT(COUNTIF(AH11:AI11,{"X";"Y";"Z";"S"}))+SUMPRODUCT(COUNTIF(AO11:AO11,{"X";"Y";"Z";"S"}))-5</f>
        <v>-1</v>
      </c>
      <c r="AX11" s="6">
        <v>1</v>
      </c>
      <c r="AY11" s="6">
        <f t="shared" si="11"/>
        <v>0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8.35" customHeight="1">
      <c r="A12" s="38">
        <f t="shared" si="1"/>
        <v>12</v>
      </c>
      <c r="B12" s="39">
        <f t="shared" si="2"/>
        <v>1</v>
      </c>
      <c r="C12" s="40">
        <f t="shared" si="3"/>
        <v>0</v>
      </c>
      <c r="D12" s="39">
        <f t="shared" si="4"/>
        <v>7</v>
      </c>
      <c r="E12" s="41">
        <f t="shared" si="5"/>
        <v>0</v>
      </c>
      <c r="F12" s="41">
        <f t="shared" si="6"/>
        <v>4</v>
      </c>
      <c r="G12" s="41">
        <f t="shared" si="7"/>
        <v>5</v>
      </c>
      <c r="H12" s="41">
        <f t="shared" si="8"/>
        <v>2</v>
      </c>
      <c r="I12" s="177">
        <f t="shared" si="9"/>
        <v>31</v>
      </c>
      <c r="J12" s="455" t="s">
        <v>136</v>
      </c>
      <c r="K12" s="245" t="s">
        <v>3</v>
      </c>
      <c r="L12" s="256" t="s">
        <v>176</v>
      </c>
      <c r="M12" s="239" t="s">
        <v>52</v>
      </c>
      <c r="N12" s="239" t="s">
        <v>53</v>
      </c>
      <c r="O12" s="242" t="s">
        <v>3</v>
      </c>
      <c r="P12" s="256" t="s">
        <v>176</v>
      </c>
      <c r="Q12" s="238" t="s">
        <v>0</v>
      </c>
      <c r="R12" s="238" t="s">
        <v>53</v>
      </c>
      <c r="S12" s="234" t="s">
        <v>52</v>
      </c>
      <c r="T12" s="238">
        <v>1</v>
      </c>
      <c r="U12" s="238">
        <v>1</v>
      </c>
      <c r="V12" s="464" t="s">
        <v>36</v>
      </c>
      <c r="W12" s="238" t="s">
        <v>0</v>
      </c>
      <c r="X12" s="238" t="s">
        <v>36</v>
      </c>
      <c r="Y12" s="242" t="s">
        <v>3</v>
      </c>
      <c r="Z12" s="256" t="s">
        <v>176</v>
      </c>
      <c r="AA12" s="239" t="s">
        <v>52</v>
      </c>
      <c r="AB12" s="239" t="s">
        <v>0</v>
      </c>
      <c r="AC12" s="242" t="s">
        <v>3</v>
      </c>
      <c r="AD12" s="242" t="s">
        <v>3</v>
      </c>
      <c r="AE12" s="238" t="s">
        <v>52</v>
      </c>
      <c r="AF12" s="242" t="s">
        <v>3</v>
      </c>
      <c r="AG12" s="256" t="s">
        <v>36</v>
      </c>
      <c r="AH12" s="259" t="s">
        <v>36</v>
      </c>
      <c r="AI12" s="259">
        <v>2</v>
      </c>
      <c r="AJ12" s="234" t="s">
        <v>52</v>
      </c>
      <c r="AK12" s="242" t="s">
        <v>3</v>
      </c>
      <c r="AL12" s="259">
        <v>1</v>
      </c>
      <c r="AM12" s="259" t="s">
        <v>36</v>
      </c>
      <c r="AN12" s="256" t="s">
        <v>176</v>
      </c>
      <c r="AO12" s="397" t="s">
        <v>0</v>
      </c>
      <c r="AP12" s="45">
        <v>0</v>
      </c>
      <c r="AQ12" s="46">
        <f t="shared" si="0"/>
        <v>0</v>
      </c>
      <c r="AR12" s="46">
        <v>0</v>
      </c>
      <c r="AS12" s="41">
        <f t="shared" ref="AS12:AS15" si="12">SUM(AP12:AR12)</f>
        <v>0</v>
      </c>
      <c r="AT12" s="329" t="s">
        <v>128</v>
      </c>
      <c r="AU12" s="6"/>
      <c r="AV12" s="6"/>
      <c r="AW12" s="6" cm="1">
        <f t="array" ref="AW12">SUMPRODUCT(COUNTIF(M12:N12,{"X";"Y";"Z";"S"}))+SUMPRODUCT(COUNTIF(T12:U12,{"X";"Y";"Z";"S"}))+SUMPRODUCT(COUNTIF(AA12:AB12,{"X";"Y";"Z";"S"}))+SUMPRODUCT(COUNTIF(AH12:AI12,{"X";"Y";"Z";"S"}))+SUMPRODUCT(COUNTIF(AO12:AO12,{"X";"Y";"Z";"S"}))-5</f>
        <v>0</v>
      </c>
      <c r="AX12" s="6">
        <v>4</v>
      </c>
      <c r="AY12" s="6">
        <f t="shared" si="11"/>
        <v>4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5.5" customHeight="1">
      <c r="A13" s="38">
        <f t="shared" si="1"/>
        <v>0</v>
      </c>
      <c r="B13" s="39">
        <f t="shared" si="2"/>
        <v>12</v>
      </c>
      <c r="C13" s="40">
        <f t="shared" si="3"/>
        <v>3</v>
      </c>
      <c r="D13" s="39">
        <f t="shared" si="4"/>
        <v>2</v>
      </c>
      <c r="E13" s="41">
        <f t="shared" si="5"/>
        <v>3</v>
      </c>
      <c r="F13" s="41">
        <f t="shared" si="6"/>
        <v>3</v>
      </c>
      <c r="G13" s="41">
        <f t="shared" si="7"/>
        <v>5</v>
      </c>
      <c r="H13" s="41">
        <f t="shared" si="8"/>
        <v>2</v>
      </c>
      <c r="I13" s="177">
        <f t="shared" si="9"/>
        <v>30</v>
      </c>
      <c r="J13" s="211" t="s">
        <v>7</v>
      </c>
      <c r="K13" s="258">
        <v>2</v>
      </c>
      <c r="L13" s="234" t="s">
        <v>0</v>
      </c>
      <c r="M13" s="234" t="s">
        <v>52</v>
      </c>
      <c r="N13" s="259">
        <v>3</v>
      </c>
      <c r="O13" s="234" t="s">
        <v>1</v>
      </c>
      <c r="P13" s="238" t="s">
        <v>38</v>
      </c>
      <c r="Q13" s="238">
        <v>2</v>
      </c>
      <c r="R13" s="238" t="s">
        <v>38</v>
      </c>
      <c r="S13" s="234" t="s">
        <v>52</v>
      </c>
      <c r="T13" s="239" t="s">
        <v>53</v>
      </c>
      <c r="U13" s="238" t="s">
        <v>0</v>
      </c>
      <c r="V13" s="234" t="s">
        <v>1</v>
      </c>
      <c r="W13" s="242" t="s">
        <v>3</v>
      </c>
      <c r="X13" s="259" t="s">
        <v>38</v>
      </c>
      <c r="Y13" s="259">
        <v>2</v>
      </c>
      <c r="Z13" s="234" t="s">
        <v>0</v>
      </c>
      <c r="AA13" s="234" t="s">
        <v>52</v>
      </c>
      <c r="AB13" s="259">
        <v>3</v>
      </c>
      <c r="AC13" s="259">
        <v>2</v>
      </c>
      <c r="AD13" s="259">
        <v>2</v>
      </c>
      <c r="AE13" s="259">
        <v>2</v>
      </c>
      <c r="AF13" s="259">
        <v>2</v>
      </c>
      <c r="AG13" s="234" t="s">
        <v>163</v>
      </c>
      <c r="AH13" s="238" t="s">
        <v>53</v>
      </c>
      <c r="AI13" s="239" t="s">
        <v>52</v>
      </c>
      <c r="AJ13" s="234" t="s">
        <v>1</v>
      </c>
      <c r="AK13" s="242" t="s">
        <v>3</v>
      </c>
      <c r="AL13" s="259">
        <v>2</v>
      </c>
      <c r="AM13" s="259">
        <v>2</v>
      </c>
      <c r="AN13" s="234" t="s">
        <v>52</v>
      </c>
      <c r="AO13" s="260">
        <v>3</v>
      </c>
      <c r="AP13" s="45">
        <v>0</v>
      </c>
      <c r="AQ13" s="46">
        <f t="shared" si="0"/>
        <v>-1</v>
      </c>
      <c r="AR13" s="46">
        <v>0</v>
      </c>
      <c r="AS13" s="41">
        <f t="shared" si="12"/>
        <v>-1</v>
      </c>
      <c r="AT13" s="329" t="s">
        <v>126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"/>
        <v>9</v>
      </c>
      <c r="B14" s="39">
        <f t="shared" si="2"/>
        <v>3</v>
      </c>
      <c r="C14" s="40">
        <f t="shared" si="3"/>
        <v>0</v>
      </c>
      <c r="D14" s="39">
        <f t="shared" si="4"/>
        <v>6</v>
      </c>
      <c r="E14" s="41">
        <f t="shared" si="5"/>
        <v>2</v>
      </c>
      <c r="F14" s="41">
        <f t="shared" si="6"/>
        <v>4</v>
      </c>
      <c r="G14" s="41">
        <f t="shared" si="7"/>
        <v>5</v>
      </c>
      <c r="H14" s="41">
        <f t="shared" si="8"/>
        <v>2</v>
      </c>
      <c r="I14" s="177">
        <f t="shared" si="9"/>
        <v>31</v>
      </c>
      <c r="J14" s="211" t="s">
        <v>173</v>
      </c>
      <c r="K14" s="427" t="s">
        <v>176</v>
      </c>
      <c r="L14" s="259">
        <v>2</v>
      </c>
      <c r="M14" s="259">
        <v>2</v>
      </c>
      <c r="N14" s="238" t="s">
        <v>52</v>
      </c>
      <c r="O14" s="242" t="s">
        <v>3</v>
      </c>
      <c r="P14" s="238" t="s">
        <v>36</v>
      </c>
      <c r="Q14" s="259">
        <v>1</v>
      </c>
      <c r="R14" s="256" t="s">
        <v>176</v>
      </c>
      <c r="S14" s="234" t="s">
        <v>1</v>
      </c>
      <c r="T14" s="239" t="s">
        <v>52</v>
      </c>
      <c r="U14" s="239" t="s">
        <v>53</v>
      </c>
      <c r="V14" s="238" t="s">
        <v>36</v>
      </c>
      <c r="W14" s="259">
        <v>2</v>
      </c>
      <c r="X14" s="238" t="s">
        <v>0</v>
      </c>
      <c r="Y14" s="256" t="s">
        <v>176</v>
      </c>
      <c r="Z14" s="242" t="s">
        <v>3</v>
      </c>
      <c r="AA14" s="239" t="s">
        <v>52</v>
      </c>
      <c r="AB14" s="239" t="s">
        <v>53</v>
      </c>
      <c r="AC14" s="242" t="s">
        <v>3</v>
      </c>
      <c r="AD14" s="242" t="s">
        <v>3</v>
      </c>
      <c r="AE14" s="238" t="s">
        <v>0</v>
      </c>
      <c r="AF14" s="256" t="s">
        <v>176</v>
      </c>
      <c r="AG14" s="238" t="s">
        <v>36</v>
      </c>
      <c r="AH14" s="234" t="s">
        <v>52</v>
      </c>
      <c r="AI14" s="259" t="s">
        <v>36</v>
      </c>
      <c r="AJ14" s="234" t="s">
        <v>1</v>
      </c>
      <c r="AK14" s="242" t="s">
        <v>3</v>
      </c>
      <c r="AL14" s="242" t="s">
        <v>3</v>
      </c>
      <c r="AM14" s="238" t="s">
        <v>52</v>
      </c>
      <c r="AN14" s="238" t="s">
        <v>0</v>
      </c>
      <c r="AO14" s="397" t="s">
        <v>0</v>
      </c>
      <c r="AP14" s="45">
        <v>0</v>
      </c>
      <c r="AQ14" s="46">
        <f t="shared" si="0"/>
        <v>0</v>
      </c>
      <c r="AR14" s="46">
        <v>0</v>
      </c>
      <c r="AS14" s="41">
        <f t="shared" si="12"/>
        <v>0</v>
      </c>
      <c r="AT14" s="329" t="s">
        <v>128</v>
      </c>
      <c r="AU14" s="6"/>
      <c r="AV14" s="6"/>
      <c r="AW14" s="6" cm="1">
        <f t="array" ref="AW14">SUMPRODUCT(COUNTIF(M14:N14,{"X";"Y";"Z";"S"}))+SUMPRODUCT(COUNTIF(T14:U14,{"X";"Y";"Z";"S"}))+SUMPRODUCT(COUNTIF(AA14:AB14,{"X";"Y";"Z";"S"}))+SUMPRODUCT(COUNTIF(AH14:AI14,{"X";"Y";"Z";"S"}))+SUMPRODUCT(COUNTIF(AO14:AO14,{"X";"Y";"Z";"S"}))-5</f>
        <v>2</v>
      </c>
      <c r="AX14" s="6">
        <v>2</v>
      </c>
      <c r="AY14" s="6">
        <f t="shared" ref="AY14:AY17" si="13">AW14+AX14</f>
        <v>4</v>
      </c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"/>
        <v>11</v>
      </c>
      <c r="B15" s="39">
        <f t="shared" si="2"/>
        <v>1</v>
      </c>
      <c r="C15" s="40">
        <f t="shared" si="3"/>
        <v>0</v>
      </c>
      <c r="D15" s="39">
        <f t="shared" si="4"/>
        <v>7</v>
      </c>
      <c r="E15" s="41">
        <f t="shared" si="5"/>
        <v>1</v>
      </c>
      <c r="F15" s="41">
        <f t="shared" si="6"/>
        <v>4</v>
      </c>
      <c r="G15" s="41">
        <f t="shared" si="7"/>
        <v>5</v>
      </c>
      <c r="H15" s="41">
        <f t="shared" si="8"/>
        <v>1</v>
      </c>
      <c r="I15" s="177">
        <f t="shared" si="9"/>
        <v>30</v>
      </c>
      <c r="J15" s="212" t="s">
        <v>93</v>
      </c>
      <c r="K15" s="245" t="s">
        <v>3</v>
      </c>
      <c r="L15" s="393" t="s">
        <v>3</v>
      </c>
      <c r="M15" s="239" t="s">
        <v>53</v>
      </c>
      <c r="N15" s="239" t="s">
        <v>52</v>
      </c>
      <c r="O15" s="393" t="s">
        <v>3</v>
      </c>
      <c r="P15" s="256" t="s">
        <v>155</v>
      </c>
      <c r="Q15" s="242" t="s">
        <v>3</v>
      </c>
      <c r="R15" s="242" t="s">
        <v>3</v>
      </c>
      <c r="S15" s="234" t="s">
        <v>52</v>
      </c>
      <c r="T15" s="238" t="s">
        <v>36</v>
      </c>
      <c r="U15" s="238" t="s">
        <v>36</v>
      </c>
      <c r="V15" s="238" t="s">
        <v>0</v>
      </c>
      <c r="W15" s="256" t="s">
        <v>155</v>
      </c>
      <c r="X15" s="242" t="s">
        <v>3</v>
      </c>
      <c r="Y15" s="238" t="s">
        <v>36</v>
      </c>
      <c r="Z15" s="259">
        <v>2</v>
      </c>
      <c r="AA15" s="238" t="s">
        <v>52</v>
      </c>
      <c r="AB15" s="238" t="s">
        <v>36</v>
      </c>
      <c r="AC15" s="238" t="s">
        <v>36</v>
      </c>
      <c r="AD15" s="238" t="s">
        <v>36</v>
      </c>
      <c r="AE15" s="238" t="s">
        <v>0</v>
      </c>
      <c r="AF15" s="238" t="s">
        <v>0</v>
      </c>
      <c r="AG15" s="239" t="s">
        <v>163</v>
      </c>
      <c r="AH15" s="234" t="s">
        <v>1</v>
      </c>
      <c r="AI15" s="239" t="s">
        <v>0</v>
      </c>
      <c r="AJ15" s="234" t="s">
        <v>52</v>
      </c>
      <c r="AK15" s="256" t="s">
        <v>155</v>
      </c>
      <c r="AL15" s="242" t="s">
        <v>3</v>
      </c>
      <c r="AM15" s="238" t="s">
        <v>52</v>
      </c>
      <c r="AN15" s="256" t="s">
        <v>155</v>
      </c>
      <c r="AO15" s="241">
        <v>1</v>
      </c>
      <c r="AP15" s="45">
        <v>0</v>
      </c>
      <c r="AQ15" s="46">
        <f t="shared" si="0"/>
        <v>-1</v>
      </c>
      <c r="AR15" s="46">
        <v>0</v>
      </c>
      <c r="AS15" s="41">
        <f t="shared" si="12"/>
        <v>-1</v>
      </c>
      <c r="AT15" s="329" t="s">
        <v>126</v>
      </c>
      <c r="AU15" s="6"/>
      <c r="AV15" s="6"/>
      <c r="AW15" s="6" cm="1">
        <f t="array" ref="AW15">SUMPRODUCT(COUNTIF(M15:N15,{"X";"Y";"Z";"S"}))+SUMPRODUCT(COUNTIF(T15:U15,{"X";"Y";"Z";"S"}))+SUMPRODUCT(COUNTIF(AA15:AB15,{"X";"Y";"Z";"S"}))+SUMPRODUCT(COUNTIF(AH15:AI15,{"X";"Y";"Z";"S"}))+SUMPRODUCT(COUNTIF(AO15:AO15,{"X";"Y";"Z";"S"}))-5</f>
        <v>0</v>
      </c>
      <c r="AX15" s="6">
        <v>4</v>
      </c>
      <c r="AY15" s="6">
        <f t="shared" si="13"/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6" ht="25.5" customHeight="1">
      <c r="A16" s="38">
        <f t="shared" si="1"/>
        <v>8</v>
      </c>
      <c r="B16" s="39">
        <f t="shared" si="2"/>
        <v>9</v>
      </c>
      <c r="C16" s="40">
        <f t="shared" si="3"/>
        <v>0</v>
      </c>
      <c r="D16" s="39">
        <f t="shared" si="4"/>
        <v>1</v>
      </c>
      <c r="E16" s="41">
        <f t="shared" si="5"/>
        <v>2</v>
      </c>
      <c r="F16" s="41">
        <f t="shared" si="6"/>
        <v>4</v>
      </c>
      <c r="G16" s="41">
        <f t="shared" si="7"/>
        <v>4</v>
      </c>
      <c r="H16" s="41">
        <f t="shared" si="8"/>
        <v>2</v>
      </c>
      <c r="I16" s="177">
        <f t="shared" si="9"/>
        <v>30</v>
      </c>
      <c r="J16" s="454" t="s">
        <v>9</v>
      </c>
      <c r="K16" s="467" t="s">
        <v>1</v>
      </c>
      <c r="L16" s="234" t="s">
        <v>1</v>
      </c>
      <c r="M16" s="239" t="s">
        <v>53</v>
      </c>
      <c r="N16" s="239" t="s">
        <v>52</v>
      </c>
      <c r="O16" s="259">
        <v>2</v>
      </c>
      <c r="P16" s="238" t="s">
        <v>38</v>
      </c>
      <c r="Q16" s="238" t="s">
        <v>0</v>
      </c>
      <c r="R16" s="242" t="s">
        <v>3</v>
      </c>
      <c r="S16" s="259">
        <v>1</v>
      </c>
      <c r="T16" s="238" t="s">
        <v>52</v>
      </c>
      <c r="U16" s="238" t="s">
        <v>53</v>
      </c>
      <c r="V16" s="259" t="s">
        <v>38</v>
      </c>
      <c r="W16" s="238" t="s">
        <v>38</v>
      </c>
      <c r="X16" s="238" t="s">
        <v>0</v>
      </c>
      <c r="Y16" s="238" t="s">
        <v>36</v>
      </c>
      <c r="Z16" s="238" t="s">
        <v>36</v>
      </c>
      <c r="AA16" s="239" t="s">
        <v>52</v>
      </c>
      <c r="AB16" s="239" t="s">
        <v>0</v>
      </c>
      <c r="AC16" s="238">
        <v>1</v>
      </c>
      <c r="AD16" s="238" t="s">
        <v>36</v>
      </c>
      <c r="AE16" s="259" t="s">
        <v>36</v>
      </c>
      <c r="AF16" s="259" t="s">
        <v>38</v>
      </c>
      <c r="AG16" s="238" t="s">
        <v>163</v>
      </c>
      <c r="AH16" s="259" t="s">
        <v>38</v>
      </c>
      <c r="AI16" s="238" t="s">
        <v>38</v>
      </c>
      <c r="AJ16" s="259" t="s">
        <v>38</v>
      </c>
      <c r="AK16" s="259">
        <v>2</v>
      </c>
      <c r="AL16" s="238" t="s">
        <v>52</v>
      </c>
      <c r="AM16" s="238" t="s">
        <v>36</v>
      </c>
      <c r="AN16" s="238" t="s">
        <v>36</v>
      </c>
      <c r="AO16" s="397" t="s">
        <v>0</v>
      </c>
      <c r="AP16" s="45">
        <v>0</v>
      </c>
      <c r="AQ16" s="46">
        <f t="shared" si="0"/>
        <v>-1</v>
      </c>
      <c r="AR16" s="46">
        <v>0</v>
      </c>
      <c r="AS16" s="41">
        <f>SUM(AP16:AR16)</f>
        <v>-1</v>
      </c>
      <c r="AT16" s="329" t="s">
        <v>128</v>
      </c>
      <c r="AW16" s="6" cm="1">
        <f t="array" ref="AW16">SUMPRODUCT(COUNTIF(M16:N16,{"X";"Y";"Z";"S"}))+SUMPRODUCT(COUNTIF(T16:U16,{"X";"Y";"Z";"S"}))+SUMPRODUCT(COUNTIF(AA16:AB16,{"X";"Y";"Z";"S"}))+SUMPRODUCT(COUNTIF(AH16:AI16,{"X";"Y";"Z";"S"}))+SUMPRODUCT(COUNTIF(AO16:AO16,{"X";"Y";"Z";"S"}))-5</f>
        <v>2</v>
      </c>
      <c r="AX16" s="6">
        <v>5</v>
      </c>
      <c r="AY16" s="6">
        <f t="shared" si="13"/>
        <v>7</v>
      </c>
    </row>
    <row r="17" spans="1:226" ht="25.5" customHeight="1" thickBot="1">
      <c r="A17" s="54">
        <f t="shared" si="1"/>
        <v>14</v>
      </c>
      <c r="B17" s="55">
        <f t="shared" si="2"/>
        <v>3</v>
      </c>
      <c r="C17" s="56">
        <f t="shared" si="3"/>
        <v>0</v>
      </c>
      <c r="D17" s="55">
        <f t="shared" si="4"/>
        <v>0</v>
      </c>
      <c r="E17" s="17">
        <f t="shared" si="5"/>
        <v>2</v>
      </c>
      <c r="F17" s="17">
        <f t="shared" si="6"/>
        <v>4</v>
      </c>
      <c r="G17" s="17">
        <f t="shared" si="7"/>
        <v>5</v>
      </c>
      <c r="H17" s="17">
        <f t="shared" si="8"/>
        <v>2</v>
      </c>
      <c r="I17" s="388">
        <f t="shared" si="9"/>
        <v>30</v>
      </c>
      <c r="J17" s="456" t="s">
        <v>137</v>
      </c>
      <c r="K17" s="435" t="s">
        <v>0</v>
      </c>
      <c r="L17" s="439" t="s">
        <v>36</v>
      </c>
      <c r="M17" s="439" t="s">
        <v>36</v>
      </c>
      <c r="N17" s="439" t="s">
        <v>36</v>
      </c>
      <c r="O17" s="464" t="s">
        <v>36</v>
      </c>
      <c r="P17" s="439" t="s">
        <v>52</v>
      </c>
      <c r="Q17" s="439" t="s">
        <v>36</v>
      </c>
      <c r="R17" s="160" t="s">
        <v>36</v>
      </c>
      <c r="S17" s="444" t="s">
        <v>1</v>
      </c>
      <c r="T17" s="443" t="s">
        <v>52</v>
      </c>
      <c r="U17" s="443" t="s">
        <v>0</v>
      </c>
      <c r="V17" s="238" t="s">
        <v>36</v>
      </c>
      <c r="W17" s="238" t="s">
        <v>36</v>
      </c>
      <c r="X17" s="439">
        <v>1</v>
      </c>
      <c r="Y17" s="439" t="s">
        <v>52</v>
      </c>
      <c r="Z17" s="439" t="s">
        <v>36</v>
      </c>
      <c r="AA17" s="439">
        <v>2</v>
      </c>
      <c r="AB17" s="439">
        <v>2</v>
      </c>
      <c r="AC17" s="161" t="s">
        <v>0</v>
      </c>
      <c r="AD17" s="464" t="s">
        <v>36</v>
      </c>
      <c r="AE17" s="238" t="s">
        <v>36</v>
      </c>
      <c r="AF17" s="160" t="s">
        <v>52</v>
      </c>
      <c r="AG17" s="444" t="s">
        <v>163</v>
      </c>
      <c r="AH17" s="443" t="s">
        <v>53</v>
      </c>
      <c r="AI17" s="443" t="s">
        <v>53</v>
      </c>
      <c r="AJ17" s="444" t="s">
        <v>1</v>
      </c>
      <c r="AK17" s="171" t="s">
        <v>36</v>
      </c>
      <c r="AL17" s="464" t="s">
        <v>36</v>
      </c>
      <c r="AM17" s="439" t="s">
        <v>52</v>
      </c>
      <c r="AN17" s="464">
        <v>2</v>
      </c>
      <c r="AO17" s="457" t="s">
        <v>0</v>
      </c>
      <c r="AP17" s="385">
        <v>0</v>
      </c>
      <c r="AQ17" s="386">
        <f t="shared" si="0"/>
        <v>0</v>
      </c>
      <c r="AR17" s="386">
        <v>0</v>
      </c>
      <c r="AS17" s="17">
        <f t="shared" ref="AS17:AS46" si="14">SUM(AP17:AR17)</f>
        <v>0</v>
      </c>
      <c r="AT17" s="387" t="s">
        <v>126</v>
      </c>
      <c r="AW17" s="6" cm="1">
        <f t="array" ref="AW17">SUMPRODUCT(COUNTIF(M17:N17,{"X";"Y";"Z";"S"}))+SUMPRODUCT(COUNTIF(T17:U17,{"X";"Y";"Z";"S"}))+SUMPRODUCT(COUNTIF(AA17:AB17,{"X";"Y";"Z";"S"}))+SUMPRODUCT(COUNTIF(AH17:AI17,{"X";"Y";"Z";"S"}))+SUMPRODUCT(COUNTIF(AO17:AO17,{"X";"Y";"Z";"S"}))-5</f>
        <v>0</v>
      </c>
      <c r="AX17" s="6">
        <v>2</v>
      </c>
      <c r="AY17" s="6">
        <f t="shared" si="13"/>
        <v>2</v>
      </c>
    </row>
    <row r="18" spans="1:226" s="50" customFormat="1" ht="25.5" customHeight="1">
      <c r="A18" s="23">
        <f t="shared" si="1"/>
        <v>2</v>
      </c>
      <c r="B18" s="24">
        <f t="shared" si="2"/>
        <v>7</v>
      </c>
      <c r="C18" s="25">
        <f t="shared" si="3"/>
        <v>8</v>
      </c>
      <c r="D18" s="24">
        <f t="shared" si="4"/>
        <v>0</v>
      </c>
      <c r="E18" s="26">
        <f t="shared" si="5"/>
        <v>3</v>
      </c>
      <c r="F18" s="26">
        <f t="shared" si="6"/>
        <v>4</v>
      </c>
      <c r="G18" s="26">
        <f t="shared" si="7"/>
        <v>5</v>
      </c>
      <c r="H18" s="26">
        <f t="shared" si="8"/>
        <v>2</v>
      </c>
      <c r="I18" s="27">
        <f t="shared" si="9"/>
        <v>31</v>
      </c>
      <c r="J18" s="154" t="s">
        <v>10</v>
      </c>
      <c r="K18" s="458" t="s">
        <v>52</v>
      </c>
      <c r="L18" s="235">
        <v>3</v>
      </c>
      <c r="M18" s="235">
        <v>3</v>
      </c>
      <c r="N18" s="235">
        <v>3</v>
      </c>
      <c r="O18" s="235" t="s">
        <v>0</v>
      </c>
      <c r="P18" s="235">
        <v>1</v>
      </c>
      <c r="Q18" s="235">
        <v>1</v>
      </c>
      <c r="R18" s="235">
        <v>2</v>
      </c>
      <c r="S18" s="235">
        <v>2</v>
      </c>
      <c r="T18" s="235">
        <v>2</v>
      </c>
      <c r="U18" s="235">
        <v>2</v>
      </c>
      <c r="V18" s="254" t="s">
        <v>52</v>
      </c>
      <c r="W18" s="254" t="s">
        <v>1</v>
      </c>
      <c r="X18" s="254" t="s">
        <v>1</v>
      </c>
      <c r="Y18" s="254" t="s">
        <v>1</v>
      </c>
      <c r="Z18" s="254" t="s">
        <v>52</v>
      </c>
      <c r="AA18" s="235">
        <v>2</v>
      </c>
      <c r="AB18" s="235">
        <v>2</v>
      </c>
      <c r="AC18" s="235">
        <v>2</v>
      </c>
      <c r="AD18" s="235" t="s">
        <v>0</v>
      </c>
      <c r="AE18" s="235" t="s">
        <v>0</v>
      </c>
      <c r="AF18" s="235" t="s">
        <v>0</v>
      </c>
      <c r="AG18" s="235">
        <v>3</v>
      </c>
      <c r="AH18" s="235">
        <v>3</v>
      </c>
      <c r="AI18" s="235">
        <v>3</v>
      </c>
      <c r="AJ18" s="254" t="s">
        <v>52</v>
      </c>
      <c r="AK18" s="254" t="s">
        <v>53</v>
      </c>
      <c r="AL18" s="254" t="s">
        <v>53</v>
      </c>
      <c r="AM18" s="254" t="s">
        <v>52</v>
      </c>
      <c r="AN18" s="235">
        <v>3</v>
      </c>
      <c r="AO18" s="236">
        <v>3</v>
      </c>
      <c r="AP18" s="313">
        <v>0</v>
      </c>
      <c r="AQ18" s="36">
        <f t="shared" si="0"/>
        <v>0</v>
      </c>
      <c r="AR18" s="36">
        <v>0</v>
      </c>
      <c r="AS18" s="26">
        <f t="shared" si="14"/>
        <v>0</v>
      </c>
      <c r="AT18" s="328" t="s">
        <v>126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0" customFormat="1" ht="25.5" customHeight="1">
      <c r="A19" s="38">
        <f t="shared" si="1"/>
        <v>2</v>
      </c>
      <c r="B19" s="39">
        <f t="shared" si="2"/>
        <v>9</v>
      </c>
      <c r="C19" s="40">
        <f t="shared" si="3"/>
        <v>1</v>
      </c>
      <c r="D19" s="39">
        <f t="shared" si="4"/>
        <v>2</v>
      </c>
      <c r="E19" s="41">
        <f t="shared" si="5"/>
        <v>5</v>
      </c>
      <c r="F19" s="41">
        <f t="shared" si="6"/>
        <v>4</v>
      </c>
      <c r="G19" s="41">
        <f t="shared" si="7"/>
        <v>5</v>
      </c>
      <c r="H19" s="41">
        <f t="shared" si="8"/>
        <v>2</v>
      </c>
      <c r="I19" s="42">
        <f t="shared" si="9"/>
        <v>30</v>
      </c>
      <c r="J19" s="145" t="s">
        <v>11</v>
      </c>
      <c r="K19" s="245">
        <v>3</v>
      </c>
      <c r="L19" s="234" t="s">
        <v>52</v>
      </c>
      <c r="M19" s="239" t="s">
        <v>0</v>
      </c>
      <c r="N19" s="239" t="s">
        <v>53</v>
      </c>
      <c r="O19" s="238" t="s">
        <v>0</v>
      </c>
      <c r="P19" s="238" t="s">
        <v>0</v>
      </c>
      <c r="Q19" s="242" t="s">
        <v>3</v>
      </c>
      <c r="R19" s="238" t="s">
        <v>36</v>
      </c>
      <c r="S19" s="238" t="s">
        <v>38</v>
      </c>
      <c r="T19" s="238" t="s">
        <v>38</v>
      </c>
      <c r="U19" s="238" t="s">
        <v>38</v>
      </c>
      <c r="V19" s="234" t="s">
        <v>52</v>
      </c>
      <c r="W19" s="234" t="s">
        <v>53</v>
      </c>
      <c r="X19" s="242" t="s">
        <v>3</v>
      </c>
      <c r="Y19" s="238" t="s">
        <v>36</v>
      </c>
      <c r="Z19" s="238" t="s">
        <v>52</v>
      </c>
      <c r="AA19" s="259" t="s">
        <v>38</v>
      </c>
      <c r="AB19" s="238" t="s">
        <v>38</v>
      </c>
      <c r="AC19" s="238" t="s">
        <v>38</v>
      </c>
      <c r="AD19" s="238" t="s">
        <v>38</v>
      </c>
      <c r="AE19" s="238" t="s">
        <v>38</v>
      </c>
      <c r="AF19" s="239" t="s">
        <v>52</v>
      </c>
      <c r="AG19" s="234" t="s">
        <v>163</v>
      </c>
      <c r="AH19" s="234" t="s">
        <v>1</v>
      </c>
      <c r="AI19" s="239" t="s">
        <v>0</v>
      </c>
      <c r="AJ19" s="234" t="s">
        <v>1</v>
      </c>
      <c r="AK19" s="234" t="s">
        <v>1</v>
      </c>
      <c r="AL19" s="234" t="s">
        <v>1</v>
      </c>
      <c r="AM19" s="234" t="s">
        <v>1</v>
      </c>
      <c r="AN19" s="234" t="s">
        <v>52</v>
      </c>
      <c r="AO19" s="241" t="s">
        <v>38</v>
      </c>
      <c r="AP19" s="45">
        <v>0</v>
      </c>
      <c r="AQ19" s="46">
        <f t="shared" si="0"/>
        <v>0</v>
      </c>
      <c r="AR19" s="46">
        <v>0</v>
      </c>
      <c r="AS19" s="41">
        <f t="shared" si="14"/>
        <v>0</v>
      </c>
      <c r="AT19" s="329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38">
        <f t="shared" si="1"/>
        <v>5</v>
      </c>
      <c r="B20" s="39">
        <f t="shared" si="2"/>
        <v>6</v>
      </c>
      <c r="C20" s="40">
        <f t="shared" si="3"/>
        <v>8</v>
      </c>
      <c r="D20" s="39">
        <f t="shared" si="4"/>
        <v>1</v>
      </c>
      <c r="E20" s="41">
        <f t="shared" si="5"/>
        <v>0</v>
      </c>
      <c r="F20" s="41">
        <f t="shared" si="6"/>
        <v>4</v>
      </c>
      <c r="G20" s="41">
        <f t="shared" si="7"/>
        <v>5</v>
      </c>
      <c r="H20" s="41">
        <f t="shared" si="8"/>
        <v>1</v>
      </c>
      <c r="I20" s="42">
        <f t="shared" si="9"/>
        <v>30</v>
      </c>
      <c r="J20" s="155" t="s">
        <v>12</v>
      </c>
      <c r="K20" s="245" t="s">
        <v>52</v>
      </c>
      <c r="L20" s="238" t="s">
        <v>36</v>
      </c>
      <c r="M20" s="238" t="s">
        <v>38</v>
      </c>
      <c r="N20" s="238" t="s">
        <v>38</v>
      </c>
      <c r="O20" s="238" t="s">
        <v>38</v>
      </c>
      <c r="P20" s="238" t="s">
        <v>0</v>
      </c>
      <c r="Q20" s="238" t="s">
        <v>53</v>
      </c>
      <c r="R20" s="242" t="s">
        <v>3</v>
      </c>
      <c r="S20" s="238" t="s">
        <v>38</v>
      </c>
      <c r="T20" s="239" t="s">
        <v>52</v>
      </c>
      <c r="U20" s="239" t="s">
        <v>0</v>
      </c>
      <c r="V20" s="238" t="s">
        <v>40</v>
      </c>
      <c r="W20" s="238" t="s">
        <v>40</v>
      </c>
      <c r="X20" s="238" t="s">
        <v>40</v>
      </c>
      <c r="Y20" s="238">
        <v>3</v>
      </c>
      <c r="Z20" s="238">
        <v>3</v>
      </c>
      <c r="AA20" s="238">
        <v>2</v>
      </c>
      <c r="AB20" s="239" t="s">
        <v>0</v>
      </c>
      <c r="AC20" s="238" t="s">
        <v>40</v>
      </c>
      <c r="AD20" s="238" t="s">
        <v>40</v>
      </c>
      <c r="AE20" s="238" t="s">
        <v>40</v>
      </c>
      <c r="AF20" s="238" t="s">
        <v>52</v>
      </c>
      <c r="AG20" s="238" t="s">
        <v>163</v>
      </c>
      <c r="AH20" s="239" t="s">
        <v>52</v>
      </c>
      <c r="AI20" s="238" t="s">
        <v>36</v>
      </c>
      <c r="AJ20" s="238" t="s">
        <v>36</v>
      </c>
      <c r="AK20" s="238" t="s">
        <v>36</v>
      </c>
      <c r="AL20" s="238" t="s">
        <v>0</v>
      </c>
      <c r="AM20" s="238" t="s">
        <v>36</v>
      </c>
      <c r="AN20" s="238" t="s">
        <v>38</v>
      </c>
      <c r="AO20" s="397" t="s">
        <v>52</v>
      </c>
      <c r="AP20" s="45">
        <v>0</v>
      </c>
      <c r="AQ20" s="46">
        <f t="shared" si="0"/>
        <v>-1</v>
      </c>
      <c r="AR20" s="46">
        <v>0</v>
      </c>
      <c r="AS20" s="41">
        <f t="shared" si="14"/>
        <v>-1</v>
      </c>
      <c r="AT20" s="329" t="s">
        <v>128</v>
      </c>
    </row>
    <row r="21" spans="1:226" ht="25.5" customHeight="1">
      <c r="A21" s="38">
        <f t="shared" si="1"/>
        <v>3</v>
      </c>
      <c r="B21" s="39">
        <f t="shared" si="2"/>
        <v>0</v>
      </c>
      <c r="C21" s="40">
        <f t="shared" si="3"/>
        <v>16</v>
      </c>
      <c r="D21" s="39">
        <f t="shared" si="4"/>
        <v>0</v>
      </c>
      <c r="E21" s="41">
        <f t="shared" si="5"/>
        <v>1</v>
      </c>
      <c r="F21" s="41">
        <f t="shared" si="6"/>
        <v>4</v>
      </c>
      <c r="G21" s="41">
        <f t="shared" si="7"/>
        <v>5</v>
      </c>
      <c r="H21" s="41">
        <f t="shared" si="8"/>
        <v>2</v>
      </c>
      <c r="I21" s="42">
        <f t="shared" si="9"/>
        <v>31</v>
      </c>
      <c r="J21" s="145" t="s">
        <v>13</v>
      </c>
      <c r="K21" s="245" t="s">
        <v>40</v>
      </c>
      <c r="L21" s="238" t="s">
        <v>52</v>
      </c>
      <c r="M21" s="238" t="s">
        <v>36</v>
      </c>
      <c r="N21" s="238" t="s">
        <v>36</v>
      </c>
      <c r="O21" s="238" t="s">
        <v>53</v>
      </c>
      <c r="P21" s="238" t="s">
        <v>0</v>
      </c>
      <c r="Q21" s="238" t="s">
        <v>40</v>
      </c>
      <c r="R21" s="238" t="s">
        <v>40</v>
      </c>
      <c r="S21" s="238" t="s">
        <v>40</v>
      </c>
      <c r="T21" s="239" t="s">
        <v>52</v>
      </c>
      <c r="U21" s="239" t="s">
        <v>53</v>
      </c>
      <c r="V21" s="234" t="s">
        <v>1</v>
      </c>
      <c r="W21" s="234" t="s">
        <v>0</v>
      </c>
      <c r="X21" s="238" t="s">
        <v>40</v>
      </c>
      <c r="Y21" s="238" t="s">
        <v>40</v>
      </c>
      <c r="Z21" s="238" t="s">
        <v>40</v>
      </c>
      <c r="AA21" s="238" t="s">
        <v>40</v>
      </c>
      <c r="AB21" s="238" t="s">
        <v>40</v>
      </c>
      <c r="AC21" s="238" t="s">
        <v>52</v>
      </c>
      <c r="AD21" s="238" t="s">
        <v>40</v>
      </c>
      <c r="AE21" s="238" t="s">
        <v>40</v>
      </c>
      <c r="AF21" s="238" t="s">
        <v>40</v>
      </c>
      <c r="AG21" s="238" t="s">
        <v>40</v>
      </c>
      <c r="AH21" s="239" t="s">
        <v>52</v>
      </c>
      <c r="AI21" s="239" t="s">
        <v>0</v>
      </c>
      <c r="AJ21" s="238" t="s">
        <v>40</v>
      </c>
      <c r="AK21" s="238" t="s">
        <v>40</v>
      </c>
      <c r="AL21" s="238" t="s">
        <v>40</v>
      </c>
      <c r="AM21" s="238" t="s">
        <v>52</v>
      </c>
      <c r="AN21" s="238" t="s">
        <v>0</v>
      </c>
      <c r="AO21" s="241">
        <v>1</v>
      </c>
      <c r="AP21" s="45">
        <v>0</v>
      </c>
      <c r="AQ21" s="46">
        <f t="shared" si="0"/>
        <v>0</v>
      </c>
      <c r="AR21" s="46">
        <v>0</v>
      </c>
      <c r="AS21" s="41">
        <f t="shared" si="14"/>
        <v>0</v>
      </c>
      <c r="AT21" s="329" t="s">
        <v>126</v>
      </c>
    </row>
    <row r="22" spans="1:226" s="50" customFormat="1" ht="25.5" customHeight="1">
      <c r="A22" s="38">
        <f t="shared" si="1"/>
        <v>3</v>
      </c>
      <c r="B22" s="39">
        <f t="shared" si="2"/>
        <v>9</v>
      </c>
      <c r="C22" s="40">
        <f t="shared" si="3"/>
        <v>8</v>
      </c>
      <c r="D22" s="39">
        <f t="shared" si="4"/>
        <v>0</v>
      </c>
      <c r="E22" s="41">
        <f t="shared" si="5"/>
        <v>0</v>
      </c>
      <c r="F22" s="41">
        <f t="shared" si="6"/>
        <v>4</v>
      </c>
      <c r="G22" s="41">
        <f t="shared" si="7"/>
        <v>5</v>
      </c>
      <c r="H22" s="41">
        <f t="shared" si="8"/>
        <v>2</v>
      </c>
      <c r="I22" s="42">
        <f t="shared" si="9"/>
        <v>31</v>
      </c>
      <c r="J22" s="146" t="s">
        <v>138</v>
      </c>
      <c r="K22" s="245" t="s">
        <v>38</v>
      </c>
      <c r="L22" s="238" t="s">
        <v>38</v>
      </c>
      <c r="M22" s="239" t="s">
        <v>52</v>
      </c>
      <c r="N22" s="239" t="s">
        <v>0</v>
      </c>
      <c r="O22" s="238">
        <v>3</v>
      </c>
      <c r="P22" s="238" t="s">
        <v>40</v>
      </c>
      <c r="Q22" s="238" t="s">
        <v>40</v>
      </c>
      <c r="R22" s="238" t="s">
        <v>52</v>
      </c>
      <c r="S22" s="238">
        <v>1</v>
      </c>
      <c r="T22" s="238" t="s">
        <v>36</v>
      </c>
      <c r="U22" s="238" t="s">
        <v>36</v>
      </c>
      <c r="V22" s="238" t="s">
        <v>0</v>
      </c>
      <c r="W22" s="238" t="s">
        <v>38</v>
      </c>
      <c r="X22" s="238" t="s">
        <v>38</v>
      </c>
      <c r="Y22" s="238" t="s">
        <v>38</v>
      </c>
      <c r="Z22" s="238" t="s">
        <v>38</v>
      </c>
      <c r="AA22" s="239" t="s">
        <v>52</v>
      </c>
      <c r="AB22" s="239" t="s">
        <v>0</v>
      </c>
      <c r="AC22" s="238" t="s">
        <v>53</v>
      </c>
      <c r="AD22" s="238" t="s">
        <v>53</v>
      </c>
      <c r="AE22" s="238" t="s">
        <v>0</v>
      </c>
      <c r="AF22" s="238" t="s">
        <v>40</v>
      </c>
      <c r="AG22" s="238" t="s">
        <v>40</v>
      </c>
      <c r="AH22" s="238" t="s">
        <v>40</v>
      </c>
      <c r="AI22" s="238" t="s">
        <v>40</v>
      </c>
      <c r="AJ22" s="238" t="s">
        <v>40</v>
      </c>
      <c r="AK22" s="238" t="s">
        <v>52</v>
      </c>
      <c r="AL22" s="238" t="s">
        <v>38</v>
      </c>
      <c r="AM22" s="238" t="s">
        <v>38</v>
      </c>
      <c r="AN22" s="238" t="s">
        <v>38</v>
      </c>
      <c r="AO22" s="397" t="s">
        <v>52</v>
      </c>
      <c r="AP22" s="45">
        <v>0</v>
      </c>
      <c r="AQ22" s="46">
        <f t="shared" si="0"/>
        <v>0</v>
      </c>
      <c r="AR22" s="46">
        <v>0</v>
      </c>
      <c r="AS22" s="41">
        <f t="shared" si="14"/>
        <v>0</v>
      </c>
      <c r="AT22" s="329" t="s">
        <v>128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0" customFormat="1" ht="25.5" customHeight="1">
      <c r="A23" s="38">
        <f t="shared" si="1"/>
        <v>10</v>
      </c>
      <c r="B23" s="39">
        <f t="shared" si="2"/>
        <v>0</v>
      </c>
      <c r="C23" s="40">
        <f t="shared" si="3"/>
        <v>0</v>
      </c>
      <c r="D23" s="39">
        <f t="shared" si="4"/>
        <v>9</v>
      </c>
      <c r="E23" s="41">
        <f t="shared" si="5"/>
        <v>0</v>
      </c>
      <c r="F23" s="41">
        <f t="shared" si="6"/>
        <v>5</v>
      </c>
      <c r="G23" s="41">
        <f t="shared" si="7"/>
        <v>5</v>
      </c>
      <c r="H23" s="41">
        <f t="shared" si="8"/>
        <v>2</v>
      </c>
      <c r="I23" s="42">
        <f t="shared" si="9"/>
        <v>31</v>
      </c>
      <c r="J23" s="147" t="s">
        <v>165</v>
      </c>
      <c r="K23" s="245">
        <v>1</v>
      </c>
      <c r="L23" s="459" t="s">
        <v>3</v>
      </c>
      <c r="M23" s="239" t="s">
        <v>52</v>
      </c>
      <c r="N23" s="239" t="s">
        <v>0</v>
      </c>
      <c r="O23" s="238">
        <v>1</v>
      </c>
      <c r="P23" s="238" t="s">
        <v>3</v>
      </c>
      <c r="Q23" s="238" t="s">
        <v>3</v>
      </c>
      <c r="R23" s="238">
        <v>1</v>
      </c>
      <c r="S23" s="239" t="s">
        <v>53</v>
      </c>
      <c r="T23" s="239" t="s">
        <v>52</v>
      </c>
      <c r="U23" s="239" t="s">
        <v>0</v>
      </c>
      <c r="V23" s="238">
        <v>1</v>
      </c>
      <c r="W23" s="238" t="s">
        <v>3</v>
      </c>
      <c r="X23" s="242" t="s">
        <v>3</v>
      </c>
      <c r="Y23" s="238" t="s">
        <v>3</v>
      </c>
      <c r="Z23" s="238" t="s">
        <v>3</v>
      </c>
      <c r="AA23" s="239" t="s">
        <v>52</v>
      </c>
      <c r="AB23" s="239" t="s">
        <v>0</v>
      </c>
      <c r="AC23" s="234" t="s">
        <v>0</v>
      </c>
      <c r="AD23" s="238">
        <v>1</v>
      </c>
      <c r="AE23" s="238">
        <v>1</v>
      </c>
      <c r="AF23" s="238">
        <v>1</v>
      </c>
      <c r="AG23" s="238">
        <v>1</v>
      </c>
      <c r="AH23" s="239" t="s">
        <v>52</v>
      </c>
      <c r="AI23" s="239" t="s">
        <v>0</v>
      </c>
      <c r="AJ23" s="239" t="s">
        <v>53</v>
      </c>
      <c r="AK23" s="238">
        <v>1</v>
      </c>
      <c r="AL23" s="460" t="s">
        <v>3</v>
      </c>
      <c r="AM23" s="393" t="s">
        <v>159</v>
      </c>
      <c r="AN23" s="238">
        <v>1</v>
      </c>
      <c r="AO23" s="397" t="s">
        <v>52</v>
      </c>
      <c r="AP23" s="45">
        <v>-1</v>
      </c>
      <c r="AQ23" s="46">
        <f t="shared" si="0"/>
        <v>1</v>
      </c>
      <c r="AR23" s="46">
        <v>0</v>
      </c>
      <c r="AS23" s="41">
        <f t="shared" si="14"/>
        <v>0</v>
      </c>
      <c r="AT23" s="329" t="s">
        <v>133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6" s="50" customFormat="1" ht="25.5" customHeight="1">
      <c r="A24" s="38">
        <f t="shared" si="1"/>
        <v>9</v>
      </c>
      <c r="B24" s="39">
        <f t="shared" si="2"/>
        <v>3</v>
      </c>
      <c r="C24" s="40">
        <f t="shared" si="3"/>
        <v>8</v>
      </c>
      <c r="D24" s="39">
        <f t="shared" si="4"/>
        <v>0</v>
      </c>
      <c r="E24" s="41">
        <f t="shared" si="5"/>
        <v>0</v>
      </c>
      <c r="F24" s="41">
        <f t="shared" si="6"/>
        <v>4</v>
      </c>
      <c r="G24" s="41">
        <f t="shared" si="7"/>
        <v>5</v>
      </c>
      <c r="H24" s="41">
        <f t="shared" si="8"/>
        <v>1</v>
      </c>
      <c r="I24" s="42">
        <f t="shared" si="9"/>
        <v>30</v>
      </c>
      <c r="J24" s="147" t="s">
        <v>16</v>
      </c>
      <c r="K24" s="245" t="s">
        <v>36</v>
      </c>
      <c r="L24" s="238" t="s">
        <v>36</v>
      </c>
      <c r="M24" s="239" t="s">
        <v>52</v>
      </c>
      <c r="N24" s="239" t="s">
        <v>0</v>
      </c>
      <c r="O24" s="238" t="s">
        <v>36</v>
      </c>
      <c r="P24" s="238" t="s">
        <v>36</v>
      </c>
      <c r="Q24" s="238" t="s">
        <v>0</v>
      </c>
      <c r="R24" s="238" t="s">
        <v>40</v>
      </c>
      <c r="S24" s="238" t="s">
        <v>40</v>
      </c>
      <c r="T24" s="238" t="s">
        <v>40</v>
      </c>
      <c r="U24" s="238" t="s">
        <v>40</v>
      </c>
      <c r="V24" s="238" t="s">
        <v>40</v>
      </c>
      <c r="W24" s="238" t="s">
        <v>52</v>
      </c>
      <c r="X24" s="238" t="s">
        <v>53</v>
      </c>
      <c r="Y24" s="238" t="s">
        <v>36</v>
      </c>
      <c r="Z24" s="238" t="s">
        <v>36</v>
      </c>
      <c r="AA24" s="239" t="s">
        <v>52</v>
      </c>
      <c r="AB24" s="239" t="s">
        <v>0</v>
      </c>
      <c r="AC24" s="238" t="s">
        <v>38</v>
      </c>
      <c r="AD24" s="238" t="s">
        <v>38</v>
      </c>
      <c r="AE24" s="238" t="s">
        <v>38</v>
      </c>
      <c r="AF24" s="238" t="s">
        <v>52</v>
      </c>
      <c r="AG24" s="238" t="s">
        <v>163</v>
      </c>
      <c r="AH24" s="238">
        <v>1</v>
      </c>
      <c r="AI24" s="238">
        <v>1</v>
      </c>
      <c r="AJ24" s="238">
        <v>1</v>
      </c>
      <c r="AK24" s="238" t="s">
        <v>0</v>
      </c>
      <c r="AL24" s="238" t="s">
        <v>40</v>
      </c>
      <c r="AM24" s="238" t="s">
        <v>40</v>
      </c>
      <c r="AN24" s="238" t="s">
        <v>40</v>
      </c>
      <c r="AO24" s="397" t="s">
        <v>52</v>
      </c>
      <c r="AP24" s="45">
        <v>0</v>
      </c>
      <c r="AQ24" s="46">
        <f t="shared" si="0"/>
        <v>-1</v>
      </c>
      <c r="AR24" s="46">
        <v>0</v>
      </c>
      <c r="AS24" s="41">
        <f t="shared" si="14"/>
        <v>-1</v>
      </c>
      <c r="AT24" s="32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7" customHeight="1">
      <c r="A25" s="38">
        <f t="shared" si="1"/>
        <v>6</v>
      </c>
      <c r="B25" s="39">
        <f t="shared" si="2"/>
        <v>0</v>
      </c>
      <c r="C25" s="40">
        <f t="shared" si="3"/>
        <v>13</v>
      </c>
      <c r="D25" s="39">
        <f t="shared" si="4"/>
        <v>1</v>
      </c>
      <c r="E25" s="41">
        <f t="shared" si="5"/>
        <v>0</v>
      </c>
      <c r="F25" s="41">
        <f t="shared" si="6"/>
        <v>4</v>
      </c>
      <c r="G25" s="41">
        <f t="shared" si="7"/>
        <v>4</v>
      </c>
      <c r="H25" s="41">
        <f t="shared" si="8"/>
        <v>2</v>
      </c>
      <c r="I25" s="42">
        <f t="shared" si="9"/>
        <v>30</v>
      </c>
      <c r="J25" s="147" t="s">
        <v>139</v>
      </c>
      <c r="K25" s="245">
        <v>3</v>
      </c>
      <c r="L25" s="238">
        <v>3</v>
      </c>
      <c r="M25" s="239" t="s">
        <v>53</v>
      </c>
      <c r="N25" s="239" t="s">
        <v>52</v>
      </c>
      <c r="O25" s="238">
        <v>3</v>
      </c>
      <c r="P25" s="238">
        <v>3</v>
      </c>
      <c r="Q25" s="242" t="s">
        <v>3</v>
      </c>
      <c r="R25" s="238">
        <v>1</v>
      </c>
      <c r="S25" s="234" t="s">
        <v>52</v>
      </c>
      <c r="T25" s="239" t="s">
        <v>53</v>
      </c>
      <c r="U25" s="239" t="s">
        <v>0</v>
      </c>
      <c r="V25" s="238">
        <v>3</v>
      </c>
      <c r="W25" s="238">
        <v>3</v>
      </c>
      <c r="X25" s="238">
        <v>3</v>
      </c>
      <c r="Y25" s="238" t="s">
        <v>52</v>
      </c>
      <c r="Z25" s="238">
        <v>1</v>
      </c>
      <c r="AA25" s="243">
        <v>1</v>
      </c>
      <c r="AB25" s="243">
        <v>1</v>
      </c>
      <c r="AC25" s="238" t="s">
        <v>0</v>
      </c>
      <c r="AD25" s="238">
        <v>3</v>
      </c>
      <c r="AE25" s="238">
        <v>3</v>
      </c>
      <c r="AF25" s="238">
        <v>3</v>
      </c>
      <c r="AG25" s="238" t="s">
        <v>163</v>
      </c>
      <c r="AH25" s="238">
        <v>1</v>
      </c>
      <c r="AI25" s="238">
        <v>1</v>
      </c>
      <c r="AJ25" s="238" t="s">
        <v>0</v>
      </c>
      <c r="AK25" s="238">
        <v>3</v>
      </c>
      <c r="AL25" s="238">
        <v>3</v>
      </c>
      <c r="AM25" s="238">
        <v>3</v>
      </c>
      <c r="AN25" s="234" t="s">
        <v>0</v>
      </c>
      <c r="AO25" s="397" t="s">
        <v>52</v>
      </c>
      <c r="AP25" s="45">
        <v>0</v>
      </c>
      <c r="AQ25" s="46">
        <f t="shared" si="0"/>
        <v>-1</v>
      </c>
      <c r="AR25" s="46">
        <v>0</v>
      </c>
      <c r="AS25" s="41">
        <f t="shared" si="14"/>
        <v>-1</v>
      </c>
      <c r="AT25" s="329" t="s">
        <v>128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 t="shared" si="1"/>
        <v>5</v>
      </c>
      <c r="B26" s="39">
        <f t="shared" si="2"/>
        <v>3</v>
      </c>
      <c r="C26" s="40">
        <f t="shared" si="3"/>
        <v>11</v>
      </c>
      <c r="D26" s="39">
        <f t="shared" si="4"/>
        <v>1</v>
      </c>
      <c r="E26" s="41">
        <f t="shared" si="5"/>
        <v>0</v>
      </c>
      <c r="F26" s="41">
        <f t="shared" si="6"/>
        <v>5</v>
      </c>
      <c r="G26" s="41">
        <f t="shared" si="7"/>
        <v>4</v>
      </c>
      <c r="H26" s="41">
        <f t="shared" si="8"/>
        <v>2</v>
      </c>
      <c r="I26" s="42">
        <f t="shared" si="9"/>
        <v>31</v>
      </c>
      <c r="J26" s="147" t="s">
        <v>140</v>
      </c>
      <c r="K26" s="466" t="s">
        <v>3</v>
      </c>
      <c r="L26" s="238" t="s">
        <v>52</v>
      </c>
      <c r="M26" s="239" t="s">
        <v>53</v>
      </c>
      <c r="N26" s="239" t="s">
        <v>0</v>
      </c>
      <c r="O26" s="238">
        <v>3</v>
      </c>
      <c r="P26" s="238">
        <v>3</v>
      </c>
      <c r="Q26" s="238">
        <v>3</v>
      </c>
      <c r="R26" s="238">
        <v>3</v>
      </c>
      <c r="S26" s="238" t="s">
        <v>52</v>
      </c>
      <c r="T26" s="239" t="s">
        <v>53</v>
      </c>
      <c r="U26" s="239" t="s">
        <v>0</v>
      </c>
      <c r="V26" s="238">
        <v>3</v>
      </c>
      <c r="W26" s="238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 t="s">
        <v>52</v>
      </c>
      <c r="AE26" s="238" t="s">
        <v>0</v>
      </c>
      <c r="AF26" s="238" t="s">
        <v>0</v>
      </c>
      <c r="AG26" s="238">
        <v>1</v>
      </c>
      <c r="AH26" s="238">
        <v>1</v>
      </c>
      <c r="AI26" s="246">
        <v>1</v>
      </c>
      <c r="AJ26" s="238">
        <v>1</v>
      </c>
      <c r="AK26" s="238" t="s">
        <v>0</v>
      </c>
      <c r="AL26" s="238">
        <v>1</v>
      </c>
      <c r="AM26" s="238">
        <v>2</v>
      </c>
      <c r="AN26" s="238">
        <v>2</v>
      </c>
      <c r="AO26" s="241">
        <v>2</v>
      </c>
      <c r="AP26" s="62">
        <v>0</v>
      </c>
      <c r="AQ26" s="46">
        <f t="shared" si="0"/>
        <v>0</v>
      </c>
      <c r="AR26" s="46">
        <v>0</v>
      </c>
      <c r="AS26" s="41">
        <f t="shared" si="14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>COUNTIF(K27:AO27,1)+COUNTIF(K27:AO27,"早")+COUNTIF(K27:AO27,"M1")+COUNTIF(K27:AO27,"T早")+COUNTIF(K27:AO27,"日")</f>
        <v>4</v>
      </c>
      <c r="B27" s="39">
        <f>COUNTIF(K27:AO27,2)+COUNTIF(K27:AO27,"中")+COUNTIF(K27:AO27,"M2")+COUNTIF(K27:AO27,"T中")+COUNTIF(K27:AO27,"小夜")</f>
        <v>5</v>
      </c>
      <c r="C27" s="40">
        <f>COUNTIF(K27:AO27,3)+COUNTIF(K27:AO27,"晚")+COUNTIF(K27:AO27,"大夜")</f>
        <v>11</v>
      </c>
      <c r="D27" s="39">
        <f>COUNTIF(K27:AO27,"N")+COUNTIF(K27:AO27,"N8")</f>
        <v>0</v>
      </c>
      <c r="E27" s="41">
        <f>COUNTIF(K27:AO27,"S")</f>
        <v>0</v>
      </c>
      <c r="F27" s="41">
        <f>COUNTIF(K27:AO27,"X")</f>
        <v>4</v>
      </c>
      <c r="G27" s="41">
        <f>COUNTIF(K27:AO27,"Y")</f>
        <v>5</v>
      </c>
      <c r="H27" s="41">
        <f>COUNTIF(K27:AO27,"Z")</f>
        <v>2</v>
      </c>
      <c r="I27" s="42">
        <f t="shared" si="9"/>
        <v>31</v>
      </c>
      <c r="J27" s="147" t="s">
        <v>19</v>
      </c>
      <c r="K27" s="245" t="s">
        <v>0</v>
      </c>
      <c r="L27" s="238">
        <v>1</v>
      </c>
      <c r="M27" s="238">
        <v>2</v>
      </c>
      <c r="N27" s="238">
        <v>2</v>
      </c>
      <c r="O27" s="238" t="s">
        <v>52</v>
      </c>
      <c r="P27" s="238">
        <v>3</v>
      </c>
      <c r="Q27" s="238">
        <v>3</v>
      </c>
      <c r="R27" s="238">
        <v>3</v>
      </c>
      <c r="S27" s="238">
        <v>3</v>
      </c>
      <c r="T27" s="243">
        <v>3</v>
      </c>
      <c r="U27" s="243">
        <v>3</v>
      </c>
      <c r="V27" s="234" t="s">
        <v>0</v>
      </c>
      <c r="W27" s="238">
        <v>1</v>
      </c>
      <c r="X27" s="238">
        <v>1</v>
      </c>
      <c r="Y27" s="238">
        <v>1</v>
      </c>
      <c r="Z27" s="30" t="s">
        <v>52</v>
      </c>
      <c r="AA27" s="239" t="s">
        <v>53</v>
      </c>
      <c r="AB27" s="239" t="s">
        <v>53</v>
      </c>
      <c r="AC27" s="234" t="s">
        <v>52</v>
      </c>
      <c r="AD27" s="234" t="s">
        <v>0</v>
      </c>
      <c r="AE27" s="238">
        <v>2</v>
      </c>
      <c r="AF27" s="238">
        <v>2</v>
      </c>
      <c r="AG27" s="238">
        <v>2</v>
      </c>
      <c r="AH27" s="239" t="s">
        <v>52</v>
      </c>
      <c r="AI27" s="239" t="s">
        <v>0</v>
      </c>
      <c r="AJ27" s="238">
        <v>3</v>
      </c>
      <c r="AK27" s="238">
        <v>3</v>
      </c>
      <c r="AL27" s="238">
        <v>3</v>
      </c>
      <c r="AM27" s="238">
        <v>3</v>
      </c>
      <c r="AN27" s="238">
        <v>3</v>
      </c>
      <c r="AO27" s="241" t="s">
        <v>52</v>
      </c>
      <c r="AP27" s="62">
        <v>0</v>
      </c>
      <c r="AQ27" s="46">
        <f t="shared" si="0"/>
        <v>0</v>
      </c>
      <c r="AR27" s="46">
        <v>0</v>
      </c>
      <c r="AS27" s="41">
        <f t="shared" si="14"/>
        <v>0</v>
      </c>
      <c r="AT27" s="32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1"/>
        <v>3</v>
      </c>
      <c r="B28" s="39">
        <f t="shared" si="2"/>
        <v>17</v>
      </c>
      <c r="C28" s="40">
        <f t="shared" si="3"/>
        <v>0</v>
      </c>
      <c r="D28" s="39">
        <f t="shared" si="4"/>
        <v>0</v>
      </c>
      <c r="E28" s="41">
        <f t="shared" si="5"/>
        <v>0</v>
      </c>
      <c r="F28" s="41">
        <f t="shared" si="6"/>
        <v>4</v>
      </c>
      <c r="G28" s="41">
        <f t="shared" si="7"/>
        <v>5</v>
      </c>
      <c r="H28" s="41">
        <f t="shared" si="8"/>
        <v>2</v>
      </c>
      <c r="I28" s="42">
        <f t="shared" si="9"/>
        <v>31</v>
      </c>
      <c r="J28" s="147" t="s">
        <v>20</v>
      </c>
      <c r="K28" s="245">
        <v>2</v>
      </c>
      <c r="L28" s="238">
        <v>2</v>
      </c>
      <c r="M28" s="239" t="s">
        <v>52</v>
      </c>
      <c r="N28" s="239" t="s">
        <v>0</v>
      </c>
      <c r="O28" s="238">
        <v>2</v>
      </c>
      <c r="P28" s="238">
        <v>2</v>
      </c>
      <c r="Q28" s="238">
        <v>2</v>
      </c>
      <c r="R28" s="238" t="s">
        <v>0</v>
      </c>
      <c r="S28" s="238">
        <v>1</v>
      </c>
      <c r="T28" s="238">
        <v>1</v>
      </c>
      <c r="U28" s="238">
        <v>1</v>
      </c>
      <c r="V28" s="238">
        <v>2</v>
      </c>
      <c r="W28" s="238" t="s">
        <v>52</v>
      </c>
      <c r="X28" s="238">
        <v>2</v>
      </c>
      <c r="Y28" s="238">
        <v>2</v>
      </c>
      <c r="Z28" s="238">
        <v>2</v>
      </c>
      <c r="AA28" s="239" t="s">
        <v>52</v>
      </c>
      <c r="AB28" s="239" t="s">
        <v>53</v>
      </c>
      <c r="AC28" s="238">
        <v>2</v>
      </c>
      <c r="AD28" s="238">
        <v>2</v>
      </c>
      <c r="AE28" s="238" t="s">
        <v>0</v>
      </c>
      <c r="AF28" s="238" t="s">
        <v>52</v>
      </c>
      <c r="AG28" s="238">
        <v>2</v>
      </c>
      <c r="AH28" s="238">
        <v>2</v>
      </c>
      <c r="AI28" s="238">
        <v>2</v>
      </c>
      <c r="AJ28" s="238">
        <v>2</v>
      </c>
      <c r="AK28" s="238">
        <v>2</v>
      </c>
      <c r="AL28" s="238">
        <v>2</v>
      </c>
      <c r="AM28" s="238" t="s">
        <v>0</v>
      </c>
      <c r="AN28" s="238" t="s">
        <v>53</v>
      </c>
      <c r="AO28" s="397" t="s">
        <v>52</v>
      </c>
      <c r="AP28" s="62">
        <v>0</v>
      </c>
      <c r="AQ28" s="46">
        <f t="shared" si="0"/>
        <v>0</v>
      </c>
      <c r="AR28" s="46">
        <v>0</v>
      </c>
      <c r="AS28" s="41">
        <f>SUM(AP28:AR28)</f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si="1"/>
        <v>3</v>
      </c>
      <c r="B29" s="39">
        <f t="shared" si="2"/>
        <v>13</v>
      </c>
      <c r="C29" s="40">
        <f t="shared" si="3"/>
        <v>4</v>
      </c>
      <c r="D29" s="39">
        <f t="shared" si="4"/>
        <v>0</v>
      </c>
      <c r="E29" s="41">
        <f t="shared" si="5"/>
        <v>0</v>
      </c>
      <c r="F29" s="41">
        <f t="shared" si="6"/>
        <v>4</v>
      </c>
      <c r="G29" s="41">
        <f t="shared" si="7"/>
        <v>4</v>
      </c>
      <c r="H29" s="41">
        <f t="shared" si="8"/>
        <v>2</v>
      </c>
      <c r="I29" s="42">
        <f t="shared" si="9"/>
        <v>30</v>
      </c>
      <c r="J29" s="147" t="s">
        <v>21</v>
      </c>
      <c r="K29" s="245">
        <v>2</v>
      </c>
      <c r="L29" s="238">
        <v>2</v>
      </c>
      <c r="M29" s="239" t="s">
        <v>52</v>
      </c>
      <c r="N29" s="239" t="s">
        <v>0</v>
      </c>
      <c r="O29" s="238">
        <v>2</v>
      </c>
      <c r="P29" s="238">
        <v>2</v>
      </c>
      <c r="Q29" s="238" t="s">
        <v>0</v>
      </c>
      <c r="R29" s="238" t="s">
        <v>53</v>
      </c>
      <c r="S29" s="234" t="s">
        <v>52</v>
      </c>
      <c r="T29" s="238">
        <v>2</v>
      </c>
      <c r="U29" s="238">
        <v>2</v>
      </c>
      <c r="V29" s="238">
        <v>2</v>
      </c>
      <c r="W29" s="238">
        <v>2</v>
      </c>
      <c r="X29" s="238">
        <v>2</v>
      </c>
      <c r="Y29" s="238">
        <v>2</v>
      </c>
      <c r="Z29" s="238" t="s">
        <v>52</v>
      </c>
      <c r="AA29" s="239" t="s">
        <v>53</v>
      </c>
      <c r="AB29" s="239" t="s">
        <v>0</v>
      </c>
      <c r="AC29" s="238">
        <v>3</v>
      </c>
      <c r="AD29" s="238">
        <v>3</v>
      </c>
      <c r="AE29" s="238">
        <v>3</v>
      </c>
      <c r="AF29" s="238">
        <v>3</v>
      </c>
      <c r="AG29" s="238" t="s">
        <v>163</v>
      </c>
      <c r="AH29" s="238">
        <v>2</v>
      </c>
      <c r="AI29" s="238">
        <v>2</v>
      </c>
      <c r="AJ29" s="238">
        <v>2</v>
      </c>
      <c r="AK29" s="238" t="s">
        <v>0</v>
      </c>
      <c r="AL29" s="238">
        <v>1</v>
      </c>
      <c r="AM29" s="238">
        <v>1</v>
      </c>
      <c r="AN29" s="238">
        <v>1</v>
      </c>
      <c r="AO29" s="397" t="s">
        <v>52</v>
      </c>
      <c r="AP29" s="62">
        <v>0</v>
      </c>
      <c r="AQ29" s="46">
        <f t="shared" si="0"/>
        <v>-1</v>
      </c>
      <c r="AR29" s="46">
        <v>0</v>
      </c>
      <c r="AS29" s="41">
        <f t="shared" ref="AS29:AS32" si="15">SUM(AP29:AR29)</f>
        <v>-1</v>
      </c>
      <c r="AT29" s="329" t="s">
        <v>128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1"/>
        <v>18</v>
      </c>
      <c r="B30" s="39">
        <f t="shared" si="2"/>
        <v>0</v>
      </c>
      <c r="C30" s="40">
        <f t="shared" si="3"/>
        <v>0</v>
      </c>
      <c r="D30" s="39">
        <f t="shared" si="4"/>
        <v>0</v>
      </c>
      <c r="E30" s="41">
        <f t="shared" si="5"/>
        <v>1</v>
      </c>
      <c r="F30" s="41">
        <f t="shared" si="6"/>
        <v>4</v>
      </c>
      <c r="G30" s="41">
        <f t="shared" si="7"/>
        <v>5</v>
      </c>
      <c r="H30" s="41">
        <f t="shared" si="8"/>
        <v>2</v>
      </c>
      <c r="I30" s="42">
        <f t="shared" si="9"/>
        <v>30</v>
      </c>
      <c r="J30" s="147" t="s">
        <v>166</v>
      </c>
      <c r="K30" s="245">
        <v>1</v>
      </c>
      <c r="L30" s="238">
        <v>1</v>
      </c>
      <c r="M30" s="239" t="s">
        <v>52</v>
      </c>
      <c r="N30" s="239" t="s">
        <v>0</v>
      </c>
      <c r="O30" s="238">
        <v>1</v>
      </c>
      <c r="P30" s="238">
        <v>1</v>
      </c>
      <c r="Q30" s="238">
        <v>1</v>
      </c>
      <c r="R30" s="238">
        <v>1</v>
      </c>
      <c r="S30" s="239" t="s">
        <v>53</v>
      </c>
      <c r="T30" s="239" t="s">
        <v>52</v>
      </c>
      <c r="U30" s="239" t="s">
        <v>0</v>
      </c>
      <c r="V30" s="238">
        <v>1</v>
      </c>
      <c r="W30" s="238">
        <v>1</v>
      </c>
      <c r="X30" s="238">
        <v>1</v>
      </c>
      <c r="Y30" s="238">
        <v>1</v>
      </c>
      <c r="Z30" s="238">
        <v>1</v>
      </c>
      <c r="AA30" s="239" t="s">
        <v>52</v>
      </c>
      <c r="AB30" s="239" t="s">
        <v>0</v>
      </c>
      <c r="AC30" s="238">
        <v>1</v>
      </c>
      <c r="AD30" s="238">
        <v>1</v>
      </c>
      <c r="AE30" s="238">
        <v>1</v>
      </c>
      <c r="AF30" s="238">
        <v>1</v>
      </c>
      <c r="AG30" s="238" t="s">
        <v>163</v>
      </c>
      <c r="AH30" s="239" t="s">
        <v>52</v>
      </c>
      <c r="AI30" s="239" t="s">
        <v>0</v>
      </c>
      <c r="AJ30" s="239" t="s">
        <v>53</v>
      </c>
      <c r="AK30" s="238">
        <v>1</v>
      </c>
      <c r="AL30" s="238">
        <v>1</v>
      </c>
      <c r="AM30" s="238">
        <v>1</v>
      </c>
      <c r="AN30" s="234" t="s">
        <v>1</v>
      </c>
      <c r="AO30" s="397" t="s">
        <v>52</v>
      </c>
      <c r="AP30" s="45">
        <v>0</v>
      </c>
      <c r="AQ30" s="46">
        <f t="shared" si="0"/>
        <v>0</v>
      </c>
      <c r="AR30" s="46">
        <v>0</v>
      </c>
      <c r="AS30" s="41">
        <f t="shared" si="15"/>
        <v>0</v>
      </c>
      <c r="AT30" s="329" t="s">
        <v>133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1"/>
        <v>17</v>
      </c>
      <c r="B31" s="39">
        <f t="shared" si="2"/>
        <v>0</v>
      </c>
      <c r="C31" s="40">
        <f t="shared" si="3"/>
        <v>0</v>
      </c>
      <c r="D31" s="39">
        <f t="shared" si="4"/>
        <v>0</v>
      </c>
      <c r="E31" s="41">
        <f t="shared" si="5"/>
        <v>2</v>
      </c>
      <c r="F31" s="41">
        <f t="shared" si="6"/>
        <v>4</v>
      </c>
      <c r="G31" s="41">
        <f t="shared" si="7"/>
        <v>5</v>
      </c>
      <c r="H31" s="41">
        <f t="shared" si="8"/>
        <v>2</v>
      </c>
      <c r="I31" s="42">
        <f t="shared" si="9"/>
        <v>30</v>
      </c>
      <c r="J31" s="147" t="s">
        <v>167</v>
      </c>
      <c r="K31" s="245">
        <v>1</v>
      </c>
      <c r="L31" s="238">
        <v>1</v>
      </c>
      <c r="M31" s="239" t="s">
        <v>52</v>
      </c>
      <c r="N31" s="239" t="s">
        <v>0</v>
      </c>
      <c r="O31" s="238">
        <v>1</v>
      </c>
      <c r="P31" s="234" t="s">
        <v>1</v>
      </c>
      <c r="Q31" s="238">
        <v>1</v>
      </c>
      <c r="R31" s="238">
        <v>1</v>
      </c>
      <c r="S31" s="239" t="s">
        <v>53</v>
      </c>
      <c r="T31" s="239" t="s">
        <v>52</v>
      </c>
      <c r="U31" s="239" t="s">
        <v>0</v>
      </c>
      <c r="V31" s="238">
        <v>1</v>
      </c>
      <c r="W31" s="238">
        <v>1</v>
      </c>
      <c r="X31" s="238">
        <v>1</v>
      </c>
      <c r="Y31" s="238">
        <v>1</v>
      </c>
      <c r="Z31" s="238">
        <v>1</v>
      </c>
      <c r="AA31" s="239" t="s">
        <v>52</v>
      </c>
      <c r="AB31" s="239" t="s">
        <v>0</v>
      </c>
      <c r="AC31" s="238">
        <v>1</v>
      </c>
      <c r="AD31" s="238">
        <v>1</v>
      </c>
      <c r="AE31" s="238">
        <v>1</v>
      </c>
      <c r="AF31" s="238">
        <v>1</v>
      </c>
      <c r="AG31" s="238" t="s">
        <v>163</v>
      </c>
      <c r="AH31" s="239" t="s">
        <v>52</v>
      </c>
      <c r="AI31" s="239" t="s">
        <v>0</v>
      </c>
      <c r="AJ31" s="239" t="s">
        <v>53</v>
      </c>
      <c r="AK31" s="238">
        <v>1</v>
      </c>
      <c r="AL31" s="238">
        <v>1</v>
      </c>
      <c r="AM31" s="238">
        <v>1</v>
      </c>
      <c r="AN31" s="234" t="s">
        <v>1</v>
      </c>
      <c r="AO31" s="397" t="s">
        <v>52</v>
      </c>
      <c r="AP31" s="45">
        <v>0</v>
      </c>
      <c r="AQ31" s="46">
        <f t="shared" si="0"/>
        <v>0</v>
      </c>
      <c r="AR31" s="46">
        <v>0</v>
      </c>
      <c r="AS31" s="41">
        <f t="shared" si="15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 t="shared" ref="A32:A33" si="16">COUNTIF(K32:AO32,1)+COUNTIF(K32:AO32,"早")+COUNTIF(K32:AO32,"M1")+COUNTIF(K32:AO32,"T早")+COUNTIF(K32:AO32,"日")</f>
        <v>9</v>
      </c>
      <c r="B32" s="39">
        <f t="shared" ref="B32:B33" si="17">COUNTIF(K32:AO32,2)+COUNTIF(K32:AO32,"中")+COUNTIF(K32:AO32,"M2")+COUNTIF(K32:AO32,"T中")+COUNTIF(K32:AO32,"小夜")</f>
        <v>11</v>
      </c>
      <c r="C32" s="40">
        <f t="shared" ref="C32:C33" si="18">COUNTIF(K32:AO32,3)+COUNTIF(K32:AO32,"晚")+COUNTIF(K32:AO32,"大夜")</f>
        <v>0</v>
      </c>
      <c r="D32" s="39">
        <f t="shared" ref="D32:D33" si="19">COUNTIF(K32:AO32,"N")+COUNTIF(K32:AO32,"N8")</f>
        <v>0</v>
      </c>
      <c r="E32" s="41">
        <f t="shared" ref="E32:E33" si="20">COUNTIF(K32:AO32,"S")</f>
        <v>0</v>
      </c>
      <c r="F32" s="41">
        <f t="shared" ref="F32:F33" si="21">COUNTIF(K32:AO32,"X")</f>
        <v>4</v>
      </c>
      <c r="G32" s="41">
        <f t="shared" ref="G32:G33" si="22">COUNTIF(K32:AO32,"Y")</f>
        <v>5</v>
      </c>
      <c r="H32" s="41">
        <f t="shared" ref="H32:H33" si="23">COUNTIF(K32:AO32,"Z")</f>
        <v>2</v>
      </c>
      <c r="I32" s="42">
        <f t="shared" ref="I32:I33" si="24">SUM(A32:H32)</f>
        <v>31</v>
      </c>
      <c r="J32" s="147" t="s">
        <v>170</v>
      </c>
      <c r="K32" s="245" t="s">
        <v>0</v>
      </c>
      <c r="L32" s="238">
        <v>1</v>
      </c>
      <c r="M32" s="46">
        <v>1</v>
      </c>
      <c r="N32" s="238">
        <v>2</v>
      </c>
      <c r="O32" s="234" t="s">
        <v>52</v>
      </c>
      <c r="P32" s="238">
        <v>1</v>
      </c>
      <c r="Q32" s="238">
        <v>1</v>
      </c>
      <c r="R32" s="238">
        <v>2</v>
      </c>
      <c r="S32" s="238">
        <v>2</v>
      </c>
      <c r="T32" s="239" t="s">
        <v>52</v>
      </c>
      <c r="U32" s="239" t="s">
        <v>53</v>
      </c>
      <c r="V32" s="238">
        <v>2</v>
      </c>
      <c r="W32" s="238">
        <v>2</v>
      </c>
      <c r="X32" s="238">
        <v>2</v>
      </c>
      <c r="Y32" s="234" t="s">
        <v>156</v>
      </c>
      <c r="Z32" s="238">
        <v>1</v>
      </c>
      <c r="AA32" s="238">
        <v>1</v>
      </c>
      <c r="AB32" s="238">
        <v>1</v>
      </c>
      <c r="AC32" s="234" t="s">
        <v>156</v>
      </c>
      <c r="AD32" s="46">
        <v>2</v>
      </c>
      <c r="AE32" s="238">
        <v>2</v>
      </c>
      <c r="AF32" s="238">
        <v>2</v>
      </c>
      <c r="AG32" s="238">
        <v>2</v>
      </c>
      <c r="AH32" s="239" t="s">
        <v>52</v>
      </c>
      <c r="AI32" s="239" t="s">
        <v>0</v>
      </c>
      <c r="AJ32" s="238">
        <v>1</v>
      </c>
      <c r="AK32" s="238">
        <v>1</v>
      </c>
      <c r="AL32" s="238" t="s">
        <v>53</v>
      </c>
      <c r="AM32" s="238" t="s">
        <v>52</v>
      </c>
      <c r="AN32" s="238" t="s">
        <v>52</v>
      </c>
      <c r="AO32" s="241">
        <v>2</v>
      </c>
      <c r="AP32" s="45">
        <v>0</v>
      </c>
      <c r="AQ32" s="46">
        <f t="shared" si="0"/>
        <v>0</v>
      </c>
      <c r="AR32" s="46">
        <v>0</v>
      </c>
      <c r="AS32" s="41">
        <f t="shared" si="15"/>
        <v>0</v>
      </c>
      <c r="AT32" s="32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38">
        <f t="shared" si="16"/>
        <v>7</v>
      </c>
      <c r="B33" s="39">
        <f t="shared" si="17"/>
        <v>9</v>
      </c>
      <c r="C33" s="40">
        <f t="shared" si="18"/>
        <v>4</v>
      </c>
      <c r="D33" s="39">
        <f t="shared" si="19"/>
        <v>0</v>
      </c>
      <c r="E33" s="41">
        <f t="shared" si="20"/>
        <v>0</v>
      </c>
      <c r="F33" s="41">
        <f t="shared" si="21"/>
        <v>4</v>
      </c>
      <c r="G33" s="41">
        <f t="shared" si="22"/>
        <v>5</v>
      </c>
      <c r="H33" s="41">
        <f t="shared" si="23"/>
        <v>2</v>
      </c>
      <c r="I33" s="42">
        <f t="shared" si="24"/>
        <v>31</v>
      </c>
      <c r="J33" s="147" t="s">
        <v>171</v>
      </c>
      <c r="K33" s="425">
        <v>2</v>
      </c>
      <c r="L33" s="242">
        <v>2</v>
      </c>
      <c r="M33" s="239" t="s">
        <v>52</v>
      </c>
      <c r="N33" s="239" t="s">
        <v>0</v>
      </c>
      <c r="O33" s="242">
        <v>3</v>
      </c>
      <c r="P33" s="242">
        <v>3</v>
      </c>
      <c r="Q33" s="242">
        <v>3</v>
      </c>
      <c r="R33" s="242">
        <v>3</v>
      </c>
      <c r="S33" s="239" t="s">
        <v>53</v>
      </c>
      <c r="T33" s="239" t="s">
        <v>52</v>
      </c>
      <c r="U33" s="239" t="s">
        <v>0</v>
      </c>
      <c r="V33" s="238">
        <v>1</v>
      </c>
      <c r="W33" s="238">
        <v>1</v>
      </c>
      <c r="X33" s="246" t="s">
        <v>0</v>
      </c>
      <c r="Y33" s="238">
        <v>1</v>
      </c>
      <c r="Z33" s="238">
        <v>2</v>
      </c>
      <c r="AA33" s="239" t="s">
        <v>52</v>
      </c>
      <c r="AB33" s="239" t="s">
        <v>53</v>
      </c>
      <c r="AC33" s="238">
        <v>1</v>
      </c>
      <c r="AD33" s="238">
        <v>1</v>
      </c>
      <c r="AE33" s="238">
        <v>1</v>
      </c>
      <c r="AF33" s="238" t="s">
        <v>52</v>
      </c>
      <c r="AG33" s="238">
        <v>1</v>
      </c>
      <c r="AH33" s="238">
        <v>2</v>
      </c>
      <c r="AI33" s="238" t="s">
        <v>0</v>
      </c>
      <c r="AJ33" s="238">
        <v>2</v>
      </c>
      <c r="AK33" s="238">
        <v>2</v>
      </c>
      <c r="AL33" s="238">
        <v>2</v>
      </c>
      <c r="AM33" s="238">
        <v>2</v>
      </c>
      <c r="AN33" s="238">
        <v>2</v>
      </c>
      <c r="AO33" s="397" t="s">
        <v>52</v>
      </c>
      <c r="AP33" s="45">
        <v>0</v>
      </c>
      <c r="AQ33" s="46">
        <f t="shared" si="0"/>
        <v>0</v>
      </c>
      <c r="AR33" s="46">
        <v>0</v>
      </c>
      <c r="AS33" s="41">
        <f>SUM(AP33:AR33)</f>
        <v>0</v>
      </c>
      <c r="AT33" s="329" t="s">
        <v>174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 thickBot="1">
      <c r="A34" s="69">
        <f>COUNTIF(K34:AO34,1)+COUNTIF(K34:AO34,"早")+COUNTIF(K34:AO34,"M1")+COUNTIF(K34:AO34,"T早")+COUNTIF(K34:AO34,"日")</f>
        <v>11</v>
      </c>
      <c r="B34" s="70">
        <f>COUNTIF(K34:AO34,2)+COUNTIF(K34:AO34,"中")+COUNTIF(K34:AO34,"M2")+COUNTIF(K34:AO34,"T中")+COUNTIF(K34:AO34,"小夜")</f>
        <v>2</v>
      </c>
      <c r="C34" s="71">
        <f>COUNTIF(K34:AO34,3)+COUNTIF(K34:AO34,"晚")+COUNTIF(K34:AO34,"大夜")</f>
        <v>2</v>
      </c>
      <c r="D34" s="70">
        <f>COUNTIF(K34:AO34,"N")+COUNTIF(K34:AO34,"N8")</f>
        <v>4</v>
      </c>
      <c r="E34" s="63">
        <f>COUNTIF(K34:AO34,"S")</f>
        <v>0</v>
      </c>
      <c r="F34" s="63">
        <f>COUNTIF(K34:AO34,"X")</f>
        <v>4</v>
      </c>
      <c r="G34" s="63">
        <f>COUNTIF(K34:AO34,"Y")</f>
        <v>5</v>
      </c>
      <c r="H34" s="63">
        <f>COUNTIF(K34:AO34,"Z")</f>
        <v>2</v>
      </c>
      <c r="I34" s="461">
        <f>SUM(A34:H34)</f>
        <v>30</v>
      </c>
      <c r="J34" s="158" t="s">
        <v>175</v>
      </c>
      <c r="K34" s="468" t="s">
        <v>3</v>
      </c>
      <c r="L34" s="469" t="s">
        <v>3</v>
      </c>
      <c r="M34" s="249" t="s">
        <v>52</v>
      </c>
      <c r="N34" s="249" t="s">
        <v>0</v>
      </c>
      <c r="O34" s="469" t="s">
        <v>3</v>
      </c>
      <c r="P34" s="469" t="s">
        <v>3</v>
      </c>
      <c r="Q34" s="394" t="s">
        <v>36</v>
      </c>
      <c r="R34" s="394" t="s">
        <v>36</v>
      </c>
      <c r="S34" s="249" t="s">
        <v>53</v>
      </c>
      <c r="T34" s="249" t="s">
        <v>52</v>
      </c>
      <c r="U34" s="249" t="s">
        <v>0</v>
      </c>
      <c r="V34" s="394" t="s">
        <v>36</v>
      </c>
      <c r="W34" s="394" t="s">
        <v>36</v>
      </c>
      <c r="X34" s="394" t="s">
        <v>36</v>
      </c>
      <c r="Y34" s="394" t="s">
        <v>36</v>
      </c>
      <c r="Z34" s="394" t="s">
        <v>36</v>
      </c>
      <c r="AA34" s="249" t="s">
        <v>52</v>
      </c>
      <c r="AB34" s="249" t="s">
        <v>0</v>
      </c>
      <c r="AC34" s="242" t="s">
        <v>40</v>
      </c>
      <c r="AD34" s="242" t="s">
        <v>40</v>
      </c>
      <c r="AE34" s="242" t="s">
        <v>38</v>
      </c>
      <c r="AF34" s="242" t="s">
        <v>38</v>
      </c>
      <c r="AG34" s="242" t="s">
        <v>163</v>
      </c>
      <c r="AH34" s="249" t="s">
        <v>52</v>
      </c>
      <c r="AI34" s="249" t="s">
        <v>53</v>
      </c>
      <c r="AJ34" s="249" t="s">
        <v>0</v>
      </c>
      <c r="AK34" s="394" t="s">
        <v>36</v>
      </c>
      <c r="AL34" s="394" t="s">
        <v>36</v>
      </c>
      <c r="AM34" s="394" t="s">
        <v>36</v>
      </c>
      <c r="AN34" s="394" t="s">
        <v>36</v>
      </c>
      <c r="AO34" s="398" t="s">
        <v>52</v>
      </c>
      <c r="AP34" s="73">
        <v>0</v>
      </c>
      <c r="AQ34" s="74">
        <f t="shared" si="0"/>
        <v>0</v>
      </c>
      <c r="AR34" s="74">
        <v>0</v>
      </c>
      <c r="AS34" s="63">
        <f>SUM(AP34:AR34)</f>
        <v>0</v>
      </c>
      <c r="AT34" s="330" t="s">
        <v>177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5.5" customHeight="1">
      <c r="A35" s="381">
        <f t="shared" si="1"/>
        <v>0</v>
      </c>
      <c r="B35" s="382">
        <f t="shared" si="2"/>
        <v>5</v>
      </c>
      <c r="C35" s="383">
        <f t="shared" si="3"/>
        <v>13</v>
      </c>
      <c r="D35" s="382">
        <f t="shared" si="4"/>
        <v>0</v>
      </c>
      <c r="E35" s="331">
        <f t="shared" si="5"/>
        <v>2</v>
      </c>
      <c r="F35" s="331">
        <f t="shared" si="6"/>
        <v>4</v>
      </c>
      <c r="G35" s="331">
        <f t="shared" si="7"/>
        <v>5</v>
      </c>
      <c r="H35" s="331">
        <f t="shared" si="8"/>
        <v>2</v>
      </c>
      <c r="I35" s="384">
        <f t="shared" si="9"/>
        <v>31</v>
      </c>
      <c r="J35" s="462" t="s">
        <v>22</v>
      </c>
      <c r="K35" s="458" t="s">
        <v>52</v>
      </c>
      <c r="L35" s="235" t="s">
        <v>40</v>
      </c>
      <c r="M35" s="235" t="s">
        <v>40</v>
      </c>
      <c r="N35" s="235" t="s">
        <v>40</v>
      </c>
      <c r="O35" s="235" t="s">
        <v>40</v>
      </c>
      <c r="P35" s="235" t="s">
        <v>0</v>
      </c>
      <c r="Q35" s="235" t="s">
        <v>38</v>
      </c>
      <c r="R35" s="235" t="s">
        <v>38</v>
      </c>
      <c r="S35" s="254" t="s">
        <v>52</v>
      </c>
      <c r="T35" s="233" t="s">
        <v>53</v>
      </c>
      <c r="U35" s="233" t="s">
        <v>0</v>
      </c>
      <c r="V35" s="254" t="s">
        <v>154</v>
      </c>
      <c r="W35" s="254" t="s">
        <v>154</v>
      </c>
      <c r="X35" s="235" t="s">
        <v>52</v>
      </c>
      <c r="Y35" s="235" t="s">
        <v>40</v>
      </c>
      <c r="Z35" s="235" t="s">
        <v>40</v>
      </c>
      <c r="AA35" s="235" t="s">
        <v>40</v>
      </c>
      <c r="AB35" s="235" t="s">
        <v>40</v>
      </c>
      <c r="AC35" s="235" t="s">
        <v>40</v>
      </c>
      <c r="AD35" s="235" t="s">
        <v>52</v>
      </c>
      <c r="AE35" s="235" t="s">
        <v>38</v>
      </c>
      <c r="AF35" s="235" t="s">
        <v>38</v>
      </c>
      <c r="AG35" s="235" t="s">
        <v>38</v>
      </c>
      <c r="AH35" s="233" t="s">
        <v>52</v>
      </c>
      <c r="AI35" s="470" t="s">
        <v>53</v>
      </c>
      <c r="AJ35" s="254" t="s">
        <v>156</v>
      </c>
      <c r="AK35" s="235" t="s">
        <v>40</v>
      </c>
      <c r="AL35" s="254" t="s">
        <v>156</v>
      </c>
      <c r="AM35" s="235" t="s">
        <v>40</v>
      </c>
      <c r="AN35" s="235" t="s">
        <v>40</v>
      </c>
      <c r="AO35" s="236" t="s">
        <v>40</v>
      </c>
      <c r="AP35" s="338">
        <v>0</v>
      </c>
      <c r="AQ35" s="167">
        <f t="shared" si="0"/>
        <v>0</v>
      </c>
      <c r="AR35" s="167">
        <v>0</v>
      </c>
      <c r="AS35" s="331">
        <f t="shared" si="14"/>
        <v>0</v>
      </c>
      <c r="AT35" s="332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6" s="50" customFormat="1" ht="27.75" customHeight="1">
      <c r="A36" s="38">
        <f t="shared" si="1"/>
        <v>1</v>
      </c>
      <c r="B36" s="39">
        <f t="shared" si="2"/>
        <v>17</v>
      </c>
      <c r="C36" s="40">
        <f t="shared" si="3"/>
        <v>2</v>
      </c>
      <c r="D36" s="39">
        <f t="shared" si="4"/>
        <v>0</v>
      </c>
      <c r="E36" s="41">
        <f t="shared" si="5"/>
        <v>0</v>
      </c>
      <c r="F36" s="41">
        <f t="shared" si="6"/>
        <v>4</v>
      </c>
      <c r="G36" s="41">
        <f t="shared" si="7"/>
        <v>5</v>
      </c>
      <c r="H36" s="41">
        <f t="shared" si="8"/>
        <v>2</v>
      </c>
      <c r="I36" s="177">
        <f t="shared" si="9"/>
        <v>31</v>
      </c>
      <c r="J36" s="463" t="s">
        <v>23</v>
      </c>
      <c r="K36" s="245" t="s">
        <v>38</v>
      </c>
      <c r="L36" s="238" t="s">
        <v>52</v>
      </c>
      <c r="M36" s="238" t="s">
        <v>38</v>
      </c>
      <c r="N36" s="238" t="s">
        <v>38</v>
      </c>
      <c r="O36" s="238" t="s">
        <v>38</v>
      </c>
      <c r="P36" s="238" t="s">
        <v>0</v>
      </c>
      <c r="Q36" s="238" t="s">
        <v>38</v>
      </c>
      <c r="R36" s="238" t="s">
        <v>38</v>
      </c>
      <c r="S36" s="238" t="s">
        <v>38</v>
      </c>
      <c r="T36" s="239" t="s">
        <v>52</v>
      </c>
      <c r="U36" s="239" t="s">
        <v>0</v>
      </c>
      <c r="V36" s="238" t="s">
        <v>40</v>
      </c>
      <c r="W36" s="238" t="s">
        <v>40</v>
      </c>
      <c r="X36" s="238" t="s">
        <v>0</v>
      </c>
      <c r="Y36" s="238" t="s">
        <v>38</v>
      </c>
      <c r="Z36" s="238" t="s">
        <v>38</v>
      </c>
      <c r="AA36" s="238" t="s">
        <v>38</v>
      </c>
      <c r="AB36" s="238" t="s">
        <v>38</v>
      </c>
      <c r="AC36" s="238" t="s">
        <v>38</v>
      </c>
      <c r="AD36" s="238" t="s">
        <v>52</v>
      </c>
      <c r="AE36" s="238" t="s">
        <v>53</v>
      </c>
      <c r="AF36" s="238" t="s">
        <v>38</v>
      </c>
      <c r="AG36" s="238" t="s">
        <v>38</v>
      </c>
      <c r="AH36" s="239" t="s">
        <v>52</v>
      </c>
      <c r="AI36" s="239" t="s">
        <v>53</v>
      </c>
      <c r="AJ36" s="238" t="s">
        <v>36</v>
      </c>
      <c r="AK36" s="238" t="s">
        <v>38</v>
      </c>
      <c r="AL36" s="238" t="s">
        <v>38</v>
      </c>
      <c r="AM36" s="238" t="s">
        <v>52</v>
      </c>
      <c r="AN36" s="238" t="s">
        <v>0</v>
      </c>
      <c r="AO36" s="241" t="s">
        <v>38</v>
      </c>
      <c r="AP36" s="45">
        <v>0</v>
      </c>
      <c r="AQ36" s="46">
        <f t="shared" si="0"/>
        <v>0</v>
      </c>
      <c r="AR36" s="46">
        <v>0</v>
      </c>
      <c r="AS36" s="41">
        <f t="shared" si="14"/>
        <v>0</v>
      </c>
      <c r="AT36" s="32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75" customHeight="1">
      <c r="A37" s="38">
        <f t="shared" si="1"/>
        <v>2</v>
      </c>
      <c r="B37" s="39">
        <f t="shared" si="2"/>
        <v>17</v>
      </c>
      <c r="C37" s="40">
        <f t="shared" si="3"/>
        <v>0</v>
      </c>
      <c r="D37" s="39">
        <f t="shared" si="4"/>
        <v>0</v>
      </c>
      <c r="E37" s="41">
        <f t="shared" si="5"/>
        <v>1</v>
      </c>
      <c r="F37" s="41">
        <f t="shared" si="6"/>
        <v>3</v>
      </c>
      <c r="G37" s="41">
        <f t="shared" si="7"/>
        <v>5</v>
      </c>
      <c r="H37" s="41">
        <f t="shared" si="8"/>
        <v>2</v>
      </c>
      <c r="I37" s="177">
        <f t="shared" si="9"/>
        <v>30</v>
      </c>
      <c r="J37" s="193" t="s">
        <v>24</v>
      </c>
      <c r="K37" s="245" t="s">
        <v>38</v>
      </c>
      <c r="L37" s="238" t="s">
        <v>38</v>
      </c>
      <c r="M37" s="239" t="s">
        <v>52</v>
      </c>
      <c r="N37" s="239" t="s">
        <v>0</v>
      </c>
      <c r="O37" s="238" t="s">
        <v>36</v>
      </c>
      <c r="P37" s="238" t="s">
        <v>38</v>
      </c>
      <c r="Q37" s="238" t="s">
        <v>38</v>
      </c>
      <c r="R37" s="238" t="s">
        <v>52</v>
      </c>
      <c r="S37" s="238" t="s">
        <v>36</v>
      </c>
      <c r="T37" s="238" t="s">
        <v>38</v>
      </c>
      <c r="U37" s="238" t="s">
        <v>38</v>
      </c>
      <c r="V37" s="238" t="s">
        <v>38</v>
      </c>
      <c r="W37" s="238" t="s">
        <v>52</v>
      </c>
      <c r="X37" s="393" t="s">
        <v>38</v>
      </c>
      <c r="Y37" s="238" t="s">
        <v>38</v>
      </c>
      <c r="Z37" s="238" t="s">
        <v>38</v>
      </c>
      <c r="AA37" s="239" t="s">
        <v>52</v>
      </c>
      <c r="AB37" s="239" t="s">
        <v>53</v>
      </c>
      <c r="AC37" s="234" t="s">
        <v>1</v>
      </c>
      <c r="AD37" s="238" t="s">
        <v>38</v>
      </c>
      <c r="AE37" s="234" t="s">
        <v>0</v>
      </c>
      <c r="AF37" s="238" t="s">
        <v>53</v>
      </c>
      <c r="AG37" s="234" t="s">
        <v>163</v>
      </c>
      <c r="AH37" s="238" t="s">
        <v>38</v>
      </c>
      <c r="AI37" s="238" t="s">
        <v>38</v>
      </c>
      <c r="AJ37" s="238" t="s">
        <v>38</v>
      </c>
      <c r="AK37" s="238" t="s">
        <v>38</v>
      </c>
      <c r="AL37" s="238" t="s">
        <v>0</v>
      </c>
      <c r="AM37" s="238" t="s">
        <v>38</v>
      </c>
      <c r="AN37" s="238" t="s">
        <v>38</v>
      </c>
      <c r="AO37" s="397" t="s">
        <v>52</v>
      </c>
      <c r="AP37" s="45">
        <v>0</v>
      </c>
      <c r="AQ37" s="46">
        <f t="shared" si="0"/>
        <v>-1</v>
      </c>
      <c r="AR37" s="46">
        <v>0</v>
      </c>
      <c r="AS37" s="41">
        <f t="shared" si="14"/>
        <v>-1</v>
      </c>
      <c r="AT37" s="32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7.6" customHeight="1">
      <c r="A38" s="38">
        <f t="shared" si="1"/>
        <v>1</v>
      </c>
      <c r="B38" s="39">
        <f t="shared" si="2"/>
        <v>15</v>
      </c>
      <c r="C38" s="40">
        <f t="shared" si="3"/>
        <v>2</v>
      </c>
      <c r="D38" s="39">
        <f t="shared" si="4"/>
        <v>0</v>
      </c>
      <c r="E38" s="41">
        <f t="shared" si="5"/>
        <v>2</v>
      </c>
      <c r="F38" s="41">
        <f t="shared" si="6"/>
        <v>4</v>
      </c>
      <c r="G38" s="41">
        <f t="shared" si="7"/>
        <v>5</v>
      </c>
      <c r="H38" s="41">
        <f t="shared" si="8"/>
        <v>2</v>
      </c>
      <c r="I38" s="177">
        <f t="shared" si="9"/>
        <v>31</v>
      </c>
      <c r="J38" s="214" t="s">
        <v>25</v>
      </c>
      <c r="K38" s="245" t="s">
        <v>40</v>
      </c>
      <c r="L38" s="238" t="s">
        <v>38</v>
      </c>
      <c r="M38" s="238" t="s">
        <v>26</v>
      </c>
      <c r="N38" s="238" t="s">
        <v>38</v>
      </c>
      <c r="O38" s="238" t="s">
        <v>38</v>
      </c>
      <c r="P38" s="238" t="s">
        <v>52</v>
      </c>
      <c r="Q38" s="238" t="s">
        <v>0</v>
      </c>
      <c r="R38" s="238" t="s">
        <v>52</v>
      </c>
      <c r="S38" s="238" t="s">
        <v>36</v>
      </c>
      <c r="T38" s="238" t="s">
        <v>26</v>
      </c>
      <c r="U38" s="238" t="s">
        <v>38</v>
      </c>
      <c r="V38" s="238" t="s">
        <v>38</v>
      </c>
      <c r="W38" s="238" t="s">
        <v>38</v>
      </c>
      <c r="X38" s="238" t="s">
        <v>52</v>
      </c>
      <c r="Y38" s="238" t="s">
        <v>53</v>
      </c>
      <c r="Z38" s="238" t="s">
        <v>53</v>
      </c>
      <c r="AA38" s="238" t="s">
        <v>38</v>
      </c>
      <c r="AB38" s="238" t="s">
        <v>38</v>
      </c>
      <c r="AC38" s="238" t="s">
        <v>0</v>
      </c>
      <c r="AD38" s="234" t="s">
        <v>1</v>
      </c>
      <c r="AE38" s="238" t="s">
        <v>52</v>
      </c>
      <c r="AF38" s="238" t="s">
        <v>0</v>
      </c>
      <c r="AG38" s="238">
        <v>3</v>
      </c>
      <c r="AH38" s="238" t="s">
        <v>26</v>
      </c>
      <c r="AI38" s="238" t="s">
        <v>38</v>
      </c>
      <c r="AJ38" s="238" t="s">
        <v>38</v>
      </c>
      <c r="AK38" s="238" t="s">
        <v>38</v>
      </c>
      <c r="AL38" s="238" t="s">
        <v>52</v>
      </c>
      <c r="AM38" s="234" t="s">
        <v>1</v>
      </c>
      <c r="AN38" s="238" t="s">
        <v>0</v>
      </c>
      <c r="AO38" s="241" t="s">
        <v>38</v>
      </c>
      <c r="AP38" s="45">
        <v>0</v>
      </c>
      <c r="AQ38" s="46">
        <f t="shared" si="0"/>
        <v>0</v>
      </c>
      <c r="AR38" s="46">
        <v>0</v>
      </c>
      <c r="AS38" s="41">
        <f t="shared" si="14"/>
        <v>0</v>
      </c>
      <c r="AT38" s="32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s="50" customFormat="1" ht="24" customHeight="1">
      <c r="A39" s="38">
        <f t="shared" si="1"/>
        <v>5</v>
      </c>
      <c r="B39" s="39">
        <f t="shared" si="2"/>
        <v>2</v>
      </c>
      <c r="C39" s="40">
        <f t="shared" si="3"/>
        <v>9</v>
      </c>
      <c r="D39" s="39">
        <f t="shared" si="4"/>
        <v>2</v>
      </c>
      <c r="E39" s="41">
        <f t="shared" si="5"/>
        <v>2</v>
      </c>
      <c r="F39" s="41">
        <f t="shared" si="6"/>
        <v>4</v>
      </c>
      <c r="G39" s="41">
        <f t="shared" si="7"/>
        <v>5</v>
      </c>
      <c r="H39" s="41">
        <f t="shared" si="8"/>
        <v>2</v>
      </c>
      <c r="I39" s="177">
        <f t="shared" si="9"/>
        <v>31</v>
      </c>
      <c r="J39" s="463" t="s">
        <v>27</v>
      </c>
      <c r="K39" s="245" t="s">
        <v>52</v>
      </c>
      <c r="L39" s="238" t="s">
        <v>40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52</v>
      </c>
      <c r="R39" s="238" t="s">
        <v>36</v>
      </c>
      <c r="S39" s="238" t="s">
        <v>36</v>
      </c>
      <c r="T39" s="238" t="s">
        <v>36</v>
      </c>
      <c r="U39" s="238" t="s">
        <v>36</v>
      </c>
      <c r="V39" s="238" t="s">
        <v>0</v>
      </c>
      <c r="W39" s="242" t="s">
        <v>3</v>
      </c>
      <c r="X39" s="234" t="s">
        <v>52</v>
      </c>
      <c r="Y39" s="234" t="s">
        <v>1</v>
      </c>
      <c r="Z39" s="271" t="s">
        <v>1</v>
      </c>
      <c r="AA39" s="239" t="s">
        <v>53</v>
      </c>
      <c r="AB39" s="239" t="s">
        <v>53</v>
      </c>
      <c r="AC39" s="271" t="s">
        <v>156</v>
      </c>
      <c r="AD39" s="238" t="s">
        <v>0</v>
      </c>
      <c r="AE39" s="238" t="s">
        <v>52</v>
      </c>
      <c r="AF39" s="238" t="s">
        <v>40</v>
      </c>
      <c r="AG39" s="238" t="s">
        <v>40</v>
      </c>
      <c r="AH39" s="238" t="s">
        <v>40</v>
      </c>
      <c r="AI39" s="238" t="s">
        <v>40</v>
      </c>
      <c r="AJ39" s="238" t="s">
        <v>0</v>
      </c>
      <c r="AK39" s="242" t="s">
        <v>3</v>
      </c>
      <c r="AL39" s="238" t="s">
        <v>38</v>
      </c>
      <c r="AM39" s="238" t="s">
        <v>38</v>
      </c>
      <c r="AN39" s="238" t="s">
        <v>52</v>
      </c>
      <c r="AO39" s="241" t="s">
        <v>36</v>
      </c>
      <c r="AP39" s="45">
        <v>0</v>
      </c>
      <c r="AQ39" s="46">
        <f t="shared" si="0"/>
        <v>0</v>
      </c>
      <c r="AR39" s="46">
        <v>0</v>
      </c>
      <c r="AS39" s="41">
        <f t="shared" si="14"/>
        <v>0</v>
      </c>
      <c r="AT39" s="329" t="s">
        <v>128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</row>
    <row r="40" spans="1:226" ht="25.5" customHeight="1" thickBot="1">
      <c r="A40" s="69">
        <f>COUNTIF(K40:AO40,1)+COUNTIF(K40:AO40,"早")+COUNTIF(K40:AO40,"M1")+COUNTIF(K40:AO40,"T早")+COUNTIF(K40:AO40,"日")</f>
        <v>2</v>
      </c>
      <c r="B40" s="70">
        <f>COUNTIF(K40:AO40,2)+COUNTIF(K40:AO40,"中")+COUNTIF(K40:AO40,"M2")+COUNTIF(K40:AO40,"T中")+COUNTIF(K40:AO40,"小夜")</f>
        <v>0</v>
      </c>
      <c r="C40" s="71">
        <f>COUNTIF(K40:AO40,3)+COUNTIF(K40:AO40,"晚")+COUNTIF(K40:AO40,"大夜")</f>
        <v>18</v>
      </c>
      <c r="D40" s="70">
        <f>COUNTIF(K40:AO40,"N")+COUNTIF(K40:AO40,"N8")</f>
        <v>0</v>
      </c>
      <c r="E40" s="63">
        <f>COUNTIF(K40:AO40,"S")</f>
        <v>0</v>
      </c>
      <c r="F40" s="63">
        <f>COUNTIF(K40:AO40,"X")</f>
        <v>4</v>
      </c>
      <c r="G40" s="63">
        <f>COUNTIF(K40:AO40,"Y")</f>
        <v>4</v>
      </c>
      <c r="H40" s="63">
        <f>COUNTIF(K40:AO40,"Z")</f>
        <v>2</v>
      </c>
      <c r="I40" s="178">
        <f t="shared" si="9"/>
        <v>30</v>
      </c>
      <c r="J40" s="463" t="s">
        <v>57</v>
      </c>
      <c r="K40" s="247" t="s">
        <v>40</v>
      </c>
      <c r="L40" s="248" t="s">
        <v>40</v>
      </c>
      <c r="M40" s="249" t="s">
        <v>52</v>
      </c>
      <c r="N40" s="249" t="s">
        <v>53</v>
      </c>
      <c r="O40" s="421" t="s">
        <v>53</v>
      </c>
      <c r="P40" s="248" t="s">
        <v>0</v>
      </c>
      <c r="Q40" s="248" t="s">
        <v>40</v>
      </c>
      <c r="R40" s="248" t="s">
        <v>40</v>
      </c>
      <c r="S40" s="248" t="s">
        <v>52</v>
      </c>
      <c r="T40" s="248" t="s">
        <v>40</v>
      </c>
      <c r="U40" s="248" t="s">
        <v>40</v>
      </c>
      <c r="V40" s="421" t="s">
        <v>156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52</v>
      </c>
      <c r="AB40" s="249" t="s">
        <v>0</v>
      </c>
      <c r="AC40" s="248" t="s">
        <v>40</v>
      </c>
      <c r="AD40" s="248" t="s">
        <v>40</v>
      </c>
      <c r="AE40" s="248" t="s">
        <v>40</v>
      </c>
      <c r="AF40" s="248" t="s">
        <v>0</v>
      </c>
      <c r="AG40" s="421" t="s">
        <v>163</v>
      </c>
      <c r="AH40" s="248" t="s">
        <v>36</v>
      </c>
      <c r="AI40" s="248" t="s">
        <v>36</v>
      </c>
      <c r="AJ40" s="421" t="s">
        <v>52</v>
      </c>
      <c r="AK40" s="248" t="s">
        <v>40</v>
      </c>
      <c r="AL40" s="248" t="s">
        <v>40</v>
      </c>
      <c r="AM40" s="248" t="s">
        <v>40</v>
      </c>
      <c r="AN40" s="248" t="s">
        <v>40</v>
      </c>
      <c r="AO40" s="252" t="s">
        <v>40</v>
      </c>
      <c r="AP40" s="73">
        <v>0</v>
      </c>
      <c r="AQ40" s="74">
        <f t="shared" si="0"/>
        <v>-1</v>
      </c>
      <c r="AR40" s="74">
        <v>0</v>
      </c>
      <c r="AS40" s="63">
        <f t="shared" si="14"/>
        <v>-1</v>
      </c>
      <c r="AT40" s="330" t="s">
        <v>128</v>
      </c>
    </row>
    <row r="41" spans="1:226" s="50" customFormat="1" ht="24.75" customHeight="1">
      <c r="A41" s="381">
        <f t="shared" si="1"/>
        <v>5</v>
      </c>
      <c r="B41" s="382">
        <f t="shared" si="2"/>
        <v>2</v>
      </c>
      <c r="C41" s="383">
        <f t="shared" si="3"/>
        <v>10</v>
      </c>
      <c r="D41" s="382">
        <f t="shared" si="4"/>
        <v>0</v>
      </c>
      <c r="E41" s="331">
        <f t="shared" si="5"/>
        <v>3</v>
      </c>
      <c r="F41" s="331">
        <f t="shared" si="6"/>
        <v>4</v>
      </c>
      <c r="G41" s="331">
        <f t="shared" si="7"/>
        <v>5</v>
      </c>
      <c r="H41" s="331">
        <f t="shared" si="8"/>
        <v>2</v>
      </c>
      <c r="I41" s="384">
        <f t="shared" si="9"/>
        <v>31</v>
      </c>
      <c r="J41" s="66" t="s">
        <v>142</v>
      </c>
      <c r="K41" s="458" t="s">
        <v>1</v>
      </c>
      <c r="L41" s="254" t="s">
        <v>0</v>
      </c>
      <c r="M41" s="235" t="s">
        <v>55</v>
      </c>
      <c r="N41" s="235" t="s">
        <v>55</v>
      </c>
      <c r="O41" s="235" t="s">
        <v>52</v>
      </c>
      <c r="P41" s="235" t="s">
        <v>0</v>
      </c>
      <c r="Q41" s="29" t="s">
        <v>55</v>
      </c>
      <c r="R41" s="235" t="s">
        <v>55</v>
      </c>
      <c r="S41" s="235" t="s">
        <v>55</v>
      </c>
      <c r="T41" s="233" t="s">
        <v>52</v>
      </c>
      <c r="U41" s="254" t="s">
        <v>1</v>
      </c>
      <c r="V41" s="235" t="s">
        <v>56</v>
      </c>
      <c r="W41" s="235" t="s">
        <v>56</v>
      </c>
      <c r="X41" s="233" t="s">
        <v>0</v>
      </c>
      <c r="Y41" s="235" t="s">
        <v>52</v>
      </c>
      <c r="Z41" s="29" t="s">
        <v>55</v>
      </c>
      <c r="AA41" s="235" t="s">
        <v>55</v>
      </c>
      <c r="AB41" s="235" t="s">
        <v>55</v>
      </c>
      <c r="AC41" s="235" t="s">
        <v>52</v>
      </c>
      <c r="AD41" s="235" t="s">
        <v>53</v>
      </c>
      <c r="AE41" s="235" t="s">
        <v>54</v>
      </c>
      <c r="AF41" s="235" t="s">
        <v>54</v>
      </c>
      <c r="AG41" s="235" t="s">
        <v>54</v>
      </c>
      <c r="AH41" s="233" t="s">
        <v>53</v>
      </c>
      <c r="AI41" s="233" t="s">
        <v>0</v>
      </c>
      <c r="AJ41" s="254" t="s">
        <v>1</v>
      </c>
      <c r="AK41" s="235" t="s">
        <v>54</v>
      </c>
      <c r="AL41" s="235" t="s">
        <v>54</v>
      </c>
      <c r="AM41" s="235" t="s">
        <v>52</v>
      </c>
      <c r="AN41" s="29" t="s">
        <v>55</v>
      </c>
      <c r="AO41" s="236" t="s">
        <v>55</v>
      </c>
      <c r="AP41" s="45">
        <v>0</v>
      </c>
      <c r="AQ41" s="46">
        <f t="shared" si="0"/>
        <v>0</v>
      </c>
      <c r="AR41" s="46">
        <v>0</v>
      </c>
      <c r="AS41" s="41">
        <f t="shared" si="14"/>
        <v>0</v>
      </c>
      <c r="AT41" s="329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si="1"/>
        <v>2</v>
      </c>
      <c r="B42" s="39">
        <f t="shared" si="2"/>
        <v>13</v>
      </c>
      <c r="C42" s="40">
        <f t="shared" si="3"/>
        <v>0</v>
      </c>
      <c r="D42" s="39">
        <f t="shared" si="4"/>
        <v>3</v>
      </c>
      <c r="E42" s="41">
        <f t="shared" si="5"/>
        <v>1</v>
      </c>
      <c r="F42" s="41">
        <f t="shared" si="6"/>
        <v>4</v>
      </c>
      <c r="G42" s="41">
        <f t="shared" si="7"/>
        <v>5</v>
      </c>
      <c r="H42" s="41">
        <f t="shared" si="8"/>
        <v>2</v>
      </c>
      <c r="I42" s="177">
        <f t="shared" si="9"/>
        <v>30</v>
      </c>
      <c r="J42" s="378" t="s">
        <v>29</v>
      </c>
      <c r="K42" s="245" t="s">
        <v>56</v>
      </c>
      <c r="L42" s="238" t="s">
        <v>52</v>
      </c>
      <c r="M42" s="238" t="s">
        <v>56</v>
      </c>
      <c r="N42" s="238" t="s">
        <v>56</v>
      </c>
      <c r="O42" s="238" t="s">
        <v>0</v>
      </c>
      <c r="P42" s="238" t="s">
        <v>56</v>
      </c>
      <c r="Q42" s="238" t="s">
        <v>56</v>
      </c>
      <c r="R42" s="238" t="s">
        <v>56</v>
      </c>
      <c r="S42" s="238" t="s">
        <v>56</v>
      </c>
      <c r="T42" s="239" t="s">
        <v>52</v>
      </c>
      <c r="U42" s="239" t="s">
        <v>53</v>
      </c>
      <c r="V42" s="238" t="s">
        <v>3</v>
      </c>
      <c r="W42" s="238" t="s">
        <v>54</v>
      </c>
      <c r="X42" s="238" t="s">
        <v>56</v>
      </c>
      <c r="Y42" s="238" t="s">
        <v>52</v>
      </c>
      <c r="Z42" s="238" t="s">
        <v>0</v>
      </c>
      <c r="AA42" s="238" t="s">
        <v>56</v>
      </c>
      <c r="AB42" s="238" t="s">
        <v>56</v>
      </c>
      <c r="AC42" s="238" t="s">
        <v>56</v>
      </c>
      <c r="AD42" s="238" t="s">
        <v>52</v>
      </c>
      <c r="AE42" s="238" t="s">
        <v>3</v>
      </c>
      <c r="AF42" s="238" t="s">
        <v>3</v>
      </c>
      <c r="AG42" s="238" t="s">
        <v>163</v>
      </c>
      <c r="AH42" s="239" t="s">
        <v>53</v>
      </c>
      <c r="AI42" s="239" t="s">
        <v>0</v>
      </c>
      <c r="AJ42" s="238" t="s">
        <v>56</v>
      </c>
      <c r="AK42" s="238" t="s">
        <v>56</v>
      </c>
      <c r="AL42" s="238" t="s">
        <v>52</v>
      </c>
      <c r="AM42" s="238" t="s">
        <v>54</v>
      </c>
      <c r="AN42" s="234" t="s">
        <v>1</v>
      </c>
      <c r="AO42" s="238" t="s">
        <v>0</v>
      </c>
      <c r="AP42" s="45">
        <v>0</v>
      </c>
      <c r="AQ42" s="46">
        <f t="shared" si="0"/>
        <v>0</v>
      </c>
      <c r="AR42" s="46">
        <v>0</v>
      </c>
      <c r="AS42" s="41">
        <f t="shared" si="14"/>
        <v>0</v>
      </c>
      <c r="AT42" s="329" t="s">
        <v>126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1"/>
        <v>7</v>
      </c>
      <c r="B43" s="39">
        <f t="shared" si="2"/>
        <v>1</v>
      </c>
      <c r="C43" s="40">
        <f t="shared" si="3"/>
        <v>6</v>
      </c>
      <c r="D43" s="39">
        <f t="shared" si="4"/>
        <v>2</v>
      </c>
      <c r="E43" s="41">
        <f t="shared" si="5"/>
        <v>3</v>
      </c>
      <c r="F43" s="41">
        <f t="shared" si="6"/>
        <v>4</v>
      </c>
      <c r="G43" s="41">
        <f t="shared" si="7"/>
        <v>5</v>
      </c>
      <c r="H43" s="41">
        <f t="shared" si="8"/>
        <v>2</v>
      </c>
      <c r="I43" s="177">
        <f t="shared" si="9"/>
        <v>30</v>
      </c>
      <c r="J43" s="379" t="s">
        <v>30</v>
      </c>
      <c r="K43" s="245" t="s">
        <v>54</v>
      </c>
      <c r="L43" s="238" t="s">
        <v>54</v>
      </c>
      <c r="M43" s="238" t="s">
        <v>54</v>
      </c>
      <c r="N43" s="238" t="s">
        <v>54</v>
      </c>
      <c r="O43" s="30" t="s">
        <v>56</v>
      </c>
      <c r="P43" s="238" t="s">
        <v>52</v>
      </c>
      <c r="Q43" s="238" t="s">
        <v>3</v>
      </c>
      <c r="R43" s="238" t="s">
        <v>3</v>
      </c>
      <c r="S43" s="238" t="s">
        <v>0</v>
      </c>
      <c r="T43" s="239" t="s">
        <v>52</v>
      </c>
      <c r="U43" s="32" t="s">
        <v>1</v>
      </c>
      <c r="V43" s="32" t="s">
        <v>1</v>
      </c>
      <c r="W43" s="239" t="s">
        <v>52</v>
      </c>
      <c r="X43" s="30" t="s">
        <v>55</v>
      </c>
      <c r="Y43" s="30" t="s">
        <v>55</v>
      </c>
      <c r="Z43" s="238" t="s">
        <v>52</v>
      </c>
      <c r="AA43" s="238" t="s">
        <v>54</v>
      </c>
      <c r="AB43" s="238" t="s">
        <v>54</v>
      </c>
      <c r="AC43" s="32" t="s">
        <v>1</v>
      </c>
      <c r="AD43" s="238" t="s">
        <v>0</v>
      </c>
      <c r="AE43" s="238" t="s">
        <v>52</v>
      </c>
      <c r="AF43" s="238" t="s">
        <v>53</v>
      </c>
      <c r="AG43" s="32" t="s">
        <v>163</v>
      </c>
      <c r="AH43" s="239" t="s">
        <v>53</v>
      </c>
      <c r="AI43" s="239" t="s">
        <v>0</v>
      </c>
      <c r="AJ43" s="30" t="s">
        <v>55</v>
      </c>
      <c r="AK43" s="30" t="s">
        <v>55</v>
      </c>
      <c r="AL43" s="30" t="s">
        <v>55</v>
      </c>
      <c r="AM43" s="30" t="s">
        <v>55</v>
      </c>
      <c r="AN43" s="238" t="s">
        <v>0</v>
      </c>
      <c r="AO43" s="241" t="s">
        <v>54</v>
      </c>
      <c r="AP43" s="45">
        <v>0</v>
      </c>
      <c r="AQ43" s="46">
        <f t="shared" si="0"/>
        <v>0</v>
      </c>
      <c r="AR43" s="46">
        <v>0</v>
      </c>
      <c r="AS43" s="41">
        <f t="shared" si="14"/>
        <v>0</v>
      </c>
      <c r="AT43" s="329" t="s">
        <v>126</v>
      </c>
    </row>
    <row r="44" spans="1:226" s="50" customFormat="1" ht="25.5" customHeight="1">
      <c r="A44" s="38">
        <f t="shared" si="1"/>
        <v>7</v>
      </c>
      <c r="B44" s="39">
        <f t="shared" si="2"/>
        <v>3</v>
      </c>
      <c r="C44" s="40">
        <f t="shared" si="3"/>
        <v>7</v>
      </c>
      <c r="D44" s="39">
        <f t="shared" si="4"/>
        <v>3</v>
      </c>
      <c r="E44" s="41">
        <f t="shared" si="5"/>
        <v>0</v>
      </c>
      <c r="F44" s="41">
        <f t="shared" si="6"/>
        <v>4</v>
      </c>
      <c r="G44" s="41">
        <f t="shared" si="7"/>
        <v>5</v>
      </c>
      <c r="H44" s="41">
        <f t="shared" si="8"/>
        <v>2</v>
      </c>
      <c r="I44" s="177">
        <f t="shared" si="9"/>
        <v>31</v>
      </c>
      <c r="J44" s="379" t="s">
        <v>31</v>
      </c>
      <c r="K44" s="49" t="s">
        <v>55</v>
      </c>
      <c r="L44" s="30" t="s">
        <v>55</v>
      </c>
      <c r="M44" s="239" t="s">
        <v>52</v>
      </c>
      <c r="N44" s="239" t="s">
        <v>0</v>
      </c>
      <c r="O44" s="30" t="s">
        <v>55</v>
      </c>
      <c r="P44" s="30" t="s">
        <v>55</v>
      </c>
      <c r="Q44" s="238" t="s">
        <v>0</v>
      </c>
      <c r="R44" s="238" t="s">
        <v>52</v>
      </c>
      <c r="S44" s="238" t="s">
        <v>54</v>
      </c>
      <c r="T44" s="238" t="s">
        <v>54</v>
      </c>
      <c r="U44" s="238" t="s">
        <v>54</v>
      </c>
      <c r="V44" s="238" t="s">
        <v>54</v>
      </c>
      <c r="W44" s="238" t="s">
        <v>52</v>
      </c>
      <c r="X44" s="238" t="s">
        <v>54</v>
      </c>
      <c r="Y44" s="238" t="s">
        <v>54</v>
      </c>
      <c r="Z44" s="238" t="s">
        <v>53</v>
      </c>
      <c r="AA44" s="239" t="s">
        <v>53</v>
      </c>
      <c r="AB44" s="239" t="s">
        <v>0</v>
      </c>
      <c r="AC44" s="30" t="s">
        <v>55</v>
      </c>
      <c r="AD44" s="30" t="s">
        <v>55</v>
      </c>
      <c r="AE44" s="30" t="s">
        <v>55</v>
      </c>
      <c r="AF44" s="238" t="s">
        <v>52</v>
      </c>
      <c r="AG44" s="238" t="s">
        <v>56</v>
      </c>
      <c r="AH44" s="238" t="s">
        <v>56</v>
      </c>
      <c r="AI44" s="238" t="s">
        <v>56</v>
      </c>
      <c r="AJ44" s="238" t="s">
        <v>0</v>
      </c>
      <c r="AK44" s="238" t="s">
        <v>3</v>
      </c>
      <c r="AL44" s="238" t="s">
        <v>3</v>
      </c>
      <c r="AM44" s="238" t="s">
        <v>3</v>
      </c>
      <c r="AN44" s="238" t="s">
        <v>54</v>
      </c>
      <c r="AO44" s="397" t="s">
        <v>52</v>
      </c>
      <c r="AP44" s="45">
        <v>0</v>
      </c>
      <c r="AQ44" s="46">
        <f t="shared" si="0"/>
        <v>0</v>
      </c>
      <c r="AR44" s="46">
        <v>0</v>
      </c>
      <c r="AS44" s="41">
        <f t="shared" si="14"/>
        <v>0</v>
      </c>
      <c r="AT44" s="329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1"/>
        <v>5</v>
      </c>
      <c r="B45" s="39">
        <f t="shared" si="2"/>
        <v>5</v>
      </c>
      <c r="C45" s="40">
        <f t="shared" si="3"/>
        <v>4</v>
      </c>
      <c r="D45" s="39">
        <f t="shared" si="4"/>
        <v>6</v>
      </c>
      <c r="E45" s="41">
        <f t="shared" si="5"/>
        <v>0</v>
      </c>
      <c r="F45" s="41">
        <f t="shared" si="6"/>
        <v>4</v>
      </c>
      <c r="G45" s="41">
        <f t="shared" si="7"/>
        <v>5</v>
      </c>
      <c r="H45" s="41">
        <f t="shared" si="8"/>
        <v>2</v>
      </c>
      <c r="I45" s="177">
        <f t="shared" si="9"/>
        <v>31</v>
      </c>
      <c r="J45" s="379" t="s">
        <v>32</v>
      </c>
      <c r="K45" s="245" t="s">
        <v>0</v>
      </c>
      <c r="L45" s="238" t="s">
        <v>3</v>
      </c>
      <c r="M45" s="239" t="s">
        <v>52</v>
      </c>
      <c r="N45" s="239" t="s">
        <v>53</v>
      </c>
      <c r="O45" s="238" t="s">
        <v>54</v>
      </c>
      <c r="P45" s="242" t="s">
        <v>3</v>
      </c>
      <c r="Q45" s="242" t="s">
        <v>3</v>
      </c>
      <c r="R45" s="238" t="s">
        <v>54</v>
      </c>
      <c r="S45" s="238" t="s">
        <v>0</v>
      </c>
      <c r="T45" s="238" t="s">
        <v>56</v>
      </c>
      <c r="U45" s="238" t="s">
        <v>56</v>
      </c>
      <c r="V45" s="238" t="s">
        <v>0</v>
      </c>
      <c r="W45" s="242" t="s">
        <v>3</v>
      </c>
      <c r="X45" s="238" t="s">
        <v>3</v>
      </c>
      <c r="Y45" s="242" t="s">
        <v>3</v>
      </c>
      <c r="Z45" s="238" t="s">
        <v>54</v>
      </c>
      <c r="AA45" s="239" t="s">
        <v>52</v>
      </c>
      <c r="AB45" s="239" t="s">
        <v>53</v>
      </c>
      <c r="AC45" s="238" t="s">
        <v>54</v>
      </c>
      <c r="AD45" s="238" t="s">
        <v>54</v>
      </c>
      <c r="AE45" s="238" t="s">
        <v>52</v>
      </c>
      <c r="AF45" s="238" t="s">
        <v>55</v>
      </c>
      <c r="AG45" s="238" t="s">
        <v>55</v>
      </c>
      <c r="AH45" s="238" t="s">
        <v>55</v>
      </c>
      <c r="AI45" s="238" t="s">
        <v>55</v>
      </c>
      <c r="AJ45" s="234" t="s">
        <v>52</v>
      </c>
      <c r="AK45" s="234" t="s">
        <v>156</v>
      </c>
      <c r="AL45" s="238" t="s">
        <v>56</v>
      </c>
      <c r="AM45" s="238" t="s">
        <v>56</v>
      </c>
      <c r="AN45" s="238" t="s">
        <v>56</v>
      </c>
      <c r="AO45" s="397" t="s">
        <v>52</v>
      </c>
      <c r="AP45" s="45">
        <v>0</v>
      </c>
      <c r="AQ45" s="46">
        <f t="shared" si="0"/>
        <v>0</v>
      </c>
      <c r="AR45" s="46">
        <v>0</v>
      </c>
      <c r="AS45" s="41">
        <f t="shared" si="14"/>
        <v>0</v>
      </c>
      <c r="AT45" s="329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si="1"/>
        <v>5</v>
      </c>
      <c r="B46" s="70">
        <f t="shared" si="2"/>
        <v>7</v>
      </c>
      <c r="C46" s="71">
        <f t="shared" si="3"/>
        <v>4</v>
      </c>
      <c r="D46" s="70">
        <f t="shared" si="4"/>
        <v>2</v>
      </c>
      <c r="E46" s="63">
        <f t="shared" si="5"/>
        <v>2</v>
      </c>
      <c r="F46" s="63">
        <f t="shared" si="6"/>
        <v>4</v>
      </c>
      <c r="G46" s="63">
        <f t="shared" si="7"/>
        <v>4</v>
      </c>
      <c r="H46" s="63">
        <f t="shared" si="8"/>
        <v>2</v>
      </c>
      <c r="I46" s="178">
        <f t="shared" si="9"/>
        <v>30</v>
      </c>
      <c r="J46" s="380" t="s">
        <v>33</v>
      </c>
      <c r="K46" s="247" t="s">
        <v>0</v>
      </c>
      <c r="L46" s="238" t="s">
        <v>56</v>
      </c>
      <c r="M46" s="249" t="s">
        <v>52</v>
      </c>
      <c r="N46" s="249" t="s">
        <v>53</v>
      </c>
      <c r="O46" s="248" t="s">
        <v>0</v>
      </c>
      <c r="P46" s="248" t="s">
        <v>54</v>
      </c>
      <c r="Q46" s="248" t="s">
        <v>54</v>
      </c>
      <c r="R46" s="248" t="s">
        <v>3</v>
      </c>
      <c r="S46" s="60" t="s">
        <v>52</v>
      </c>
      <c r="T46" s="60" t="s">
        <v>55</v>
      </c>
      <c r="U46" s="60" t="s">
        <v>55</v>
      </c>
      <c r="V46" s="60" t="s">
        <v>55</v>
      </c>
      <c r="W46" s="60" t="s">
        <v>55</v>
      </c>
      <c r="X46" s="248" t="s">
        <v>0</v>
      </c>
      <c r="Y46" s="248" t="s">
        <v>56</v>
      </c>
      <c r="Z46" s="248" t="s">
        <v>56</v>
      </c>
      <c r="AA46" s="249" t="s">
        <v>52</v>
      </c>
      <c r="AB46" s="249" t="s">
        <v>53</v>
      </c>
      <c r="AC46" s="248" t="s">
        <v>52</v>
      </c>
      <c r="AD46" s="248" t="s">
        <v>56</v>
      </c>
      <c r="AE46" s="248" t="s">
        <v>56</v>
      </c>
      <c r="AF46" s="248" t="s">
        <v>56</v>
      </c>
      <c r="AG46" s="248" t="s">
        <v>163</v>
      </c>
      <c r="AH46" s="248" t="s">
        <v>54</v>
      </c>
      <c r="AI46" s="248" t="s">
        <v>54</v>
      </c>
      <c r="AJ46" s="248" t="s">
        <v>54</v>
      </c>
      <c r="AK46" s="248" t="s">
        <v>3</v>
      </c>
      <c r="AL46" s="251" t="s">
        <v>1</v>
      </c>
      <c r="AM46" s="251" t="s">
        <v>1</v>
      </c>
      <c r="AN46" s="248" t="s">
        <v>0</v>
      </c>
      <c r="AO46" s="248" t="s">
        <v>56</v>
      </c>
      <c r="AP46" s="73">
        <v>0</v>
      </c>
      <c r="AQ46" s="74">
        <f t="shared" si="0"/>
        <v>-1</v>
      </c>
      <c r="AR46" s="74">
        <v>0</v>
      </c>
      <c r="AS46" s="63">
        <f t="shared" si="14"/>
        <v>-1</v>
      </c>
      <c r="AT46" s="330" t="s">
        <v>128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65" cm="2">
        <f t="array" ref="K47">SUMPRODUCT(COUNTIF(K4:K46,{"1";"M1"}))</f>
        <v>5</v>
      </c>
      <c r="L47" s="465" cm="2">
        <f t="array" ref="L47">SUMPRODUCT(COUNTIF(L4:L46,{"1";"M1"}))</f>
        <v>5</v>
      </c>
      <c r="M47" s="465" cm="2">
        <f t="array" ref="M47">SUMPRODUCT(COUNTIF(M4:M46,{"1";"M1"}))</f>
        <v>3</v>
      </c>
      <c r="N47" s="465" cm="2">
        <f t="array" ref="N47">SUMPRODUCT(COUNTIF(N4:N46,{"1";"M1"}))</f>
        <v>3</v>
      </c>
      <c r="O47" s="465" cm="2">
        <f t="array" ref="O47">SUMPRODUCT(COUNTIF(O4:O46,{"1";"M1"}))</f>
        <v>6</v>
      </c>
      <c r="P47" s="465" cm="2">
        <f t="array" ref="P47">SUMPRODUCT(COUNTIF(P4:P46,{"1";"M1"}))</f>
        <v>5</v>
      </c>
      <c r="Q47" s="465" cm="2">
        <f t="array" ref="Q47">SUMPRODUCT(COUNTIF(Q4:Q46,{"1";"M1"}))</f>
        <v>5</v>
      </c>
      <c r="R47" s="465" cm="2">
        <f t="array" ref="R47">SUMPRODUCT(COUNTIF(R4:R46,{"1";"M1"}))</f>
        <v>5</v>
      </c>
      <c r="S47" s="465" cm="2">
        <f t="array" ref="S47">SUMPRODUCT(COUNTIF(S4:S46,{"1";"M1"}))</f>
        <v>3</v>
      </c>
      <c r="T47" s="465" cm="2">
        <f t="array" ref="T47">SUMPRODUCT(COUNTIF(T4:T46,{"1";"M1"}))</f>
        <v>3</v>
      </c>
      <c r="U47" s="465" cm="2">
        <f t="array" ref="U47">SUMPRODUCT(COUNTIF(U4:U46,{"1";"M1"}))</f>
        <v>3</v>
      </c>
      <c r="V47" s="465" cm="2">
        <f t="array" ref="V47">SUMPRODUCT(COUNTIF(V4:V46,{"1";"M1"}))</f>
        <v>5</v>
      </c>
      <c r="W47" s="465" cm="2">
        <f t="array" ref="W47">SUMPRODUCT(COUNTIF(W4:W46,{"1";"M1"}))</f>
        <v>5</v>
      </c>
      <c r="X47" s="465" cm="2">
        <f t="array" ref="X47">SUMPRODUCT(COUNTIF(X4:X46,{"1";"M1"}))</f>
        <v>5</v>
      </c>
      <c r="Y47" s="465" cm="2">
        <f t="array" ref="Y47">SUMPRODUCT(COUNTIF(Y4:Y46,{"1";"M1"}))</f>
        <v>5</v>
      </c>
      <c r="Z47" s="465" cm="2">
        <f t="array" ref="Z47">SUMPRODUCT(COUNTIF(Z4:Z46,{"1";"M1"}))</f>
        <v>5</v>
      </c>
      <c r="AA47" s="465" cm="2">
        <f t="array" ref="AA47">SUMPRODUCT(COUNTIF(AA4:AA46,{"1";"M1"}))</f>
        <v>3</v>
      </c>
      <c r="AB47" s="465" cm="2">
        <f t="array" ref="AB47">SUMPRODUCT(COUNTIF(AB4:AB46,{"1";"M1"}))</f>
        <v>3</v>
      </c>
      <c r="AC47" s="465" cm="2">
        <f t="array" ref="AC47">SUMPRODUCT(COUNTIF(AC4:AC46,{"1";"M1"}))</f>
        <v>5</v>
      </c>
      <c r="AD47" s="465" cm="2">
        <f t="array" ref="AD47">SUMPRODUCT(COUNTIF(AD4:AD46,{"1";"M1"}))</f>
        <v>5</v>
      </c>
      <c r="AE47" s="465" cm="2">
        <f t="array" ref="AE47">SUMPRODUCT(COUNTIF(AE4:AE46,{"1";"M1"}))</f>
        <v>5</v>
      </c>
      <c r="AF47" s="465" cm="2">
        <f t="array" ref="AF47">SUMPRODUCT(COUNTIF(AF4:AF46,{"1";"M1"}))</f>
        <v>5</v>
      </c>
      <c r="AG47" s="465" cm="2">
        <f t="array" ref="AG47">SUMPRODUCT(COUNTIF(AG4:AG46,{"1";"M1"}))</f>
        <v>4</v>
      </c>
      <c r="AH47" s="465" cm="2">
        <f t="array" ref="AH47">SUMPRODUCT(COUNTIF(AH4:AH46,{"1";"M1"}))</f>
        <v>3</v>
      </c>
      <c r="AI47" s="465" cm="2">
        <f t="array" ref="AI47">SUMPRODUCT(COUNTIF(AI4:AI46,{"1";"M1"}))</f>
        <v>3</v>
      </c>
      <c r="AJ47" s="465" cm="2">
        <f t="array" ref="AJ47">SUMPRODUCT(COUNTIF(AJ4:AJ46,{"1";"M1"}))</f>
        <v>3</v>
      </c>
      <c r="AK47" s="465" cm="2">
        <f t="array" ref="AK47">SUMPRODUCT(COUNTIF(AK4:AK46,{"1";"M1"}))</f>
        <v>5</v>
      </c>
      <c r="AL47" s="465" cm="2">
        <f t="array" ref="AL47">SUMPRODUCT(COUNTIF(AL4:AL46,{"1";"M1"}))</f>
        <v>5</v>
      </c>
      <c r="AM47" s="465" cm="2">
        <f t="array" ref="AM47">SUMPRODUCT(COUNTIF(AM4:AM46,{"1";"M1"}))</f>
        <v>5</v>
      </c>
      <c r="AN47" s="465" cm="2">
        <f t="array" ref="AN47">SUMPRODUCT(COUNTIF(AN4:AN46,{"1";"M1"}))</f>
        <v>5</v>
      </c>
      <c r="AO47" s="465" cm="2">
        <f t="array" ref="AO47">SUMPRODUCT(COUNTIF(AO4:AO46,{"1";"M1"}))</f>
        <v>3</v>
      </c>
      <c r="AQ47" s="50"/>
      <c r="AR47" s="6"/>
      <c r="AS47" s="75"/>
      <c r="AT47" s="79"/>
      <c r="AU47" s="79"/>
      <c r="AX47" s="6"/>
      <c r="AY47" s="6"/>
      <c r="AZ47" s="6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05" cm="2">
        <f t="array" ref="K48">SUMPRODUCT(COUNTIF(K4:K46,{"2";"M2"}))</f>
        <v>4</v>
      </c>
      <c r="L48" s="405" cm="2">
        <f t="array" ref="L48">SUMPRODUCT(COUNTIF(L4:L46,{"2";"M2"}))</f>
        <v>4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3</v>
      </c>
      <c r="AF48" s="405" cm="2">
        <f t="array" ref="AF48">SUMPRODUCT(COUNTIF(AF4:AF46,{"2";"M2"}))</f>
        <v>3</v>
      </c>
      <c r="AG48" s="405" cm="2">
        <f t="array" ref="AG48">SUMPRODUCT(COUNTIF(AG4:AG46,{"2";"M2"}))</f>
        <v>3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3</v>
      </c>
      <c r="AN48" s="405" cm="2">
        <f t="array" ref="AN48">SUMPRODUCT(COUNTIF(AN4:AN46,{"2";"M2"}))</f>
        <v>3</v>
      </c>
      <c r="AO48" s="405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  <c r="AU48" s="84"/>
    </row>
    <row r="49" spans="1:52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08">
        <f t="shared" ref="K49:AO49" si="25">COUNTIF(K4:K46,3)</f>
        <v>3</v>
      </c>
      <c r="L49" s="408">
        <f t="shared" si="25"/>
        <v>3</v>
      </c>
      <c r="M49" s="408">
        <f t="shared" si="25"/>
        <v>2</v>
      </c>
      <c r="N49" s="408">
        <f t="shared" si="25"/>
        <v>2</v>
      </c>
      <c r="O49" s="408">
        <f t="shared" si="25"/>
        <v>4</v>
      </c>
      <c r="P49" s="408">
        <f t="shared" si="25"/>
        <v>4</v>
      </c>
      <c r="Q49" s="408">
        <f t="shared" si="25"/>
        <v>4</v>
      </c>
      <c r="R49" s="408">
        <f t="shared" si="25"/>
        <v>4</v>
      </c>
      <c r="S49" s="408">
        <f t="shared" si="25"/>
        <v>2</v>
      </c>
      <c r="T49" s="408">
        <f t="shared" si="25"/>
        <v>2</v>
      </c>
      <c r="U49" s="408">
        <f t="shared" si="25"/>
        <v>2</v>
      </c>
      <c r="V49" s="408">
        <f t="shared" si="25"/>
        <v>3</v>
      </c>
      <c r="W49" s="408">
        <f t="shared" si="25"/>
        <v>3</v>
      </c>
      <c r="X49" s="408">
        <f t="shared" si="25"/>
        <v>3</v>
      </c>
      <c r="Y49" s="408">
        <f t="shared" si="25"/>
        <v>3</v>
      </c>
      <c r="Z49" s="408">
        <f t="shared" si="25"/>
        <v>3</v>
      </c>
      <c r="AA49" s="408">
        <f t="shared" si="25"/>
        <v>2</v>
      </c>
      <c r="AB49" s="408">
        <f t="shared" si="25"/>
        <v>2</v>
      </c>
      <c r="AC49" s="408">
        <f t="shared" si="25"/>
        <v>3</v>
      </c>
      <c r="AD49" s="408">
        <f t="shared" si="25"/>
        <v>3</v>
      </c>
      <c r="AE49" s="408">
        <f t="shared" si="25"/>
        <v>3</v>
      </c>
      <c r="AF49" s="408">
        <f t="shared" si="25"/>
        <v>3</v>
      </c>
      <c r="AG49" s="408">
        <f t="shared" si="25"/>
        <v>3</v>
      </c>
      <c r="AH49" s="408">
        <f t="shared" si="25"/>
        <v>2</v>
      </c>
      <c r="AI49" s="408">
        <f t="shared" si="25"/>
        <v>2</v>
      </c>
      <c r="AJ49" s="408">
        <f t="shared" si="25"/>
        <v>2</v>
      </c>
      <c r="AK49" s="408">
        <f t="shared" si="25"/>
        <v>3</v>
      </c>
      <c r="AL49" s="408">
        <f t="shared" si="25"/>
        <v>3</v>
      </c>
      <c r="AM49" s="408">
        <f t="shared" si="25"/>
        <v>3</v>
      </c>
      <c r="AN49" s="408">
        <f t="shared" si="25"/>
        <v>3</v>
      </c>
      <c r="AO49" s="408">
        <f t="shared" si="25"/>
        <v>2</v>
      </c>
      <c r="AQ49" s="75" t="s">
        <v>109</v>
      </c>
      <c r="AR49" s="75">
        <f>37*31</f>
        <v>1147</v>
      </c>
      <c r="AS49" s="75">
        <f>6*31</f>
        <v>186</v>
      </c>
      <c r="AT49" s="84"/>
      <c r="AU49" s="84"/>
    </row>
    <row r="50" spans="1:52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11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3</v>
      </c>
      <c r="N50" s="411" cm="2">
        <f t="array" ref="N50">SUMPRODUCT(COUNTIF(N4:N46,{"早";"T早"}))</f>
        <v>3</v>
      </c>
      <c r="O50" s="411" cm="2">
        <f t="array" ref="O50">SUMPRODUCT(COUNTIF(O4:O46,{"早";"T早"}))</f>
        <v>5</v>
      </c>
      <c r="P50" s="411" cm="2">
        <f t="array" ref="P50">SUMPRODUCT(COUNTIF(P4:P46,{"早";"T早"}))</f>
        <v>5</v>
      </c>
      <c r="Q50" s="411" cm="2">
        <f t="array" ref="Q50">SUMPRODUCT(COUNTIF(Q4:Q46,{"早";"T早"}))</f>
        <v>6</v>
      </c>
      <c r="R50" s="411" cm="2">
        <f t="array" ref="R50">SUMPRODUCT(COUNTIF(R4:R46,{"早";"T早"}))</f>
        <v>6</v>
      </c>
      <c r="S50" s="411" cm="2">
        <f t="array" ref="S50">SUMPRODUCT(COUNTIF(S4:S46,{"早";"T早"}))</f>
        <v>3</v>
      </c>
      <c r="T50" s="411" cm="2">
        <f t="array" ref="T50">SUMPRODUCT(COUNTIF(T4:T46,{"早";"T早"}))</f>
        <v>3</v>
      </c>
      <c r="U50" s="411" cm="2">
        <f t="array" ref="U50">SUMPRODUCT(COUNTIF(U4:U46,{"早";"T早"}))</f>
        <v>3</v>
      </c>
      <c r="V50" s="411" cm="2">
        <f t="array" ref="V50">SUMPRODUCT(COUNTIF(V4:V46,{"早";"T早"}))</f>
        <v>6</v>
      </c>
      <c r="W50" s="411" cm="2">
        <f t="array" ref="W50">SUMPRODUCT(COUNTIF(W4:W46,{"早";"T早"}))</f>
        <v>6</v>
      </c>
      <c r="X50" s="411" cm="2">
        <f t="array" ref="X50">SUMPRODUCT(COUNTIF(X4:X46,{"早";"T早"}))</f>
        <v>6</v>
      </c>
      <c r="Y50" s="411" cm="2">
        <f t="array" ref="Y50">SUMPRODUCT(COUNTIF(Y4:Y46,{"早";"T早"}))</f>
        <v>6</v>
      </c>
      <c r="Z50" s="411" cm="2">
        <f t="array" ref="Z50">SUMPRODUCT(COUNTIF(Z4:Z46,{"早";"T早"}))</f>
        <v>6</v>
      </c>
      <c r="AA50" s="411" cm="2">
        <f t="array" ref="AA50">SUMPRODUCT(COUNTIF(AA4:AA46,{"早";"T早"}))</f>
        <v>3</v>
      </c>
      <c r="AB50" s="411" cm="2">
        <f t="array" ref="AB50">SUMPRODUCT(COUNTIF(AB4:AB46,{"早";"T早"}))</f>
        <v>3</v>
      </c>
      <c r="AC50" s="411" cm="2">
        <f t="array" ref="AC50">SUMPRODUCT(COUNTIF(AC4:AC46,{"早";"T早"}))</f>
        <v>5</v>
      </c>
      <c r="AD50" s="411" cm="2">
        <f t="array" ref="AD50">SUMPRODUCT(COUNTIF(AD4:AD46,{"早";"T早"}))</f>
        <v>5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3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6</v>
      </c>
      <c r="AL50" s="411" cm="2">
        <f t="array" ref="AL50">SUMPRODUCT(COUNTIF(AL4:AL46,{"早";"T早"}))</f>
        <v>6</v>
      </c>
      <c r="AM50" s="411" cm="2">
        <f t="array" ref="AM50">SUMPRODUCT(COUNTIF(AM4:AM46,{"早";"T早"}))</f>
        <v>6</v>
      </c>
      <c r="AN50" s="411" cm="2">
        <f t="array" ref="AN50">SUMPRODUCT(COUNTIF(AN4:AN46,{"早";"T早"}))</f>
        <v>6</v>
      </c>
      <c r="AO50" s="411" cm="2">
        <f t="array" ref="AO50">SUMPRODUCT(COUNTIF(AO4:AO46,{"早";"T早"}))</f>
        <v>3</v>
      </c>
      <c r="AQ50" s="87" t="s">
        <v>37</v>
      </c>
      <c r="AR50" s="75">
        <f>22*(31-I1)</f>
        <v>440</v>
      </c>
      <c r="AS50" s="75">
        <f>3*(31-I1)</f>
        <v>60</v>
      </c>
      <c r="AV50" s="84"/>
    </row>
    <row r="51" spans="1:52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14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4</v>
      </c>
      <c r="AF51" s="414" cm="2">
        <f t="array" ref="AF51">SUMPRODUCT(COUNTIF(AF4:AF46,{"中";"T中"}))</f>
        <v>4</v>
      </c>
      <c r="AG51" s="414" cm="2">
        <f t="array" ref="AG51">SUMPRODUCT(COUNTIF(AG4:AG46,{"中";"T中"}))</f>
        <v>3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O51" s="414" cm="2">
        <f t="array" ref="AO51">SUMPRODUCT(COUNTIF(AO4:AO46,{"中";"T中"}))</f>
        <v>3</v>
      </c>
      <c r="AQ51" s="87" t="s">
        <v>39</v>
      </c>
      <c r="AR51" s="75">
        <f>16*I1</f>
        <v>176</v>
      </c>
      <c r="AS51" s="75">
        <f>3*I1</f>
        <v>33</v>
      </c>
      <c r="AV51" s="89"/>
    </row>
    <row r="52" spans="1:52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08">
        <f t="shared" ref="K52:AO52" si="26">COUNTIF(K4:K46,"晚")</f>
        <v>3</v>
      </c>
      <c r="L52" s="408">
        <f t="shared" si="26"/>
        <v>3</v>
      </c>
      <c r="M52" s="408">
        <f t="shared" si="26"/>
        <v>2</v>
      </c>
      <c r="N52" s="408">
        <f t="shared" si="26"/>
        <v>2</v>
      </c>
      <c r="O52" s="408">
        <f t="shared" si="26"/>
        <v>3</v>
      </c>
      <c r="P52" s="408">
        <f t="shared" si="26"/>
        <v>3</v>
      </c>
      <c r="Q52" s="408">
        <f t="shared" si="26"/>
        <v>3</v>
      </c>
      <c r="R52" s="408">
        <f t="shared" si="26"/>
        <v>3</v>
      </c>
      <c r="S52" s="408">
        <f t="shared" si="26"/>
        <v>2</v>
      </c>
      <c r="T52" s="408">
        <f t="shared" si="26"/>
        <v>2</v>
      </c>
      <c r="U52" s="408">
        <f t="shared" si="26"/>
        <v>2</v>
      </c>
      <c r="V52" s="408">
        <f t="shared" si="26"/>
        <v>3</v>
      </c>
      <c r="W52" s="408">
        <f t="shared" si="26"/>
        <v>3</v>
      </c>
      <c r="X52" s="408">
        <f t="shared" si="26"/>
        <v>3</v>
      </c>
      <c r="Y52" s="408">
        <f t="shared" si="26"/>
        <v>3</v>
      </c>
      <c r="Z52" s="408">
        <f t="shared" si="26"/>
        <v>3</v>
      </c>
      <c r="AA52" s="408">
        <f t="shared" si="26"/>
        <v>2</v>
      </c>
      <c r="AB52" s="408">
        <f t="shared" si="26"/>
        <v>2</v>
      </c>
      <c r="AC52" s="408">
        <f t="shared" si="26"/>
        <v>4</v>
      </c>
      <c r="AD52" s="408">
        <f t="shared" si="26"/>
        <v>4</v>
      </c>
      <c r="AE52" s="408">
        <f t="shared" si="26"/>
        <v>3</v>
      </c>
      <c r="AF52" s="408">
        <f t="shared" si="26"/>
        <v>3</v>
      </c>
      <c r="AG52" s="408">
        <f t="shared" si="26"/>
        <v>3</v>
      </c>
      <c r="AH52" s="408">
        <f t="shared" si="26"/>
        <v>2</v>
      </c>
      <c r="AI52" s="408">
        <f t="shared" si="26"/>
        <v>2</v>
      </c>
      <c r="AJ52" s="408">
        <f t="shared" si="26"/>
        <v>2</v>
      </c>
      <c r="AK52" s="408">
        <f t="shared" si="26"/>
        <v>3</v>
      </c>
      <c r="AL52" s="408">
        <f t="shared" si="26"/>
        <v>3</v>
      </c>
      <c r="AM52" s="408">
        <f t="shared" si="26"/>
        <v>3</v>
      </c>
      <c r="AN52" s="408">
        <f t="shared" si="26"/>
        <v>3</v>
      </c>
      <c r="AO52" s="408">
        <f t="shared" si="26"/>
        <v>2</v>
      </c>
      <c r="AQ52" s="75" t="s">
        <v>0</v>
      </c>
      <c r="AR52" s="91">
        <f>37*I1</f>
        <v>407</v>
      </c>
      <c r="AS52" s="75">
        <f>6*I1</f>
        <v>66</v>
      </c>
    </row>
    <row r="53" spans="1:52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11">
        <f t="shared" ref="K53:AO53" si="27">COUNTIF(K4:K46,"日")</f>
        <v>1</v>
      </c>
      <c r="L53" s="411">
        <f t="shared" si="27"/>
        <v>1</v>
      </c>
      <c r="M53" s="411">
        <f t="shared" si="27"/>
        <v>1</v>
      </c>
      <c r="N53" s="411">
        <f t="shared" si="27"/>
        <v>1</v>
      </c>
      <c r="O53" s="411">
        <f t="shared" si="27"/>
        <v>1</v>
      </c>
      <c r="P53" s="411">
        <f t="shared" si="27"/>
        <v>1</v>
      </c>
      <c r="Q53" s="411">
        <f t="shared" si="27"/>
        <v>1</v>
      </c>
      <c r="R53" s="411">
        <f t="shared" si="27"/>
        <v>1</v>
      </c>
      <c r="S53" s="411">
        <f t="shared" si="27"/>
        <v>1</v>
      </c>
      <c r="T53" s="411">
        <f t="shared" si="27"/>
        <v>1</v>
      </c>
      <c r="U53" s="411">
        <f t="shared" si="27"/>
        <v>1</v>
      </c>
      <c r="V53" s="411">
        <f t="shared" si="27"/>
        <v>1</v>
      </c>
      <c r="W53" s="411">
        <f t="shared" si="27"/>
        <v>1</v>
      </c>
      <c r="X53" s="411">
        <f t="shared" si="27"/>
        <v>1</v>
      </c>
      <c r="Y53" s="411">
        <f t="shared" si="27"/>
        <v>1</v>
      </c>
      <c r="Z53" s="411">
        <f t="shared" si="27"/>
        <v>1</v>
      </c>
      <c r="AA53" s="411">
        <f t="shared" si="27"/>
        <v>1</v>
      </c>
      <c r="AB53" s="411">
        <f t="shared" si="27"/>
        <v>1</v>
      </c>
      <c r="AC53" s="411">
        <f t="shared" si="27"/>
        <v>1</v>
      </c>
      <c r="AD53" s="411">
        <f t="shared" si="27"/>
        <v>1</v>
      </c>
      <c r="AE53" s="411">
        <f t="shared" si="27"/>
        <v>1</v>
      </c>
      <c r="AF53" s="411">
        <f t="shared" si="27"/>
        <v>1</v>
      </c>
      <c r="AG53" s="411">
        <f t="shared" si="27"/>
        <v>1</v>
      </c>
      <c r="AH53" s="411">
        <f t="shared" si="27"/>
        <v>1</v>
      </c>
      <c r="AI53" s="411">
        <f t="shared" si="27"/>
        <v>1</v>
      </c>
      <c r="AJ53" s="411">
        <f t="shared" si="27"/>
        <v>1</v>
      </c>
      <c r="AK53" s="411">
        <f t="shared" si="27"/>
        <v>1</v>
      </c>
      <c r="AL53" s="411">
        <f t="shared" si="27"/>
        <v>1</v>
      </c>
      <c r="AM53" s="411">
        <f t="shared" si="27"/>
        <v>1</v>
      </c>
      <c r="AN53" s="411">
        <f t="shared" si="27"/>
        <v>1</v>
      </c>
      <c r="AO53" s="411">
        <f t="shared" si="27"/>
        <v>1</v>
      </c>
      <c r="AQ53" s="50" t="s">
        <v>104</v>
      </c>
      <c r="AR53" s="91" cm="2">
        <f t="array" ref="AR53">SUMPRODUCT(COUNTIF(K4:AO40,{"N";"N8"}))</f>
        <v>60</v>
      </c>
      <c r="AS53" s="91" cm="1">
        <f t="array" ref="AS53">SUMPRODUCT(COUNTIF(K41:AO46,{"N";"N8"}))</f>
        <v>16</v>
      </c>
    </row>
    <row r="54" spans="1:52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14">
        <f t="shared" ref="K54:AO54" si="28">COUNTIF(K4:K46,"小夜")</f>
        <v>1</v>
      </c>
      <c r="L54" s="414">
        <f t="shared" si="28"/>
        <v>1</v>
      </c>
      <c r="M54" s="414">
        <f t="shared" si="28"/>
        <v>1</v>
      </c>
      <c r="N54" s="414">
        <f t="shared" si="28"/>
        <v>1</v>
      </c>
      <c r="O54" s="414">
        <f t="shared" si="28"/>
        <v>1</v>
      </c>
      <c r="P54" s="414">
        <f t="shared" si="28"/>
        <v>1</v>
      </c>
      <c r="Q54" s="414">
        <f t="shared" si="28"/>
        <v>1</v>
      </c>
      <c r="R54" s="414">
        <f t="shared" si="28"/>
        <v>1</v>
      </c>
      <c r="S54" s="414">
        <f t="shared" si="28"/>
        <v>1</v>
      </c>
      <c r="T54" s="414">
        <f t="shared" si="28"/>
        <v>1</v>
      </c>
      <c r="U54" s="414">
        <f t="shared" si="28"/>
        <v>1</v>
      </c>
      <c r="V54" s="414">
        <f t="shared" si="28"/>
        <v>1</v>
      </c>
      <c r="W54" s="414">
        <f t="shared" si="28"/>
        <v>1</v>
      </c>
      <c r="X54" s="414">
        <f t="shared" si="28"/>
        <v>1</v>
      </c>
      <c r="Y54" s="414">
        <f t="shared" si="28"/>
        <v>1</v>
      </c>
      <c r="Z54" s="414">
        <f t="shared" si="28"/>
        <v>1</v>
      </c>
      <c r="AA54" s="414">
        <f t="shared" si="28"/>
        <v>1</v>
      </c>
      <c r="AB54" s="414">
        <f t="shared" si="28"/>
        <v>1</v>
      </c>
      <c r="AC54" s="414">
        <f t="shared" si="28"/>
        <v>1</v>
      </c>
      <c r="AD54" s="414">
        <f t="shared" si="28"/>
        <v>1</v>
      </c>
      <c r="AE54" s="414">
        <f t="shared" si="28"/>
        <v>1</v>
      </c>
      <c r="AF54" s="414">
        <f t="shared" si="28"/>
        <v>1</v>
      </c>
      <c r="AG54" s="414">
        <f t="shared" si="28"/>
        <v>1</v>
      </c>
      <c r="AH54" s="414">
        <f t="shared" si="28"/>
        <v>1</v>
      </c>
      <c r="AI54" s="414">
        <f t="shared" si="28"/>
        <v>1</v>
      </c>
      <c r="AJ54" s="414">
        <f t="shared" si="28"/>
        <v>1</v>
      </c>
      <c r="AK54" s="414">
        <f t="shared" si="28"/>
        <v>1</v>
      </c>
      <c r="AL54" s="414">
        <f t="shared" si="28"/>
        <v>1</v>
      </c>
      <c r="AM54" s="414">
        <f t="shared" si="28"/>
        <v>1</v>
      </c>
      <c r="AN54" s="414">
        <f t="shared" si="28"/>
        <v>1</v>
      </c>
      <c r="AO54" s="414">
        <f t="shared" si="28"/>
        <v>1</v>
      </c>
      <c r="AQ54" s="50" t="s">
        <v>105</v>
      </c>
      <c r="AR54" s="92" cm="2">
        <f t="array" ref="AR54">SUMPRODUCT(COUNTIF(K4:AO40,{"S"}))</f>
        <v>36</v>
      </c>
      <c r="AS54" s="75" cm="1">
        <f t="array" ref="AS54">SUMPRODUCT(COUNTIF(K41:AO46,{"S"}))</f>
        <v>9</v>
      </c>
    </row>
    <row r="55" spans="1:52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08">
        <f t="shared" ref="K55:AO55" si="29">COUNTIF(K7:K49,"大夜")</f>
        <v>1</v>
      </c>
      <c r="L55" s="408">
        <f t="shared" si="29"/>
        <v>1</v>
      </c>
      <c r="M55" s="408">
        <f t="shared" si="29"/>
        <v>1</v>
      </c>
      <c r="N55" s="408">
        <f t="shared" si="29"/>
        <v>1</v>
      </c>
      <c r="O55" s="408">
        <f t="shared" si="29"/>
        <v>1</v>
      </c>
      <c r="P55" s="408">
        <f t="shared" si="29"/>
        <v>1</v>
      </c>
      <c r="Q55" s="408">
        <f t="shared" si="29"/>
        <v>1</v>
      </c>
      <c r="R55" s="408">
        <f t="shared" si="29"/>
        <v>1</v>
      </c>
      <c r="S55" s="408">
        <f t="shared" si="29"/>
        <v>1</v>
      </c>
      <c r="T55" s="408">
        <f t="shared" si="29"/>
        <v>1</v>
      </c>
      <c r="U55" s="408">
        <f t="shared" si="29"/>
        <v>1</v>
      </c>
      <c r="V55" s="408">
        <f t="shared" si="29"/>
        <v>1</v>
      </c>
      <c r="W55" s="408">
        <f t="shared" si="29"/>
        <v>1</v>
      </c>
      <c r="X55" s="408">
        <f t="shared" si="29"/>
        <v>1</v>
      </c>
      <c r="Y55" s="408">
        <f t="shared" si="29"/>
        <v>1</v>
      </c>
      <c r="Z55" s="408">
        <f t="shared" si="29"/>
        <v>1</v>
      </c>
      <c r="AA55" s="408">
        <f t="shared" si="29"/>
        <v>1</v>
      </c>
      <c r="AB55" s="408">
        <f t="shared" si="29"/>
        <v>1</v>
      </c>
      <c r="AC55" s="408">
        <f t="shared" si="29"/>
        <v>1</v>
      </c>
      <c r="AD55" s="408">
        <f t="shared" si="29"/>
        <v>1</v>
      </c>
      <c r="AE55" s="408">
        <f t="shared" si="29"/>
        <v>1</v>
      </c>
      <c r="AF55" s="408">
        <f t="shared" si="29"/>
        <v>1</v>
      </c>
      <c r="AG55" s="408">
        <f t="shared" si="29"/>
        <v>1</v>
      </c>
      <c r="AH55" s="408">
        <f t="shared" si="29"/>
        <v>1</v>
      </c>
      <c r="AI55" s="408">
        <f t="shared" si="29"/>
        <v>1</v>
      </c>
      <c r="AJ55" s="408">
        <f t="shared" si="29"/>
        <v>1</v>
      </c>
      <c r="AK55" s="408">
        <f t="shared" si="29"/>
        <v>1</v>
      </c>
      <c r="AL55" s="408">
        <f t="shared" si="29"/>
        <v>1</v>
      </c>
      <c r="AM55" s="408">
        <f t="shared" si="29"/>
        <v>1</v>
      </c>
      <c r="AN55" s="408">
        <f t="shared" si="29"/>
        <v>1</v>
      </c>
      <c r="AO55" s="408">
        <f t="shared" si="29"/>
        <v>1</v>
      </c>
      <c r="AQ55" s="93" t="s">
        <v>145</v>
      </c>
      <c r="AR55" s="75">
        <v>20</v>
      </c>
      <c r="AS55" s="75">
        <v>0</v>
      </c>
    </row>
    <row r="56" spans="1:52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347">
        <f t="shared" ref="K56:AO56" si="30">COUNTIF(K4:K46,"N")+COUNTIF(K4:K46,"N8")</f>
        <v>5</v>
      </c>
      <c r="L56" s="96">
        <f t="shared" si="30"/>
        <v>4</v>
      </c>
      <c r="M56" s="96">
        <f t="shared" si="30"/>
        <v>0</v>
      </c>
      <c r="N56" s="96">
        <f t="shared" si="30"/>
        <v>0</v>
      </c>
      <c r="O56" s="96">
        <f t="shared" si="30"/>
        <v>4</v>
      </c>
      <c r="P56" s="96">
        <f t="shared" si="30"/>
        <v>4</v>
      </c>
      <c r="Q56" s="96">
        <f t="shared" si="30"/>
        <v>7</v>
      </c>
      <c r="R56" s="96">
        <f t="shared" si="30"/>
        <v>7</v>
      </c>
      <c r="S56" s="96">
        <f t="shared" si="30"/>
        <v>0</v>
      </c>
      <c r="T56" s="96">
        <f t="shared" si="30"/>
        <v>0</v>
      </c>
      <c r="U56" s="96">
        <f t="shared" si="30"/>
        <v>0</v>
      </c>
      <c r="V56" s="96">
        <f t="shared" si="30"/>
        <v>3</v>
      </c>
      <c r="W56" s="96">
        <f t="shared" si="30"/>
        <v>6</v>
      </c>
      <c r="X56" s="96">
        <f t="shared" si="30"/>
        <v>4</v>
      </c>
      <c r="Y56" s="96">
        <f t="shared" si="30"/>
        <v>6</v>
      </c>
      <c r="Z56" s="96">
        <f t="shared" si="30"/>
        <v>2</v>
      </c>
      <c r="AA56" s="96">
        <f t="shared" si="30"/>
        <v>0</v>
      </c>
      <c r="AB56" s="96">
        <f t="shared" si="30"/>
        <v>0</v>
      </c>
      <c r="AC56" s="96">
        <f t="shared" si="30"/>
        <v>3</v>
      </c>
      <c r="AD56" s="96">
        <f t="shared" si="30"/>
        <v>3</v>
      </c>
      <c r="AE56" s="96">
        <f t="shared" si="30"/>
        <v>2</v>
      </c>
      <c r="AF56" s="96">
        <f t="shared" si="30"/>
        <v>3</v>
      </c>
      <c r="AG56" s="96">
        <f t="shared" si="30"/>
        <v>0</v>
      </c>
      <c r="AH56" s="96">
        <f t="shared" si="30"/>
        <v>0</v>
      </c>
      <c r="AI56" s="96">
        <f t="shared" si="30"/>
        <v>0</v>
      </c>
      <c r="AJ56" s="96">
        <f t="shared" si="30"/>
        <v>0</v>
      </c>
      <c r="AK56" s="96">
        <f t="shared" si="30"/>
        <v>6</v>
      </c>
      <c r="AL56" s="96">
        <f t="shared" si="30"/>
        <v>5</v>
      </c>
      <c r="AM56" s="97">
        <f t="shared" si="30"/>
        <v>2</v>
      </c>
      <c r="AN56" s="99">
        <f t="shared" si="30"/>
        <v>0</v>
      </c>
      <c r="AO56" s="99">
        <f t="shared" si="30"/>
        <v>0</v>
      </c>
      <c r="AQ56" s="100" t="s">
        <v>42</v>
      </c>
      <c r="AR56" s="101">
        <v>-1</v>
      </c>
      <c r="AS56" s="75">
        <v>0</v>
      </c>
    </row>
    <row r="57" spans="1:52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O57" si="31">COUNTIF(K4:K46,"X")+COUNTIF(K4:K46,"Y")+COUNTIF(K4:K46,"Z")</f>
        <v>10</v>
      </c>
      <c r="L57" s="24">
        <f t="shared" si="31"/>
        <v>10</v>
      </c>
      <c r="M57" s="24">
        <f t="shared" si="31"/>
        <v>24</v>
      </c>
      <c r="N57" s="24">
        <f t="shared" si="31"/>
        <v>24</v>
      </c>
      <c r="O57" s="24">
        <f t="shared" si="31"/>
        <v>11</v>
      </c>
      <c r="P57" s="24">
        <f t="shared" si="31"/>
        <v>11</v>
      </c>
      <c r="Q57" s="24">
        <f t="shared" si="31"/>
        <v>9</v>
      </c>
      <c r="R57" s="24">
        <f t="shared" si="31"/>
        <v>8</v>
      </c>
      <c r="S57" s="24">
        <f t="shared" si="31"/>
        <v>21</v>
      </c>
      <c r="T57" s="24">
        <f t="shared" si="31"/>
        <v>24</v>
      </c>
      <c r="U57" s="24">
        <f t="shared" si="31"/>
        <v>22</v>
      </c>
      <c r="V57" s="24">
        <f t="shared" si="31"/>
        <v>9</v>
      </c>
      <c r="W57" s="24">
        <f t="shared" si="31"/>
        <v>9</v>
      </c>
      <c r="X57" s="24">
        <f t="shared" si="31"/>
        <v>12</v>
      </c>
      <c r="Y57" s="24">
        <f t="shared" si="31"/>
        <v>9</v>
      </c>
      <c r="Z57" s="24">
        <f t="shared" si="31"/>
        <v>14</v>
      </c>
      <c r="AA57" s="24">
        <f t="shared" si="31"/>
        <v>24</v>
      </c>
      <c r="AB57" s="24">
        <f t="shared" si="31"/>
        <v>24</v>
      </c>
      <c r="AC57" s="24">
        <f t="shared" si="31"/>
        <v>12</v>
      </c>
      <c r="AD57" s="24">
        <f t="shared" si="31"/>
        <v>13</v>
      </c>
      <c r="AE57" s="24">
        <f t="shared" si="31"/>
        <v>15</v>
      </c>
      <c r="AF57" s="24">
        <f t="shared" si="31"/>
        <v>14</v>
      </c>
      <c r="AG57" s="24">
        <f t="shared" si="31"/>
        <v>0</v>
      </c>
      <c r="AH57" s="24">
        <f t="shared" si="31"/>
        <v>22</v>
      </c>
      <c r="AI57" s="24">
        <f t="shared" si="31"/>
        <v>24</v>
      </c>
      <c r="AJ57" s="24">
        <f t="shared" si="31"/>
        <v>19</v>
      </c>
      <c r="AK57" s="24">
        <f t="shared" si="31"/>
        <v>9</v>
      </c>
      <c r="AL57" s="24">
        <f t="shared" si="31"/>
        <v>10</v>
      </c>
      <c r="AM57" s="24">
        <f t="shared" si="31"/>
        <v>12</v>
      </c>
      <c r="AN57" s="102">
        <f t="shared" si="31"/>
        <v>14</v>
      </c>
      <c r="AO57" s="102">
        <f t="shared" si="31"/>
        <v>24</v>
      </c>
      <c r="AQ57" s="100" t="s">
        <v>146</v>
      </c>
      <c r="AR57" s="101">
        <v>0</v>
      </c>
      <c r="AS57" s="75">
        <v>0</v>
      </c>
    </row>
    <row r="58" spans="1:52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O58" si="32">COUNTIF(K4:K46,"S")</f>
        <v>2</v>
      </c>
      <c r="L58" s="39">
        <f t="shared" si="32"/>
        <v>3</v>
      </c>
      <c r="M58" s="39">
        <f t="shared" si="32"/>
        <v>0</v>
      </c>
      <c r="N58" s="39">
        <f t="shared" si="32"/>
        <v>0</v>
      </c>
      <c r="O58" s="39">
        <f t="shared" si="32"/>
        <v>1</v>
      </c>
      <c r="P58" s="39">
        <f t="shared" si="32"/>
        <v>2</v>
      </c>
      <c r="Q58" s="39">
        <f t="shared" si="32"/>
        <v>0</v>
      </c>
      <c r="R58" s="39">
        <f t="shared" si="32"/>
        <v>1</v>
      </c>
      <c r="S58" s="39">
        <f t="shared" si="32"/>
        <v>3</v>
      </c>
      <c r="T58" s="39">
        <f t="shared" si="32"/>
        <v>0</v>
      </c>
      <c r="U58" s="39">
        <f t="shared" si="32"/>
        <v>2</v>
      </c>
      <c r="V58" s="39">
        <f t="shared" si="32"/>
        <v>5</v>
      </c>
      <c r="W58" s="39">
        <f t="shared" si="32"/>
        <v>2</v>
      </c>
      <c r="X58" s="39">
        <f t="shared" si="32"/>
        <v>1</v>
      </c>
      <c r="Y58" s="39">
        <f t="shared" si="32"/>
        <v>2</v>
      </c>
      <c r="Z58" s="39">
        <f t="shared" si="32"/>
        <v>1</v>
      </c>
      <c r="AA58" s="39">
        <f t="shared" si="32"/>
        <v>0</v>
      </c>
      <c r="AB58" s="39">
        <f t="shared" si="32"/>
        <v>0</v>
      </c>
      <c r="AC58" s="39">
        <f t="shared" si="32"/>
        <v>2</v>
      </c>
      <c r="AD58" s="39">
        <f t="shared" si="32"/>
        <v>1</v>
      </c>
      <c r="AE58" s="39">
        <f t="shared" si="32"/>
        <v>0</v>
      </c>
      <c r="AF58" s="39">
        <f t="shared" si="32"/>
        <v>0</v>
      </c>
      <c r="AG58" s="39">
        <f t="shared" si="32"/>
        <v>0</v>
      </c>
      <c r="AH58" s="39">
        <f t="shared" si="32"/>
        <v>2</v>
      </c>
      <c r="AI58" s="39">
        <f t="shared" si="32"/>
        <v>0</v>
      </c>
      <c r="AJ58" s="39">
        <f t="shared" si="32"/>
        <v>5</v>
      </c>
      <c r="AK58" s="39">
        <f t="shared" si="32"/>
        <v>2</v>
      </c>
      <c r="AL58" s="39">
        <f t="shared" si="32"/>
        <v>2</v>
      </c>
      <c r="AM58" s="39">
        <f t="shared" si="32"/>
        <v>3</v>
      </c>
      <c r="AN58" s="83">
        <f t="shared" si="32"/>
        <v>3</v>
      </c>
      <c r="AO58" s="83">
        <f t="shared" si="32"/>
        <v>0</v>
      </c>
      <c r="AQ58" s="107" t="s">
        <v>46</v>
      </c>
      <c r="AR58" s="105">
        <f>AR49-AR50-AR52-AR53-AR54-AR55+AR56+AR57-AR51</f>
        <v>7</v>
      </c>
      <c r="AS58" s="105">
        <f>AS49-AS50-AS52-AS53-AS54-AS55+AS56+AS57-AS51</f>
        <v>2</v>
      </c>
      <c r="AT58" s="6"/>
      <c r="AU58" s="6"/>
    </row>
    <row r="59" spans="1:52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O59" si="33">COUNTIF(K4:K46,"T")</f>
        <v>0</v>
      </c>
      <c r="L59" s="39">
        <f t="shared" si="33"/>
        <v>0</v>
      </c>
      <c r="M59" s="39">
        <f t="shared" si="33"/>
        <v>0</v>
      </c>
      <c r="N59" s="39">
        <f t="shared" si="33"/>
        <v>0</v>
      </c>
      <c r="O59" s="39">
        <f t="shared" si="33"/>
        <v>0</v>
      </c>
      <c r="P59" s="39">
        <f t="shared" si="33"/>
        <v>0</v>
      </c>
      <c r="Q59" s="39">
        <f t="shared" si="33"/>
        <v>0</v>
      </c>
      <c r="R59" s="39">
        <f t="shared" si="33"/>
        <v>0</v>
      </c>
      <c r="S59" s="39">
        <f t="shared" si="33"/>
        <v>0</v>
      </c>
      <c r="T59" s="39">
        <f t="shared" si="33"/>
        <v>0</v>
      </c>
      <c r="U59" s="39">
        <f t="shared" si="33"/>
        <v>0</v>
      </c>
      <c r="V59" s="39">
        <f t="shared" si="33"/>
        <v>0</v>
      </c>
      <c r="W59" s="39">
        <f t="shared" si="33"/>
        <v>0</v>
      </c>
      <c r="X59" s="39">
        <f t="shared" si="33"/>
        <v>0</v>
      </c>
      <c r="Y59" s="39">
        <f t="shared" si="33"/>
        <v>0</v>
      </c>
      <c r="Z59" s="39">
        <f t="shared" si="33"/>
        <v>0</v>
      </c>
      <c r="AA59" s="39">
        <f t="shared" si="33"/>
        <v>0</v>
      </c>
      <c r="AB59" s="39">
        <f t="shared" si="33"/>
        <v>0</v>
      </c>
      <c r="AC59" s="39">
        <f t="shared" si="33"/>
        <v>0</v>
      </c>
      <c r="AD59" s="39">
        <f t="shared" si="33"/>
        <v>0</v>
      </c>
      <c r="AE59" s="39">
        <f t="shared" si="33"/>
        <v>0</v>
      </c>
      <c r="AF59" s="39">
        <f t="shared" si="33"/>
        <v>0</v>
      </c>
      <c r="AG59" s="39">
        <f t="shared" si="33"/>
        <v>19</v>
      </c>
      <c r="AH59" s="39">
        <f t="shared" si="33"/>
        <v>0</v>
      </c>
      <c r="AI59" s="39">
        <f t="shared" si="33"/>
        <v>0</v>
      </c>
      <c r="AJ59" s="39">
        <f t="shared" si="33"/>
        <v>0</v>
      </c>
      <c r="AK59" s="39">
        <f t="shared" si="33"/>
        <v>0</v>
      </c>
      <c r="AL59" s="39">
        <f t="shared" si="33"/>
        <v>0</v>
      </c>
      <c r="AM59" s="39">
        <f t="shared" si="33"/>
        <v>0</v>
      </c>
      <c r="AN59" s="83">
        <f t="shared" si="33"/>
        <v>0</v>
      </c>
      <c r="AO59" s="83">
        <f t="shared" si="33"/>
        <v>0</v>
      </c>
      <c r="AP59" s="77"/>
      <c r="AR59" s="50"/>
      <c r="AS59" s="111"/>
      <c r="AV59" s="77"/>
      <c r="AX59" s="77"/>
      <c r="AY59" s="77"/>
      <c r="AZ59" s="77"/>
    </row>
    <row r="60" spans="1:52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O60" si="34">SUM(L47:L59)</f>
        <v>43</v>
      </c>
      <c r="M60" s="109">
        <f t="shared" si="34"/>
        <v>43</v>
      </c>
      <c r="N60" s="109">
        <f t="shared" si="34"/>
        <v>43</v>
      </c>
      <c r="O60" s="109">
        <f t="shared" si="34"/>
        <v>43</v>
      </c>
      <c r="P60" s="109">
        <f t="shared" si="34"/>
        <v>43</v>
      </c>
      <c r="Q60" s="109">
        <f t="shared" si="34"/>
        <v>43</v>
      </c>
      <c r="R60" s="109">
        <f t="shared" si="34"/>
        <v>43</v>
      </c>
      <c r="S60" s="109">
        <f t="shared" si="34"/>
        <v>43</v>
      </c>
      <c r="T60" s="109">
        <f t="shared" si="34"/>
        <v>43</v>
      </c>
      <c r="U60" s="109">
        <f t="shared" si="34"/>
        <v>43</v>
      </c>
      <c r="V60" s="109">
        <f t="shared" si="34"/>
        <v>43</v>
      </c>
      <c r="W60" s="109">
        <f t="shared" si="34"/>
        <v>43</v>
      </c>
      <c r="X60" s="109">
        <f t="shared" si="34"/>
        <v>43</v>
      </c>
      <c r="Y60" s="109">
        <f t="shared" si="34"/>
        <v>43</v>
      </c>
      <c r="Z60" s="109">
        <f t="shared" si="34"/>
        <v>43</v>
      </c>
      <c r="AA60" s="109">
        <f t="shared" si="34"/>
        <v>43</v>
      </c>
      <c r="AB60" s="109">
        <f t="shared" si="34"/>
        <v>43</v>
      </c>
      <c r="AC60" s="109">
        <f t="shared" si="34"/>
        <v>43</v>
      </c>
      <c r="AD60" s="109">
        <f t="shared" si="34"/>
        <v>43</v>
      </c>
      <c r="AE60" s="109">
        <f t="shared" si="34"/>
        <v>43</v>
      </c>
      <c r="AF60" s="109">
        <f t="shared" si="34"/>
        <v>43</v>
      </c>
      <c r="AG60" s="109">
        <f t="shared" si="34"/>
        <v>43</v>
      </c>
      <c r="AH60" s="109">
        <f t="shared" si="34"/>
        <v>43</v>
      </c>
      <c r="AI60" s="109">
        <f t="shared" si="34"/>
        <v>43</v>
      </c>
      <c r="AJ60" s="109">
        <f t="shared" si="34"/>
        <v>43</v>
      </c>
      <c r="AK60" s="109">
        <f t="shared" si="34"/>
        <v>43</v>
      </c>
      <c r="AL60" s="109">
        <f t="shared" si="34"/>
        <v>43</v>
      </c>
      <c r="AM60" s="109">
        <f t="shared" si="34"/>
        <v>43</v>
      </c>
      <c r="AN60" s="110">
        <f t="shared" si="34"/>
        <v>43</v>
      </c>
      <c r="AO60" s="110">
        <f t="shared" si="34"/>
        <v>43</v>
      </c>
      <c r="AQ60" s="7"/>
      <c r="AR60" s="6"/>
      <c r="AS60" s="111"/>
      <c r="AV60" s="37"/>
    </row>
    <row r="61" spans="1:52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1</v>
      </c>
      <c r="L61" s="113">
        <f>43-L56-L57-L58-25</f>
        <v>1</v>
      </c>
      <c r="M61" s="113">
        <f>43-M56-M57-M58-19</f>
        <v>0</v>
      </c>
      <c r="N61" s="113">
        <f>43-N56-N57-N58-19</f>
        <v>0</v>
      </c>
      <c r="O61" s="113">
        <f>43-O56-O57-O58-25</f>
        <v>2</v>
      </c>
      <c r="P61" s="113">
        <f>43-P56-P57-P58-25</f>
        <v>1</v>
      </c>
      <c r="Q61" s="113">
        <f>43-Q56-Q57-Q58-25</f>
        <v>2</v>
      </c>
      <c r="R61" s="113">
        <f>43-R56-R57-R58-25</f>
        <v>2</v>
      </c>
      <c r="S61" s="113">
        <f>43-S56-S57-S58-19</f>
        <v>0</v>
      </c>
      <c r="T61" s="113">
        <f>43-T56-T57-T58-19</f>
        <v>0</v>
      </c>
      <c r="U61" s="113">
        <f>43-U56-U57-U58-19</f>
        <v>0</v>
      </c>
      <c r="V61" s="113">
        <f>43-V56-V57-V58-25</f>
        <v>1</v>
      </c>
      <c r="W61" s="113">
        <f>43-W56-W57-W58-25</f>
        <v>1</v>
      </c>
      <c r="X61" s="113">
        <f>43-X56-X57-X58-25</f>
        <v>1</v>
      </c>
      <c r="Y61" s="113">
        <f>43-Y56-Y57-Y58-25</f>
        <v>1</v>
      </c>
      <c r="Z61" s="113">
        <f>43-Z56-Z57-Z58-25</f>
        <v>1</v>
      </c>
      <c r="AA61" s="113">
        <f>43-AA56-AA57-AA58-19</f>
        <v>0</v>
      </c>
      <c r="AB61" s="113">
        <f>43-AB56-AB57-AB58-19</f>
        <v>0</v>
      </c>
      <c r="AC61" s="113">
        <f>43-AC56-AC57-AC58-25</f>
        <v>1</v>
      </c>
      <c r="AD61" s="113">
        <f>43-AD56-AD57-AD58-25</f>
        <v>1</v>
      </c>
      <c r="AE61" s="113">
        <f>43-AE56-AE57-AE58-25</f>
        <v>1</v>
      </c>
      <c r="AF61" s="113">
        <f>43-AF56-AF57-AF58-25</f>
        <v>1</v>
      </c>
      <c r="AG61" s="113">
        <f>43-AG56-AG57-AG58-25</f>
        <v>18</v>
      </c>
      <c r="AH61" s="113">
        <f>43-AH56-AH57-AH58-19</f>
        <v>0</v>
      </c>
      <c r="AI61" s="113">
        <f>43-AI56-AI57-AI58-19</f>
        <v>0</v>
      </c>
      <c r="AJ61" s="113">
        <f>43-AJ56-AJ57-AJ58-19</f>
        <v>0</v>
      </c>
      <c r="AK61" s="113">
        <f>43-AK56-AK57-AK58-25</f>
        <v>1</v>
      </c>
      <c r="AL61" s="113">
        <f>43-AL56-AL57-AL58-25</f>
        <v>1</v>
      </c>
      <c r="AM61" s="113">
        <f>43-AM56-AM57-AM58-25</f>
        <v>1</v>
      </c>
      <c r="AN61" s="113">
        <f>43-AN56-AN57-AN58-25</f>
        <v>1</v>
      </c>
      <c r="AO61" s="113">
        <f>43-AO56-AO57-AO58-19</f>
        <v>0</v>
      </c>
    </row>
    <row r="62" spans="1:52" ht="24.6" customHeight="1">
      <c r="A62" s="80"/>
      <c r="B62" s="80"/>
      <c r="C62" s="80"/>
      <c r="D62" s="80"/>
      <c r="I62" s="80"/>
      <c r="J62" s="112" t="s">
        <v>178</v>
      </c>
      <c r="K62" s="113">
        <v>1</v>
      </c>
      <c r="L62" s="113">
        <v>1</v>
      </c>
      <c r="M62" s="113"/>
      <c r="N62" s="113"/>
      <c r="O62" s="113">
        <v>1</v>
      </c>
      <c r="P62" s="113">
        <v>1</v>
      </c>
      <c r="Q62" s="113">
        <v>2</v>
      </c>
      <c r="R62" s="113">
        <v>2</v>
      </c>
      <c r="S62" s="113"/>
      <c r="T62" s="113"/>
      <c r="U62" s="113"/>
      <c r="V62" s="113">
        <v>1</v>
      </c>
      <c r="W62" s="113">
        <v>1</v>
      </c>
      <c r="X62" s="113">
        <v>1</v>
      </c>
      <c r="Y62" s="113">
        <v>1</v>
      </c>
      <c r="Z62" s="113">
        <v>1</v>
      </c>
      <c r="AA62" s="113"/>
      <c r="AB62" s="113"/>
      <c r="AC62" s="113">
        <v>1</v>
      </c>
      <c r="AD62" s="113">
        <v>1</v>
      </c>
      <c r="AE62" s="113">
        <v>1</v>
      </c>
      <c r="AF62" s="113">
        <v>1</v>
      </c>
      <c r="AG62" s="113">
        <v>1</v>
      </c>
      <c r="AH62" s="113"/>
      <c r="AI62" s="113"/>
      <c r="AJ62" s="113"/>
      <c r="AK62" s="113">
        <v>1</v>
      </c>
      <c r="AL62" s="113"/>
      <c r="AM62" s="113"/>
      <c r="AN62" s="113"/>
      <c r="AO62" s="113"/>
      <c r="AP62" s="7"/>
    </row>
    <row r="63" spans="1:52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52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1" cm="1">
        <f t="array" ref="M64">SUMPRODUCT(COUNTIF(M4:M17,{"1";"M1"}))</f>
        <v>2</v>
      </c>
      <c r="N64" s="231" cm="1">
        <f t="array" ref="N64">SUMPRODUCT(COUNTIF(N4:N17,{"1";"M1"}))</f>
        <v>3</v>
      </c>
      <c r="O64" s="230" cm="1">
        <f t="array" ref="O64">SUMPRODUCT(COUNTIF(O4:O17,{"1";"M1"}))</f>
        <v>3</v>
      </c>
      <c r="P64" s="230" cm="1">
        <f t="array" ref="P64">SUMPRODUCT(COUNTIF(P4:P17,{"1";"M1"}))</f>
        <v>2</v>
      </c>
      <c r="Q64" s="230" cm="1">
        <f t="array" ref="Q64">SUMPRODUCT(COUNTIF(Q4:Q17,{"1";"M1"}))</f>
        <v>1</v>
      </c>
      <c r="R64" s="230" cm="1">
        <f t="array" ref="R64">SUMPRODUCT(COUNTIF(R4:R17,{"1";"M1"}))</f>
        <v>1</v>
      </c>
      <c r="S64" s="231" cm="1">
        <f t="array" ref="S64">SUMPRODUCT(COUNTIF(S4:S17,{"1";"M1"}))</f>
        <v>1</v>
      </c>
      <c r="T64" s="231" cm="1">
        <f t="array" ref="T64">SUMPRODUCT(COUNTIF(T4:T17,{"1";"M1"}))</f>
        <v>2</v>
      </c>
      <c r="U64" s="231" cm="1">
        <f t="array" ref="U64">SUMPRODUCT(COUNTIF(U4:U17,{"1";"M1"}))</f>
        <v>2</v>
      </c>
      <c r="V64" s="230" cm="1">
        <f t="array" ref="V64">SUMPRODUCT(COUNTIF(V4:V17,{"1";"M1"}))</f>
        <v>1</v>
      </c>
      <c r="W64" s="230" cm="1">
        <f t="array" ref="W64">SUMPRODUCT(COUNTIF(W4:W17,{"1";"M1"}))</f>
        <v>1</v>
      </c>
      <c r="X64" s="230" cm="1">
        <f t="array" ref="X64">SUMPRODUCT(COUNTIF(X4:X17,{"1";"M1"}))</f>
        <v>2</v>
      </c>
      <c r="Y64" s="230" cm="1">
        <f t="array" ref="Y64">SUMPRODUCT(COUNTIF(Y4:Y17,{"1";"M1"}))</f>
        <v>1</v>
      </c>
      <c r="Z64" s="230" cm="1">
        <f t="array" ref="Z64">SUMPRODUCT(COUNTIF(Z4:Z17,{"1";"M1"}))</f>
        <v>1</v>
      </c>
      <c r="AA64" s="231" cm="1">
        <f t="array" ref="AA64">SUMPRODUCT(COUNTIF(AA4:AA17,{"1";"M1"}))</f>
        <v>1</v>
      </c>
      <c r="AB64" s="231" cm="1">
        <f t="array" ref="AB64">SUMPRODUCT(COUNTIF(AB4:AB17,{"1";"M1"}))</f>
        <v>1</v>
      </c>
      <c r="AC64" s="230" cm="1">
        <f t="array" ref="AC64">SUMPRODUCT(COUNTIF(AC4:AC17,{"1";"M1"}))</f>
        <v>2</v>
      </c>
      <c r="AD64" s="230" cm="1">
        <f t="array" ref="AD64">SUMPRODUCT(COUNTIF(AD4:AD17,{"1";"M1"}))</f>
        <v>1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1</v>
      </c>
      <c r="AH64" s="231" cm="1">
        <f t="array" ref="AH64">SUMPRODUCT(COUNTIF(AH4:AH17,{"1";"M1"}))</f>
        <v>0</v>
      </c>
      <c r="AI64" s="231" cm="1">
        <f t="array" ref="AI64">SUMPRODUCT(COUNTIF(AI4:AI17,{"1";"M1"}))</f>
        <v>0</v>
      </c>
      <c r="AJ64" s="231" cm="1">
        <f t="array" ref="AJ64">SUMPRODUCT(COUNTIF(AJ4:AJ17,{"1";"M1"}))</f>
        <v>0</v>
      </c>
      <c r="AK64" s="230" cm="1">
        <f t="array" ref="AK64">SUMPRODUCT(COUNTIF(AK4:AK17,{"1";"M1"}))</f>
        <v>1</v>
      </c>
      <c r="AL64" s="230" cm="1">
        <f t="array" ref="AL64">SUMPRODUCT(COUNTIF(AL4:AL17,{"1";"M1"}))</f>
        <v>1</v>
      </c>
      <c r="AM64" s="230" cm="1">
        <f t="array" ref="AM64">SUMPRODUCT(COUNTIF(AM4:AM17,{"1";"M1"}))</f>
        <v>2</v>
      </c>
      <c r="AN64" s="230" cm="1">
        <f t="array" ref="AN64">SUMPRODUCT(COUNTIF(AN4:AN17,{"1";"M1"}))</f>
        <v>3</v>
      </c>
      <c r="AO64" s="230" cm="1">
        <f t="array" ref="AO64">SUMPRODUCT(COUNTIF(AO4:AO17,{"1";"M1"}))</f>
        <v>2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7" s="77" customFormat="1" ht="13.8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7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  <c r="HS117" s="6"/>
    </row>
  </sheetData>
  <autoFilter ref="AT3:AT59" xr:uid="{00000000-0009-0000-0000-000009000000}"/>
  <mergeCells count="11">
    <mergeCell ref="A2:A3"/>
    <mergeCell ref="B2:B3"/>
    <mergeCell ref="C2:C3"/>
    <mergeCell ref="D2:D3"/>
    <mergeCell ref="E2:E3"/>
    <mergeCell ref="AW2:AY2"/>
    <mergeCell ref="K1:AH1"/>
    <mergeCell ref="AI1:AK1"/>
    <mergeCell ref="AL1:AN1"/>
    <mergeCell ref="I2:I3"/>
    <mergeCell ref="J2:J3"/>
  </mergeCells>
  <conditionalFormatting sqref="K9">
    <cfRule type="expression" dxfId="84" priority="29">
      <formula>OR(K9="T早", K9="早", K9="M1", K9=1, K9="日")</formula>
    </cfRule>
  </conditionalFormatting>
  <conditionalFormatting sqref="K10:Q10 K11:AO44 K4:AO9">
    <cfRule type="expression" dxfId="83" priority="32">
      <formula>OR(K4="T早", K4="早", K4="M1", K4=1, K4="日")</formula>
    </cfRule>
  </conditionalFormatting>
  <conditionalFormatting sqref="K45:Q45 K46:AO46">
    <cfRule type="expression" dxfId="82" priority="58">
      <formula>OR(K45="T早", K45="早", K45="M1", K45=1, K45="日")</formula>
    </cfRule>
  </conditionalFormatting>
  <conditionalFormatting sqref="K4:AO9 K10:P10 R10:V10 X10 Z10:AO10 K11:AO17">
    <cfRule type="expression" dxfId="81" priority="4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80" priority="43">
      <formula>OR(K4="晚", K4=3, K4="大夜")</formula>
    </cfRule>
  </conditionalFormatting>
  <conditionalFormatting sqref="K18:AO44 X44:X45 K45:P45 R45:V45 Z45:AO45 K46:AO46">
    <cfRule type="expression" dxfId="79" priority="79">
      <formula>OR(     SUM(COUNTIF(K18:Q18, 上班代號)) &gt; 6,     AND(COLUMN()&gt;11, OR(         AND(SUM(COUNTIF(OFFSET(K18,0,-1), 中班組)), SUM(COUNTIF(K18, 早班組), COUNTIF(K18, 晚班組))),         AND(SUM(COUNTIF(OFFSET(K18,0,-1), 早班組)), SUM(COUNTIF(K18, 晚班組)))     )) )</formula>
    </cfRule>
    <cfRule type="expression" dxfId="78" priority="78">
      <formula>OR(K18="晚", K18=3, K18="大夜")</formula>
    </cfRule>
  </conditionalFormatting>
  <conditionalFormatting sqref="K47:AO47">
    <cfRule type="cellIs" dxfId="77" priority="364" operator="greaterThan">
      <formula>5</formula>
    </cfRule>
  </conditionalFormatting>
  <conditionalFormatting sqref="K47:AO55">
    <cfRule type="cellIs" dxfId="76" priority="367" operator="equal">
      <formula>3</formula>
    </cfRule>
    <cfRule type="cellIs" dxfId="75" priority="366" operator="equal">
      <formula>4</formula>
    </cfRule>
    <cfRule type="cellIs" dxfId="74" priority="369" operator="equal">
      <formula>1</formula>
    </cfRule>
    <cfRule type="cellIs" dxfId="73" priority="368" operator="equal">
      <formula>2</formula>
    </cfRule>
    <cfRule type="cellIs" dxfId="72" priority="365" operator="equal">
      <formula>5</formula>
    </cfRule>
  </conditionalFormatting>
  <conditionalFormatting sqref="K53:AO55">
    <cfRule type="cellIs" dxfId="71" priority="370" operator="equal">
      <formula>"T中"</formula>
    </cfRule>
  </conditionalFormatting>
  <conditionalFormatting sqref="L45">
    <cfRule type="expression" dxfId="70" priority="22">
      <formula>OR(L45="T早", L45="早", L45="M1", L45=1, L45="日")</formula>
    </cfRule>
  </conditionalFormatting>
  <conditionalFormatting sqref="P31">
    <cfRule type="expression" dxfId="69" priority="8">
      <formula>OR(P31="晚", P31=3, P31="大夜")</formula>
    </cfRule>
    <cfRule type="expression" dxfId="68" priority="9">
      <formula>OR(     SUM(COUNTIF(P31:V31, 上班代號)) &gt; 6,     AND(COLUMN()&gt;11, OR(         AND(SUM(COUNTIF(OFFSET(P31,0,-1), 中班組)), SUM(COUNTIF(P31, 早班組), COUNTIF(P31, 晚班組))),         AND(SUM(COUNTIF(OFFSET(P31,0,-1), 早班組)), SUM(COUNTIF(P31, 晚班組)))     )) )</formula>
    </cfRule>
  </conditionalFormatting>
  <conditionalFormatting sqref="P10:Q10">
    <cfRule type="expression" dxfId="67" priority="33">
      <formula>OR(     SUM(COUNTIF(P10:V10, 上班代號)) &gt; 6,     AND(COLUMN()&gt;11, OR(         AND(SUM(COUNTIF(OFFSET(P10,0,-1), 中班組)), SUM(COUNTIF(P10, 早班組), COUNTIF(P10, 晚班組))),         AND(SUM(COUNTIF(OFFSET(P10,0,-1), 早班組)), SUM(COUNTIF(P10, 晚班組)))     )) )</formula>
    </cfRule>
    <cfRule type="expression" dxfId="66" priority="31">
      <formula>OR(P10="T中", P10="中", P10=2, P10="小夜")</formula>
    </cfRule>
    <cfRule type="expression" dxfId="65" priority="30">
      <formula>OR(P10="晚", P10=3, P10="大夜")</formula>
    </cfRule>
  </conditionalFormatting>
  <conditionalFormatting sqref="P45:Q45">
    <cfRule type="expression" dxfId="64" priority="52">
      <formula>OR(P45="晚", P45=3, P45="大夜")</formula>
    </cfRule>
    <cfRule type="expression" dxfId="63" priority="53">
      <formula>OR(P45="T中", P45="中", P45=2, P45="小夜")</formula>
    </cfRule>
    <cfRule type="expression" dxfId="62" priority="55">
      <formula>OR(     SUM(COUNTIF(P45:V45, 上班代號)) &gt; 6,     AND(COLUMN()&gt;11, OR(         AND(SUM(COUNTIF(OFFSET(P45,0,-1), 中班組)), SUM(COUNTIF(P45, 早班組), COUNTIF(P45, 晚班組))),         AND(SUM(COUNTIF(OFFSET(P45,0,-1), 早班組)), SUM(COUNTIF(P45, 晚班組)))     )) )</formula>
    </cfRule>
  </conditionalFormatting>
  <conditionalFormatting sqref="R10:W10">
    <cfRule type="expression" dxfId="61" priority="36">
      <formula>OR(R10="T早", R10="早", R10="M1", R10=1, R10="日")</formula>
    </cfRule>
  </conditionalFormatting>
  <conditionalFormatting sqref="R45:W45">
    <cfRule type="expression" dxfId="60" priority="66">
      <formula>OR(R45="T早", R45="早", R45="M1", R45=1, R45="日")</formula>
    </cfRule>
  </conditionalFormatting>
  <conditionalFormatting sqref="W10">
    <cfRule type="expression" dxfId="59" priority="34">
      <formula>OR(W10="晚", W10=3, W10="大夜")</formula>
    </cfRule>
    <cfRule type="expression" dxfId="58" priority="35">
      <formula>OR(W10="T中", W10="中", W10=2, W10="小夜")</formula>
    </cfRule>
    <cfRule type="expression" dxfId="57" priority="37">
      <formula>OR(     SUM(COUNTIF(W10:AC10, 上班代號)) &gt; 6,     AND(COLUMN()&gt;11, OR(         AND(SUM(COUNTIF(OFFSET(W10,0,-1), 中班組)), SUM(COUNTIF(W10, 早班組), COUNTIF(W10, 晚班組))),         AND(SUM(COUNTIF(OFFSET(W10,0,-1), 早班組)), SUM(COUNTIF(W10, 晚班組)))     )) )</formula>
    </cfRule>
  </conditionalFormatting>
  <conditionalFormatting sqref="W45">
    <cfRule type="expression" dxfId="56" priority="67">
      <formula>OR(     SUM(COUNTIF(W45:AC45, 上班代號)) &gt; 6,     AND(COLUMN()&gt;11, OR(         AND(SUM(COUNTIF(OFFSET(W45,0,-1), 中班組)), SUM(COUNTIF(W45, 早班組), COUNTIF(W45, 晚班組))),         AND(SUM(COUNTIF(OFFSET(W45,0,-1), 早班組)), SUM(COUNTIF(W45, 晚班組)))     )) )</formula>
    </cfRule>
    <cfRule type="expression" dxfId="55" priority="64">
      <formula>OR(W45="晚", W45=3, W45="大夜")</formula>
    </cfRule>
    <cfRule type="expression" dxfId="54" priority="65">
      <formula>OR(W45="T中", W45="中", W45=2, W45="小夜")</formula>
    </cfRule>
  </conditionalFormatting>
  <conditionalFormatting sqref="X10 Z10:AO10 R10:V10 K10:P10 K4:AO9 K11:AO44">
    <cfRule type="expression" dxfId="53" priority="42">
      <formula>OR(K4="T中", K4="中", K4=2, K4="小夜")</formula>
    </cfRule>
  </conditionalFormatting>
  <conditionalFormatting sqref="X44:X45 Z45:AO45 R45:V45 K45:P45 K46:AO46">
    <cfRule type="expression" dxfId="52" priority="77">
      <formula>OR(K44="T中", K44="中", K44=2, K44="小夜")</formula>
    </cfRule>
  </conditionalFormatting>
  <conditionalFormatting sqref="X45">
    <cfRule type="expression" dxfId="51" priority="47">
      <formula>OR(X45="T早", X45="早", X45="M1", X45=1, X45="日")</formula>
    </cfRule>
  </conditionalFormatting>
  <conditionalFormatting sqref="X10:AO10">
    <cfRule type="expression" dxfId="50" priority="40">
      <formula>OR(X10="T早", X10="早", X10="M1", X10=1, X10="日")</formula>
    </cfRule>
  </conditionalFormatting>
  <conditionalFormatting sqref="X45:AO45">
    <cfRule type="expression" dxfId="49" priority="70">
      <formula>OR(X45="T早", X45="早", X45="M1", X45=1, X45="日")</formula>
    </cfRule>
  </conditionalFormatting>
  <conditionalFormatting sqref="Y10">
    <cfRule type="expression" dxfId="48" priority="38">
      <formula>OR(Y10="晚", Y10=3, Y10="大夜")</formula>
    </cfRule>
    <cfRule type="expression" dxfId="47" priority="39">
      <formula>OR(Y10="T中", Y10="中", Y10=2, Y10="小夜")</formula>
    </cfRule>
    <cfRule type="expression" dxfId="46" priority="41">
      <formula>OR(     SUM(COUNTIF(Y10:AE10, 上班代號)) &gt; 6,     AND(COLUMN()&gt;11, OR(         AND(SUM(COUNTIF(OFFSET(Y10,0,-1), 中班組)), SUM(COUNTIF(Y10, 早班組), COUNTIF(Y10, 晚班組))),         AND(SUM(COUNTIF(OFFSET(Y10,0,-1), 早班組)), SUM(COUNTIF(Y10, 晚班組)))     )) )</formula>
    </cfRule>
  </conditionalFormatting>
  <conditionalFormatting sqref="Y45">
    <cfRule type="expression" dxfId="45" priority="71">
      <formula>OR(     SUM(COUNTIF(Y45:AE45, 上班代號)) &gt; 6,     AND(COLUMN()&gt;11, OR(         AND(SUM(COUNTIF(OFFSET(Y45,0,-1), 中班組)), SUM(COUNTIF(Y45, 早班組), COUNTIF(Y45, 晚班組))),         AND(SUM(COUNTIF(OFFSET(Y45,0,-1), 早班組)), SUM(COUNTIF(Y45, 晚班組)))     )) )</formula>
    </cfRule>
    <cfRule type="expression" dxfId="44" priority="68">
      <formula>OR(Y45="晚", Y45=3, Y45="大夜")</formula>
    </cfRule>
    <cfRule type="expression" dxfId="43" priority="69">
      <formula>OR(Y45="T中", Y45="中", Y45=2, Y45="小夜")</formula>
    </cfRule>
  </conditionalFormatting>
  <conditionalFormatting sqref="AA10">
    <cfRule type="expression" dxfId="42" priority="21">
      <formula>OR(AA10="T早", AA10="早", AA10="M1", AA10=1, AA10="日")</formula>
    </cfRule>
  </conditionalFormatting>
  <conditionalFormatting sqref="AA20">
    <cfRule type="expression" dxfId="41" priority="18">
      <formula>OR(AA20="晚", AA20=3, AA20="大夜")</formula>
    </cfRule>
    <cfRule type="expression" dxfId="40" priority="19">
      <formula>OR(     SUM(COUNTIF(AA20:AG20, 上班代號)) &gt; 6,     AND(COLUMN()&gt;11, OR(         AND(SUM(COUNTIF(OFFSET(AA20,0,-1), 中班組)), SUM(COUNTIF(AA20, 早班組), COUNTIF(AA20, 晚班組))),         AND(SUM(COUNTIF(OFFSET(AA20,0,-1), 早班組)), SUM(COUNTIF(AA20, 晚班組)))     )) )</formula>
    </cfRule>
  </conditionalFormatting>
  <conditionalFormatting sqref="AE10:AF10">
    <cfRule type="expression" dxfId="39" priority="24">
      <formula>OR(AE10="T早", AE10="早", AE10="M1", AE10=1, AE10="日")</formula>
    </cfRule>
  </conditionalFormatting>
  <conditionalFormatting sqref="AF8:AG8">
    <cfRule type="expression" dxfId="38" priority="1">
      <formula>OR(AF8="T早", AF8="早", AF8="M1", AF8=1, AF8="日")</formula>
    </cfRule>
  </conditionalFormatting>
  <conditionalFormatting sqref="AG10:AG11">
    <cfRule type="expression" dxfId="37" priority="26">
      <formula>OR(AG10="T早", AG10="早", AG10="M1", AG10=1, AG10="日")</formula>
    </cfRule>
  </conditionalFormatting>
  <conditionalFormatting sqref="AH10">
    <cfRule type="expression" dxfId="36" priority="20">
      <formula>OR(AH10="T早", AH10="早", AH10="M1", AH10=1, AH10="日")</formula>
    </cfRule>
  </conditionalFormatting>
  <conditionalFormatting sqref="AM6:AN6">
    <cfRule type="expression" dxfId="35" priority="5">
      <formula>OR(     SUM(COUNTIF(AM6:AS6, 上班代號)) &gt; 6,     AND(COLUMN()&gt;11, OR(         AND(SUM(COUNTIF(OFFSET(AM6,0,-1), 中班組)), SUM(COUNTIF(AM6, 早班組), COUNTIF(AM6, 晚班組))),         AND(SUM(COUNTIF(OFFSET(AM6,0,-1), 早班組)), SUM(COUNTIF(AM6, 晚班組)))     )) )</formula>
    </cfRule>
    <cfRule type="expression" dxfId="34" priority="4">
      <formula>OR(AM6="晚", AM6=3, AM6="大夜")</formula>
    </cfRule>
  </conditionalFormatting>
  <conditionalFormatting sqref="AN8">
    <cfRule type="expression" dxfId="33" priority="17">
      <formula>OR(     SUM(COUNTIF(AN8:AT8, 上班代號)) &gt; 6,     AND(COLUMN()&gt;11, OR(         AND(SUM(COUNTIF(OFFSET(AN8,0,-1), 中班組)), SUM(COUNTIF(AN8, 早班組), COUNTIF(AN8, 晚班組))),         AND(SUM(COUNTIF(OFFSET(AN8,0,-1), 早班組)), SUM(COUNTIF(AN8, 晚班組)))     )) )</formula>
    </cfRule>
    <cfRule type="expression" dxfId="32" priority="16">
      <formula>OR(AN8="晚", AN8=3, AN8="大夜")</formula>
    </cfRule>
  </conditionalFormatting>
  <conditionalFormatting sqref="AN30:AN31">
    <cfRule type="expression" dxfId="31" priority="12">
      <formula>OR(AN30="晚", AN30=3, AN30="大夜")</formula>
    </cfRule>
    <cfRule type="expression" dxfId="30" priority="13">
      <formula>OR(     SUM(COUNTIF(AN30:AT30, 上班代號)) &gt; 6,     AND(COLUMN()&gt;11, OR(         AND(SUM(COUNTIF(OFFSET(AN30,0,-1), 中班組)), SUM(COUNTIF(AN30, 早班組), COUNTIF(AN30, 晚班組))),         AND(SUM(COUNTIF(OFFSET(AN30,0,-1), 早班組)), SUM(COUNTIF(AN30, 晚班組)))     )) )</formula>
    </cfRule>
  </conditionalFormatting>
  <conditionalFormatting sqref="AN42">
    <cfRule type="expression" dxfId="29" priority="11">
      <formula>OR(     SUM(COUNTIF(AN42:AT42, 上班代號)) &gt; 6,     AND(COLUMN()&gt;11, OR(         AND(SUM(COUNTIF(OFFSET(AN42,0,-1), 中班組)), SUM(COUNTIF(AN42, 早班組), COUNTIF(AN42, 晚班組))),         AND(SUM(COUNTIF(OFFSET(AN42,0,-1), 早班組)), SUM(COUNTIF(AN42, 晚班組)))     )) )</formula>
    </cfRule>
    <cfRule type="expression" dxfId="28" priority="10">
      <formula>OR(AN42="晚", AN42=3, AN42="大夜")</formula>
    </cfRule>
  </conditionalFormatting>
  <conditionalFormatting sqref="AP23">
    <cfRule type="cellIs" dxfId="27" priority="387" operator="equal">
      <formula>"晚"</formula>
    </cfRule>
    <cfRule type="cellIs" dxfId="26" priority="386" operator="equal">
      <formula>"大夜"</formula>
    </cfRule>
    <cfRule type="cellIs" dxfId="25" priority="388" operator="equal">
      <formula>3</formula>
    </cfRule>
    <cfRule type="cellIs" dxfId="24" priority="398" operator="equal">
      <formula>1</formula>
    </cfRule>
    <cfRule type="cellIs" dxfId="23" priority="389" operator="equal">
      <formula>"小夜"</formula>
    </cfRule>
    <cfRule type="cellIs" dxfId="22" priority="390" operator="equal">
      <formula>"T中"</formula>
    </cfRule>
    <cfRule type="cellIs" dxfId="21" priority="391" operator="equal">
      <formula>"中"</formula>
    </cfRule>
    <cfRule type="cellIs" dxfId="20" priority="392" operator="equal">
      <formula>"M2"</formula>
    </cfRule>
    <cfRule type="cellIs" dxfId="19" priority="393" operator="equal">
      <formula>2</formula>
    </cfRule>
    <cfRule type="cellIs" dxfId="18" priority="394" operator="equal">
      <formula>"日"</formula>
    </cfRule>
    <cfRule type="cellIs" dxfId="17" priority="395" operator="equal">
      <formula>"T早"</formula>
    </cfRule>
    <cfRule type="cellIs" dxfId="16" priority="396" operator="equal">
      <formula>"早"</formula>
    </cfRule>
    <cfRule type="cellIs" dxfId="15" priority="397" operator="equal">
      <formula>"M1"</formula>
    </cfRule>
  </conditionalFormatting>
  <conditionalFormatting sqref="AP30:AP34">
    <cfRule type="cellIs" dxfId="14" priority="382" operator="equal">
      <formula>"M1"</formula>
    </cfRule>
    <cfRule type="cellIs" dxfId="13" priority="383" operator="equal">
      <formula>1</formula>
    </cfRule>
    <cfRule type="cellIs" dxfId="12" priority="371" operator="equal">
      <formula>"大夜"</formula>
    </cfRule>
    <cfRule type="cellIs" dxfId="11" priority="372" operator="equal">
      <formula>"晚"</formula>
    </cfRule>
    <cfRule type="cellIs" dxfId="10" priority="373" operator="equal">
      <formula>3</formula>
    </cfRule>
    <cfRule type="cellIs" dxfId="9" priority="374" operator="equal">
      <formula>"小夜"</formula>
    </cfRule>
    <cfRule type="cellIs" dxfId="8" priority="375" operator="equal">
      <formula>"T中"</formula>
    </cfRule>
    <cfRule type="cellIs" dxfId="7" priority="376" operator="equal">
      <formula>"中"</formula>
    </cfRule>
    <cfRule type="cellIs" dxfId="6" priority="377" operator="equal">
      <formula>"M2"</formula>
    </cfRule>
    <cfRule type="cellIs" dxfId="5" priority="379" operator="equal">
      <formula>"日"</formula>
    </cfRule>
    <cfRule type="cellIs" dxfId="4" priority="380" operator="equal">
      <formula>"T早"</formula>
    </cfRule>
    <cfRule type="cellIs" dxfId="3" priority="381" operator="equal">
      <formula>"早"</formula>
    </cfRule>
    <cfRule type="cellIs" dxfId="2" priority="378" operator="equal">
      <formula>2</formula>
    </cfRule>
  </conditionalFormatting>
  <conditionalFormatting sqref="AS4:AS46">
    <cfRule type="cellIs" dxfId="1" priority="384" operator="equal">
      <formula>-2</formula>
    </cfRule>
    <cfRule type="cellIs" dxfId="0" priority="385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2026-10-22T12:17:03Z</dcterms:modified>
</cp:coreProperties>
</file>