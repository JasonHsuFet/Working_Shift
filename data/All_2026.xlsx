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fileSharing userName="Jason Hsu" algorithmName="SHA-512" hashValue="KoWwmeO39a0OIQ9mZczHUQZGHgwvlKlpllWNEPNjYyrvtG5srqLIlQ/Iz0BmO+PyLWgZgQzFVHkN62Pxs5U+qg==" saltValue="eisOqC2qZF6RIbQpvtqzjQ==" spinCount="10000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tonline-my.sharepoint.com/personal/jasonh5_fareastone_com_tw/Documents/桌面/"/>
    </mc:Choice>
  </mc:AlternateContent>
  <xr:revisionPtr revIDLastSave="0" documentId="10_ncr:10000_{D9E7771E-D9CE-4C75-BD9C-819555F679FB}" xr6:coauthVersionLast="47" xr6:coauthVersionMax="47" xr10:uidLastSave="{00000000-0000-0000-0000-000000000000}"/>
  <bookViews>
    <workbookView xWindow="-108" yWindow="-108" windowWidth="23256" windowHeight="12576" activeTab="9" xr2:uid="{F48F8574-E72E-47A9-9FAE-C071219C9035}"/>
  </bookViews>
  <sheets>
    <sheet name="01" sheetId="15" r:id="rId1"/>
    <sheet name="02" sheetId="18" r:id="rId2"/>
    <sheet name="03" sheetId="19" r:id="rId3"/>
    <sheet name="04" sheetId="20" r:id="rId4"/>
    <sheet name="05" sheetId="21" r:id="rId5"/>
    <sheet name="06" sheetId="22" r:id="rId6"/>
    <sheet name="07" sheetId="24" r:id="rId7"/>
    <sheet name="08" sheetId="25" r:id="rId8"/>
    <sheet name="09" sheetId="26" r:id="rId9"/>
    <sheet name="10" sheetId="27" r:id="rId10"/>
  </sheets>
  <definedNames>
    <definedName name="_xlnm._FilterDatabase" localSheetId="0" hidden="1">'01'!$AT$3:$AT$59</definedName>
    <definedName name="_xlnm._FilterDatabase" localSheetId="2" hidden="1">'03'!$AT$3:$AT$59</definedName>
    <definedName name="_xlnm._FilterDatabase" localSheetId="3" hidden="1">'04'!$AS$3:$AS$59</definedName>
    <definedName name="_xlnm._FilterDatabase" localSheetId="4" hidden="1">'05'!$AT$3:$AT$58</definedName>
    <definedName name="_xlnm._FilterDatabase" localSheetId="5" hidden="1">'06'!$AS$3:$AS$57</definedName>
    <definedName name="_xlnm._FilterDatabase" localSheetId="6" hidden="1">'07'!$AU$3:$AU$57</definedName>
    <definedName name="_xlnm._FilterDatabase" localSheetId="7" hidden="1">'08'!$AT$3:$AT$58</definedName>
    <definedName name="_xlnm._FilterDatabase" localSheetId="8" hidden="1">'09'!$AS$3:$AS$58</definedName>
    <definedName name="_xlnm._FilterDatabase" localSheetId="9" hidden="1">'10'!$AT$3:$AT$59</definedName>
    <definedName name="Z_0068BC96_377E_4F11_9EBD_38B7A8B3D408_.wvu.FilterData" localSheetId="1" hidden="1">'02'!$AQ$3:$AQ$60</definedName>
    <definedName name="Z_0193AF6A_49E3_4D31_9568_282E6153E034_.wvu.FilterData" localSheetId="0" hidden="1">'01'!$AT$3:$AT$58</definedName>
    <definedName name="Z_0193AF6A_49E3_4D31_9568_282E6153E034_.wvu.FilterData" localSheetId="1" hidden="1">'02'!$AQ$3:$AQ$58</definedName>
    <definedName name="Z_0193AF6A_49E3_4D31_9568_282E6153E034_.wvu.FilterData" localSheetId="2" hidden="1">'03'!$AT$3:$AT$58</definedName>
    <definedName name="Z_0193AF6A_49E3_4D31_9568_282E6153E034_.wvu.FilterData" localSheetId="3" hidden="1">'04'!$AS$3:$AS$58</definedName>
    <definedName name="Z_0193AF6A_49E3_4D31_9568_282E6153E034_.wvu.FilterData" localSheetId="4" hidden="1">'05'!$AT$3:$AT$57</definedName>
    <definedName name="Z_0193AF6A_49E3_4D31_9568_282E6153E034_.wvu.FilterData" localSheetId="5" hidden="1">'06'!$AS$3:$AS$56</definedName>
    <definedName name="Z_0193AF6A_49E3_4D31_9568_282E6153E034_.wvu.FilterData" localSheetId="6" hidden="1">'07'!$AU$3:$AU$56</definedName>
    <definedName name="Z_0193AF6A_49E3_4D31_9568_282E6153E034_.wvu.FilterData" localSheetId="7" hidden="1">'08'!$AT$3:$AT$57</definedName>
    <definedName name="Z_0193AF6A_49E3_4D31_9568_282E6153E034_.wvu.FilterData" localSheetId="8" hidden="1">'09'!$AS$3:$AS$57</definedName>
    <definedName name="Z_0193AF6A_49E3_4D31_9568_282E6153E034_.wvu.FilterData" localSheetId="9" hidden="1">'10'!$AT$3:$AT$58</definedName>
    <definedName name="Z_02770421_92C3_4ED7_B512_3E51D9DCA530_.wvu.FilterData" localSheetId="0" hidden="1">'01'!$AT$3:$AT$58</definedName>
    <definedName name="Z_02770421_92C3_4ED7_B512_3E51D9DCA530_.wvu.FilterData" localSheetId="1" hidden="1">'02'!$AQ$3:$AQ$58</definedName>
    <definedName name="Z_02770421_92C3_4ED7_B512_3E51D9DCA530_.wvu.FilterData" localSheetId="2" hidden="1">'03'!$AT$3:$AT$58</definedName>
    <definedName name="Z_02770421_92C3_4ED7_B512_3E51D9DCA530_.wvu.FilterData" localSheetId="3" hidden="1">'04'!$AS$3:$AS$58</definedName>
    <definedName name="Z_02770421_92C3_4ED7_B512_3E51D9DCA530_.wvu.FilterData" localSheetId="4" hidden="1">'05'!$AT$3:$AT$57</definedName>
    <definedName name="Z_02770421_92C3_4ED7_B512_3E51D9DCA530_.wvu.FilterData" localSheetId="5" hidden="1">'06'!$AS$3:$AS$56</definedName>
    <definedName name="Z_02770421_92C3_4ED7_B512_3E51D9DCA530_.wvu.FilterData" localSheetId="6" hidden="1">'07'!$AU$3:$AU$56</definedName>
    <definedName name="Z_02770421_92C3_4ED7_B512_3E51D9DCA530_.wvu.FilterData" localSheetId="7" hidden="1">'08'!$AT$3:$AT$57</definedName>
    <definedName name="Z_02770421_92C3_4ED7_B512_3E51D9DCA530_.wvu.FilterData" localSheetId="8" hidden="1">'09'!$AS$3:$AS$57</definedName>
    <definedName name="Z_02770421_92C3_4ED7_B512_3E51D9DCA530_.wvu.FilterData" localSheetId="9" hidden="1">'10'!$AT$3:$AT$58</definedName>
    <definedName name="Z_03880C30_E311_4DE4_96DE_9B46BB6A8D37_.wvu.FilterData" localSheetId="8" hidden="1">'09'!$AS$3:$AS$58</definedName>
    <definedName name="Z_03880C30_E311_4DE4_96DE_9B46BB6A8D37_.wvu.FilterData" localSheetId="9" hidden="1">'10'!$AT$3:$AT$59</definedName>
    <definedName name="Z_048B73DA_F200_4CD0_8707_7A846A0AB94E_.wvu.FilterData" localSheetId="0" hidden="1">'01'!$AT$3:$AT$58</definedName>
    <definedName name="Z_048B73DA_F200_4CD0_8707_7A846A0AB94E_.wvu.FilterData" localSheetId="1" hidden="1">'02'!$AQ$3:$AQ$58</definedName>
    <definedName name="Z_048B73DA_F200_4CD0_8707_7A846A0AB94E_.wvu.FilterData" localSheetId="2" hidden="1">'03'!$AT$3:$AT$58</definedName>
    <definedName name="Z_048B73DA_F200_4CD0_8707_7A846A0AB94E_.wvu.FilterData" localSheetId="3" hidden="1">'04'!$AS$3:$AS$58</definedName>
    <definedName name="Z_048B73DA_F200_4CD0_8707_7A846A0AB94E_.wvu.FilterData" localSheetId="4" hidden="1">'05'!$AT$3:$AT$57</definedName>
    <definedName name="Z_048B73DA_F200_4CD0_8707_7A846A0AB94E_.wvu.FilterData" localSheetId="5" hidden="1">'06'!$AS$3:$AS$56</definedName>
    <definedName name="Z_048B73DA_F200_4CD0_8707_7A846A0AB94E_.wvu.FilterData" localSheetId="6" hidden="1">'07'!$AU$3:$AU$56</definedName>
    <definedName name="Z_048B73DA_F200_4CD0_8707_7A846A0AB94E_.wvu.FilterData" localSheetId="7" hidden="1">'08'!$AT$3:$AT$57</definedName>
    <definedName name="Z_048B73DA_F200_4CD0_8707_7A846A0AB94E_.wvu.FilterData" localSheetId="8" hidden="1">'09'!$AS$3:$AS$57</definedName>
    <definedName name="Z_048B73DA_F200_4CD0_8707_7A846A0AB94E_.wvu.FilterData" localSheetId="9" hidden="1">'10'!$AT$3:$AT$58</definedName>
    <definedName name="Z_04F71D9F_FBA6_4517_BBAE_F6B2874EE750_.wvu.FilterData" localSheetId="0" hidden="1">'01'!$AT$3:$AT$58</definedName>
    <definedName name="Z_04F71D9F_FBA6_4517_BBAE_F6B2874EE750_.wvu.FilterData" localSheetId="1" hidden="1">'02'!$AQ$3:$AQ$58</definedName>
    <definedName name="Z_04F71D9F_FBA6_4517_BBAE_F6B2874EE750_.wvu.FilterData" localSheetId="2" hidden="1">'03'!$AT$3:$AT$58</definedName>
    <definedName name="Z_04F71D9F_FBA6_4517_BBAE_F6B2874EE750_.wvu.FilterData" localSheetId="3" hidden="1">'04'!$AS$3:$AS$58</definedName>
    <definedName name="Z_04F71D9F_FBA6_4517_BBAE_F6B2874EE750_.wvu.FilterData" localSheetId="4" hidden="1">'05'!$AT$3:$AT$57</definedName>
    <definedName name="Z_04F71D9F_FBA6_4517_BBAE_F6B2874EE750_.wvu.FilterData" localSheetId="5" hidden="1">'06'!$AS$3:$AS$56</definedName>
    <definedName name="Z_04F71D9F_FBA6_4517_BBAE_F6B2874EE750_.wvu.FilterData" localSheetId="6" hidden="1">'07'!$AU$3:$AU$56</definedName>
    <definedName name="Z_04F71D9F_FBA6_4517_BBAE_F6B2874EE750_.wvu.FilterData" localSheetId="7" hidden="1">'08'!$AT$3:$AT$57</definedName>
    <definedName name="Z_04F71D9F_FBA6_4517_BBAE_F6B2874EE750_.wvu.FilterData" localSheetId="8" hidden="1">'09'!$AS$3:$AS$57</definedName>
    <definedName name="Z_04F71D9F_FBA6_4517_BBAE_F6B2874EE750_.wvu.FilterData" localSheetId="9" hidden="1">'10'!$AT$3:$AT$58</definedName>
    <definedName name="Z_059717F9_D6C9_4BE4_978E_49A8843BFBD3_.wvu.FilterData" localSheetId="9" hidden="1">'10'!$AT$3:$AT$59</definedName>
    <definedName name="Z_05FF6774_A583_4D74_83A4_182FC20AE392_.wvu.FilterData" localSheetId="0" hidden="1">'01'!$AT$3:$AT$58</definedName>
    <definedName name="Z_05FF6774_A583_4D74_83A4_182FC20AE392_.wvu.FilterData" localSheetId="1" hidden="1">'02'!$AQ$3:$AQ$58</definedName>
    <definedName name="Z_05FF6774_A583_4D74_83A4_182FC20AE392_.wvu.FilterData" localSheetId="2" hidden="1">'03'!$AT$3:$AT$58</definedName>
    <definedName name="Z_05FF6774_A583_4D74_83A4_182FC20AE392_.wvu.FilterData" localSheetId="3" hidden="1">'04'!$AS$3:$AS$58</definedName>
    <definedName name="Z_05FF6774_A583_4D74_83A4_182FC20AE392_.wvu.FilterData" localSheetId="4" hidden="1">'05'!$AT$3:$AT$57</definedName>
    <definedName name="Z_05FF6774_A583_4D74_83A4_182FC20AE392_.wvu.FilterData" localSheetId="5" hidden="1">'06'!$AS$3:$AS$56</definedName>
    <definedName name="Z_05FF6774_A583_4D74_83A4_182FC20AE392_.wvu.FilterData" localSheetId="6" hidden="1">'07'!$AU$3:$AU$56</definedName>
    <definedName name="Z_05FF6774_A583_4D74_83A4_182FC20AE392_.wvu.FilterData" localSheetId="7" hidden="1">'08'!$AT$3:$AT$57</definedName>
    <definedName name="Z_05FF6774_A583_4D74_83A4_182FC20AE392_.wvu.FilterData" localSheetId="8" hidden="1">'09'!$AS$3:$AS$57</definedName>
    <definedName name="Z_05FF6774_A583_4D74_83A4_182FC20AE392_.wvu.FilterData" localSheetId="9" hidden="1">'10'!$AT$3:$AT$58</definedName>
    <definedName name="Z_068B9F4D_1726_4BB5_9877_77AA86853FFD_.wvu.FilterData" localSheetId="0" hidden="1">'01'!$AT$3:$AT$58</definedName>
    <definedName name="Z_068B9F4D_1726_4BB5_9877_77AA86853FFD_.wvu.FilterData" localSheetId="1" hidden="1">'02'!$AQ$3:$AQ$58</definedName>
    <definedName name="Z_068B9F4D_1726_4BB5_9877_77AA86853FFD_.wvu.FilterData" localSheetId="2" hidden="1">'03'!$AT$3:$AT$58</definedName>
    <definedName name="Z_068B9F4D_1726_4BB5_9877_77AA86853FFD_.wvu.FilterData" localSheetId="3" hidden="1">'04'!$AS$3:$AS$58</definedName>
    <definedName name="Z_068B9F4D_1726_4BB5_9877_77AA86853FFD_.wvu.FilterData" localSheetId="4" hidden="1">'05'!$AT$3:$AT$57</definedName>
    <definedName name="Z_068B9F4D_1726_4BB5_9877_77AA86853FFD_.wvu.FilterData" localSheetId="5" hidden="1">'06'!$AS$3:$AS$56</definedName>
    <definedName name="Z_068B9F4D_1726_4BB5_9877_77AA86853FFD_.wvu.FilterData" localSheetId="6" hidden="1">'07'!$AU$3:$AU$56</definedName>
    <definedName name="Z_068B9F4D_1726_4BB5_9877_77AA86853FFD_.wvu.FilterData" localSheetId="7" hidden="1">'08'!$AT$3:$AT$57</definedName>
    <definedName name="Z_068B9F4D_1726_4BB5_9877_77AA86853FFD_.wvu.FilterData" localSheetId="8" hidden="1">'09'!$AS$3:$AS$57</definedName>
    <definedName name="Z_068B9F4D_1726_4BB5_9877_77AA86853FFD_.wvu.FilterData" localSheetId="9" hidden="1">'10'!$AT$3:$AT$58</definedName>
    <definedName name="Z_069903C1_BC0B_4B52_910D_571A847FCAA9_.wvu.FilterData" localSheetId="9" hidden="1">'10'!$AT$3:$AT$59</definedName>
    <definedName name="Z_06D3CF99_85F0_472E_A186_7FB7D4C4014A_.wvu.FilterData" localSheetId="0" hidden="1">'01'!$AT$3:$AT$58</definedName>
    <definedName name="Z_06D3CF99_85F0_472E_A186_7FB7D4C4014A_.wvu.FilterData" localSheetId="1" hidden="1">'02'!$AQ$3:$AQ$58</definedName>
    <definedName name="Z_06D3CF99_85F0_472E_A186_7FB7D4C4014A_.wvu.FilterData" localSheetId="2" hidden="1">'03'!$AT$3:$AT$58</definedName>
    <definedName name="Z_06D3CF99_85F0_472E_A186_7FB7D4C4014A_.wvu.FilterData" localSheetId="3" hidden="1">'04'!$AS$3:$AS$58</definedName>
    <definedName name="Z_06D3CF99_85F0_472E_A186_7FB7D4C4014A_.wvu.FilterData" localSheetId="4" hidden="1">'05'!$AT$3:$AT$57</definedName>
    <definedName name="Z_06D3CF99_85F0_472E_A186_7FB7D4C4014A_.wvu.FilterData" localSheetId="5" hidden="1">'06'!$AS$3:$AS$56</definedName>
    <definedName name="Z_06D3CF99_85F0_472E_A186_7FB7D4C4014A_.wvu.FilterData" localSheetId="6" hidden="1">'07'!$AU$3:$AU$56</definedName>
    <definedName name="Z_06D3CF99_85F0_472E_A186_7FB7D4C4014A_.wvu.FilterData" localSheetId="7" hidden="1">'08'!$AT$3:$AT$57</definedName>
    <definedName name="Z_06D3CF99_85F0_472E_A186_7FB7D4C4014A_.wvu.FilterData" localSheetId="8" hidden="1">'09'!$AS$3:$AS$57</definedName>
    <definedName name="Z_06D3CF99_85F0_472E_A186_7FB7D4C4014A_.wvu.FilterData" localSheetId="9" hidden="1">'10'!$AT$3:$AT$58</definedName>
    <definedName name="Z_06ECBD3B_21FC_48C5_8489_C1CCD7ECBB2D_.wvu.FilterData" localSheetId="0" hidden="1">'01'!$AT$3:$AT$59</definedName>
    <definedName name="Z_06ECBD3B_21FC_48C5_8489_C1CCD7ECBB2D_.wvu.FilterData" localSheetId="2" hidden="1">'03'!$AT$3:$AT$59</definedName>
    <definedName name="Z_06ECBD3B_21FC_48C5_8489_C1CCD7ECBB2D_.wvu.FilterData" localSheetId="3" hidden="1">'04'!$AS$3:$AS$59</definedName>
    <definedName name="Z_06ECBD3B_21FC_48C5_8489_C1CCD7ECBB2D_.wvu.FilterData" localSheetId="4" hidden="1">'05'!$AT$3:$AT$58</definedName>
    <definedName name="Z_06ECBD3B_21FC_48C5_8489_C1CCD7ECBB2D_.wvu.FilterData" localSheetId="5" hidden="1">'06'!$AS$3:$AS$57</definedName>
    <definedName name="Z_06ECBD3B_21FC_48C5_8489_C1CCD7ECBB2D_.wvu.FilterData" localSheetId="6" hidden="1">'07'!$AU$3:$AU$57</definedName>
    <definedName name="Z_06ECBD3B_21FC_48C5_8489_C1CCD7ECBB2D_.wvu.FilterData" localSheetId="7" hidden="1">'08'!$AT$3:$AT$58</definedName>
    <definedName name="Z_06ECBD3B_21FC_48C5_8489_C1CCD7ECBB2D_.wvu.FilterData" localSheetId="8" hidden="1">'09'!$AS$3:$AS$58</definedName>
    <definedName name="Z_06ECBD3B_21FC_48C5_8489_C1CCD7ECBB2D_.wvu.FilterData" localSheetId="9" hidden="1">'10'!$AT$3:$AT$59</definedName>
    <definedName name="Z_07E9AA7F_F37F_4A62_B7D7_BC481D5697FB_.wvu.FilterData" localSheetId="0" hidden="1">'01'!$AT$3:$AT$58</definedName>
    <definedName name="Z_07E9AA7F_F37F_4A62_B7D7_BC481D5697FB_.wvu.FilterData" localSheetId="1" hidden="1">'02'!$AQ$3:$AQ$58</definedName>
    <definedName name="Z_07E9AA7F_F37F_4A62_B7D7_BC481D5697FB_.wvu.FilterData" localSheetId="2" hidden="1">'03'!$AT$3:$AT$58</definedName>
    <definedName name="Z_07E9AA7F_F37F_4A62_B7D7_BC481D5697FB_.wvu.FilterData" localSheetId="3" hidden="1">'04'!$AS$3:$AS$58</definedName>
    <definedName name="Z_07E9AA7F_F37F_4A62_B7D7_BC481D5697FB_.wvu.FilterData" localSheetId="4" hidden="1">'05'!$AT$3:$AT$57</definedName>
    <definedName name="Z_07E9AA7F_F37F_4A62_B7D7_BC481D5697FB_.wvu.FilterData" localSheetId="5" hidden="1">'06'!$AS$3:$AS$56</definedName>
    <definedName name="Z_07E9AA7F_F37F_4A62_B7D7_BC481D5697FB_.wvu.FilterData" localSheetId="6" hidden="1">'07'!$AU$3:$AU$56</definedName>
    <definedName name="Z_07E9AA7F_F37F_4A62_B7D7_BC481D5697FB_.wvu.FilterData" localSheetId="7" hidden="1">'08'!$AT$3:$AT$57</definedName>
    <definedName name="Z_07E9AA7F_F37F_4A62_B7D7_BC481D5697FB_.wvu.FilterData" localSheetId="8" hidden="1">'09'!$AS$3:$AS$57</definedName>
    <definedName name="Z_07E9AA7F_F37F_4A62_B7D7_BC481D5697FB_.wvu.FilterData" localSheetId="9" hidden="1">'10'!$AT$3:$AT$58</definedName>
    <definedName name="Z_0841CD3C_0806_4FBE_ADFF_B14D59A791A0_.wvu.FilterData" localSheetId="0" hidden="1">'01'!$AT$3:$AT$58</definedName>
    <definedName name="Z_0841CD3C_0806_4FBE_ADFF_B14D59A791A0_.wvu.FilterData" localSheetId="1" hidden="1">'02'!$AQ$3:$AQ$58</definedName>
    <definedName name="Z_0841CD3C_0806_4FBE_ADFF_B14D59A791A0_.wvu.FilterData" localSheetId="2" hidden="1">'03'!$AT$3:$AT$58</definedName>
    <definedName name="Z_0841CD3C_0806_4FBE_ADFF_B14D59A791A0_.wvu.FilterData" localSheetId="3" hidden="1">'04'!$AS$3:$AS$58</definedName>
    <definedName name="Z_0841CD3C_0806_4FBE_ADFF_B14D59A791A0_.wvu.FilterData" localSheetId="4" hidden="1">'05'!$AT$3:$AT$57</definedName>
    <definedName name="Z_0841CD3C_0806_4FBE_ADFF_B14D59A791A0_.wvu.FilterData" localSheetId="5" hidden="1">'06'!$AS$3:$AS$56</definedName>
    <definedName name="Z_0841CD3C_0806_4FBE_ADFF_B14D59A791A0_.wvu.FilterData" localSheetId="6" hidden="1">'07'!$AU$3:$AU$56</definedName>
    <definedName name="Z_0841CD3C_0806_4FBE_ADFF_B14D59A791A0_.wvu.FilterData" localSheetId="7" hidden="1">'08'!$AT$3:$AT$57</definedName>
    <definedName name="Z_0841CD3C_0806_4FBE_ADFF_B14D59A791A0_.wvu.FilterData" localSheetId="8" hidden="1">'09'!$AS$3:$AS$57</definedName>
    <definedName name="Z_0841CD3C_0806_4FBE_ADFF_B14D59A791A0_.wvu.FilterData" localSheetId="9" hidden="1">'10'!$AT$3:$AT$58</definedName>
    <definedName name="Z_087F5BBA_2FC6_451C_8546_CC8AEEDCC5FF_.wvu.FilterData" localSheetId="1" hidden="1">'02'!$AQ$3:$AQ$60</definedName>
    <definedName name="Z_08BA108C_0276_45BE_A479_104722547319_.wvu.FilterData" localSheetId="8" hidden="1">'09'!$AS$3:$AS$58</definedName>
    <definedName name="Z_08BA108C_0276_45BE_A479_104722547319_.wvu.FilterData" localSheetId="9" hidden="1">'10'!$AT$3:$AT$59</definedName>
    <definedName name="Z_091B01D9_DABD_47D7_86A7_3FA7991A8E2B_.wvu.FilterData" localSheetId="9" hidden="1">'10'!$AT$3:$AT$59</definedName>
    <definedName name="Z_0A64602A_34CB_4214_A4FA_296DB7F8DABC_.wvu.FilterData" localSheetId="0" hidden="1">'01'!$AT$3:$AT$58</definedName>
    <definedName name="Z_0A64602A_34CB_4214_A4FA_296DB7F8DABC_.wvu.FilterData" localSheetId="1" hidden="1">'02'!$AQ$3:$AQ$58</definedName>
    <definedName name="Z_0A64602A_34CB_4214_A4FA_296DB7F8DABC_.wvu.FilterData" localSheetId="2" hidden="1">'03'!$AT$3:$AT$58</definedName>
    <definedName name="Z_0A64602A_34CB_4214_A4FA_296DB7F8DABC_.wvu.FilterData" localSheetId="3" hidden="1">'04'!$AS$3:$AS$58</definedName>
    <definedName name="Z_0A64602A_34CB_4214_A4FA_296DB7F8DABC_.wvu.FilterData" localSheetId="4" hidden="1">'05'!$AT$3:$AT$57</definedName>
    <definedName name="Z_0A64602A_34CB_4214_A4FA_296DB7F8DABC_.wvu.FilterData" localSheetId="5" hidden="1">'06'!$AS$3:$AS$56</definedName>
    <definedName name="Z_0A64602A_34CB_4214_A4FA_296DB7F8DABC_.wvu.FilterData" localSheetId="6" hidden="1">'07'!$AU$3:$AU$56</definedName>
    <definedName name="Z_0A64602A_34CB_4214_A4FA_296DB7F8DABC_.wvu.FilterData" localSheetId="7" hidden="1">'08'!$AT$3:$AT$57</definedName>
    <definedName name="Z_0A64602A_34CB_4214_A4FA_296DB7F8DABC_.wvu.FilterData" localSheetId="8" hidden="1">'09'!$AS$3:$AS$57</definedName>
    <definedName name="Z_0A64602A_34CB_4214_A4FA_296DB7F8DABC_.wvu.FilterData" localSheetId="9" hidden="1">'10'!$AT$3:$AT$58</definedName>
    <definedName name="Z_0B2ED034_BD86_4B9C_B874_0E9B9BC0A6B1_.wvu.FilterData" localSheetId="0" hidden="1">'01'!$AT$3:$AT$58</definedName>
    <definedName name="Z_0B2ED034_BD86_4B9C_B874_0E9B9BC0A6B1_.wvu.FilterData" localSheetId="1" hidden="1">'02'!$AQ$3:$AQ$58</definedName>
    <definedName name="Z_0B2ED034_BD86_4B9C_B874_0E9B9BC0A6B1_.wvu.FilterData" localSheetId="2" hidden="1">'03'!$AT$3:$AT$58</definedName>
    <definedName name="Z_0B2ED034_BD86_4B9C_B874_0E9B9BC0A6B1_.wvu.FilterData" localSheetId="3" hidden="1">'04'!$AS$3:$AS$58</definedName>
    <definedName name="Z_0B2ED034_BD86_4B9C_B874_0E9B9BC0A6B1_.wvu.FilterData" localSheetId="4" hidden="1">'05'!$AT$3:$AT$57</definedName>
    <definedName name="Z_0B2ED034_BD86_4B9C_B874_0E9B9BC0A6B1_.wvu.FilterData" localSheetId="5" hidden="1">'06'!$AS$3:$AS$56</definedName>
    <definedName name="Z_0B2ED034_BD86_4B9C_B874_0E9B9BC0A6B1_.wvu.FilterData" localSheetId="6" hidden="1">'07'!$AU$3:$AU$56</definedName>
    <definedName name="Z_0B2ED034_BD86_4B9C_B874_0E9B9BC0A6B1_.wvu.FilterData" localSheetId="7" hidden="1">'08'!$AT$3:$AT$57</definedName>
    <definedName name="Z_0B2ED034_BD86_4B9C_B874_0E9B9BC0A6B1_.wvu.FilterData" localSheetId="8" hidden="1">'09'!$AS$3:$AS$57</definedName>
    <definedName name="Z_0B2ED034_BD86_4B9C_B874_0E9B9BC0A6B1_.wvu.FilterData" localSheetId="9" hidden="1">'10'!$AT$3:$AT$58</definedName>
    <definedName name="Z_0D05488C_177A_430D_9495_56BB7C61E609_.wvu.FilterData" localSheetId="0" hidden="1">'01'!$AT$3:$AT$58</definedName>
    <definedName name="Z_0D05488C_177A_430D_9495_56BB7C61E609_.wvu.FilterData" localSheetId="1" hidden="1">'02'!$AQ$3:$AQ$58</definedName>
    <definedName name="Z_0D05488C_177A_430D_9495_56BB7C61E609_.wvu.FilterData" localSheetId="2" hidden="1">'03'!$AT$3:$AT$58</definedName>
    <definedName name="Z_0D05488C_177A_430D_9495_56BB7C61E609_.wvu.FilterData" localSheetId="3" hidden="1">'04'!$AS$3:$AS$58</definedName>
    <definedName name="Z_0D05488C_177A_430D_9495_56BB7C61E609_.wvu.FilterData" localSheetId="4" hidden="1">'05'!$AT$3:$AT$57</definedName>
    <definedName name="Z_0D05488C_177A_430D_9495_56BB7C61E609_.wvu.FilterData" localSheetId="5" hidden="1">'06'!$AS$3:$AS$56</definedName>
    <definedName name="Z_0D05488C_177A_430D_9495_56BB7C61E609_.wvu.FilterData" localSheetId="6" hidden="1">'07'!$AU$3:$AU$56</definedName>
    <definedName name="Z_0D05488C_177A_430D_9495_56BB7C61E609_.wvu.FilterData" localSheetId="7" hidden="1">'08'!$AT$3:$AT$57</definedName>
    <definedName name="Z_0D05488C_177A_430D_9495_56BB7C61E609_.wvu.FilterData" localSheetId="8" hidden="1">'09'!$AS$3:$AS$57</definedName>
    <definedName name="Z_0D05488C_177A_430D_9495_56BB7C61E609_.wvu.FilterData" localSheetId="9" hidden="1">'10'!$AT$3:$AT$58</definedName>
    <definedName name="Z_110226A8_7CF3_4126_BE8F_69AD3FBA225A_.wvu.FilterData" localSheetId="0" hidden="1">'01'!$AT$3:$AT$58</definedName>
    <definedName name="Z_110226A8_7CF3_4126_BE8F_69AD3FBA225A_.wvu.FilterData" localSheetId="1" hidden="1">'02'!$AQ$3:$AQ$58</definedName>
    <definedName name="Z_110226A8_7CF3_4126_BE8F_69AD3FBA225A_.wvu.FilterData" localSheetId="2" hidden="1">'03'!$AT$3:$AT$58</definedName>
    <definedName name="Z_110226A8_7CF3_4126_BE8F_69AD3FBA225A_.wvu.FilterData" localSheetId="3" hidden="1">'04'!$AS$3:$AS$58</definedName>
    <definedName name="Z_110226A8_7CF3_4126_BE8F_69AD3FBA225A_.wvu.FilterData" localSheetId="4" hidden="1">'05'!$AT$3:$AT$57</definedName>
    <definedName name="Z_110226A8_7CF3_4126_BE8F_69AD3FBA225A_.wvu.FilterData" localSheetId="5" hidden="1">'06'!$AS$3:$AS$56</definedName>
    <definedName name="Z_110226A8_7CF3_4126_BE8F_69AD3FBA225A_.wvu.FilterData" localSheetId="6" hidden="1">'07'!$AU$3:$AU$56</definedName>
    <definedName name="Z_110226A8_7CF3_4126_BE8F_69AD3FBA225A_.wvu.FilterData" localSheetId="7" hidden="1">'08'!$AT$3:$AT$57</definedName>
    <definedName name="Z_110226A8_7CF3_4126_BE8F_69AD3FBA225A_.wvu.FilterData" localSheetId="8" hidden="1">'09'!$AS$3:$AS$57</definedName>
    <definedName name="Z_110226A8_7CF3_4126_BE8F_69AD3FBA225A_.wvu.FilterData" localSheetId="9" hidden="1">'10'!$AT$3:$AT$58</definedName>
    <definedName name="Z_11DAC8CB_BDE3_4078_8235_41705064642A_.wvu.FilterData" localSheetId="0" hidden="1">'01'!$AT$3:$AT$58</definedName>
    <definedName name="Z_11DAC8CB_BDE3_4078_8235_41705064642A_.wvu.FilterData" localSheetId="1" hidden="1">'02'!$AQ$3:$AQ$58</definedName>
    <definedName name="Z_11DAC8CB_BDE3_4078_8235_41705064642A_.wvu.FilterData" localSheetId="2" hidden="1">'03'!$AT$3:$AT$58</definedName>
    <definedName name="Z_11DAC8CB_BDE3_4078_8235_41705064642A_.wvu.FilterData" localSheetId="3" hidden="1">'04'!$AS$3:$AS$58</definedName>
    <definedName name="Z_11DAC8CB_BDE3_4078_8235_41705064642A_.wvu.FilterData" localSheetId="4" hidden="1">'05'!$AT$3:$AT$57</definedName>
    <definedName name="Z_11DAC8CB_BDE3_4078_8235_41705064642A_.wvu.FilterData" localSheetId="5" hidden="1">'06'!$AS$3:$AS$56</definedName>
    <definedName name="Z_11DAC8CB_BDE3_4078_8235_41705064642A_.wvu.FilterData" localSheetId="6" hidden="1">'07'!$AU$3:$AU$56</definedName>
    <definedName name="Z_11DAC8CB_BDE3_4078_8235_41705064642A_.wvu.FilterData" localSheetId="7" hidden="1">'08'!$AT$3:$AT$57</definedName>
    <definedName name="Z_11DAC8CB_BDE3_4078_8235_41705064642A_.wvu.FilterData" localSheetId="8" hidden="1">'09'!$AS$3:$AS$57</definedName>
    <definedName name="Z_11DAC8CB_BDE3_4078_8235_41705064642A_.wvu.FilterData" localSheetId="9" hidden="1">'10'!$AT$3:$AT$58</definedName>
    <definedName name="Z_1244B5B0_212B_4FBF_82F9_F588D1DDBE55_.wvu.FilterData" localSheetId="8" hidden="1">'09'!$AS$3:$AS$58</definedName>
    <definedName name="Z_1244B5B0_212B_4FBF_82F9_F588D1DDBE55_.wvu.FilterData" localSheetId="9" hidden="1">'10'!$AT$3:$AT$59</definedName>
    <definedName name="Z_12FADF21_ECB3_4410_8A80_A282BC18A4FE_.wvu.FilterData" localSheetId="0" hidden="1">'01'!$AT$3:$AT$58</definedName>
    <definedName name="Z_12FADF21_ECB3_4410_8A80_A282BC18A4FE_.wvu.FilterData" localSheetId="1" hidden="1">'02'!$AQ$3:$AQ$58</definedName>
    <definedName name="Z_12FADF21_ECB3_4410_8A80_A282BC18A4FE_.wvu.FilterData" localSheetId="2" hidden="1">'03'!$AT$3:$AT$58</definedName>
    <definedName name="Z_12FADF21_ECB3_4410_8A80_A282BC18A4FE_.wvu.FilterData" localSheetId="3" hidden="1">'04'!$AS$3:$AS$58</definedName>
    <definedName name="Z_12FADF21_ECB3_4410_8A80_A282BC18A4FE_.wvu.FilterData" localSheetId="4" hidden="1">'05'!$AT$3:$AT$57</definedName>
    <definedName name="Z_12FADF21_ECB3_4410_8A80_A282BC18A4FE_.wvu.FilterData" localSheetId="5" hidden="1">'06'!$AS$3:$AS$56</definedName>
    <definedName name="Z_12FADF21_ECB3_4410_8A80_A282BC18A4FE_.wvu.FilterData" localSheetId="6" hidden="1">'07'!$AU$3:$AU$56</definedName>
    <definedName name="Z_12FADF21_ECB3_4410_8A80_A282BC18A4FE_.wvu.FilterData" localSheetId="7" hidden="1">'08'!$AT$3:$AT$57</definedName>
    <definedName name="Z_12FADF21_ECB3_4410_8A80_A282BC18A4FE_.wvu.FilterData" localSheetId="8" hidden="1">'09'!$AS$3:$AS$57</definedName>
    <definedName name="Z_12FADF21_ECB3_4410_8A80_A282BC18A4FE_.wvu.FilterData" localSheetId="9" hidden="1">'10'!$AT$3:$AT$58</definedName>
    <definedName name="Z_1332A841_A6FF_4056_82B7_7F28FC68464F_.wvu.FilterData" localSheetId="0" hidden="1">'01'!$AT$3:$AT$59</definedName>
    <definedName name="Z_1332A841_A6FF_4056_82B7_7F28FC68464F_.wvu.FilterData" localSheetId="1" hidden="1">'02'!$AQ$3:$AQ$59</definedName>
    <definedName name="Z_1332A841_A6FF_4056_82B7_7F28FC68464F_.wvu.FilterData" localSheetId="2" hidden="1">'03'!$AT$3:$AT$59</definedName>
    <definedName name="Z_1332A841_A6FF_4056_82B7_7F28FC68464F_.wvu.FilterData" localSheetId="3" hidden="1">'04'!$AS$3:$AS$59</definedName>
    <definedName name="Z_1332A841_A6FF_4056_82B7_7F28FC68464F_.wvu.FilterData" localSheetId="4" hidden="1">'05'!$AT$3:$AT$58</definedName>
    <definedName name="Z_1332A841_A6FF_4056_82B7_7F28FC68464F_.wvu.FilterData" localSheetId="5" hidden="1">'06'!$AS$3:$AS$57</definedName>
    <definedName name="Z_1332A841_A6FF_4056_82B7_7F28FC68464F_.wvu.FilterData" localSheetId="6" hidden="1">'07'!$AU$3:$AU$57</definedName>
    <definedName name="Z_1332A841_A6FF_4056_82B7_7F28FC68464F_.wvu.FilterData" localSheetId="7" hidden="1">'08'!$AT$3:$AT$58</definedName>
    <definedName name="Z_1332A841_A6FF_4056_82B7_7F28FC68464F_.wvu.FilterData" localSheetId="8" hidden="1">'09'!$AS$3:$AS$58</definedName>
    <definedName name="Z_1332A841_A6FF_4056_82B7_7F28FC68464F_.wvu.FilterData" localSheetId="9" hidden="1">'10'!$AT$3:$AT$59</definedName>
    <definedName name="Z_1346E252_0993_469E_8A4B_D8BA921893C0_.wvu.FilterData" localSheetId="1" hidden="1">'02'!$AQ$3:$AQ$60</definedName>
    <definedName name="Z_1410B5F8_193C_4D90_95CF_DFDC624989D4_.wvu.FilterData" localSheetId="8" hidden="1">'09'!$AS$3:$AS$58</definedName>
    <definedName name="Z_1410B5F8_193C_4D90_95CF_DFDC624989D4_.wvu.FilterData" localSheetId="9" hidden="1">'10'!$AT$3:$AT$59</definedName>
    <definedName name="Z_15AF4F59_9716_4C24_86C4_75437B379A24_.wvu.FilterData" localSheetId="0" hidden="1">'01'!$AT$3:$AT$58</definedName>
    <definedName name="Z_15AF4F59_9716_4C24_86C4_75437B379A24_.wvu.FilterData" localSheetId="1" hidden="1">'02'!$AQ$3:$AQ$58</definedName>
    <definedName name="Z_15AF4F59_9716_4C24_86C4_75437B379A24_.wvu.FilterData" localSheetId="2" hidden="1">'03'!$AT$3:$AT$58</definedName>
    <definedName name="Z_15AF4F59_9716_4C24_86C4_75437B379A24_.wvu.FilterData" localSheetId="3" hidden="1">'04'!$AS$3:$AS$58</definedName>
    <definedName name="Z_15AF4F59_9716_4C24_86C4_75437B379A24_.wvu.FilterData" localSheetId="4" hidden="1">'05'!$AT$3:$AT$57</definedName>
    <definedName name="Z_15AF4F59_9716_4C24_86C4_75437B379A24_.wvu.FilterData" localSheetId="5" hidden="1">'06'!$AS$3:$AS$56</definedName>
    <definedName name="Z_15AF4F59_9716_4C24_86C4_75437B379A24_.wvu.FilterData" localSheetId="6" hidden="1">'07'!$AU$3:$AU$56</definedName>
    <definedName name="Z_15AF4F59_9716_4C24_86C4_75437B379A24_.wvu.FilterData" localSheetId="7" hidden="1">'08'!$AT$3:$AT$57</definedName>
    <definedName name="Z_15AF4F59_9716_4C24_86C4_75437B379A24_.wvu.FilterData" localSheetId="8" hidden="1">'09'!$AS$3:$AS$57</definedName>
    <definedName name="Z_15AF4F59_9716_4C24_86C4_75437B379A24_.wvu.FilterData" localSheetId="9" hidden="1">'10'!$AT$3:$AT$58</definedName>
    <definedName name="Z_15C34905_1601_4E5B_ACB5_480E1D8DEC31_.wvu.FilterData" localSheetId="8" hidden="1">'09'!$AS$3:$AS$58</definedName>
    <definedName name="Z_15C34905_1601_4E5B_ACB5_480E1D8DEC31_.wvu.FilterData" localSheetId="9" hidden="1">'10'!$AT$3:$AT$59</definedName>
    <definedName name="Z_162F0BDB_A8DE_4522_A570_6D9AD2D04E0B_.wvu.FilterData" localSheetId="0" hidden="1">'01'!$AT$3:$AT$58</definedName>
    <definedName name="Z_162F0BDB_A8DE_4522_A570_6D9AD2D04E0B_.wvu.FilterData" localSheetId="1" hidden="1">'02'!$AQ$3:$AQ$58</definedName>
    <definedName name="Z_162F0BDB_A8DE_4522_A570_6D9AD2D04E0B_.wvu.FilterData" localSheetId="2" hidden="1">'03'!$AT$3:$AT$58</definedName>
    <definedName name="Z_162F0BDB_A8DE_4522_A570_6D9AD2D04E0B_.wvu.FilterData" localSheetId="3" hidden="1">'04'!$AS$3:$AS$58</definedName>
    <definedName name="Z_162F0BDB_A8DE_4522_A570_6D9AD2D04E0B_.wvu.FilterData" localSheetId="4" hidden="1">'05'!$AT$3:$AT$57</definedName>
    <definedName name="Z_162F0BDB_A8DE_4522_A570_6D9AD2D04E0B_.wvu.FilterData" localSheetId="5" hidden="1">'06'!$AS$3:$AS$56</definedName>
    <definedName name="Z_162F0BDB_A8DE_4522_A570_6D9AD2D04E0B_.wvu.FilterData" localSheetId="6" hidden="1">'07'!$AU$3:$AU$56</definedName>
    <definedName name="Z_162F0BDB_A8DE_4522_A570_6D9AD2D04E0B_.wvu.FilterData" localSheetId="7" hidden="1">'08'!$AT$3:$AT$57</definedName>
    <definedName name="Z_162F0BDB_A8DE_4522_A570_6D9AD2D04E0B_.wvu.FilterData" localSheetId="8" hidden="1">'09'!$AS$3:$AS$57</definedName>
    <definedName name="Z_162F0BDB_A8DE_4522_A570_6D9AD2D04E0B_.wvu.FilterData" localSheetId="9" hidden="1">'10'!$AT$3:$AT$58</definedName>
    <definedName name="Z_168BFD59_C957_46AF_8D1A_F002D5784658_.wvu.FilterData" localSheetId="6" hidden="1">'07'!$AU$3:$AU$57</definedName>
    <definedName name="Z_168BFD59_C957_46AF_8D1A_F002D5784658_.wvu.FilterData" localSheetId="7" hidden="1">'08'!$AT$3:$AT$58</definedName>
    <definedName name="Z_168BFD59_C957_46AF_8D1A_F002D5784658_.wvu.FilterData" localSheetId="8" hidden="1">'09'!$AS$3:$AS$58</definedName>
    <definedName name="Z_168BFD59_C957_46AF_8D1A_F002D5784658_.wvu.FilterData" localSheetId="9" hidden="1">'10'!$AT$3:$AT$59</definedName>
    <definedName name="Z_16A04D91_2C99_4533_8BD5_ACF68CA4532E_.wvu.FilterData" localSheetId="0" hidden="1">'01'!$AT$3:$AT$58</definedName>
    <definedName name="Z_16A04D91_2C99_4533_8BD5_ACF68CA4532E_.wvu.FilterData" localSheetId="1" hidden="1">'02'!$AQ$3:$AQ$58</definedName>
    <definedName name="Z_16A04D91_2C99_4533_8BD5_ACF68CA4532E_.wvu.FilterData" localSheetId="2" hidden="1">'03'!$AT$3:$AT$58</definedName>
    <definedName name="Z_16A04D91_2C99_4533_8BD5_ACF68CA4532E_.wvu.FilterData" localSheetId="3" hidden="1">'04'!$AS$3:$AS$58</definedName>
    <definedName name="Z_16A04D91_2C99_4533_8BD5_ACF68CA4532E_.wvu.FilterData" localSheetId="4" hidden="1">'05'!$AT$3:$AT$57</definedName>
    <definedName name="Z_16A04D91_2C99_4533_8BD5_ACF68CA4532E_.wvu.FilterData" localSheetId="5" hidden="1">'06'!$AS$3:$AS$56</definedName>
    <definedName name="Z_16A04D91_2C99_4533_8BD5_ACF68CA4532E_.wvu.FilterData" localSheetId="6" hidden="1">'07'!$AU$3:$AU$56</definedName>
    <definedName name="Z_16A04D91_2C99_4533_8BD5_ACF68CA4532E_.wvu.FilterData" localSheetId="7" hidden="1">'08'!$AT$3:$AT$57</definedName>
    <definedName name="Z_16A04D91_2C99_4533_8BD5_ACF68CA4532E_.wvu.FilterData" localSheetId="8" hidden="1">'09'!$AS$3:$AS$57</definedName>
    <definedName name="Z_16A04D91_2C99_4533_8BD5_ACF68CA4532E_.wvu.FilterData" localSheetId="9" hidden="1">'10'!$AT$3:$AT$58</definedName>
    <definedName name="Z_16D8DC8A_90FD_4AB4_AD47_6C2F7ED73032_.wvu.FilterData" localSheetId="0" hidden="1">'01'!$AT$3:$AT$58</definedName>
    <definedName name="Z_16D8DC8A_90FD_4AB4_AD47_6C2F7ED73032_.wvu.FilterData" localSheetId="1" hidden="1">'02'!$AQ$3:$AQ$58</definedName>
    <definedName name="Z_16D8DC8A_90FD_4AB4_AD47_6C2F7ED73032_.wvu.FilterData" localSheetId="2" hidden="1">'03'!$AT$3:$AT$58</definedName>
    <definedName name="Z_16D8DC8A_90FD_4AB4_AD47_6C2F7ED73032_.wvu.FilterData" localSheetId="3" hidden="1">'04'!$AS$3:$AS$58</definedName>
    <definedName name="Z_16D8DC8A_90FD_4AB4_AD47_6C2F7ED73032_.wvu.FilterData" localSheetId="4" hidden="1">'05'!$AT$3:$AT$57</definedName>
    <definedName name="Z_16D8DC8A_90FD_4AB4_AD47_6C2F7ED73032_.wvu.FilterData" localSheetId="5" hidden="1">'06'!$AS$3:$AS$56</definedName>
    <definedName name="Z_16D8DC8A_90FD_4AB4_AD47_6C2F7ED73032_.wvu.FilterData" localSheetId="6" hidden="1">'07'!$AU$3:$AU$56</definedName>
    <definedName name="Z_16D8DC8A_90FD_4AB4_AD47_6C2F7ED73032_.wvu.FilterData" localSheetId="7" hidden="1">'08'!$AT$3:$AT$57</definedName>
    <definedName name="Z_16D8DC8A_90FD_4AB4_AD47_6C2F7ED73032_.wvu.FilterData" localSheetId="8" hidden="1">'09'!$AS$3:$AS$57</definedName>
    <definedName name="Z_16D8DC8A_90FD_4AB4_AD47_6C2F7ED73032_.wvu.FilterData" localSheetId="9" hidden="1">'10'!$AT$3:$AT$58</definedName>
    <definedName name="Z_1720FE58_73C2_40C6_B30E_5FC685ED7B0D_.wvu.FilterData" localSheetId="1" hidden="1">'02'!$AQ$3:$AQ$60</definedName>
    <definedName name="Z_1774687C_5E19_4D8E_837A_728C898C529E_.wvu.FilterData" localSheetId="0" hidden="1">'01'!$AT$3:$AT$58</definedName>
    <definedName name="Z_1774687C_5E19_4D8E_837A_728C898C529E_.wvu.FilterData" localSheetId="1" hidden="1">'02'!$AQ$3:$AQ$58</definedName>
    <definedName name="Z_1774687C_5E19_4D8E_837A_728C898C529E_.wvu.FilterData" localSheetId="2" hidden="1">'03'!$AT$3:$AT$58</definedName>
    <definedName name="Z_1774687C_5E19_4D8E_837A_728C898C529E_.wvu.FilterData" localSheetId="3" hidden="1">'04'!$AS$3:$AS$58</definedName>
    <definedName name="Z_1774687C_5E19_4D8E_837A_728C898C529E_.wvu.FilterData" localSheetId="4" hidden="1">'05'!$AT$3:$AT$57</definedName>
    <definedName name="Z_1774687C_5E19_4D8E_837A_728C898C529E_.wvu.FilterData" localSheetId="5" hidden="1">'06'!$AS$3:$AS$56</definedName>
    <definedName name="Z_1774687C_5E19_4D8E_837A_728C898C529E_.wvu.FilterData" localSheetId="6" hidden="1">'07'!$AU$3:$AU$56</definedName>
    <definedName name="Z_1774687C_5E19_4D8E_837A_728C898C529E_.wvu.FilterData" localSheetId="7" hidden="1">'08'!$AT$3:$AT$57</definedName>
    <definedName name="Z_1774687C_5E19_4D8E_837A_728C898C529E_.wvu.FilterData" localSheetId="8" hidden="1">'09'!$AS$3:$AS$57</definedName>
    <definedName name="Z_1774687C_5E19_4D8E_837A_728C898C529E_.wvu.FilterData" localSheetId="9" hidden="1">'10'!$AT$3:$AT$58</definedName>
    <definedName name="Z_19387AE2_24A3_4769_AAB1_E8FCA7264125_.wvu.FilterData" localSheetId="2" hidden="1">'03'!$AT$3:$AT$59</definedName>
    <definedName name="Z_19387AE2_24A3_4769_AAB1_E8FCA7264125_.wvu.FilterData" localSheetId="3" hidden="1">'04'!$AS$3:$AS$59</definedName>
    <definedName name="Z_19387AE2_24A3_4769_AAB1_E8FCA7264125_.wvu.FilterData" localSheetId="4" hidden="1">'05'!$AT$3:$AT$58</definedName>
    <definedName name="Z_19387AE2_24A3_4769_AAB1_E8FCA7264125_.wvu.FilterData" localSheetId="5" hidden="1">'06'!$AS$3:$AS$57</definedName>
    <definedName name="Z_19387AE2_24A3_4769_AAB1_E8FCA7264125_.wvu.FilterData" localSheetId="6" hidden="1">'07'!$AU$3:$AU$57</definedName>
    <definedName name="Z_19387AE2_24A3_4769_AAB1_E8FCA7264125_.wvu.FilterData" localSheetId="7" hidden="1">'08'!$AT$3:$AT$58</definedName>
    <definedName name="Z_19387AE2_24A3_4769_AAB1_E8FCA7264125_.wvu.FilterData" localSheetId="8" hidden="1">'09'!$AS$3:$AS$58</definedName>
    <definedName name="Z_19387AE2_24A3_4769_AAB1_E8FCA7264125_.wvu.FilterData" localSheetId="9" hidden="1">'10'!$AT$3:$AT$59</definedName>
    <definedName name="Z_19FA40F7_FBE4_4737_8CC4_125404A88ED1_.wvu.FilterData" localSheetId="7" hidden="1">'08'!$AT$3:$AT$58</definedName>
    <definedName name="Z_19FA40F7_FBE4_4737_8CC4_125404A88ED1_.wvu.FilterData" localSheetId="8" hidden="1">'09'!$AS$3:$AS$58</definedName>
    <definedName name="Z_19FA40F7_FBE4_4737_8CC4_125404A88ED1_.wvu.FilterData" localSheetId="9" hidden="1">'10'!$AT$3:$AT$59</definedName>
    <definedName name="Z_1B4234AB_18ED_41CF_9CE5_3454AEDE54DC_.wvu.FilterData" localSheetId="0" hidden="1">'01'!$AT$3:$AT$59</definedName>
    <definedName name="Z_1B4234AB_18ED_41CF_9CE5_3454AEDE54DC_.wvu.FilterData" localSheetId="1" hidden="1">'02'!$AQ$3:$AQ$59</definedName>
    <definedName name="Z_1B4234AB_18ED_41CF_9CE5_3454AEDE54DC_.wvu.FilterData" localSheetId="2" hidden="1">'03'!$AT$3:$AT$59</definedName>
    <definedName name="Z_1B4234AB_18ED_41CF_9CE5_3454AEDE54DC_.wvu.FilterData" localSheetId="3" hidden="1">'04'!$AS$3:$AS$59</definedName>
    <definedName name="Z_1B4234AB_18ED_41CF_9CE5_3454AEDE54DC_.wvu.FilterData" localSheetId="4" hidden="1">'05'!$AT$3:$AT$58</definedName>
    <definedName name="Z_1B4234AB_18ED_41CF_9CE5_3454AEDE54DC_.wvu.FilterData" localSheetId="5" hidden="1">'06'!$AS$3:$AS$57</definedName>
    <definedName name="Z_1B4234AB_18ED_41CF_9CE5_3454AEDE54DC_.wvu.FilterData" localSheetId="6" hidden="1">'07'!$AU$3:$AU$57</definedName>
    <definedName name="Z_1B4234AB_18ED_41CF_9CE5_3454AEDE54DC_.wvu.FilterData" localSheetId="7" hidden="1">'08'!$AT$3:$AT$58</definedName>
    <definedName name="Z_1B4234AB_18ED_41CF_9CE5_3454AEDE54DC_.wvu.FilterData" localSheetId="8" hidden="1">'09'!$AS$3:$AS$58</definedName>
    <definedName name="Z_1B4234AB_18ED_41CF_9CE5_3454AEDE54DC_.wvu.FilterData" localSheetId="9" hidden="1">'10'!$AT$3:$AT$59</definedName>
    <definedName name="Z_1D9BA11F_93D0_4AAC_8DAE_F31661CFBA7A_.wvu.FilterData" localSheetId="0" hidden="1">'01'!$AT$3:$AT$58</definedName>
    <definedName name="Z_1D9BA11F_93D0_4AAC_8DAE_F31661CFBA7A_.wvu.FilterData" localSheetId="1" hidden="1">'02'!$AQ$3:$AQ$58</definedName>
    <definedName name="Z_1D9BA11F_93D0_4AAC_8DAE_F31661CFBA7A_.wvu.FilterData" localSheetId="2" hidden="1">'03'!$AT$3:$AT$58</definedName>
    <definedName name="Z_1D9BA11F_93D0_4AAC_8DAE_F31661CFBA7A_.wvu.FilterData" localSheetId="3" hidden="1">'04'!$AS$3:$AS$58</definedName>
    <definedName name="Z_1D9BA11F_93D0_4AAC_8DAE_F31661CFBA7A_.wvu.FilterData" localSheetId="4" hidden="1">'05'!$AT$3:$AT$57</definedName>
    <definedName name="Z_1D9BA11F_93D0_4AAC_8DAE_F31661CFBA7A_.wvu.FilterData" localSheetId="5" hidden="1">'06'!$AS$3:$AS$56</definedName>
    <definedName name="Z_1D9BA11F_93D0_4AAC_8DAE_F31661CFBA7A_.wvu.FilterData" localSheetId="6" hidden="1">'07'!$AU$3:$AU$56</definedName>
    <definedName name="Z_1D9BA11F_93D0_4AAC_8DAE_F31661CFBA7A_.wvu.FilterData" localSheetId="7" hidden="1">'08'!$AT$3:$AT$57</definedName>
    <definedName name="Z_1D9BA11F_93D0_4AAC_8DAE_F31661CFBA7A_.wvu.FilterData" localSheetId="8" hidden="1">'09'!$AS$3:$AS$57</definedName>
    <definedName name="Z_1D9BA11F_93D0_4AAC_8DAE_F31661CFBA7A_.wvu.FilterData" localSheetId="9" hidden="1">'10'!$AT$3:$AT$58</definedName>
    <definedName name="Z_1E8F0E8A_2C15_4923_A9DC_62F142327D49_.wvu.FilterData" localSheetId="0" hidden="1">'01'!$AT$3:$AT$58</definedName>
    <definedName name="Z_1E8F0E8A_2C15_4923_A9DC_62F142327D49_.wvu.FilterData" localSheetId="1" hidden="1">'02'!$AQ$3:$AQ$58</definedName>
    <definedName name="Z_1E8F0E8A_2C15_4923_A9DC_62F142327D49_.wvu.FilterData" localSheetId="2" hidden="1">'03'!$AT$3:$AT$58</definedName>
    <definedName name="Z_1E8F0E8A_2C15_4923_A9DC_62F142327D49_.wvu.FilterData" localSheetId="3" hidden="1">'04'!$AS$3:$AS$58</definedName>
    <definedName name="Z_1E8F0E8A_2C15_4923_A9DC_62F142327D49_.wvu.FilterData" localSheetId="4" hidden="1">'05'!$AT$3:$AT$57</definedName>
    <definedName name="Z_1E8F0E8A_2C15_4923_A9DC_62F142327D49_.wvu.FilterData" localSheetId="5" hidden="1">'06'!$AS$3:$AS$56</definedName>
    <definedName name="Z_1E8F0E8A_2C15_4923_A9DC_62F142327D49_.wvu.FilterData" localSheetId="6" hidden="1">'07'!$AU$3:$AU$56</definedName>
    <definedName name="Z_1E8F0E8A_2C15_4923_A9DC_62F142327D49_.wvu.FilterData" localSheetId="7" hidden="1">'08'!$AT$3:$AT$57</definedName>
    <definedName name="Z_1E8F0E8A_2C15_4923_A9DC_62F142327D49_.wvu.FilterData" localSheetId="8" hidden="1">'09'!$AS$3:$AS$57</definedName>
    <definedName name="Z_1E8F0E8A_2C15_4923_A9DC_62F142327D49_.wvu.FilterData" localSheetId="9" hidden="1">'10'!$AT$3:$AT$58</definedName>
    <definedName name="Z_1E9B90D0_B64A_40FB_8DA0_71C64CFB3809_.wvu.FilterData" localSheetId="0" hidden="1">'01'!$AT$3:$AT$58</definedName>
    <definedName name="Z_1E9B90D0_B64A_40FB_8DA0_71C64CFB3809_.wvu.FilterData" localSheetId="1" hidden="1">'02'!$AQ$3:$AQ$58</definedName>
    <definedName name="Z_1E9B90D0_B64A_40FB_8DA0_71C64CFB3809_.wvu.FilterData" localSheetId="2" hidden="1">'03'!$AT$3:$AT$58</definedName>
    <definedName name="Z_1E9B90D0_B64A_40FB_8DA0_71C64CFB3809_.wvu.FilterData" localSheetId="3" hidden="1">'04'!$AS$3:$AS$58</definedName>
    <definedName name="Z_1E9B90D0_B64A_40FB_8DA0_71C64CFB3809_.wvu.FilterData" localSheetId="4" hidden="1">'05'!$AT$3:$AT$57</definedName>
    <definedName name="Z_1E9B90D0_B64A_40FB_8DA0_71C64CFB3809_.wvu.FilterData" localSheetId="5" hidden="1">'06'!$AS$3:$AS$56</definedName>
    <definedName name="Z_1E9B90D0_B64A_40FB_8DA0_71C64CFB3809_.wvu.FilterData" localSheetId="6" hidden="1">'07'!$AU$3:$AU$56</definedName>
    <definedName name="Z_1E9B90D0_B64A_40FB_8DA0_71C64CFB3809_.wvu.FilterData" localSheetId="7" hidden="1">'08'!$AT$3:$AT$57</definedName>
    <definedName name="Z_1E9B90D0_B64A_40FB_8DA0_71C64CFB3809_.wvu.FilterData" localSheetId="8" hidden="1">'09'!$AS$3:$AS$57</definedName>
    <definedName name="Z_1E9B90D0_B64A_40FB_8DA0_71C64CFB3809_.wvu.FilterData" localSheetId="9" hidden="1">'10'!$AT$3:$AT$58</definedName>
    <definedName name="Z_1FCD1FDB_37CC_46E1_B1C5_4F66CDB0126A_.wvu.FilterData" localSheetId="2" hidden="1">'03'!$AT$3:$AT$59</definedName>
    <definedName name="Z_1FCD1FDB_37CC_46E1_B1C5_4F66CDB0126A_.wvu.FilterData" localSheetId="3" hidden="1">'04'!$AS$3:$AS$59</definedName>
    <definedName name="Z_1FCD1FDB_37CC_46E1_B1C5_4F66CDB0126A_.wvu.FilterData" localSheetId="4" hidden="1">'05'!$AT$3:$AT$58</definedName>
    <definedName name="Z_1FCD1FDB_37CC_46E1_B1C5_4F66CDB0126A_.wvu.FilterData" localSheetId="5" hidden="1">'06'!$AS$3:$AS$57</definedName>
    <definedName name="Z_1FCD1FDB_37CC_46E1_B1C5_4F66CDB0126A_.wvu.FilterData" localSheetId="6" hidden="1">'07'!$AU$3:$AU$57</definedName>
    <definedName name="Z_1FCD1FDB_37CC_46E1_B1C5_4F66CDB0126A_.wvu.FilterData" localSheetId="7" hidden="1">'08'!$AT$3:$AT$58</definedName>
    <definedName name="Z_1FCD1FDB_37CC_46E1_B1C5_4F66CDB0126A_.wvu.FilterData" localSheetId="8" hidden="1">'09'!$AS$3:$AS$58</definedName>
    <definedName name="Z_1FCD1FDB_37CC_46E1_B1C5_4F66CDB0126A_.wvu.FilterData" localSheetId="9" hidden="1">'10'!$AT$3:$AT$59</definedName>
    <definedName name="Z_2025BAE0_0E31_47A3_922F_C08FB1FE7B7E_.wvu.FilterData" localSheetId="0" hidden="1">'01'!$AT$3:$AT$58</definedName>
    <definedName name="Z_2025BAE0_0E31_47A3_922F_C08FB1FE7B7E_.wvu.FilterData" localSheetId="1" hidden="1">'02'!$AQ$3:$AQ$58</definedName>
    <definedName name="Z_2025BAE0_0E31_47A3_922F_C08FB1FE7B7E_.wvu.FilterData" localSheetId="2" hidden="1">'03'!$AT$3:$AT$58</definedName>
    <definedName name="Z_2025BAE0_0E31_47A3_922F_C08FB1FE7B7E_.wvu.FilterData" localSheetId="3" hidden="1">'04'!$AS$3:$AS$58</definedName>
    <definedName name="Z_2025BAE0_0E31_47A3_922F_C08FB1FE7B7E_.wvu.FilterData" localSheetId="4" hidden="1">'05'!$AT$3:$AT$57</definedName>
    <definedName name="Z_2025BAE0_0E31_47A3_922F_C08FB1FE7B7E_.wvu.FilterData" localSheetId="5" hidden="1">'06'!$AS$3:$AS$56</definedName>
    <definedName name="Z_2025BAE0_0E31_47A3_922F_C08FB1FE7B7E_.wvu.FilterData" localSheetId="6" hidden="1">'07'!$AU$3:$AU$56</definedName>
    <definedName name="Z_2025BAE0_0E31_47A3_922F_C08FB1FE7B7E_.wvu.FilterData" localSheetId="7" hidden="1">'08'!$AT$3:$AT$57</definedName>
    <definedName name="Z_2025BAE0_0E31_47A3_922F_C08FB1FE7B7E_.wvu.FilterData" localSheetId="8" hidden="1">'09'!$AS$3:$AS$57</definedName>
    <definedName name="Z_2025BAE0_0E31_47A3_922F_C08FB1FE7B7E_.wvu.FilterData" localSheetId="9" hidden="1">'10'!$AT$3:$AT$58</definedName>
    <definedName name="Z_20FEF4CE_2C2F_40FC_8085_3162B84E82A6_.wvu.FilterData" localSheetId="0" hidden="1">'01'!$AT$3:$AT$58</definedName>
    <definedName name="Z_20FEF4CE_2C2F_40FC_8085_3162B84E82A6_.wvu.FilterData" localSheetId="1" hidden="1">'02'!$AQ$3:$AQ$58</definedName>
    <definedName name="Z_20FEF4CE_2C2F_40FC_8085_3162B84E82A6_.wvu.FilterData" localSheetId="2" hidden="1">'03'!$AT$3:$AT$58</definedName>
    <definedName name="Z_20FEF4CE_2C2F_40FC_8085_3162B84E82A6_.wvu.FilterData" localSheetId="3" hidden="1">'04'!$AS$3:$AS$58</definedName>
    <definedName name="Z_20FEF4CE_2C2F_40FC_8085_3162B84E82A6_.wvu.FilterData" localSheetId="4" hidden="1">'05'!$AT$3:$AT$57</definedName>
    <definedName name="Z_20FEF4CE_2C2F_40FC_8085_3162B84E82A6_.wvu.FilterData" localSheetId="5" hidden="1">'06'!$AS$3:$AS$56</definedName>
    <definedName name="Z_20FEF4CE_2C2F_40FC_8085_3162B84E82A6_.wvu.FilterData" localSheetId="6" hidden="1">'07'!$AU$3:$AU$56</definedName>
    <definedName name="Z_20FEF4CE_2C2F_40FC_8085_3162B84E82A6_.wvu.FilterData" localSheetId="7" hidden="1">'08'!$AT$3:$AT$57</definedName>
    <definedName name="Z_20FEF4CE_2C2F_40FC_8085_3162B84E82A6_.wvu.FilterData" localSheetId="8" hidden="1">'09'!$AS$3:$AS$57</definedName>
    <definedName name="Z_20FEF4CE_2C2F_40FC_8085_3162B84E82A6_.wvu.FilterData" localSheetId="9" hidden="1">'10'!$AT$3:$AT$58</definedName>
    <definedName name="Z_21349BC8_BBD6_4D8B_A4D6_F2FC22CA6576_.wvu.FilterData" localSheetId="5" hidden="1">'06'!$AS$3:$AS$57</definedName>
    <definedName name="Z_215FB331_F4B8_4C73_93D7_C18F158B1D31_.wvu.FilterData" localSheetId="0" hidden="1">'01'!$AT$3:$AT$59</definedName>
    <definedName name="Z_215FB331_F4B8_4C73_93D7_C18F158B1D31_.wvu.FilterData" localSheetId="1" hidden="1">'02'!$AQ$3:$AQ$59</definedName>
    <definedName name="Z_215FB331_F4B8_4C73_93D7_C18F158B1D31_.wvu.FilterData" localSheetId="2" hidden="1">'03'!$AT$3:$AT$59</definedName>
    <definedName name="Z_215FB331_F4B8_4C73_93D7_C18F158B1D31_.wvu.FilterData" localSheetId="3" hidden="1">'04'!$AS$3:$AS$59</definedName>
    <definedName name="Z_215FB331_F4B8_4C73_93D7_C18F158B1D31_.wvu.FilterData" localSheetId="4" hidden="1">'05'!$AT$3:$AT$58</definedName>
    <definedName name="Z_215FB331_F4B8_4C73_93D7_C18F158B1D31_.wvu.FilterData" localSheetId="5" hidden="1">'06'!$AS$3:$AS$57</definedName>
    <definedName name="Z_215FB331_F4B8_4C73_93D7_C18F158B1D31_.wvu.FilterData" localSheetId="6" hidden="1">'07'!$AU$3:$AU$57</definedName>
    <definedName name="Z_215FB331_F4B8_4C73_93D7_C18F158B1D31_.wvu.FilterData" localSheetId="7" hidden="1">'08'!$AT$3:$AT$58</definedName>
    <definedName name="Z_215FB331_F4B8_4C73_93D7_C18F158B1D31_.wvu.FilterData" localSheetId="8" hidden="1">'09'!$AS$3:$AS$58</definedName>
    <definedName name="Z_215FB331_F4B8_4C73_93D7_C18F158B1D31_.wvu.FilterData" localSheetId="9" hidden="1">'10'!$AT$3:$AT$59</definedName>
    <definedName name="Z_24ED5ABF_E853_4CF5_890D_C9A1183FB1B7_.wvu.FilterData" localSheetId="0" hidden="1">'01'!$AT$3:$AT$59</definedName>
    <definedName name="Z_24ED5ABF_E853_4CF5_890D_C9A1183FB1B7_.wvu.FilterData" localSheetId="1" hidden="1">'02'!$AQ$3:$AQ$59</definedName>
    <definedName name="Z_24ED5ABF_E853_4CF5_890D_C9A1183FB1B7_.wvu.FilterData" localSheetId="2" hidden="1">'03'!$AT$3:$AT$59</definedName>
    <definedName name="Z_24ED5ABF_E853_4CF5_890D_C9A1183FB1B7_.wvu.FilterData" localSheetId="3" hidden="1">'04'!$AS$3:$AS$59</definedName>
    <definedName name="Z_24ED5ABF_E853_4CF5_890D_C9A1183FB1B7_.wvu.FilterData" localSheetId="4" hidden="1">'05'!$AT$3:$AT$58</definedName>
    <definedName name="Z_24ED5ABF_E853_4CF5_890D_C9A1183FB1B7_.wvu.FilterData" localSheetId="5" hidden="1">'06'!$AS$3:$AS$57</definedName>
    <definedName name="Z_24ED5ABF_E853_4CF5_890D_C9A1183FB1B7_.wvu.FilterData" localSheetId="6" hidden="1">'07'!$AU$3:$AU$57</definedName>
    <definedName name="Z_24ED5ABF_E853_4CF5_890D_C9A1183FB1B7_.wvu.FilterData" localSheetId="7" hidden="1">'08'!$AT$3:$AT$58</definedName>
    <definedName name="Z_24ED5ABF_E853_4CF5_890D_C9A1183FB1B7_.wvu.FilterData" localSheetId="8" hidden="1">'09'!$AS$3:$AS$58</definedName>
    <definedName name="Z_24ED5ABF_E853_4CF5_890D_C9A1183FB1B7_.wvu.FilterData" localSheetId="9" hidden="1">'10'!$AT$3:$AT$59</definedName>
    <definedName name="Z_25A30F85_CD73_4589_B7D2_99E88D9B25B9_.wvu.FilterData" localSheetId="0" hidden="1">'01'!$AT$3:$AT$58</definedName>
    <definedName name="Z_25A30F85_CD73_4589_B7D2_99E88D9B25B9_.wvu.FilterData" localSheetId="1" hidden="1">'02'!$AQ$3:$AQ$58</definedName>
    <definedName name="Z_25A30F85_CD73_4589_B7D2_99E88D9B25B9_.wvu.FilterData" localSheetId="2" hidden="1">'03'!$AT$3:$AT$58</definedName>
    <definedName name="Z_25A30F85_CD73_4589_B7D2_99E88D9B25B9_.wvu.FilterData" localSheetId="3" hidden="1">'04'!$AS$3:$AS$58</definedName>
    <definedName name="Z_25A30F85_CD73_4589_B7D2_99E88D9B25B9_.wvu.FilterData" localSheetId="4" hidden="1">'05'!$AT$3:$AT$57</definedName>
    <definedName name="Z_25A30F85_CD73_4589_B7D2_99E88D9B25B9_.wvu.FilterData" localSheetId="5" hidden="1">'06'!$AS$3:$AS$56</definedName>
    <definedName name="Z_25A30F85_CD73_4589_B7D2_99E88D9B25B9_.wvu.FilterData" localSheetId="6" hidden="1">'07'!$AU$3:$AU$56</definedName>
    <definedName name="Z_25A30F85_CD73_4589_B7D2_99E88D9B25B9_.wvu.FilterData" localSheetId="7" hidden="1">'08'!$AT$3:$AT$57</definedName>
    <definedName name="Z_25A30F85_CD73_4589_B7D2_99E88D9B25B9_.wvu.FilterData" localSheetId="8" hidden="1">'09'!$AS$3:$AS$57</definedName>
    <definedName name="Z_25A30F85_CD73_4589_B7D2_99E88D9B25B9_.wvu.FilterData" localSheetId="9" hidden="1">'10'!$AT$3:$AT$58</definedName>
    <definedName name="Z_25AD20A1_C606_49E1_A479_0FA4B034B4F2_.wvu.FilterData" localSheetId="0" hidden="1">'01'!$AT$3:$AT$59</definedName>
    <definedName name="Z_25AD20A1_C606_49E1_A479_0FA4B034B4F2_.wvu.FilterData" localSheetId="1" hidden="1">'02'!$AQ$3:$AQ$59</definedName>
    <definedName name="Z_25AD20A1_C606_49E1_A479_0FA4B034B4F2_.wvu.FilterData" localSheetId="2" hidden="1">'03'!$AT$3:$AT$59</definedName>
    <definedName name="Z_25AD20A1_C606_49E1_A479_0FA4B034B4F2_.wvu.FilterData" localSheetId="3" hidden="1">'04'!$AS$3:$AS$59</definedName>
    <definedName name="Z_25AD20A1_C606_49E1_A479_0FA4B034B4F2_.wvu.FilterData" localSheetId="4" hidden="1">'05'!$AT$3:$AT$58</definedName>
    <definedName name="Z_25AD20A1_C606_49E1_A479_0FA4B034B4F2_.wvu.FilterData" localSheetId="5" hidden="1">'06'!$AS$3:$AS$57</definedName>
    <definedName name="Z_25AD20A1_C606_49E1_A479_0FA4B034B4F2_.wvu.FilterData" localSheetId="6" hidden="1">'07'!$AU$3:$AU$57</definedName>
    <definedName name="Z_25AD20A1_C606_49E1_A479_0FA4B034B4F2_.wvu.FilterData" localSheetId="7" hidden="1">'08'!$AT$3:$AT$58</definedName>
    <definedName name="Z_25AD20A1_C606_49E1_A479_0FA4B034B4F2_.wvu.FilterData" localSheetId="8" hidden="1">'09'!$AS$3:$AS$58</definedName>
    <definedName name="Z_25AD20A1_C606_49E1_A479_0FA4B034B4F2_.wvu.FilterData" localSheetId="9" hidden="1">'10'!$AT$3:$AT$59</definedName>
    <definedName name="Z_26A536E7_5BE3_4856_8723_7CE1518D2F8B_.wvu.FilterData" localSheetId="6" hidden="1">'07'!$AU$3:$AU$57</definedName>
    <definedName name="Z_26A536E7_5BE3_4856_8723_7CE1518D2F8B_.wvu.FilterData" localSheetId="7" hidden="1">'08'!$AT$3:$AT$58</definedName>
    <definedName name="Z_26A536E7_5BE3_4856_8723_7CE1518D2F8B_.wvu.FilterData" localSheetId="8" hidden="1">'09'!$AS$3:$AS$58</definedName>
    <definedName name="Z_26A536E7_5BE3_4856_8723_7CE1518D2F8B_.wvu.FilterData" localSheetId="9" hidden="1">'10'!$AT$3:$AT$59</definedName>
    <definedName name="Z_26FBF2C7_1446_4208_B073_E5207214085A_.wvu.FilterData" localSheetId="0" hidden="1">'01'!$AT$3:$AT$58</definedName>
    <definedName name="Z_26FBF2C7_1446_4208_B073_E5207214085A_.wvu.FilterData" localSheetId="1" hidden="1">'02'!$AQ$3:$AQ$58</definedName>
    <definedName name="Z_26FBF2C7_1446_4208_B073_E5207214085A_.wvu.FilterData" localSheetId="2" hidden="1">'03'!$AT$3:$AT$58</definedName>
    <definedName name="Z_26FBF2C7_1446_4208_B073_E5207214085A_.wvu.FilterData" localSheetId="3" hidden="1">'04'!$AS$3:$AS$58</definedName>
    <definedName name="Z_26FBF2C7_1446_4208_B073_E5207214085A_.wvu.FilterData" localSheetId="4" hidden="1">'05'!$AT$3:$AT$57</definedName>
    <definedName name="Z_26FBF2C7_1446_4208_B073_E5207214085A_.wvu.FilterData" localSheetId="5" hidden="1">'06'!$AS$3:$AS$56</definedName>
    <definedName name="Z_26FBF2C7_1446_4208_B073_E5207214085A_.wvu.FilterData" localSheetId="6" hidden="1">'07'!$AU$3:$AU$56</definedName>
    <definedName name="Z_26FBF2C7_1446_4208_B073_E5207214085A_.wvu.FilterData" localSheetId="7" hidden="1">'08'!$AT$3:$AT$57</definedName>
    <definedName name="Z_26FBF2C7_1446_4208_B073_E5207214085A_.wvu.FilterData" localSheetId="8" hidden="1">'09'!$AS$3:$AS$57</definedName>
    <definedName name="Z_26FBF2C7_1446_4208_B073_E5207214085A_.wvu.FilterData" localSheetId="9" hidden="1">'10'!$AT$3:$AT$58</definedName>
    <definedName name="Z_2725E8C4_863F_43F1_9950_3CD7C22DE9EF_.wvu.FilterData" localSheetId="1" hidden="1">'02'!$AQ$3:$AQ$60</definedName>
    <definedName name="Z_27C8DD29_AB51_423B_8F68_C2DCE1875097_.wvu.FilterData" localSheetId="0" hidden="1">'01'!$AT$3:$AT$59</definedName>
    <definedName name="Z_27C8DD29_AB51_423B_8F68_C2DCE1875097_.wvu.FilterData" localSheetId="1" hidden="1">'02'!$AQ$3:$AQ$59</definedName>
    <definedName name="Z_27C8DD29_AB51_423B_8F68_C2DCE1875097_.wvu.FilterData" localSheetId="2" hidden="1">'03'!$AT$3:$AT$59</definedName>
    <definedName name="Z_27C8DD29_AB51_423B_8F68_C2DCE1875097_.wvu.FilterData" localSheetId="3" hidden="1">'04'!$AS$3:$AS$59</definedName>
    <definedName name="Z_27C8DD29_AB51_423B_8F68_C2DCE1875097_.wvu.FilterData" localSheetId="4" hidden="1">'05'!$AT$3:$AT$58</definedName>
    <definedName name="Z_27C8DD29_AB51_423B_8F68_C2DCE1875097_.wvu.FilterData" localSheetId="5" hidden="1">'06'!$AS$3:$AS$57</definedName>
    <definedName name="Z_27C8DD29_AB51_423B_8F68_C2DCE1875097_.wvu.FilterData" localSheetId="6" hidden="1">'07'!$AU$3:$AU$57</definedName>
    <definedName name="Z_27C8DD29_AB51_423B_8F68_C2DCE1875097_.wvu.FilterData" localSheetId="7" hidden="1">'08'!$AT$3:$AT$58</definedName>
    <definedName name="Z_27C8DD29_AB51_423B_8F68_C2DCE1875097_.wvu.FilterData" localSheetId="8" hidden="1">'09'!$AS$3:$AS$58</definedName>
    <definedName name="Z_27C8DD29_AB51_423B_8F68_C2DCE1875097_.wvu.FilterData" localSheetId="9" hidden="1">'10'!$AT$3:$AT$59</definedName>
    <definedName name="Z_28C44B00_696A_44A0_8605_2CB6C4AC31DB_.wvu.FilterData" localSheetId="0" hidden="1">'01'!$AT$3:$AT$59</definedName>
    <definedName name="Z_28C44B00_696A_44A0_8605_2CB6C4AC31DB_.wvu.FilterData" localSheetId="1" hidden="1">'02'!$AQ$3:$AQ$59</definedName>
    <definedName name="Z_28C44B00_696A_44A0_8605_2CB6C4AC31DB_.wvu.FilterData" localSheetId="2" hidden="1">'03'!$AT$3:$AT$59</definedName>
    <definedName name="Z_28C44B00_696A_44A0_8605_2CB6C4AC31DB_.wvu.FilterData" localSheetId="3" hidden="1">'04'!$AS$3:$AS$59</definedName>
    <definedName name="Z_28C44B00_696A_44A0_8605_2CB6C4AC31DB_.wvu.FilterData" localSheetId="4" hidden="1">'05'!$AT$3:$AT$58</definedName>
    <definedName name="Z_28C44B00_696A_44A0_8605_2CB6C4AC31DB_.wvu.FilterData" localSheetId="5" hidden="1">'06'!$AS$3:$AS$57</definedName>
    <definedName name="Z_28C44B00_696A_44A0_8605_2CB6C4AC31DB_.wvu.FilterData" localSheetId="6" hidden="1">'07'!$AU$3:$AU$57</definedName>
    <definedName name="Z_28C44B00_696A_44A0_8605_2CB6C4AC31DB_.wvu.FilterData" localSheetId="7" hidden="1">'08'!$AT$3:$AT$58</definedName>
    <definedName name="Z_28C44B00_696A_44A0_8605_2CB6C4AC31DB_.wvu.FilterData" localSheetId="8" hidden="1">'09'!$AS$3:$AS$58</definedName>
    <definedName name="Z_28C44B00_696A_44A0_8605_2CB6C4AC31DB_.wvu.FilterData" localSheetId="9" hidden="1">'10'!$AT$3:$AT$59</definedName>
    <definedName name="Z_29DF720A_9CD6_4682_B52F_39944C723977_.wvu.FilterData" localSheetId="9" hidden="1">'10'!$AT$3:$AT$59</definedName>
    <definedName name="Z_2A29B745_D387_4E04_9B34_E57A23AC14D9_.wvu.FilterData" localSheetId="2" hidden="1">'03'!$AT$3:$AT$59</definedName>
    <definedName name="Z_2A29B745_D387_4E04_9B34_E57A23AC14D9_.wvu.FilterData" localSheetId="3" hidden="1">'04'!$AS$3:$AS$59</definedName>
    <definedName name="Z_2A29B745_D387_4E04_9B34_E57A23AC14D9_.wvu.FilterData" localSheetId="4" hidden="1">'05'!$AT$3:$AT$58</definedName>
    <definedName name="Z_2A29B745_D387_4E04_9B34_E57A23AC14D9_.wvu.FilterData" localSheetId="5" hidden="1">'06'!$AS$3:$AS$57</definedName>
    <definedName name="Z_2A29B745_D387_4E04_9B34_E57A23AC14D9_.wvu.FilterData" localSheetId="6" hidden="1">'07'!$AU$3:$AU$57</definedName>
    <definedName name="Z_2A29B745_D387_4E04_9B34_E57A23AC14D9_.wvu.FilterData" localSheetId="7" hidden="1">'08'!$AT$3:$AT$58</definedName>
    <definedName name="Z_2A29B745_D387_4E04_9B34_E57A23AC14D9_.wvu.FilterData" localSheetId="8" hidden="1">'09'!$AS$3:$AS$58</definedName>
    <definedName name="Z_2A29B745_D387_4E04_9B34_E57A23AC14D9_.wvu.FilterData" localSheetId="9" hidden="1">'10'!$AT$3:$AT$59</definedName>
    <definedName name="Z_2A803CFC_1238_4860_BC4F_A4B1D52BA5CC_.wvu.FilterData" localSheetId="5" hidden="1">'06'!$AS$3:$AS$57</definedName>
    <definedName name="Z_2B9666EB_F086_4648_8B1C_C479BD1040AE_.wvu.FilterData" localSheetId="0" hidden="1">'01'!$AT$3:$AT$59</definedName>
    <definedName name="Z_2B9666EB_F086_4648_8B1C_C479BD1040AE_.wvu.FilterData" localSheetId="2" hidden="1">'03'!$AT$3:$AT$59</definedName>
    <definedName name="Z_2B9666EB_F086_4648_8B1C_C479BD1040AE_.wvu.FilterData" localSheetId="3" hidden="1">'04'!$AS$3:$AS$59</definedName>
    <definedName name="Z_2B9666EB_F086_4648_8B1C_C479BD1040AE_.wvu.FilterData" localSheetId="4" hidden="1">'05'!$AT$3:$AT$58</definedName>
    <definedName name="Z_2B9666EB_F086_4648_8B1C_C479BD1040AE_.wvu.FilterData" localSheetId="5" hidden="1">'06'!$AS$3:$AS$57</definedName>
    <definedName name="Z_2B9666EB_F086_4648_8B1C_C479BD1040AE_.wvu.FilterData" localSheetId="6" hidden="1">'07'!$AU$3:$AU$57</definedName>
    <definedName name="Z_2B9666EB_F086_4648_8B1C_C479BD1040AE_.wvu.FilterData" localSheetId="7" hidden="1">'08'!$AT$3:$AT$58</definedName>
    <definedName name="Z_2B9666EB_F086_4648_8B1C_C479BD1040AE_.wvu.FilterData" localSheetId="8" hidden="1">'09'!$AS$3:$AS$58</definedName>
    <definedName name="Z_2B9666EB_F086_4648_8B1C_C479BD1040AE_.wvu.FilterData" localSheetId="9" hidden="1">'10'!$AT$3:$AT$59</definedName>
    <definedName name="Z_2C4AEE69_0064_4180_990E_C17202408966_.wvu.FilterData" localSheetId="0" hidden="1">'01'!$AT$3:$AT$59</definedName>
    <definedName name="Z_2C4AEE69_0064_4180_990E_C17202408966_.wvu.FilterData" localSheetId="2" hidden="1">'03'!$AT$3:$AT$59</definedName>
    <definedName name="Z_2C4AEE69_0064_4180_990E_C17202408966_.wvu.FilterData" localSheetId="3" hidden="1">'04'!$AS$3:$AS$59</definedName>
    <definedName name="Z_2C4AEE69_0064_4180_990E_C17202408966_.wvu.FilterData" localSheetId="4" hidden="1">'05'!$AT$3:$AT$58</definedName>
    <definedName name="Z_2C4AEE69_0064_4180_990E_C17202408966_.wvu.FilterData" localSheetId="5" hidden="1">'06'!$AS$3:$AS$57</definedName>
    <definedName name="Z_2C4AEE69_0064_4180_990E_C17202408966_.wvu.FilterData" localSheetId="6" hidden="1">'07'!$AU$3:$AU$57</definedName>
    <definedName name="Z_2C4AEE69_0064_4180_990E_C17202408966_.wvu.FilterData" localSheetId="7" hidden="1">'08'!$AT$3:$AT$58</definedName>
    <definedName name="Z_2C4AEE69_0064_4180_990E_C17202408966_.wvu.FilterData" localSheetId="8" hidden="1">'09'!$AS$3:$AS$58</definedName>
    <definedName name="Z_2C4AEE69_0064_4180_990E_C17202408966_.wvu.FilterData" localSheetId="9" hidden="1">'10'!$AT$3:$AT$59</definedName>
    <definedName name="Z_2C6CBA2F_0916_41DB_BBE9_60394F863A8C_.wvu.FilterData" localSheetId="0" hidden="1">'01'!$AT$3:$AT$58</definedName>
    <definedName name="Z_2C6CBA2F_0916_41DB_BBE9_60394F863A8C_.wvu.FilterData" localSheetId="1" hidden="1">'02'!$AQ$3:$AQ$58</definedName>
    <definedName name="Z_2C6CBA2F_0916_41DB_BBE9_60394F863A8C_.wvu.FilterData" localSheetId="2" hidden="1">'03'!$AT$3:$AT$58</definedName>
    <definedName name="Z_2C6CBA2F_0916_41DB_BBE9_60394F863A8C_.wvu.FilterData" localSheetId="3" hidden="1">'04'!$AS$3:$AS$58</definedName>
    <definedName name="Z_2C6CBA2F_0916_41DB_BBE9_60394F863A8C_.wvu.FilterData" localSheetId="4" hidden="1">'05'!$AT$3:$AT$57</definedName>
    <definedName name="Z_2C6CBA2F_0916_41DB_BBE9_60394F863A8C_.wvu.FilterData" localSheetId="5" hidden="1">'06'!$AS$3:$AS$56</definedName>
    <definedName name="Z_2C6CBA2F_0916_41DB_BBE9_60394F863A8C_.wvu.FilterData" localSheetId="6" hidden="1">'07'!$AU$3:$AU$56</definedName>
    <definedName name="Z_2C6CBA2F_0916_41DB_BBE9_60394F863A8C_.wvu.FilterData" localSheetId="7" hidden="1">'08'!$AT$3:$AT$57</definedName>
    <definedName name="Z_2C6CBA2F_0916_41DB_BBE9_60394F863A8C_.wvu.FilterData" localSheetId="8" hidden="1">'09'!$AS$3:$AS$57</definedName>
    <definedName name="Z_2C6CBA2F_0916_41DB_BBE9_60394F863A8C_.wvu.FilterData" localSheetId="9" hidden="1">'10'!$AT$3:$AT$58</definedName>
    <definedName name="Z_2D29B0D3_5CF8_4740_95D3_C5593FB28625_.wvu.FilterData" localSheetId="0" hidden="1">'01'!$AT$3:$AT$59</definedName>
    <definedName name="Z_2D29B0D3_5CF8_4740_95D3_C5593FB28625_.wvu.FilterData" localSheetId="1" hidden="1">'02'!$AQ$3:$AQ$59</definedName>
    <definedName name="Z_2D29B0D3_5CF8_4740_95D3_C5593FB28625_.wvu.FilterData" localSheetId="2" hidden="1">'03'!$AT$3:$AT$59</definedName>
    <definedName name="Z_2D29B0D3_5CF8_4740_95D3_C5593FB28625_.wvu.FilterData" localSheetId="3" hidden="1">'04'!$AS$3:$AS$59</definedName>
    <definedName name="Z_2D29B0D3_5CF8_4740_95D3_C5593FB28625_.wvu.FilterData" localSheetId="4" hidden="1">'05'!$AT$3:$AT$58</definedName>
    <definedName name="Z_2D29B0D3_5CF8_4740_95D3_C5593FB28625_.wvu.FilterData" localSheetId="5" hidden="1">'06'!$AS$3:$AS$57</definedName>
    <definedName name="Z_2D29B0D3_5CF8_4740_95D3_C5593FB28625_.wvu.FilterData" localSheetId="6" hidden="1">'07'!$AU$3:$AU$57</definedName>
    <definedName name="Z_2D29B0D3_5CF8_4740_95D3_C5593FB28625_.wvu.FilterData" localSheetId="7" hidden="1">'08'!$AT$3:$AT$58</definedName>
    <definedName name="Z_2D29B0D3_5CF8_4740_95D3_C5593FB28625_.wvu.FilterData" localSheetId="8" hidden="1">'09'!$AS$3:$AS$58</definedName>
    <definedName name="Z_2D29B0D3_5CF8_4740_95D3_C5593FB28625_.wvu.FilterData" localSheetId="9" hidden="1">'10'!$AT$3:$AT$59</definedName>
    <definedName name="Z_2E8E3422_FD1D_40D9_83F0_DF4EB0C7BD8E_.wvu.FilterData" localSheetId="0" hidden="1">'01'!$AT$3:$AT$59</definedName>
    <definedName name="Z_2E8E3422_FD1D_40D9_83F0_DF4EB0C7BD8E_.wvu.FilterData" localSheetId="1" hidden="1">'02'!$AQ$3:$AQ$59</definedName>
    <definedName name="Z_2E8E3422_FD1D_40D9_83F0_DF4EB0C7BD8E_.wvu.FilterData" localSheetId="2" hidden="1">'03'!$AT$3:$AT$59</definedName>
    <definedName name="Z_2E8E3422_FD1D_40D9_83F0_DF4EB0C7BD8E_.wvu.FilterData" localSheetId="3" hidden="1">'04'!$AS$3:$AS$59</definedName>
    <definedName name="Z_2E8E3422_FD1D_40D9_83F0_DF4EB0C7BD8E_.wvu.FilterData" localSheetId="4" hidden="1">'05'!$AT$3:$AT$58</definedName>
    <definedName name="Z_2E8E3422_FD1D_40D9_83F0_DF4EB0C7BD8E_.wvu.FilterData" localSheetId="5" hidden="1">'06'!$AS$3:$AS$57</definedName>
    <definedName name="Z_2E8E3422_FD1D_40D9_83F0_DF4EB0C7BD8E_.wvu.FilterData" localSheetId="6" hidden="1">'07'!$AU$3:$AU$57</definedName>
    <definedName name="Z_2E8E3422_FD1D_40D9_83F0_DF4EB0C7BD8E_.wvu.FilterData" localSheetId="7" hidden="1">'08'!$AT$3:$AT$58</definedName>
    <definedName name="Z_2E8E3422_FD1D_40D9_83F0_DF4EB0C7BD8E_.wvu.FilterData" localSheetId="8" hidden="1">'09'!$AS$3:$AS$58</definedName>
    <definedName name="Z_2E8E3422_FD1D_40D9_83F0_DF4EB0C7BD8E_.wvu.FilterData" localSheetId="9" hidden="1">'10'!$AT$3:$AT$59</definedName>
    <definedName name="Z_2ED81BCC_6793_4A28_A933_FBE69690D335_.wvu.FilterData" localSheetId="2" hidden="1">'03'!$AT$3:$AT$59</definedName>
    <definedName name="Z_2ED81BCC_6793_4A28_A933_FBE69690D335_.wvu.FilterData" localSheetId="3" hidden="1">'04'!$AS$3:$AS$59</definedName>
    <definedName name="Z_2ED81BCC_6793_4A28_A933_FBE69690D335_.wvu.FilterData" localSheetId="4" hidden="1">'05'!$AT$3:$AT$58</definedName>
    <definedName name="Z_2ED81BCC_6793_4A28_A933_FBE69690D335_.wvu.FilterData" localSheetId="5" hidden="1">'06'!$AS$3:$AS$57</definedName>
    <definedName name="Z_2ED81BCC_6793_4A28_A933_FBE69690D335_.wvu.FilterData" localSheetId="6" hidden="1">'07'!$AU$3:$AU$57</definedName>
    <definedName name="Z_2ED81BCC_6793_4A28_A933_FBE69690D335_.wvu.FilterData" localSheetId="7" hidden="1">'08'!$AT$3:$AT$58</definedName>
    <definedName name="Z_2ED81BCC_6793_4A28_A933_FBE69690D335_.wvu.FilterData" localSheetId="8" hidden="1">'09'!$AS$3:$AS$58</definedName>
    <definedName name="Z_2ED81BCC_6793_4A28_A933_FBE69690D335_.wvu.FilterData" localSheetId="9" hidden="1">'10'!$AT$3:$AT$59</definedName>
    <definedName name="Z_2F3AAB35_BB59_4FDB_A90F_8EC461800ECD_.wvu.FilterData" localSheetId="0" hidden="1">'01'!$AT$3:$AT$59</definedName>
    <definedName name="Z_2F3AAB35_BB59_4FDB_A90F_8EC461800ECD_.wvu.FilterData" localSheetId="1" hidden="1">'02'!$AQ$3:$AQ$59</definedName>
    <definedName name="Z_2F3AAB35_BB59_4FDB_A90F_8EC461800ECD_.wvu.FilterData" localSheetId="2" hidden="1">'03'!$AT$3:$AT$59</definedName>
    <definedName name="Z_2F3AAB35_BB59_4FDB_A90F_8EC461800ECD_.wvu.FilterData" localSheetId="3" hidden="1">'04'!$AS$3:$AS$59</definedName>
    <definedName name="Z_2F3AAB35_BB59_4FDB_A90F_8EC461800ECD_.wvu.FilterData" localSheetId="4" hidden="1">'05'!$AT$3:$AT$58</definedName>
    <definedName name="Z_2F3AAB35_BB59_4FDB_A90F_8EC461800ECD_.wvu.FilterData" localSheetId="5" hidden="1">'06'!$AS$3:$AS$57</definedName>
    <definedName name="Z_2F3AAB35_BB59_4FDB_A90F_8EC461800ECD_.wvu.FilterData" localSheetId="6" hidden="1">'07'!$AU$3:$AU$57</definedName>
    <definedName name="Z_2F3AAB35_BB59_4FDB_A90F_8EC461800ECD_.wvu.FilterData" localSheetId="7" hidden="1">'08'!$AT$3:$AT$58</definedName>
    <definedName name="Z_2F3AAB35_BB59_4FDB_A90F_8EC461800ECD_.wvu.FilterData" localSheetId="8" hidden="1">'09'!$AS$3:$AS$58</definedName>
    <definedName name="Z_2F3AAB35_BB59_4FDB_A90F_8EC461800ECD_.wvu.FilterData" localSheetId="9" hidden="1">'10'!$AT$3:$AT$59</definedName>
    <definedName name="Z_2FB248F3_F4F7_4123_9E21_62CB9841921D_.wvu.FilterData" localSheetId="0" hidden="1">'01'!$AT$3:$AT$58</definedName>
    <definedName name="Z_2FB248F3_F4F7_4123_9E21_62CB9841921D_.wvu.FilterData" localSheetId="1" hidden="1">'02'!$AQ$3:$AQ$58</definedName>
    <definedName name="Z_2FB248F3_F4F7_4123_9E21_62CB9841921D_.wvu.FilterData" localSheetId="2" hidden="1">'03'!$AT$3:$AT$58</definedName>
    <definedName name="Z_2FB248F3_F4F7_4123_9E21_62CB9841921D_.wvu.FilterData" localSheetId="3" hidden="1">'04'!$AS$3:$AS$58</definedName>
    <definedName name="Z_2FB248F3_F4F7_4123_9E21_62CB9841921D_.wvu.FilterData" localSheetId="4" hidden="1">'05'!$AT$3:$AT$57</definedName>
    <definedName name="Z_2FB248F3_F4F7_4123_9E21_62CB9841921D_.wvu.FilterData" localSheetId="5" hidden="1">'06'!$AS$3:$AS$56</definedName>
    <definedName name="Z_2FB248F3_F4F7_4123_9E21_62CB9841921D_.wvu.FilterData" localSheetId="6" hidden="1">'07'!$AU$3:$AU$56</definedName>
    <definedName name="Z_2FB248F3_F4F7_4123_9E21_62CB9841921D_.wvu.FilterData" localSheetId="7" hidden="1">'08'!$AT$3:$AT$57</definedName>
    <definedName name="Z_2FB248F3_F4F7_4123_9E21_62CB9841921D_.wvu.FilterData" localSheetId="8" hidden="1">'09'!$AS$3:$AS$57</definedName>
    <definedName name="Z_2FB248F3_F4F7_4123_9E21_62CB9841921D_.wvu.FilterData" localSheetId="9" hidden="1">'10'!$AT$3:$AT$58</definedName>
    <definedName name="Z_30706BB5_7338_4344_BD99_439355E72F08_.wvu.FilterData" localSheetId="0" hidden="1">'01'!$AT$3:$AT$58</definedName>
    <definedName name="Z_30706BB5_7338_4344_BD99_439355E72F08_.wvu.FilterData" localSheetId="1" hidden="1">'02'!$AQ$3:$AQ$58</definedName>
    <definedName name="Z_30706BB5_7338_4344_BD99_439355E72F08_.wvu.FilterData" localSheetId="2" hidden="1">'03'!$AT$3:$AT$58</definedName>
    <definedName name="Z_30706BB5_7338_4344_BD99_439355E72F08_.wvu.FilterData" localSheetId="3" hidden="1">'04'!$AS$3:$AS$58</definedName>
    <definedName name="Z_30706BB5_7338_4344_BD99_439355E72F08_.wvu.FilterData" localSheetId="4" hidden="1">'05'!$AT$3:$AT$57</definedName>
    <definedName name="Z_30706BB5_7338_4344_BD99_439355E72F08_.wvu.FilterData" localSheetId="5" hidden="1">'06'!$AS$3:$AS$56</definedName>
    <definedName name="Z_30706BB5_7338_4344_BD99_439355E72F08_.wvu.FilterData" localSheetId="6" hidden="1">'07'!$AU$3:$AU$56</definedName>
    <definedName name="Z_30706BB5_7338_4344_BD99_439355E72F08_.wvu.FilterData" localSheetId="7" hidden="1">'08'!$AT$3:$AT$57</definedName>
    <definedName name="Z_30706BB5_7338_4344_BD99_439355E72F08_.wvu.FilterData" localSheetId="8" hidden="1">'09'!$AS$3:$AS$57</definedName>
    <definedName name="Z_30706BB5_7338_4344_BD99_439355E72F08_.wvu.FilterData" localSheetId="9" hidden="1">'10'!$AT$3:$AT$58</definedName>
    <definedName name="Z_307D3201_5666_425B_B5A1_5E1F02EDE8D4_.wvu.FilterData" localSheetId="6" hidden="1">'07'!$AU$3:$AU$57</definedName>
    <definedName name="Z_307D3201_5666_425B_B5A1_5E1F02EDE8D4_.wvu.FilterData" localSheetId="7" hidden="1">'08'!$AT$3:$AT$58</definedName>
    <definedName name="Z_307D3201_5666_425B_B5A1_5E1F02EDE8D4_.wvu.FilterData" localSheetId="8" hidden="1">'09'!$AS$3:$AS$58</definedName>
    <definedName name="Z_307D3201_5666_425B_B5A1_5E1F02EDE8D4_.wvu.FilterData" localSheetId="9" hidden="1">'10'!$AT$3:$AT$59</definedName>
    <definedName name="Z_30C4E593_CBE6_4671_A3D2_828E477A8888_.wvu.FilterData" localSheetId="5" hidden="1">'06'!$AS$3:$AS$57</definedName>
    <definedName name="Z_30C4E593_CBE6_4671_A3D2_828E477A8888_.wvu.FilterData" localSheetId="6" hidden="1">'07'!$AU$3:$AU$57</definedName>
    <definedName name="Z_30C4E593_CBE6_4671_A3D2_828E477A8888_.wvu.FilterData" localSheetId="7" hidden="1">'08'!$AT$3:$AT$58</definedName>
    <definedName name="Z_30C4E593_CBE6_4671_A3D2_828E477A8888_.wvu.FilterData" localSheetId="8" hidden="1">'09'!$AS$3:$AS$58</definedName>
    <definedName name="Z_30C4E593_CBE6_4671_A3D2_828E477A8888_.wvu.FilterData" localSheetId="9" hidden="1">'10'!$AT$3:$AT$59</definedName>
    <definedName name="Z_3157C34D_724D_4888_95A0_74FF121C40EC_.wvu.FilterData" localSheetId="0" hidden="1">'01'!$AT$3:$AT$59</definedName>
    <definedName name="Z_3157C34D_724D_4888_95A0_74FF121C40EC_.wvu.FilterData" localSheetId="1" hidden="1">'02'!$AQ$3:$AQ$59</definedName>
    <definedName name="Z_3157C34D_724D_4888_95A0_74FF121C40EC_.wvu.FilterData" localSheetId="2" hidden="1">'03'!$AT$3:$AT$59</definedName>
    <definedName name="Z_3157C34D_724D_4888_95A0_74FF121C40EC_.wvu.FilterData" localSheetId="3" hidden="1">'04'!$AS$3:$AS$59</definedName>
    <definedName name="Z_3157C34D_724D_4888_95A0_74FF121C40EC_.wvu.FilterData" localSheetId="4" hidden="1">'05'!$AT$3:$AT$58</definedName>
    <definedName name="Z_3157C34D_724D_4888_95A0_74FF121C40EC_.wvu.FilterData" localSheetId="5" hidden="1">'06'!$AS$3:$AS$57</definedName>
    <definedName name="Z_3157C34D_724D_4888_95A0_74FF121C40EC_.wvu.FilterData" localSheetId="6" hidden="1">'07'!$AU$3:$AU$57</definedName>
    <definedName name="Z_3157C34D_724D_4888_95A0_74FF121C40EC_.wvu.FilterData" localSheetId="7" hidden="1">'08'!$AT$3:$AT$58</definedName>
    <definedName name="Z_3157C34D_724D_4888_95A0_74FF121C40EC_.wvu.FilterData" localSheetId="8" hidden="1">'09'!$AS$3:$AS$58</definedName>
    <definedName name="Z_3157C34D_724D_4888_95A0_74FF121C40EC_.wvu.FilterData" localSheetId="9" hidden="1">'10'!$AT$3:$AT$59</definedName>
    <definedName name="Z_31CD5D02_2399_4C22_9466_83616935267A_.wvu.FilterData" localSheetId="3" hidden="1">'04'!$AS$3:$AS$59</definedName>
    <definedName name="Z_322F797F_01E3_4854_9AD1_8929AD426EDE_.wvu.FilterData" localSheetId="0" hidden="1">'01'!$AT$3:$AT$58</definedName>
    <definedName name="Z_322F797F_01E3_4854_9AD1_8929AD426EDE_.wvu.FilterData" localSheetId="1" hidden="1">'02'!$AQ$3:$AQ$58</definedName>
    <definedName name="Z_322F797F_01E3_4854_9AD1_8929AD426EDE_.wvu.FilterData" localSheetId="2" hidden="1">'03'!$AT$3:$AT$58</definedName>
    <definedName name="Z_322F797F_01E3_4854_9AD1_8929AD426EDE_.wvu.FilterData" localSheetId="3" hidden="1">'04'!$AS$3:$AS$58</definedName>
    <definedName name="Z_322F797F_01E3_4854_9AD1_8929AD426EDE_.wvu.FilterData" localSheetId="4" hidden="1">'05'!$AT$3:$AT$57</definedName>
    <definedName name="Z_322F797F_01E3_4854_9AD1_8929AD426EDE_.wvu.FilterData" localSheetId="5" hidden="1">'06'!$AS$3:$AS$56</definedName>
    <definedName name="Z_322F797F_01E3_4854_9AD1_8929AD426EDE_.wvu.FilterData" localSheetId="6" hidden="1">'07'!$AU$3:$AU$56</definedName>
    <definedName name="Z_322F797F_01E3_4854_9AD1_8929AD426EDE_.wvu.FilterData" localSheetId="7" hidden="1">'08'!$AT$3:$AT$57</definedName>
    <definedName name="Z_322F797F_01E3_4854_9AD1_8929AD426EDE_.wvu.FilterData" localSheetId="8" hidden="1">'09'!$AS$3:$AS$57</definedName>
    <definedName name="Z_322F797F_01E3_4854_9AD1_8929AD426EDE_.wvu.FilterData" localSheetId="9" hidden="1">'10'!$AT$3:$AT$58</definedName>
    <definedName name="Z_345DBDDC_69DA_4A33_BA0D_9165315DBB1D_.wvu.FilterData" localSheetId="2" hidden="1">'03'!$AT$3:$AT$59</definedName>
    <definedName name="Z_345DBDDC_69DA_4A33_BA0D_9165315DBB1D_.wvu.FilterData" localSheetId="3" hidden="1">'04'!$AS$3:$AS$59</definedName>
    <definedName name="Z_345DBDDC_69DA_4A33_BA0D_9165315DBB1D_.wvu.FilterData" localSheetId="4" hidden="1">'05'!$AT$3:$AT$58</definedName>
    <definedName name="Z_345DBDDC_69DA_4A33_BA0D_9165315DBB1D_.wvu.FilterData" localSheetId="5" hidden="1">'06'!$AS$3:$AS$57</definedName>
    <definedName name="Z_345DBDDC_69DA_4A33_BA0D_9165315DBB1D_.wvu.FilterData" localSheetId="6" hidden="1">'07'!$AU$3:$AU$57</definedName>
    <definedName name="Z_345DBDDC_69DA_4A33_BA0D_9165315DBB1D_.wvu.FilterData" localSheetId="7" hidden="1">'08'!$AT$3:$AT$58</definedName>
    <definedName name="Z_345DBDDC_69DA_4A33_BA0D_9165315DBB1D_.wvu.FilterData" localSheetId="8" hidden="1">'09'!$AS$3:$AS$58</definedName>
    <definedName name="Z_345DBDDC_69DA_4A33_BA0D_9165315DBB1D_.wvu.FilterData" localSheetId="9" hidden="1">'10'!$AT$3:$AT$59</definedName>
    <definedName name="Z_35A2938B_7E4B_4058_9F58_C7994E8623C2_.wvu.FilterData" localSheetId="0" hidden="1">'01'!$AT$3:$AT$58</definedName>
    <definedName name="Z_35A2938B_7E4B_4058_9F58_C7994E8623C2_.wvu.FilterData" localSheetId="1" hidden="1">'02'!$AQ$3:$AQ$58</definedName>
    <definedName name="Z_35A2938B_7E4B_4058_9F58_C7994E8623C2_.wvu.FilterData" localSheetId="2" hidden="1">'03'!$AT$3:$AT$58</definedName>
    <definedName name="Z_35A2938B_7E4B_4058_9F58_C7994E8623C2_.wvu.FilterData" localSheetId="3" hidden="1">'04'!$AS$3:$AS$58</definedName>
    <definedName name="Z_35A2938B_7E4B_4058_9F58_C7994E8623C2_.wvu.FilterData" localSheetId="4" hidden="1">'05'!$AT$3:$AT$57</definedName>
    <definedName name="Z_35A2938B_7E4B_4058_9F58_C7994E8623C2_.wvu.FilterData" localSheetId="5" hidden="1">'06'!$AS$3:$AS$56</definedName>
    <definedName name="Z_35A2938B_7E4B_4058_9F58_C7994E8623C2_.wvu.FilterData" localSheetId="6" hidden="1">'07'!$AU$3:$AU$56</definedName>
    <definedName name="Z_35A2938B_7E4B_4058_9F58_C7994E8623C2_.wvu.FilterData" localSheetId="7" hidden="1">'08'!$AT$3:$AT$57</definedName>
    <definedName name="Z_35A2938B_7E4B_4058_9F58_C7994E8623C2_.wvu.FilterData" localSheetId="8" hidden="1">'09'!$AS$3:$AS$57</definedName>
    <definedName name="Z_35A2938B_7E4B_4058_9F58_C7994E8623C2_.wvu.FilterData" localSheetId="9" hidden="1">'10'!$AT$3:$AT$58</definedName>
    <definedName name="Z_3749838F_19A4_47A5_B849_4CB73F55BACE_.wvu.FilterData" localSheetId="5" hidden="1">'06'!$AS$3:$AS$57</definedName>
    <definedName name="Z_38987ECC_CBF9_4DB5_BB1D_9518D2B33BB1_.wvu.FilterData" localSheetId="0" hidden="1">'01'!$AT$3:$AT$58</definedName>
    <definedName name="Z_38987ECC_CBF9_4DB5_BB1D_9518D2B33BB1_.wvu.FilterData" localSheetId="1" hidden="1">'02'!$AQ$3:$AQ$58</definedName>
    <definedName name="Z_38987ECC_CBF9_4DB5_BB1D_9518D2B33BB1_.wvu.FilterData" localSheetId="2" hidden="1">'03'!$AT$3:$AT$58</definedName>
    <definedName name="Z_38987ECC_CBF9_4DB5_BB1D_9518D2B33BB1_.wvu.FilterData" localSheetId="3" hidden="1">'04'!$AS$3:$AS$58</definedName>
    <definedName name="Z_38987ECC_CBF9_4DB5_BB1D_9518D2B33BB1_.wvu.FilterData" localSheetId="4" hidden="1">'05'!$AT$3:$AT$57</definedName>
    <definedName name="Z_38987ECC_CBF9_4DB5_BB1D_9518D2B33BB1_.wvu.FilterData" localSheetId="5" hidden="1">'06'!$AS$3:$AS$56</definedName>
    <definedName name="Z_38987ECC_CBF9_4DB5_BB1D_9518D2B33BB1_.wvu.FilterData" localSheetId="6" hidden="1">'07'!$AU$3:$AU$56</definedName>
    <definedName name="Z_38987ECC_CBF9_4DB5_BB1D_9518D2B33BB1_.wvu.FilterData" localSheetId="7" hidden="1">'08'!$AT$3:$AT$57</definedName>
    <definedName name="Z_38987ECC_CBF9_4DB5_BB1D_9518D2B33BB1_.wvu.FilterData" localSheetId="8" hidden="1">'09'!$AS$3:$AS$57</definedName>
    <definedName name="Z_38987ECC_CBF9_4DB5_BB1D_9518D2B33BB1_.wvu.FilterData" localSheetId="9" hidden="1">'10'!$AT$3:$AT$58</definedName>
    <definedName name="Z_3A0F40F1_4778_44C3_82CD_C75E878C0915_.wvu.FilterData" localSheetId="2" hidden="1">'03'!$AT$3:$AT$59</definedName>
    <definedName name="Z_3A0F40F1_4778_44C3_82CD_C75E878C0915_.wvu.FilterData" localSheetId="3" hidden="1">'04'!$AS$3:$AS$59</definedName>
    <definedName name="Z_3A0F40F1_4778_44C3_82CD_C75E878C0915_.wvu.FilterData" localSheetId="4" hidden="1">'05'!$AT$3:$AT$58</definedName>
    <definedName name="Z_3A0F40F1_4778_44C3_82CD_C75E878C0915_.wvu.FilterData" localSheetId="5" hidden="1">'06'!$AS$3:$AS$57</definedName>
    <definedName name="Z_3A0F40F1_4778_44C3_82CD_C75E878C0915_.wvu.FilterData" localSheetId="6" hidden="1">'07'!$AU$3:$AU$57</definedName>
    <definedName name="Z_3A0F40F1_4778_44C3_82CD_C75E878C0915_.wvu.FilterData" localSheetId="7" hidden="1">'08'!$AT$3:$AT$58</definedName>
    <definedName name="Z_3A0F40F1_4778_44C3_82CD_C75E878C0915_.wvu.FilterData" localSheetId="8" hidden="1">'09'!$AS$3:$AS$58</definedName>
    <definedName name="Z_3A0F40F1_4778_44C3_82CD_C75E878C0915_.wvu.FilterData" localSheetId="9" hidden="1">'10'!$AT$3:$AT$59</definedName>
    <definedName name="Z_3B4899FC_BB88_48B3_BCAE_562D415ECFCD_.wvu.FilterData" localSheetId="0" hidden="1">'01'!$AT$3:$AT$58</definedName>
    <definedName name="Z_3B4899FC_BB88_48B3_BCAE_562D415ECFCD_.wvu.FilterData" localSheetId="1" hidden="1">'02'!$AQ$3:$AQ$58</definedName>
    <definedName name="Z_3B4899FC_BB88_48B3_BCAE_562D415ECFCD_.wvu.FilterData" localSheetId="2" hidden="1">'03'!$AT$3:$AT$58</definedName>
    <definedName name="Z_3B4899FC_BB88_48B3_BCAE_562D415ECFCD_.wvu.FilterData" localSheetId="3" hidden="1">'04'!$AS$3:$AS$58</definedName>
    <definedName name="Z_3B4899FC_BB88_48B3_BCAE_562D415ECFCD_.wvu.FilterData" localSheetId="4" hidden="1">'05'!$AT$3:$AT$57</definedName>
    <definedName name="Z_3B4899FC_BB88_48B3_BCAE_562D415ECFCD_.wvu.FilterData" localSheetId="5" hidden="1">'06'!$AS$3:$AS$56</definedName>
    <definedName name="Z_3B4899FC_BB88_48B3_BCAE_562D415ECFCD_.wvu.FilterData" localSheetId="6" hidden="1">'07'!$AU$3:$AU$56</definedName>
    <definedName name="Z_3B4899FC_BB88_48B3_BCAE_562D415ECFCD_.wvu.FilterData" localSheetId="7" hidden="1">'08'!$AT$3:$AT$57</definedName>
    <definedName name="Z_3B4899FC_BB88_48B3_BCAE_562D415ECFCD_.wvu.FilterData" localSheetId="8" hidden="1">'09'!$AS$3:$AS$57</definedName>
    <definedName name="Z_3B4899FC_BB88_48B3_BCAE_562D415ECFCD_.wvu.FilterData" localSheetId="9" hidden="1">'10'!$AT$3:$AT$58</definedName>
    <definedName name="Z_3B798E63_BEC2_4EEE_8386_98C3A24A56E3_.wvu.FilterData" localSheetId="0" hidden="1">'01'!$AT$3:$AT$59</definedName>
    <definedName name="Z_3B798E63_BEC2_4EEE_8386_98C3A24A56E3_.wvu.FilterData" localSheetId="1" hidden="1">'02'!$AQ$3:$AQ$59</definedName>
    <definedName name="Z_3B798E63_BEC2_4EEE_8386_98C3A24A56E3_.wvu.FilterData" localSheetId="2" hidden="1">'03'!$AT$3:$AT$59</definedName>
    <definedName name="Z_3B798E63_BEC2_4EEE_8386_98C3A24A56E3_.wvu.FilterData" localSheetId="3" hidden="1">'04'!$AS$3:$AS$59</definedName>
    <definedName name="Z_3B798E63_BEC2_4EEE_8386_98C3A24A56E3_.wvu.FilterData" localSheetId="4" hidden="1">'05'!$AT$3:$AT$58</definedName>
    <definedName name="Z_3B798E63_BEC2_4EEE_8386_98C3A24A56E3_.wvu.FilterData" localSheetId="5" hidden="1">'06'!$AS$3:$AS$57</definedName>
    <definedName name="Z_3B798E63_BEC2_4EEE_8386_98C3A24A56E3_.wvu.FilterData" localSheetId="6" hidden="1">'07'!$AU$3:$AU$57</definedName>
    <definedName name="Z_3B798E63_BEC2_4EEE_8386_98C3A24A56E3_.wvu.FilterData" localSheetId="7" hidden="1">'08'!$AT$3:$AT$58</definedName>
    <definedName name="Z_3B798E63_BEC2_4EEE_8386_98C3A24A56E3_.wvu.FilterData" localSheetId="8" hidden="1">'09'!$AS$3:$AS$58</definedName>
    <definedName name="Z_3B798E63_BEC2_4EEE_8386_98C3A24A56E3_.wvu.FilterData" localSheetId="9" hidden="1">'10'!$AT$3:$AT$59</definedName>
    <definedName name="Z_3BBB4BCC_AE80_4A5A_AF0D_D1186BE11ACA_.wvu.FilterData" localSheetId="0" hidden="1">'01'!$AT$3:$AT$58</definedName>
    <definedName name="Z_3BBB4BCC_AE80_4A5A_AF0D_D1186BE11ACA_.wvu.FilterData" localSheetId="1" hidden="1">'02'!$AQ$3:$AQ$58</definedName>
    <definedName name="Z_3BBB4BCC_AE80_4A5A_AF0D_D1186BE11ACA_.wvu.FilterData" localSheetId="2" hidden="1">'03'!$AT$3:$AT$58</definedName>
    <definedName name="Z_3BBB4BCC_AE80_4A5A_AF0D_D1186BE11ACA_.wvu.FilterData" localSheetId="3" hidden="1">'04'!$AS$3:$AS$58</definedName>
    <definedName name="Z_3BBB4BCC_AE80_4A5A_AF0D_D1186BE11ACA_.wvu.FilterData" localSheetId="4" hidden="1">'05'!$AT$3:$AT$57</definedName>
    <definedName name="Z_3BBB4BCC_AE80_4A5A_AF0D_D1186BE11ACA_.wvu.FilterData" localSheetId="5" hidden="1">'06'!$AS$3:$AS$56</definedName>
    <definedName name="Z_3BBB4BCC_AE80_4A5A_AF0D_D1186BE11ACA_.wvu.FilterData" localSheetId="6" hidden="1">'07'!$AU$3:$AU$56</definedName>
    <definedName name="Z_3BBB4BCC_AE80_4A5A_AF0D_D1186BE11ACA_.wvu.FilterData" localSheetId="7" hidden="1">'08'!$AT$3:$AT$57</definedName>
    <definedName name="Z_3BBB4BCC_AE80_4A5A_AF0D_D1186BE11ACA_.wvu.FilterData" localSheetId="8" hidden="1">'09'!$AS$3:$AS$57</definedName>
    <definedName name="Z_3BBB4BCC_AE80_4A5A_AF0D_D1186BE11ACA_.wvu.FilterData" localSheetId="9" hidden="1">'10'!$AT$3:$AT$58</definedName>
    <definedName name="Z_3C32D79C_3CAB_4639_980A_290988CBF948_.wvu.FilterData" localSheetId="0" hidden="1">'01'!$AT$3:$AT$58</definedName>
    <definedName name="Z_3C32D79C_3CAB_4639_980A_290988CBF948_.wvu.FilterData" localSheetId="1" hidden="1">'02'!$AQ$3:$AQ$58</definedName>
    <definedName name="Z_3C32D79C_3CAB_4639_980A_290988CBF948_.wvu.FilterData" localSheetId="2" hidden="1">'03'!$AT$3:$AT$58</definedName>
    <definedName name="Z_3C32D79C_3CAB_4639_980A_290988CBF948_.wvu.FilterData" localSheetId="3" hidden="1">'04'!$AS$3:$AS$58</definedName>
    <definedName name="Z_3C32D79C_3CAB_4639_980A_290988CBF948_.wvu.FilterData" localSheetId="4" hidden="1">'05'!$AT$3:$AT$57</definedName>
    <definedName name="Z_3C32D79C_3CAB_4639_980A_290988CBF948_.wvu.FilterData" localSheetId="5" hidden="1">'06'!$AS$3:$AS$56</definedName>
    <definedName name="Z_3C32D79C_3CAB_4639_980A_290988CBF948_.wvu.FilterData" localSheetId="6" hidden="1">'07'!$AU$3:$AU$56</definedName>
    <definedName name="Z_3C32D79C_3CAB_4639_980A_290988CBF948_.wvu.FilterData" localSheetId="7" hidden="1">'08'!$AT$3:$AT$57</definedName>
    <definedName name="Z_3C32D79C_3CAB_4639_980A_290988CBF948_.wvu.FilterData" localSheetId="8" hidden="1">'09'!$AS$3:$AS$57</definedName>
    <definedName name="Z_3C32D79C_3CAB_4639_980A_290988CBF948_.wvu.FilterData" localSheetId="9" hidden="1">'10'!$AT$3:$AT$58</definedName>
    <definedName name="Z_3C5A3368_77F7_4F13_8C7B_428A93DD3681_.wvu.FilterData" localSheetId="3" hidden="1">'04'!$AS$3:$AS$59</definedName>
    <definedName name="Z_3C89F88B_6F47_4DF0_BE09_2DD8388DC130_.wvu.FilterData" localSheetId="0" hidden="1">'01'!$AT$3:$AT$58</definedName>
    <definedName name="Z_3C89F88B_6F47_4DF0_BE09_2DD8388DC130_.wvu.FilterData" localSheetId="1" hidden="1">'02'!$AQ$3:$AQ$58</definedName>
    <definedName name="Z_3C89F88B_6F47_4DF0_BE09_2DD8388DC130_.wvu.FilterData" localSheetId="2" hidden="1">'03'!$AT$3:$AT$58</definedName>
    <definedName name="Z_3C89F88B_6F47_4DF0_BE09_2DD8388DC130_.wvu.FilterData" localSheetId="3" hidden="1">'04'!$AS$3:$AS$58</definedName>
    <definedName name="Z_3C89F88B_6F47_4DF0_BE09_2DD8388DC130_.wvu.FilterData" localSheetId="4" hidden="1">'05'!$AT$3:$AT$57</definedName>
    <definedName name="Z_3C89F88B_6F47_4DF0_BE09_2DD8388DC130_.wvu.FilterData" localSheetId="5" hidden="1">'06'!$AS$3:$AS$56</definedName>
    <definedName name="Z_3C89F88B_6F47_4DF0_BE09_2DD8388DC130_.wvu.FilterData" localSheetId="6" hidden="1">'07'!$AU$3:$AU$56</definedName>
    <definedName name="Z_3C89F88B_6F47_4DF0_BE09_2DD8388DC130_.wvu.FilterData" localSheetId="7" hidden="1">'08'!$AT$3:$AT$57</definedName>
    <definedName name="Z_3C89F88B_6F47_4DF0_BE09_2DD8388DC130_.wvu.FilterData" localSheetId="8" hidden="1">'09'!$AS$3:$AS$57</definedName>
    <definedName name="Z_3C89F88B_6F47_4DF0_BE09_2DD8388DC130_.wvu.FilterData" localSheetId="9" hidden="1">'10'!$AT$3:$AT$58</definedName>
    <definedName name="Z_3CB522C0_C972_4E51_A955_7CC4C7909028_.wvu.FilterData" localSheetId="0" hidden="1">'01'!$AT$3:$AT$58</definedName>
    <definedName name="Z_3CB522C0_C972_4E51_A955_7CC4C7909028_.wvu.FilterData" localSheetId="1" hidden="1">'02'!$AQ$3:$AQ$58</definedName>
    <definedName name="Z_3CB522C0_C972_4E51_A955_7CC4C7909028_.wvu.FilterData" localSheetId="2" hidden="1">'03'!$AT$3:$AT$58</definedName>
    <definedName name="Z_3CB522C0_C972_4E51_A955_7CC4C7909028_.wvu.FilterData" localSheetId="3" hidden="1">'04'!$AS$3:$AS$58</definedName>
    <definedName name="Z_3CB522C0_C972_4E51_A955_7CC4C7909028_.wvu.FilterData" localSheetId="4" hidden="1">'05'!$AT$3:$AT$57</definedName>
    <definedName name="Z_3CB522C0_C972_4E51_A955_7CC4C7909028_.wvu.FilterData" localSheetId="5" hidden="1">'06'!$AS$3:$AS$56</definedName>
    <definedName name="Z_3CB522C0_C972_4E51_A955_7CC4C7909028_.wvu.FilterData" localSheetId="6" hidden="1">'07'!$AU$3:$AU$56</definedName>
    <definedName name="Z_3CB522C0_C972_4E51_A955_7CC4C7909028_.wvu.FilterData" localSheetId="7" hidden="1">'08'!$AT$3:$AT$57</definedName>
    <definedName name="Z_3CB522C0_C972_4E51_A955_7CC4C7909028_.wvu.FilterData" localSheetId="8" hidden="1">'09'!$AS$3:$AS$57</definedName>
    <definedName name="Z_3CB522C0_C972_4E51_A955_7CC4C7909028_.wvu.FilterData" localSheetId="9" hidden="1">'10'!$AT$3:$AT$58</definedName>
    <definedName name="Z_3CFF05F2_6F56_45C3_AF70_9FD109419AFE_.wvu.FilterData" localSheetId="0" hidden="1">'01'!$AT$3:$AT$58</definedName>
    <definedName name="Z_3CFF05F2_6F56_45C3_AF70_9FD109419AFE_.wvu.FilterData" localSheetId="1" hidden="1">'02'!$AQ$3:$AQ$58</definedName>
    <definedName name="Z_3CFF05F2_6F56_45C3_AF70_9FD109419AFE_.wvu.FilterData" localSheetId="2" hidden="1">'03'!$AT$3:$AT$58</definedName>
    <definedName name="Z_3CFF05F2_6F56_45C3_AF70_9FD109419AFE_.wvu.FilterData" localSheetId="3" hidden="1">'04'!$AS$3:$AS$58</definedName>
    <definedName name="Z_3CFF05F2_6F56_45C3_AF70_9FD109419AFE_.wvu.FilterData" localSheetId="4" hidden="1">'05'!$AT$3:$AT$57</definedName>
    <definedName name="Z_3CFF05F2_6F56_45C3_AF70_9FD109419AFE_.wvu.FilterData" localSheetId="5" hidden="1">'06'!$AS$3:$AS$56</definedName>
    <definedName name="Z_3CFF05F2_6F56_45C3_AF70_9FD109419AFE_.wvu.FilterData" localSheetId="6" hidden="1">'07'!$AU$3:$AU$56</definedName>
    <definedName name="Z_3CFF05F2_6F56_45C3_AF70_9FD109419AFE_.wvu.FilterData" localSheetId="7" hidden="1">'08'!$AT$3:$AT$57</definedName>
    <definedName name="Z_3CFF05F2_6F56_45C3_AF70_9FD109419AFE_.wvu.FilterData" localSheetId="8" hidden="1">'09'!$AS$3:$AS$57</definedName>
    <definedName name="Z_3CFF05F2_6F56_45C3_AF70_9FD109419AFE_.wvu.FilterData" localSheetId="9" hidden="1">'10'!$AT$3:$AT$58</definedName>
    <definedName name="Z_3D0F4BDB_BCB8_44A5_B11C_42B5E6AA1496_.wvu.FilterData" localSheetId="0" hidden="1">'01'!$AT$3:$AT$59</definedName>
    <definedName name="Z_3D0F4BDB_BCB8_44A5_B11C_42B5E6AA1496_.wvu.FilterData" localSheetId="1" hidden="1">'02'!$AQ$3:$AQ$59</definedName>
    <definedName name="Z_3D0F4BDB_BCB8_44A5_B11C_42B5E6AA1496_.wvu.FilterData" localSheetId="2" hidden="1">'03'!$AT$3:$AT$59</definedName>
    <definedName name="Z_3D0F4BDB_BCB8_44A5_B11C_42B5E6AA1496_.wvu.FilterData" localSheetId="3" hidden="1">'04'!$AS$3:$AS$59</definedName>
    <definedName name="Z_3D0F4BDB_BCB8_44A5_B11C_42B5E6AA1496_.wvu.FilterData" localSheetId="4" hidden="1">'05'!$AT$3:$AT$58</definedName>
    <definedName name="Z_3D0F4BDB_BCB8_44A5_B11C_42B5E6AA1496_.wvu.FilterData" localSheetId="5" hidden="1">'06'!$AS$3:$AS$57</definedName>
    <definedName name="Z_3D0F4BDB_BCB8_44A5_B11C_42B5E6AA1496_.wvu.FilterData" localSheetId="6" hidden="1">'07'!$AU$3:$AU$57</definedName>
    <definedName name="Z_3D0F4BDB_BCB8_44A5_B11C_42B5E6AA1496_.wvu.FilterData" localSheetId="7" hidden="1">'08'!$AT$3:$AT$58</definedName>
    <definedName name="Z_3D0F4BDB_BCB8_44A5_B11C_42B5E6AA1496_.wvu.FilterData" localSheetId="8" hidden="1">'09'!$AS$3:$AS$58</definedName>
    <definedName name="Z_3D0F4BDB_BCB8_44A5_B11C_42B5E6AA1496_.wvu.FilterData" localSheetId="9" hidden="1">'10'!$AT$3:$AT$59</definedName>
    <definedName name="Z_3D385C2B_3EBA_48BD_A6E3_9A29CBBAE79B_.wvu.FilterData" localSheetId="0" hidden="1">'01'!$AT$3:$AT$59</definedName>
    <definedName name="Z_3D385C2B_3EBA_48BD_A6E3_9A29CBBAE79B_.wvu.FilterData" localSheetId="1" hidden="1">'02'!$AQ$3:$AQ$59</definedName>
    <definedName name="Z_3D385C2B_3EBA_48BD_A6E3_9A29CBBAE79B_.wvu.FilterData" localSheetId="2" hidden="1">'03'!$AT$3:$AT$59</definedName>
    <definedName name="Z_3D385C2B_3EBA_48BD_A6E3_9A29CBBAE79B_.wvu.FilterData" localSheetId="3" hidden="1">'04'!$AS$3:$AS$59</definedName>
    <definedName name="Z_3D385C2B_3EBA_48BD_A6E3_9A29CBBAE79B_.wvu.FilterData" localSheetId="4" hidden="1">'05'!$AT$3:$AT$58</definedName>
    <definedName name="Z_3D385C2B_3EBA_48BD_A6E3_9A29CBBAE79B_.wvu.FilterData" localSheetId="5" hidden="1">'06'!$AS$3:$AS$57</definedName>
    <definedName name="Z_3D385C2B_3EBA_48BD_A6E3_9A29CBBAE79B_.wvu.FilterData" localSheetId="6" hidden="1">'07'!$AU$3:$AU$57</definedName>
    <definedName name="Z_3D385C2B_3EBA_48BD_A6E3_9A29CBBAE79B_.wvu.FilterData" localSheetId="7" hidden="1">'08'!$AT$3:$AT$58</definedName>
    <definedName name="Z_3D385C2B_3EBA_48BD_A6E3_9A29CBBAE79B_.wvu.FilterData" localSheetId="8" hidden="1">'09'!$AS$3:$AS$58</definedName>
    <definedName name="Z_3D385C2B_3EBA_48BD_A6E3_9A29CBBAE79B_.wvu.FilterData" localSheetId="9" hidden="1">'10'!$AT$3:$AT$59</definedName>
    <definedName name="Z_3EBA0225_CD86_43BD_B7A7_C580EB5B0E46_.wvu.FilterData" localSheetId="7" hidden="1">'08'!$AT$3:$AT$58</definedName>
    <definedName name="Z_3EBA0225_CD86_43BD_B7A7_C580EB5B0E46_.wvu.FilterData" localSheetId="8" hidden="1">'09'!$AS$3:$AS$58</definedName>
    <definedName name="Z_3EBA0225_CD86_43BD_B7A7_C580EB5B0E46_.wvu.FilterData" localSheetId="9" hidden="1">'10'!$AT$3:$AT$59</definedName>
    <definedName name="Z_3F095E16_EFE7_4E8C_9FDD_D82226DB3762_.wvu.FilterData" localSheetId="8" hidden="1">'09'!$AS$3:$AS$58</definedName>
    <definedName name="Z_3F095E16_EFE7_4E8C_9FDD_D82226DB3762_.wvu.FilterData" localSheetId="9" hidden="1">'10'!$AT$3:$AT$59</definedName>
    <definedName name="Z_3F833139_7756_401B_889E_49DAB359310A_.wvu.FilterData" localSheetId="0" hidden="1">'01'!$AT$3:$AT$59</definedName>
    <definedName name="Z_3F833139_7756_401B_889E_49DAB359310A_.wvu.FilterData" localSheetId="1" hidden="1">'02'!$AQ$3:$AQ$59</definedName>
    <definedName name="Z_3F833139_7756_401B_889E_49DAB359310A_.wvu.FilterData" localSheetId="2" hidden="1">'03'!$AT$3:$AT$59</definedName>
    <definedName name="Z_3F833139_7756_401B_889E_49DAB359310A_.wvu.FilterData" localSheetId="3" hidden="1">'04'!$AS$3:$AS$59</definedName>
    <definedName name="Z_3F833139_7756_401B_889E_49DAB359310A_.wvu.FilterData" localSheetId="4" hidden="1">'05'!$AT$3:$AT$58</definedName>
    <definedName name="Z_3F833139_7756_401B_889E_49DAB359310A_.wvu.FilterData" localSheetId="5" hidden="1">'06'!$AS$3:$AS$57</definedName>
    <definedName name="Z_3F833139_7756_401B_889E_49DAB359310A_.wvu.FilterData" localSheetId="6" hidden="1">'07'!$AU$3:$AU$57</definedName>
    <definedName name="Z_3F833139_7756_401B_889E_49DAB359310A_.wvu.FilterData" localSheetId="7" hidden="1">'08'!$AT$3:$AT$58</definedName>
    <definedName name="Z_3F833139_7756_401B_889E_49DAB359310A_.wvu.FilterData" localSheetId="8" hidden="1">'09'!$AS$3:$AS$58</definedName>
    <definedName name="Z_3F833139_7756_401B_889E_49DAB359310A_.wvu.FilterData" localSheetId="9" hidden="1">'10'!$AT$3:$AT$59</definedName>
    <definedName name="Z_407A7A5D_9C54_4104_81F8_F342BBAE3576_.wvu.FilterData" localSheetId="3" hidden="1">'04'!$AS$3:$AS$59</definedName>
    <definedName name="Z_40D2AEC7_CC6F_42AC_AA70_3D7841A05829_.wvu.FilterData" localSheetId="5" hidden="1">'06'!$AS$3:$AS$57</definedName>
    <definedName name="Z_40D2AEC7_CC6F_42AC_AA70_3D7841A05829_.wvu.FilterData" localSheetId="6" hidden="1">'07'!$AU$3:$AU$57</definedName>
    <definedName name="Z_40D2AEC7_CC6F_42AC_AA70_3D7841A05829_.wvu.FilterData" localSheetId="7" hidden="1">'08'!$AT$3:$AT$58</definedName>
    <definedName name="Z_40D2AEC7_CC6F_42AC_AA70_3D7841A05829_.wvu.FilterData" localSheetId="8" hidden="1">'09'!$AS$3:$AS$58</definedName>
    <definedName name="Z_40D2AEC7_CC6F_42AC_AA70_3D7841A05829_.wvu.FilterData" localSheetId="9" hidden="1">'10'!$AT$3:$AT$59</definedName>
    <definedName name="Z_41A56384_BC8B_456B_8B83_4B6F62C53BE5_.wvu.FilterData" localSheetId="0" hidden="1">'01'!$AT$3:$AT$59</definedName>
    <definedName name="Z_41A56384_BC8B_456B_8B83_4B6F62C53BE5_.wvu.FilterData" localSheetId="1" hidden="1">'02'!$AQ$3:$AQ$59</definedName>
    <definedName name="Z_41A56384_BC8B_456B_8B83_4B6F62C53BE5_.wvu.FilterData" localSheetId="2" hidden="1">'03'!$AT$3:$AT$59</definedName>
    <definedName name="Z_41A56384_BC8B_456B_8B83_4B6F62C53BE5_.wvu.FilterData" localSheetId="3" hidden="1">'04'!$AS$3:$AS$59</definedName>
    <definedName name="Z_41A56384_BC8B_456B_8B83_4B6F62C53BE5_.wvu.FilterData" localSheetId="4" hidden="1">'05'!$AT$3:$AT$58</definedName>
    <definedName name="Z_41A56384_BC8B_456B_8B83_4B6F62C53BE5_.wvu.FilterData" localSheetId="5" hidden="1">'06'!$AS$3:$AS$57</definedName>
    <definedName name="Z_41A56384_BC8B_456B_8B83_4B6F62C53BE5_.wvu.FilterData" localSheetId="6" hidden="1">'07'!$AU$3:$AU$57</definedName>
    <definedName name="Z_41A56384_BC8B_456B_8B83_4B6F62C53BE5_.wvu.FilterData" localSheetId="7" hidden="1">'08'!$AT$3:$AT$58</definedName>
    <definedName name="Z_41A56384_BC8B_456B_8B83_4B6F62C53BE5_.wvu.FilterData" localSheetId="8" hidden="1">'09'!$AS$3:$AS$58</definedName>
    <definedName name="Z_41A56384_BC8B_456B_8B83_4B6F62C53BE5_.wvu.FilterData" localSheetId="9" hidden="1">'10'!$AT$3:$AT$59</definedName>
    <definedName name="Z_4268F8BD_9C98_4A89_AFE7_5DE1F67D8D97_.wvu.FilterData" localSheetId="0" hidden="1">'01'!$AT$3:$AT$58</definedName>
    <definedName name="Z_4268F8BD_9C98_4A89_AFE7_5DE1F67D8D97_.wvu.FilterData" localSheetId="1" hidden="1">'02'!$AQ$3:$AQ$58</definedName>
    <definedName name="Z_4268F8BD_9C98_4A89_AFE7_5DE1F67D8D97_.wvu.FilterData" localSheetId="2" hidden="1">'03'!$AT$3:$AT$58</definedName>
    <definedName name="Z_4268F8BD_9C98_4A89_AFE7_5DE1F67D8D97_.wvu.FilterData" localSheetId="3" hidden="1">'04'!$AS$3:$AS$58</definedName>
    <definedName name="Z_4268F8BD_9C98_4A89_AFE7_5DE1F67D8D97_.wvu.FilterData" localSheetId="4" hidden="1">'05'!$AT$3:$AT$57</definedName>
    <definedName name="Z_4268F8BD_9C98_4A89_AFE7_5DE1F67D8D97_.wvu.FilterData" localSheetId="5" hidden="1">'06'!$AS$3:$AS$56</definedName>
    <definedName name="Z_4268F8BD_9C98_4A89_AFE7_5DE1F67D8D97_.wvu.FilterData" localSheetId="6" hidden="1">'07'!$AU$3:$AU$56</definedName>
    <definedName name="Z_4268F8BD_9C98_4A89_AFE7_5DE1F67D8D97_.wvu.FilterData" localSheetId="7" hidden="1">'08'!$AT$3:$AT$57</definedName>
    <definedName name="Z_4268F8BD_9C98_4A89_AFE7_5DE1F67D8D97_.wvu.FilterData" localSheetId="8" hidden="1">'09'!$AS$3:$AS$57</definedName>
    <definedName name="Z_4268F8BD_9C98_4A89_AFE7_5DE1F67D8D97_.wvu.FilterData" localSheetId="9" hidden="1">'10'!$AT$3:$AT$58</definedName>
    <definedName name="Z_42D55F99_6A98_4D02_96EE_0C4C723ECF87_.wvu.FilterData" localSheetId="0" hidden="1">'01'!$AT$3:$AT$58</definedName>
    <definedName name="Z_42D55F99_6A98_4D02_96EE_0C4C723ECF87_.wvu.FilterData" localSheetId="1" hidden="1">'02'!$AQ$3:$AQ$58</definedName>
    <definedName name="Z_42D55F99_6A98_4D02_96EE_0C4C723ECF87_.wvu.FilterData" localSheetId="2" hidden="1">'03'!$AT$3:$AT$58</definedName>
    <definedName name="Z_42D55F99_6A98_4D02_96EE_0C4C723ECF87_.wvu.FilterData" localSheetId="3" hidden="1">'04'!$AS$3:$AS$58</definedName>
    <definedName name="Z_42D55F99_6A98_4D02_96EE_0C4C723ECF87_.wvu.FilterData" localSheetId="4" hidden="1">'05'!$AT$3:$AT$57</definedName>
    <definedName name="Z_42D55F99_6A98_4D02_96EE_0C4C723ECF87_.wvu.FilterData" localSheetId="5" hidden="1">'06'!$AS$3:$AS$56</definedName>
    <definedName name="Z_42D55F99_6A98_4D02_96EE_0C4C723ECF87_.wvu.FilterData" localSheetId="6" hidden="1">'07'!$AU$3:$AU$56</definedName>
    <definedName name="Z_42D55F99_6A98_4D02_96EE_0C4C723ECF87_.wvu.FilterData" localSheetId="7" hidden="1">'08'!$AT$3:$AT$57</definedName>
    <definedName name="Z_42D55F99_6A98_4D02_96EE_0C4C723ECF87_.wvu.FilterData" localSheetId="8" hidden="1">'09'!$AS$3:$AS$57</definedName>
    <definedName name="Z_42D55F99_6A98_4D02_96EE_0C4C723ECF87_.wvu.FilterData" localSheetId="9" hidden="1">'10'!$AT$3:$AT$58</definedName>
    <definedName name="Z_438E10D4_5086_41D7_BF44_B0060D8B7BAE_.wvu.FilterData" localSheetId="0" hidden="1">'01'!$AT$3:$AT$59</definedName>
    <definedName name="Z_438E10D4_5086_41D7_BF44_B0060D8B7BAE_.wvu.FilterData" localSheetId="2" hidden="1">'03'!$AT$3:$AT$59</definedName>
    <definedName name="Z_438E10D4_5086_41D7_BF44_B0060D8B7BAE_.wvu.FilterData" localSheetId="3" hidden="1">'04'!$AS$3:$AS$59</definedName>
    <definedName name="Z_438E10D4_5086_41D7_BF44_B0060D8B7BAE_.wvu.FilterData" localSheetId="4" hidden="1">'05'!$AT$3:$AT$58</definedName>
    <definedName name="Z_438E10D4_5086_41D7_BF44_B0060D8B7BAE_.wvu.FilterData" localSheetId="5" hidden="1">'06'!$AS$3:$AS$57</definedName>
    <definedName name="Z_438E10D4_5086_41D7_BF44_B0060D8B7BAE_.wvu.FilterData" localSheetId="6" hidden="1">'07'!$AU$3:$AU$57</definedName>
    <definedName name="Z_438E10D4_5086_41D7_BF44_B0060D8B7BAE_.wvu.FilterData" localSheetId="7" hidden="1">'08'!$AT$3:$AT$58</definedName>
    <definedName name="Z_438E10D4_5086_41D7_BF44_B0060D8B7BAE_.wvu.FilterData" localSheetId="8" hidden="1">'09'!$AS$3:$AS$58</definedName>
    <definedName name="Z_438E10D4_5086_41D7_BF44_B0060D8B7BAE_.wvu.FilterData" localSheetId="9" hidden="1">'10'!$AT$3:$AT$59</definedName>
    <definedName name="Z_4430C0FB_476E_4622_A25A_23AC4380CE3A_.wvu.FilterData" localSheetId="0" hidden="1">'01'!$AT$3:$AT$58</definedName>
    <definedName name="Z_4430C0FB_476E_4622_A25A_23AC4380CE3A_.wvu.FilterData" localSheetId="1" hidden="1">'02'!$AQ$3:$AQ$58</definedName>
    <definedName name="Z_4430C0FB_476E_4622_A25A_23AC4380CE3A_.wvu.FilterData" localSheetId="2" hidden="1">'03'!$AT$3:$AT$58</definedName>
    <definedName name="Z_4430C0FB_476E_4622_A25A_23AC4380CE3A_.wvu.FilterData" localSheetId="3" hidden="1">'04'!$AS$3:$AS$58</definedName>
    <definedName name="Z_4430C0FB_476E_4622_A25A_23AC4380CE3A_.wvu.FilterData" localSheetId="4" hidden="1">'05'!$AT$3:$AT$57</definedName>
    <definedName name="Z_4430C0FB_476E_4622_A25A_23AC4380CE3A_.wvu.FilterData" localSheetId="5" hidden="1">'06'!$AS$3:$AS$56</definedName>
    <definedName name="Z_4430C0FB_476E_4622_A25A_23AC4380CE3A_.wvu.FilterData" localSheetId="6" hidden="1">'07'!$AU$3:$AU$56</definedName>
    <definedName name="Z_4430C0FB_476E_4622_A25A_23AC4380CE3A_.wvu.FilterData" localSheetId="7" hidden="1">'08'!$AT$3:$AT$57</definedName>
    <definedName name="Z_4430C0FB_476E_4622_A25A_23AC4380CE3A_.wvu.FilterData" localSheetId="8" hidden="1">'09'!$AS$3:$AS$57</definedName>
    <definedName name="Z_4430C0FB_476E_4622_A25A_23AC4380CE3A_.wvu.FilterData" localSheetId="9" hidden="1">'10'!$AT$3:$AT$58</definedName>
    <definedName name="Z_44F3678B_EDD4_4584_8045_136F97F7FE36_.wvu.FilterData" localSheetId="0" hidden="1">'01'!$AT$3:$AT$58</definedName>
    <definedName name="Z_44F3678B_EDD4_4584_8045_136F97F7FE36_.wvu.FilterData" localSheetId="1" hidden="1">'02'!$AQ$3:$AQ$58</definedName>
    <definedName name="Z_44F3678B_EDD4_4584_8045_136F97F7FE36_.wvu.FilterData" localSheetId="2" hidden="1">'03'!$AT$3:$AT$58</definedName>
    <definedName name="Z_44F3678B_EDD4_4584_8045_136F97F7FE36_.wvu.FilterData" localSheetId="3" hidden="1">'04'!$AS$3:$AS$58</definedName>
    <definedName name="Z_44F3678B_EDD4_4584_8045_136F97F7FE36_.wvu.FilterData" localSheetId="4" hidden="1">'05'!$AT$3:$AT$57</definedName>
    <definedName name="Z_44F3678B_EDD4_4584_8045_136F97F7FE36_.wvu.FilterData" localSheetId="5" hidden="1">'06'!$AS$3:$AS$56</definedName>
    <definedName name="Z_44F3678B_EDD4_4584_8045_136F97F7FE36_.wvu.FilterData" localSheetId="6" hidden="1">'07'!$AU$3:$AU$56</definedName>
    <definedName name="Z_44F3678B_EDD4_4584_8045_136F97F7FE36_.wvu.FilterData" localSheetId="7" hidden="1">'08'!$AT$3:$AT$57</definedName>
    <definedName name="Z_44F3678B_EDD4_4584_8045_136F97F7FE36_.wvu.FilterData" localSheetId="8" hidden="1">'09'!$AS$3:$AS$57</definedName>
    <definedName name="Z_44F3678B_EDD4_4584_8045_136F97F7FE36_.wvu.FilterData" localSheetId="9" hidden="1">'10'!$AT$3:$AT$58</definedName>
    <definedName name="Z_4500D513_720B_49D2_AB94_7F0F5A533C78_.wvu.FilterData" localSheetId="0" hidden="1">'01'!$AT$3:$AT$58</definedName>
    <definedName name="Z_4500D513_720B_49D2_AB94_7F0F5A533C78_.wvu.FilterData" localSheetId="1" hidden="1">'02'!$AQ$3:$AQ$58</definedName>
    <definedName name="Z_4500D513_720B_49D2_AB94_7F0F5A533C78_.wvu.FilterData" localSheetId="2" hidden="1">'03'!$AT$3:$AT$58</definedName>
    <definedName name="Z_4500D513_720B_49D2_AB94_7F0F5A533C78_.wvu.FilterData" localSheetId="3" hidden="1">'04'!$AS$3:$AS$58</definedName>
    <definedName name="Z_4500D513_720B_49D2_AB94_7F0F5A533C78_.wvu.FilterData" localSheetId="4" hidden="1">'05'!$AT$3:$AT$57</definedName>
    <definedName name="Z_4500D513_720B_49D2_AB94_7F0F5A533C78_.wvu.FilterData" localSheetId="5" hidden="1">'06'!$AS$3:$AS$56</definedName>
    <definedName name="Z_4500D513_720B_49D2_AB94_7F0F5A533C78_.wvu.FilterData" localSheetId="6" hidden="1">'07'!$AU$3:$AU$56</definedName>
    <definedName name="Z_4500D513_720B_49D2_AB94_7F0F5A533C78_.wvu.FilterData" localSheetId="7" hidden="1">'08'!$AT$3:$AT$57</definedName>
    <definedName name="Z_4500D513_720B_49D2_AB94_7F0F5A533C78_.wvu.FilterData" localSheetId="8" hidden="1">'09'!$AS$3:$AS$57</definedName>
    <definedName name="Z_4500D513_720B_49D2_AB94_7F0F5A533C78_.wvu.FilterData" localSheetId="9" hidden="1">'10'!$AT$3:$AT$58</definedName>
    <definedName name="Z_450D014A_C15A_4395_A4DD_A233F06280E7_.wvu.FilterData" localSheetId="0" hidden="1">'01'!$AT$3:$AT$59</definedName>
    <definedName name="Z_450D014A_C15A_4395_A4DD_A233F06280E7_.wvu.FilterData" localSheetId="1" hidden="1">'02'!$AQ$3:$AQ$59</definedName>
    <definedName name="Z_450D014A_C15A_4395_A4DD_A233F06280E7_.wvu.FilterData" localSheetId="2" hidden="1">'03'!$AT$3:$AT$59</definedName>
    <definedName name="Z_450D014A_C15A_4395_A4DD_A233F06280E7_.wvu.FilterData" localSheetId="3" hidden="1">'04'!$AS$3:$AS$59</definedName>
    <definedName name="Z_450D014A_C15A_4395_A4DD_A233F06280E7_.wvu.FilterData" localSheetId="4" hidden="1">'05'!$AT$3:$AT$58</definedName>
    <definedName name="Z_450D014A_C15A_4395_A4DD_A233F06280E7_.wvu.FilterData" localSheetId="5" hidden="1">'06'!$AS$3:$AS$57</definedName>
    <definedName name="Z_450D014A_C15A_4395_A4DD_A233F06280E7_.wvu.FilterData" localSheetId="6" hidden="1">'07'!$AU$3:$AU$57</definedName>
    <definedName name="Z_450D014A_C15A_4395_A4DD_A233F06280E7_.wvu.FilterData" localSheetId="7" hidden="1">'08'!$AT$3:$AT$58</definedName>
    <definedName name="Z_450D014A_C15A_4395_A4DD_A233F06280E7_.wvu.FilterData" localSheetId="8" hidden="1">'09'!$AS$3:$AS$58</definedName>
    <definedName name="Z_450D014A_C15A_4395_A4DD_A233F06280E7_.wvu.FilterData" localSheetId="9" hidden="1">'10'!$AT$3:$AT$59</definedName>
    <definedName name="Z_45A8592D_95BB_4D9E_BAB1_DD324AA3840F_.wvu.FilterData" localSheetId="0" hidden="1">'01'!$AT$3:$AT$58</definedName>
    <definedName name="Z_45A8592D_95BB_4D9E_BAB1_DD324AA3840F_.wvu.FilterData" localSheetId="1" hidden="1">'02'!$AQ$3:$AQ$58</definedName>
    <definedName name="Z_45A8592D_95BB_4D9E_BAB1_DD324AA3840F_.wvu.FilterData" localSheetId="2" hidden="1">'03'!$AT$3:$AT$58</definedName>
    <definedName name="Z_45A8592D_95BB_4D9E_BAB1_DD324AA3840F_.wvu.FilterData" localSheetId="3" hidden="1">'04'!$AS$3:$AS$58</definedName>
    <definedName name="Z_45A8592D_95BB_4D9E_BAB1_DD324AA3840F_.wvu.FilterData" localSheetId="4" hidden="1">'05'!$AT$3:$AT$57</definedName>
    <definedName name="Z_45A8592D_95BB_4D9E_BAB1_DD324AA3840F_.wvu.FilterData" localSheetId="5" hidden="1">'06'!$AS$3:$AS$56</definedName>
    <definedName name="Z_45A8592D_95BB_4D9E_BAB1_DD324AA3840F_.wvu.FilterData" localSheetId="6" hidden="1">'07'!$AU$3:$AU$56</definedName>
    <definedName name="Z_45A8592D_95BB_4D9E_BAB1_DD324AA3840F_.wvu.FilterData" localSheetId="7" hidden="1">'08'!$AT$3:$AT$57</definedName>
    <definedName name="Z_45A8592D_95BB_4D9E_BAB1_DD324AA3840F_.wvu.FilterData" localSheetId="8" hidden="1">'09'!$AS$3:$AS$57</definedName>
    <definedName name="Z_45A8592D_95BB_4D9E_BAB1_DD324AA3840F_.wvu.FilterData" localSheetId="9" hidden="1">'10'!$AT$3:$AT$58</definedName>
    <definedName name="Z_473BA4E7_6529_4E2A_B4D5_F6F43DC4B302_.wvu.FilterData" localSheetId="0" hidden="1">'01'!$AT$3:$AT$58</definedName>
    <definedName name="Z_473BA4E7_6529_4E2A_B4D5_F6F43DC4B302_.wvu.FilterData" localSheetId="1" hidden="1">'02'!$AQ$3:$AQ$58</definedName>
    <definedName name="Z_473BA4E7_6529_4E2A_B4D5_F6F43DC4B302_.wvu.FilterData" localSheetId="2" hidden="1">'03'!$AT$3:$AT$58</definedName>
    <definedName name="Z_473BA4E7_6529_4E2A_B4D5_F6F43DC4B302_.wvu.FilterData" localSheetId="3" hidden="1">'04'!$AS$3:$AS$58</definedName>
    <definedName name="Z_473BA4E7_6529_4E2A_B4D5_F6F43DC4B302_.wvu.FilterData" localSheetId="4" hidden="1">'05'!$AT$3:$AT$57</definedName>
    <definedName name="Z_473BA4E7_6529_4E2A_B4D5_F6F43DC4B302_.wvu.FilterData" localSheetId="5" hidden="1">'06'!$AS$3:$AS$56</definedName>
    <definedName name="Z_473BA4E7_6529_4E2A_B4D5_F6F43DC4B302_.wvu.FilterData" localSheetId="6" hidden="1">'07'!$AU$3:$AU$56</definedName>
    <definedName name="Z_473BA4E7_6529_4E2A_B4D5_F6F43DC4B302_.wvu.FilterData" localSheetId="7" hidden="1">'08'!$AT$3:$AT$57</definedName>
    <definedName name="Z_473BA4E7_6529_4E2A_B4D5_F6F43DC4B302_.wvu.FilterData" localSheetId="8" hidden="1">'09'!$AS$3:$AS$57</definedName>
    <definedName name="Z_473BA4E7_6529_4E2A_B4D5_F6F43DC4B302_.wvu.FilterData" localSheetId="9" hidden="1">'10'!$AT$3:$AT$58</definedName>
    <definedName name="Z_47767D7C_DE28_4613_9405_8DBBF50A1476_.wvu.FilterData" localSheetId="9" hidden="1">'10'!$AT$3:$AT$59</definedName>
    <definedName name="Z_47B4BB9F_4418_4FF5_BCF9_495EC287AE5A_.wvu.FilterData" localSheetId="3" hidden="1">'04'!$AS$3:$AS$59</definedName>
    <definedName name="Z_4836DDE4_DDD3_4F33_A370_8F36EBE7AE5B_.wvu.FilterData" localSheetId="0" hidden="1">'01'!$AT$3:$AT$58</definedName>
    <definedName name="Z_4836DDE4_DDD3_4F33_A370_8F36EBE7AE5B_.wvu.FilterData" localSheetId="1" hidden="1">'02'!$AQ$3:$AQ$58</definedName>
    <definedName name="Z_4836DDE4_DDD3_4F33_A370_8F36EBE7AE5B_.wvu.FilterData" localSheetId="2" hidden="1">'03'!$AT$3:$AT$58</definedName>
    <definedName name="Z_4836DDE4_DDD3_4F33_A370_8F36EBE7AE5B_.wvu.FilterData" localSheetId="3" hidden="1">'04'!$AS$3:$AS$58</definedName>
    <definedName name="Z_4836DDE4_DDD3_4F33_A370_8F36EBE7AE5B_.wvu.FilterData" localSheetId="4" hidden="1">'05'!$AT$3:$AT$57</definedName>
    <definedName name="Z_4836DDE4_DDD3_4F33_A370_8F36EBE7AE5B_.wvu.FilterData" localSheetId="5" hidden="1">'06'!$AS$3:$AS$56</definedName>
    <definedName name="Z_4836DDE4_DDD3_4F33_A370_8F36EBE7AE5B_.wvu.FilterData" localSheetId="6" hidden="1">'07'!$AU$3:$AU$56</definedName>
    <definedName name="Z_4836DDE4_DDD3_4F33_A370_8F36EBE7AE5B_.wvu.FilterData" localSheetId="7" hidden="1">'08'!$AT$3:$AT$57</definedName>
    <definedName name="Z_4836DDE4_DDD3_4F33_A370_8F36EBE7AE5B_.wvu.FilterData" localSheetId="8" hidden="1">'09'!$AS$3:$AS$57</definedName>
    <definedName name="Z_4836DDE4_DDD3_4F33_A370_8F36EBE7AE5B_.wvu.FilterData" localSheetId="9" hidden="1">'10'!$AT$3:$AT$58</definedName>
    <definedName name="Z_48BED446_3C8C_4DF6_9CE0_373442EE9167_.wvu.FilterData" localSheetId="0" hidden="1">'01'!$AT$3:$AT$59</definedName>
    <definedName name="Z_48BED446_3C8C_4DF6_9CE0_373442EE9167_.wvu.FilterData" localSheetId="1" hidden="1">'02'!$AQ$3:$AQ$59</definedName>
    <definedName name="Z_48BED446_3C8C_4DF6_9CE0_373442EE9167_.wvu.FilterData" localSheetId="2" hidden="1">'03'!$AT$3:$AT$59</definedName>
    <definedName name="Z_48BED446_3C8C_4DF6_9CE0_373442EE9167_.wvu.FilterData" localSheetId="3" hidden="1">'04'!$AS$3:$AS$59</definedName>
    <definedName name="Z_48BED446_3C8C_4DF6_9CE0_373442EE9167_.wvu.FilterData" localSheetId="4" hidden="1">'05'!$AT$3:$AT$58</definedName>
    <definedName name="Z_48BED446_3C8C_4DF6_9CE0_373442EE9167_.wvu.FilterData" localSheetId="5" hidden="1">'06'!$AS$3:$AS$57</definedName>
    <definedName name="Z_48BED446_3C8C_4DF6_9CE0_373442EE9167_.wvu.FilterData" localSheetId="6" hidden="1">'07'!$AU$3:$AU$57</definedName>
    <definedName name="Z_48BED446_3C8C_4DF6_9CE0_373442EE9167_.wvu.FilterData" localSheetId="7" hidden="1">'08'!$AT$3:$AT$58</definedName>
    <definedName name="Z_48BED446_3C8C_4DF6_9CE0_373442EE9167_.wvu.FilterData" localSheetId="8" hidden="1">'09'!$AS$3:$AS$58</definedName>
    <definedName name="Z_48BED446_3C8C_4DF6_9CE0_373442EE9167_.wvu.FilterData" localSheetId="9" hidden="1">'10'!$AT$3:$AT$59</definedName>
    <definedName name="Z_48FEAFE9_020E_4335_82DF_7629FD49497D_.wvu.FilterData" localSheetId="0" hidden="1">'01'!$AT$3:$AT$58</definedName>
    <definedName name="Z_48FEAFE9_020E_4335_82DF_7629FD49497D_.wvu.FilterData" localSheetId="1" hidden="1">'02'!$AQ$3:$AQ$58</definedName>
    <definedName name="Z_48FEAFE9_020E_4335_82DF_7629FD49497D_.wvu.FilterData" localSheetId="2" hidden="1">'03'!$AT$3:$AT$58</definedName>
    <definedName name="Z_48FEAFE9_020E_4335_82DF_7629FD49497D_.wvu.FilterData" localSheetId="3" hidden="1">'04'!$AS$3:$AS$58</definedName>
    <definedName name="Z_48FEAFE9_020E_4335_82DF_7629FD49497D_.wvu.FilterData" localSheetId="4" hidden="1">'05'!$AT$3:$AT$57</definedName>
    <definedName name="Z_48FEAFE9_020E_4335_82DF_7629FD49497D_.wvu.FilterData" localSheetId="5" hidden="1">'06'!$AS$3:$AS$56</definedName>
    <definedName name="Z_48FEAFE9_020E_4335_82DF_7629FD49497D_.wvu.FilterData" localSheetId="6" hidden="1">'07'!$AU$3:$AU$56</definedName>
    <definedName name="Z_48FEAFE9_020E_4335_82DF_7629FD49497D_.wvu.FilterData" localSheetId="7" hidden="1">'08'!$AT$3:$AT$57</definedName>
    <definedName name="Z_48FEAFE9_020E_4335_82DF_7629FD49497D_.wvu.FilterData" localSheetId="8" hidden="1">'09'!$AS$3:$AS$57</definedName>
    <definedName name="Z_48FEAFE9_020E_4335_82DF_7629FD49497D_.wvu.FilterData" localSheetId="9" hidden="1">'10'!$AT$3:$AT$58</definedName>
    <definedName name="Z_490F1F24_E906_44B1_8714_361368DE52B8_.wvu.FilterData" localSheetId="0" hidden="1">'01'!$AT$3:$AT$59</definedName>
    <definedName name="Z_490F1F24_E906_44B1_8714_361368DE52B8_.wvu.FilterData" localSheetId="1" hidden="1">'02'!$AQ$3:$AQ$59</definedName>
    <definedName name="Z_490F1F24_E906_44B1_8714_361368DE52B8_.wvu.FilterData" localSheetId="2" hidden="1">'03'!$AT$3:$AT$59</definedName>
    <definedName name="Z_490F1F24_E906_44B1_8714_361368DE52B8_.wvu.FilterData" localSheetId="3" hidden="1">'04'!$AS$3:$AS$59</definedName>
    <definedName name="Z_490F1F24_E906_44B1_8714_361368DE52B8_.wvu.FilterData" localSheetId="4" hidden="1">'05'!$AT$3:$AT$58</definedName>
    <definedName name="Z_490F1F24_E906_44B1_8714_361368DE52B8_.wvu.FilterData" localSheetId="5" hidden="1">'06'!$AS$3:$AS$57</definedName>
    <definedName name="Z_490F1F24_E906_44B1_8714_361368DE52B8_.wvu.FilterData" localSheetId="6" hidden="1">'07'!$AU$3:$AU$57</definedName>
    <definedName name="Z_490F1F24_E906_44B1_8714_361368DE52B8_.wvu.FilterData" localSheetId="7" hidden="1">'08'!$AT$3:$AT$58</definedName>
    <definedName name="Z_490F1F24_E906_44B1_8714_361368DE52B8_.wvu.FilterData" localSheetId="8" hidden="1">'09'!$AS$3:$AS$58</definedName>
    <definedName name="Z_490F1F24_E906_44B1_8714_361368DE52B8_.wvu.FilterData" localSheetId="9" hidden="1">'10'!$AT$3:$AT$59</definedName>
    <definedName name="Z_4AAEA164_5C08_4D63_9E15_DD0422951AF0_.wvu.FilterData" localSheetId="1" hidden="1">'02'!$AQ$3:$AQ$60</definedName>
    <definedName name="Z_4B4AB791_533E_41C7_B675_90B65BE14C82_.wvu.FilterData" localSheetId="1" hidden="1">'02'!$AQ$3:$AQ$60</definedName>
    <definedName name="Z_4B71B207_BC1E_44B5_B671_D85059AF3D51_.wvu.FilterData" localSheetId="0" hidden="1">'01'!$AT$3:$AT$59</definedName>
    <definedName name="Z_4B71B207_BC1E_44B5_B671_D85059AF3D51_.wvu.FilterData" localSheetId="1" hidden="1">'02'!$AQ$3:$AQ$59</definedName>
    <definedName name="Z_4B71B207_BC1E_44B5_B671_D85059AF3D51_.wvu.FilterData" localSheetId="2" hidden="1">'03'!$AT$3:$AT$59</definedName>
    <definedName name="Z_4B71B207_BC1E_44B5_B671_D85059AF3D51_.wvu.FilterData" localSheetId="3" hidden="1">'04'!$AS$3:$AS$59</definedName>
    <definedName name="Z_4B71B207_BC1E_44B5_B671_D85059AF3D51_.wvu.FilterData" localSheetId="4" hidden="1">'05'!$AT$3:$AT$58</definedName>
    <definedName name="Z_4B71B207_BC1E_44B5_B671_D85059AF3D51_.wvu.FilterData" localSheetId="5" hidden="1">'06'!$AS$3:$AS$57</definedName>
    <definedName name="Z_4B71B207_BC1E_44B5_B671_D85059AF3D51_.wvu.FilterData" localSheetId="6" hidden="1">'07'!$AU$3:$AU$57</definedName>
    <definedName name="Z_4B71B207_BC1E_44B5_B671_D85059AF3D51_.wvu.FilterData" localSheetId="7" hidden="1">'08'!$AT$3:$AT$58</definedName>
    <definedName name="Z_4B71B207_BC1E_44B5_B671_D85059AF3D51_.wvu.FilterData" localSheetId="8" hidden="1">'09'!$AS$3:$AS$58</definedName>
    <definedName name="Z_4B71B207_BC1E_44B5_B671_D85059AF3D51_.wvu.FilterData" localSheetId="9" hidden="1">'10'!$AT$3:$AT$59</definedName>
    <definedName name="Z_4BCA382D_C491_4853_83A1_8FA88542582A_.wvu.FilterData" localSheetId="0" hidden="1">'01'!$AT$3:$AT$58</definedName>
    <definedName name="Z_4BCA382D_C491_4853_83A1_8FA88542582A_.wvu.FilterData" localSheetId="1" hidden="1">'02'!$AQ$3:$AQ$58</definedName>
    <definedName name="Z_4BCA382D_C491_4853_83A1_8FA88542582A_.wvu.FilterData" localSheetId="2" hidden="1">'03'!$AT$3:$AT$58</definedName>
    <definedName name="Z_4BCA382D_C491_4853_83A1_8FA88542582A_.wvu.FilterData" localSheetId="3" hidden="1">'04'!$AS$3:$AS$58</definedName>
    <definedName name="Z_4BCA382D_C491_4853_83A1_8FA88542582A_.wvu.FilterData" localSheetId="4" hidden="1">'05'!$AT$3:$AT$57</definedName>
    <definedName name="Z_4BCA382D_C491_4853_83A1_8FA88542582A_.wvu.FilterData" localSheetId="5" hidden="1">'06'!$AS$3:$AS$56</definedName>
    <definedName name="Z_4BCA382D_C491_4853_83A1_8FA88542582A_.wvu.FilterData" localSheetId="6" hidden="1">'07'!$AU$3:$AU$56</definedName>
    <definedName name="Z_4BCA382D_C491_4853_83A1_8FA88542582A_.wvu.FilterData" localSheetId="7" hidden="1">'08'!$AT$3:$AT$57</definedName>
    <definedName name="Z_4BCA382D_C491_4853_83A1_8FA88542582A_.wvu.FilterData" localSheetId="8" hidden="1">'09'!$AS$3:$AS$57</definedName>
    <definedName name="Z_4BCA382D_C491_4853_83A1_8FA88542582A_.wvu.FilterData" localSheetId="9" hidden="1">'10'!$AT$3:$AT$58</definedName>
    <definedName name="Z_4BD70319_4C96_48CA_A6EE_B8B9BAA962E5_.wvu.FilterData" localSheetId="0" hidden="1">'01'!$AT$3:$AT$58</definedName>
    <definedName name="Z_4BD70319_4C96_48CA_A6EE_B8B9BAA962E5_.wvu.FilterData" localSheetId="1" hidden="1">'02'!$AQ$3:$AQ$58</definedName>
    <definedName name="Z_4BD70319_4C96_48CA_A6EE_B8B9BAA962E5_.wvu.FilterData" localSheetId="2" hidden="1">'03'!$AT$3:$AT$58</definedName>
    <definedName name="Z_4BD70319_4C96_48CA_A6EE_B8B9BAA962E5_.wvu.FilterData" localSheetId="3" hidden="1">'04'!$AS$3:$AS$58</definedName>
    <definedName name="Z_4BD70319_4C96_48CA_A6EE_B8B9BAA962E5_.wvu.FilterData" localSheetId="4" hidden="1">'05'!$AT$3:$AT$57</definedName>
    <definedName name="Z_4BD70319_4C96_48CA_A6EE_B8B9BAA962E5_.wvu.FilterData" localSheetId="5" hidden="1">'06'!$AS$3:$AS$56</definedName>
    <definedName name="Z_4BD70319_4C96_48CA_A6EE_B8B9BAA962E5_.wvu.FilterData" localSheetId="6" hidden="1">'07'!$AU$3:$AU$56</definedName>
    <definedName name="Z_4BD70319_4C96_48CA_A6EE_B8B9BAA962E5_.wvu.FilterData" localSheetId="7" hidden="1">'08'!$AT$3:$AT$57</definedName>
    <definedName name="Z_4BD70319_4C96_48CA_A6EE_B8B9BAA962E5_.wvu.FilterData" localSheetId="8" hidden="1">'09'!$AS$3:$AS$57</definedName>
    <definedName name="Z_4BD70319_4C96_48CA_A6EE_B8B9BAA962E5_.wvu.FilterData" localSheetId="9" hidden="1">'10'!$AT$3:$AT$58</definedName>
    <definedName name="Z_4C519D15_1F50_4056_A731_4B27EA6748B6_.wvu.FilterData" localSheetId="0" hidden="1">'01'!$AT$3:$AT$58</definedName>
    <definedName name="Z_4C519D15_1F50_4056_A731_4B27EA6748B6_.wvu.FilterData" localSheetId="1" hidden="1">'02'!$AQ$3:$AQ$58</definedName>
    <definedName name="Z_4C519D15_1F50_4056_A731_4B27EA6748B6_.wvu.FilterData" localSheetId="2" hidden="1">'03'!$AT$3:$AT$58</definedName>
    <definedName name="Z_4C519D15_1F50_4056_A731_4B27EA6748B6_.wvu.FilterData" localSheetId="3" hidden="1">'04'!$AS$3:$AS$58</definedName>
    <definedName name="Z_4C519D15_1F50_4056_A731_4B27EA6748B6_.wvu.FilterData" localSheetId="4" hidden="1">'05'!$AT$3:$AT$57</definedName>
    <definedName name="Z_4C519D15_1F50_4056_A731_4B27EA6748B6_.wvu.FilterData" localSheetId="5" hidden="1">'06'!$AS$3:$AS$56</definedName>
    <definedName name="Z_4C519D15_1F50_4056_A731_4B27EA6748B6_.wvu.FilterData" localSheetId="6" hidden="1">'07'!$AU$3:$AU$56</definedName>
    <definedName name="Z_4C519D15_1F50_4056_A731_4B27EA6748B6_.wvu.FilterData" localSheetId="7" hidden="1">'08'!$AT$3:$AT$57</definedName>
    <definedName name="Z_4C519D15_1F50_4056_A731_4B27EA6748B6_.wvu.FilterData" localSheetId="8" hidden="1">'09'!$AS$3:$AS$57</definedName>
    <definedName name="Z_4C519D15_1F50_4056_A731_4B27EA6748B6_.wvu.FilterData" localSheetId="9" hidden="1">'10'!$AT$3:$AT$58</definedName>
    <definedName name="Z_500F08BA_8A09_421C_9FA8_D25279EE376C_.wvu.FilterData" localSheetId="0" hidden="1">'01'!$AT$3:$AT$58</definedName>
    <definedName name="Z_500F08BA_8A09_421C_9FA8_D25279EE376C_.wvu.FilterData" localSheetId="1" hidden="1">'02'!$AQ$3:$AQ$58</definedName>
    <definedName name="Z_500F08BA_8A09_421C_9FA8_D25279EE376C_.wvu.FilterData" localSheetId="2" hidden="1">'03'!$AT$3:$AT$58</definedName>
    <definedName name="Z_500F08BA_8A09_421C_9FA8_D25279EE376C_.wvu.FilterData" localSheetId="3" hidden="1">'04'!$AS$3:$AS$58</definedName>
    <definedName name="Z_500F08BA_8A09_421C_9FA8_D25279EE376C_.wvu.FilterData" localSheetId="4" hidden="1">'05'!$AT$3:$AT$57</definedName>
    <definedName name="Z_500F08BA_8A09_421C_9FA8_D25279EE376C_.wvu.FilterData" localSheetId="5" hidden="1">'06'!$AS$3:$AS$56</definedName>
    <definedName name="Z_500F08BA_8A09_421C_9FA8_D25279EE376C_.wvu.FilterData" localSheetId="6" hidden="1">'07'!$AU$3:$AU$56</definedName>
    <definedName name="Z_500F08BA_8A09_421C_9FA8_D25279EE376C_.wvu.FilterData" localSheetId="7" hidden="1">'08'!$AT$3:$AT$57</definedName>
    <definedName name="Z_500F08BA_8A09_421C_9FA8_D25279EE376C_.wvu.FilterData" localSheetId="8" hidden="1">'09'!$AS$3:$AS$57</definedName>
    <definedName name="Z_500F08BA_8A09_421C_9FA8_D25279EE376C_.wvu.FilterData" localSheetId="9" hidden="1">'10'!$AT$3:$AT$58</definedName>
    <definedName name="Z_50234A97_5B64_490F_B463_4B02F38B4B25_.wvu.FilterData" localSheetId="0" hidden="1">'01'!$AT$3:$AT$58</definedName>
    <definedName name="Z_50234A97_5B64_490F_B463_4B02F38B4B25_.wvu.FilterData" localSheetId="1" hidden="1">'02'!$AQ$3:$AQ$58</definedName>
    <definedName name="Z_50234A97_5B64_490F_B463_4B02F38B4B25_.wvu.FilterData" localSheetId="2" hidden="1">'03'!$AT$3:$AT$58</definedName>
    <definedName name="Z_50234A97_5B64_490F_B463_4B02F38B4B25_.wvu.FilterData" localSheetId="3" hidden="1">'04'!$AS$3:$AS$58</definedName>
    <definedName name="Z_50234A97_5B64_490F_B463_4B02F38B4B25_.wvu.FilterData" localSheetId="4" hidden="1">'05'!$AT$3:$AT$57</definedName>
    <definedName name="Z_50234A97_5B64_490F_B463_4B02F38B4B25_.wvu.FilterData" localSheetId="5" hidden="1">'06'!$AS$3:$AS$56</definedName>
    <definedName name="Z_50234A97_5B64_490F_B463_4B02F38B4B25_.wvu.FilterData" localSheetId="6" hidden="1">'07'!$AU$3:$AU$56</definedName>
    <definedName name="Z_50234A97_5B64_490F_B463_4B02F38B4B25_.wvu.FilterData" localSheetId="7" hidden="1">'08'!$AT$3:$AT$57</definedName>
    <definedName name="Z_50234A97_5B64_490F_B463_4B02F38B4B25_.wvu.FilterData" localSheetId="8" hidden="1">'09'!$AS$3:$AS$57</definedName>
    <definedName name="Z_50234A97_5B64_490F_B463_4B02F38B4B25_.wvu.FilterData" localSheetId="9" hidden="1">'10'!$AT$3:$AT$58</definedName>
    <definedName name="Z_508642AB_EF24_4E74_A9B0_E67B953A835C_.wvu.FilterData" localSheetId="0" hidden="1">'01'!$AT$3:$AT$58</definedName>
    <definedName name="Z_508642AB_EF24_4E74_A9B0_E67B953A835C_.wvu.FilterData" localSheetId="1" hidden="1">'02'!$AQ$3:$AQ$58</definedName>
    <definedName name="Z_508642AB_EF24_4E74_A9B0_E67B953A835C_.wvu.FilterData" localSheetId="2" hidden="1">'03'!$AT$3:$AT$58</definedName>
    <definedName name="Z_508642AB_EF24_4E74_A9B0_E67B953A835C_.wvu.FilterData" localSheetId="3" hidden="1">'04'!$AS$3:$AS$58</definedName>
    <definedName name="Z_508642AB_EF24_4E74_A9B0_E67B953A835C_.wvu.FilterData" localSheetId="4" hidden="1">'05'!$AT$3:$AT$57</definedName>
    <definedName name="Z_508642AB_EF24_4E74_A9B0_E67B953A835C_.wvu.FilterData" localSheetId="5" hidden="1">'06'!$AS$3:$AS$56</definedName>
    <definedName name="Z_508642AB_EF24_4E74_A9B0_E67B953A835C_.wvu.FilterData" localSheetId="6" hidden="1">'07'!$AU$3:$AU$56</definedName>
    <definedName name="Z_508642AB_EF24_4E74_A9B0_E67B953A835C_.wvu.FilterData" localSheetId="7" hidden="1">'08'!$AT$3:$AT$57</definedName>
    <definedName name="Z_508642AB_EF24_4E74_A9B0_E67B953A835C_.wvu.FilterData" localSheetId="8" hidden="1">'09'!$AS$3:$AS$57</definedName>
    <definedName name="Z_508642AB_EF24_4E74_A9B0_E67B953A835C_.wvu.FilterData" localSheetId="9" hidden="1">'10'!$AT$3:$AT$58</definedName>
    <definedName name="Z_5144521A_29D5_4CCF_822B_4070F433643E_.wvu.FilterData" localSheetId="1" hidden="1">'02'!$AQ$3:$AQ$60</definedName>
    <definedName name="Z_525D1B7A_3844_4E11_99DC_E4DB1C9385C8_.wvu.FilterData" localSheetId="3" hidden="1">'04'!$AS$3:$AS$59</definedName>
    <definedName name="Z_525D1B7A_3844_4E11_99DC_E4DB1C9385C8_.wvu.FilterData" localSheetId="4" hidden="1">'05'!$AT$3:$AT$58</definedName>
    <definedName name="Z_525D1B7A_3844_4E11_99DC_E4DB1C9385C8_.wvu.FilterData" localSheetId="5" hidden="1">'06'!$AS$3:$AS$57</definedName>
    <definedName name="Z_525D1B7A_3844_4E11_99DC_E4DB1C9385C8_.wvu.FilterData" localSheetId="6" hidden="1">'07'!$AU$3:$AU$57</definedName>
    <definedName name="Z_525D1B7A_3844_4E11_99DC_E4DB1C9385C8_.wvu.FilterData" localSheetId="7" hidden="1">'08'!$AT$3:$AT$58</definedName>
    <definedName name="Z_525D1B7A_3844_4E11_99DC_E4DB1C9385C8_.wvu.FilterData" localSheetId="8" hidden="1">'09'!$AS$3:$AS$58</definedName>
    <definedName name="Z_525D1B7A_3844_4E11_99DC_E4DB1C9385C8_.wvu.FilterData" localSheetId="9" hidden="1">'10'!$AT$3:$AT$59</definedName>
    <definedName name="Z_5384773E_F269_46D0_9CFF_79C25C6641FF_.wvu.FilterData" localSheetId="0" hidden="1">'01'!$AT$3:$AT$59</definedName>
    <definedName name="Z_5384773E_F269_46D0_9CFF_79C25C6641FF_.wvu.FilterData" localSheetId="1" hidden="1">'02'!$AQ$3:$AQ$59</definedName>
    <definedName name="Z_5384773E_F269_46D0_9CFF_79C25C6641FF_.wvu.FilterData" localSheetId="2" hidden="1">'03'!$AT$3:$AT$59</definedName>
    <definedName name="Z_5384773E_F269_46D0_9CFF_79C25C6641FF_.wvu.FilterData" localSheetId="3" hidden="1">'04'!$AS$3:$AS$59</definedName>
    <definedName name="Z_5384773E_F269_46D0_9CFF_79C25C6641FF_.wvu.FilterData" localSheetId="4" hidden="1">'05'!$AT$3:$AT$58</definedName>
    <definedName name="Z_5384773E_F269_46D0_9CFF_79C25C6641FF_.wvu.FilterData" localSheetId="5" hidden="1">'06'!$AS$3:$AS$57</definedName>
    <definedName name="Z_5384773E_F269_46D0_9CFF_79C25C6641FF_.wvu.FilterData" localSheetId="6" hidden="1">'07'!$AU$3:$AU$57</definedName>
    <definedName name="Z_5384773E_F269_46D0_9CFF_79C25C6641FF_.wvu.FilterData" localSheetId="7" hidden="1">'08'!$AT$3:$AT$58</definedName>
    <definedName name="Z_5384773E_F269_46D0_9CFF_79C25C6641FF_.wvu.FilterData" localSheetId="8" hidden="1">'09'!$AS$3:$AS$58</definedName>
    <definedName name="Z_5384773E_F269_46D0_9CFF_79C25C6641FF_.wvu.FilterData" localSheetId="9" hidden="1">'10'!$AT$3:$AT$59</definedName>
    <definedName name="Z_54596EC0_4A22_492D_B0A3_573BC097FDC4_.wvu.FilterData" localSheetId="0" hidden="1">'01'!$AT$3:$AT$58</definedName>
    <definedName name="Z_54596EC0_4A22_492D_B0A3_573BC097FDC4_.wvu.FilterData" localSheetId="1" hidden="1">'02'!$AQ$3:$AQ$58</definedName>
    <definedName name="Z_54596EC0_4A22_492D_B0A3_573BC097FDC4_.wvu.FilterData" localSheetId="2" hidden="1">'03'!$AT$3:$AT$58</definedName>
    <definedName name="Z_54596EC0_4A22_492D_B0A3_573BC097FDC4_.wvu.FilterData" localSheetId="3" hidden="1">'04'!$AS$3:$AS$58</definedName>
    <definedName name="Z_54596EC0_4A22_492D_B0A3_573BC097FDC4_.wvu.FilterData" localSheetId="4" hidden="1">'05'!$AT$3:$AT$57</definedName>
    <definedName name="Z_54596EC0_4A22_492D_B0A3_573BC097FDC4_.wvu.FilterData" localSheetId="5" hidden="1">'06'!$AS$3:$AS$56</definedName>
    <definedName name="Z_54596EC0_4A22_492D_B0A3_573BC097FDC4_.wvu.FilterData" localSheetId="6" hidden="1">'07'!$AU$3:$AU$56</definedName>
    <definedName name="Z_54596EC0_4A22_492D_B0A3_573BC097FDC4_.wvu.FilterData" localSheetId="7" hidden="1">'08'!$AT$3:$AT$57</definedName>
    <definedName name="Z_54596EC0_4A22_492D_B0A3_573BC097FDC4_.wvu.FilterData" localSheetId="8" hidden="1">'09'!$AS$3:$AS$57</definedName>
    <definedName name="Z_54596EC0_4A22_492D_B0A3_573BC097FDC4_.wvu.FilterData" localSheetId="9" hidden="1">'10'!$AT$3:$AT$58</definedName>
    <definedName name="Z_54662ACE_1E16_41D2_9822_D63CEBA96267_.wvu.FilterData" localSheetId="0" hidden="1">'01'!$AT$3:$AT$58</definedName>
    <definedName name="Z_54662ACE_1E16_41D2_9822_D63CEBA96267_.wvu.FilterData" localSheetId="1" hidden="1">'02'!$AQ$3:$AQ$58</definedName>
    <definedName name="Z_54662ACE_1E16_41D2_9822_D63CEBA96267_.wvu.FilterData" localSheetId="2" hidden="1">'03'!$AT$3:$AT$58</definedName>
    <definedName name="Z_54662ACE_1E16_41D2_9822_D63CEBA96267_.wvu.FilterData" localSheetId="3" hidden="1">'04'!$AS$3:$AS$58</definedName>
    <definedName name="Z_54662ACE_1E16_41D2_9822_D63CEBA96267_.wvu.FilterData" localSheetId="4" hidden="1">'05'!$AT$3:$AT$57</definedName>
    <definedName name="Z_54662ACE_1E16_41D2_9822_D63CEBA96267_.wvu.FilterData" localSheetId="5" hidden="1">'06'!$AS$3:$AS$56</definedName>
    <definedName name="Z_54662ACE_1E16_41D2_9822_D63CEBA96267_.wvu.FilterData" localSheetId="6" hidden="1">'07'!$AU$3:$AU$56</definedName>
    <definedName name="Z_54662ACE_1E16_41D2_9822_D63CEBA96267_.wvu.FilterData" localSheetId="7" hidden="1">'08'!$AT$3:$AT$57</definedName>
    <definedName name="Z_54662ACE_1E16_41D2_9822_D63CEBA96267_.wvu.FilterData" localSheetId="8" hidden="1">'09'!$AS$3:$AS$57</definedName>
    <definedName name="Z_54662ACE_1E16_41D2_9822_D63CEBA96267_.wvu.FilterData" localSheetId="9" hidden="1">'10'!$AT$3:$AT$58</definedName>
    <definedName name="Z_557789D0_D27F_47D1_A532_4C37AA6A1C73_.wvu.FilterData" localSheetId="0" hidden="1">'01'!$AT$3:$AT$58</definedName>
    <definedName name="Z_557789D0_D27F_47D1_A532_4C37AA6A1C73_.wvu.FilterData" localSheetId="1" hidden="1">'02'!$AQ$3:$AQ$58</definedName>
    <definedName name="Z_557789D0_D27F_47D1_A532_4C37AA6A1C73_.wvu.FilterData" localSheetId="2" hidden="1">'03'!$AT$3:$AT$58</definedName>
    <definedName name="Z_557789D0_D27F_47D1_A532_4C37AA6A1C73_.wvu.FilterData" localSheetId="3" hidden="1">'04'!$AS$3:$AS$58</definedName>
    <definedName name="Z_557789D0_D27F_47D1_A532_4C37AA6A1C73_.wvu.FilterData" localSheetId="4" hidden="1">'05'!$AT$3:$AT$57</definedName>
    <definedName name="Z_557789D0_D27F_47D1_A532_4C37AA6A1C73_.wvu.FilterData" localSheetId="5" hidden="1">'06'!$AS$3:$AS$56</definedName>
    <definedName name="Z_557789D0_D27F_47D1_A532_4C37AA6A1C73_.wvu.FilterData" localSheetId="6" hidden="1">'07'!$AU$3:$AU$56</definedName>
    <definedName name="Z_557789D0_D27F_47D1_A532_4C37AA6A1C73_.wvu.FilterData" localSheetId="7" hidden="1">'08'!$AT$3:$AT$57</definedName>
    <definedName name="Z_557789D0_D27F_47D1_A532_4C37AA6A1C73_.wvu.FilterData" localSheetId="8" hidden="1">'09'!$AS$3:$AS$57</definedName>
    <definedName name="Z_557789D0_D27F_47D1_A532_4C37AA6A1C73_.wvu.FilterData" localSheetId="9" hidden="1">'10'!$AT$3:$AT$58</definedName>
    <definedName name="Z_55EC9814_D3EA_4E95_A074_46C9857F9AA8_.wvu.FilterData" localSheetId="0" hidden="1">'01'!$AT$3:$AT$58</definedName>
    <definedName name="Z_55EC9814_D3EA_4E95_A074_46C9857F9AA8_.wvu.FilterData" localSheetId="1" hidden="1">'02'!$AQ$3:$AQ$58</definedName>
    <definedName name="Z_55EC9814_D3EA_4E95_A074_46C9857F9AA8_.wvu.FilterData" localSheetId="2" hidden="1">'03'!$AT$3:$AT$58</definedName>
    <definedName name="Z_55EC9814_D3EA_4E95_A074_46C9857F9AA8_.wvu.FilterData" localSheetId="3" hidden="1">'04'!$AS$3:$AS$58</definedName>
    <definedName name="Z_55EC9814_D3EA_4E95_A074_46C9857F9AA8_.wvu.FilterData" localSheetId="4" hidden="1">'05'!$AT$3:$AT$57</definedName>
    <definedName name="Z_55EC9814_D3EA_4E95_A074_46C9857F9AA8_.wvu.FilterData" localSheetId="5" hidden="1">'06'!$AS$3:$AS$56</definedName>
    <definedName name="Z_55EC9814_D3EA_4E95_A074_46C9857F9AA8_.wvu.FilterData" localSheetId="6" hidden="1">'07'!$AU$3:$AU$56</definedName>
    <definedName name="Z_55EC9814_D3EA_4E95_A074_46C9857F9AA8_.wvu.FilterData" localSheetId="7" hidden="1">'08'!$AT$3:$AT$57</definedName>
    <definedName name="Z_55EC9814_D3EA_4E95_A074_46C9857F9AA8_.wvu.FilterData" localSheetId="8" hidden="1">'09'!$AS$3:$AS$57</definedName>
    <definedName name="Z_55EC9814_D3EA_4E95_A074_46C9857F9AA8_.wvu.FilterData" localSheetId="9" hidden="1">'10'!$AT$3:$AT$58</definedName>
    <definedName name="Z_57CAC740_BF78_423E_A0F9_30B02FAA704E_.wvu.FilterData" localSheetId="0" hidden="1">'01'!$AT$3:$AT$58</definedName>
    <definedName name="Z_57CAC740_BF78_423E_A0F9_30B02FAA704E_.wvu.FilterData" localSheetId="1" hidden="1">'02'!$AQ$3:$AQ$58</definedName>
    <definedName name="Z_57CAC740_BF78_423E_A0F9_30B02FAA704E_.wvu.FilterData" localSheetId="2" hidden="1">'03'!$AT$3:$AT$58</definedName>
    <definedName name="Z_57CAC740_BF78_423E_A0F9_30B02FAA704E_.wvu.FilterData" localSheetId="3" hidden="1">'04'!$AS$3:$AS$58</definedName>
    <definedName name="Z_57CAC740_BF78_423E_A0F9_30B02FAA704E_.wvu.FilterData" localSheetId="4" hidden="1">'05'!$AT$3:$AT$57</definedName>
    <definedName name="Z_57CAC740_BF78_423E_A0F9_30B02FAA704E_.wvu.FilterData" localSheetId="5" hidden="1">'06'!$AS$3:$AS$56</definedName>
    <definedName name="Z_57CAC740_BF78_423E_A0F9_30B02FAA704E_.wvu.FilterData" localSheetId="6" hidden="1">'07'!$AU$3:$AU$56</definedName>
    <definedName name="Z_57CAC740_BF78_423E_A0F9_30B02FAA704E_.wvu.FilterData" localSheetId="7" hidden="1">'08'!$AT$3:$AT$57</definedName>
    <definedName name="Z_57CAC740_BF78_423E_A0F9_30B02FAA704E_.wvu.FilterData" localSheetId="8" hidden="1">'09'!$AS$3:$AS$57</definedName>
    <definedName name="Z_57CAC740_BF78_423E_A0F9_30B02FAA704E_.wvu.FilterData" localSheetId="9" hidden="1">'10'!$AT$3:$AT$58</definedName>
    <definedName name="Z_57D398F5_D068_4660_8B4F_1CDB59D8D74E_.wvu.FilterData" localSheetId="3" hidden="1">'04'!$AS$3:$AS$59</definedName>
    <definedName name="Z_58062B18_AC4D_462B_A403_F7755CA844B7_.wvu.FilterData" localSheetId="0" hidden="1">'01'!$AT$3:$AT$58</definedName>
    <definedName name="Z_58062B18_AC4D_462B_A403_F7755CA844B7_.wvu.FilterData" localSheetId="1" hidden="1">'02'!$AQ$3:$AQ$58</definedName>
    <definedName name="Z_58062B18_AC4D_462B_A403_F7755CA844B7_.wvu.FilterData" localSheetId="2" hidden="1">'03'!$AT$3:$AT$58</definedName>
    <definedName name="Z_58062B18_AC4D_462B_A403_F7755CA844B7_.wvu.FilterData" localSheetId="3" hidden="1">'04'!$AS$3:$AS$58</definedName>
    <definedName name="Z_58062B18_AC4D_462B_A403_F7755CA844B7_.wvu.FilterData" localSheetId="4" hidden="1">'05'!$AT$3:$AT$57</definedName>
    <definedName name="Z_58062B18_AC4D_462B_A403_F7755CA844B7_.wvu.FilterData" localSheetId="5" hidden="1">'06'!$AS$3:$AS$56</definedName>
    <definedName name="Z_58062B18_AC4D_462B_A403_F7755CA844B7_.wvu.FilterData" localSheetId="6" hidden="1">'07'!$AU$3:$AU$56</definedName>
    <definedName name="Z_58062B18_AC4D_462B_A403_F7755CA844B7_.wvu.FilterData" localSheetId="7" hidden="1">'08'!$AT$3:$AT$57</definedName>
    <definedName name="Z_58062B18_AC4D_462B_A403_F7755CA844B7_.wvu.FilterData" localSheetId="8" hidden="1">'09'!$AS$3:$AS$57</definedName>
    <definedName name="Z_58062B18_AC4D_462B_A403_F7755CA844B7_.wvu.FilterData" localSheetId="9" hidden="1">'10'!$AT$3:$AT$58</definedName>
    <definedName name="Z_592A6D0F_1195_4B47_B319_B53EC3E9D0D7_.wvu.FilterData" localSheetId="6" hidden="1">'07'!$AU$3:$AU$57</definedName>
    <definedName name="Z_592A6D0F_1195_4B47_B319_B53EC3E9D0D7_.wvu.FilterData" localSheetId="7" hidden="1">'08'!$AT$3:$AT$58</definedName>
    <definedName name="Z_592A6D0F_1195_4B47_B319_B53EC3E9D0D7_.wvu.FilterData" localSheetId="8" hidden="1">'09'!$AS$3:$AS$58</definedName>
    <definedName name="Z_592A6D0F_1195_4B47_B319_B53EC3E9D0D7_.wvu.FilterData" localSheetId="9" hidden="1">'10'!$AT$3:$AT$59</definedName>
    <definedName name="Z_5A6B0A9B_1CD0_47C1_9FAD_924E899F0407_.wvu.FilterData" localSheetId="0" hidden="1">'01'!$AT$3:$AT$58</definedName>
    <definedName name="Z_5A6B0A9B_1CD0_47C1_9FAD_924E899F0407_.wvu.FilterData" localSheetId="1" hidden="1">'02'!$AQ$3:$AQ$58</definedName>
    <definedName name="Z_5A6B0A9B_1CD0_47C1_9FAD_924E899F0407_.wvu.FilterData" localSheetId="2" hidden="1">'03'!$AT$3:$AT$58</definedName>
    <definedName name="Z_5A6B0A9B_1CD0_47C1_9FAD_924E899F0407_.wvu.FilterData" localSheetId="3" hidden="1">'04'!$AS$3:$AS$58</definedName>
    <definedName name="Z_5A6B0A9B_1CD0_47C1_9FAD_924E899F0407_.wvu.FilterData" localSheetId="4" hidden="1">'05'!$AT$3:$AT$57</definedName>
    <definedName name="Z_5A6B0A9B_1CD0_47C1_9FAD_924E899F0407_.wvu.FilterData" localSheetId="5" hidden="1">'06'!$AS$3:$AS$56</definedName>
    <definedName name="Z_5A6B0A9B_1CD0_47C1_9FAD_924E899F0407_.wvu.FilterData" localSheetId="6" hidden="1">'07'!$AU$3:$AU$56</definedName>
    <definedName name="Z_5A6B0A9B_1CD0_47C1_9FAD_924E899F0407_.wvu.FilterData" localSheetId="7" hidden="1">'08'!$AT$3:$AT$57</definedName>
    <definedName name="Z_5A6B0A9B_1CD0_47C1_9FAD_924E899F0407_.wvu.FilterData" localSheetId="8" hidden="1">'09'!$AS$3:$AS$57</definedName>
    <definedName name="Z_5A6B0A9B_1CD0_47C1_9FAD_924E899F0407_.wvu.FilterData" localSheetId="9" hidden="1">'10'!$AT$3:$AT$58</definedName>
    <definedName name="Z_5A97CA96_3267_49CF_8D26_496D21F10B4D_.wvu.FilterData" localSheetId="1" hidden="1">'02'!$AQ$3:$AQ$60</definedName>
    <definedName name="Z_5B2AC922_A8F4_4D47_9EC8_833EB954F945_.wvu.FilterData" localSheetId="0" hidden="1">'01'!$AT$3:$AT$59</definedName>
    <definedName name="Z_5B2AC922_A8F4_4D47_9EC8_833EB954F945_.wvu.FilterData" localSheetId="1" hidden="1">'02'!$AQ$3:$AQ$59</definedName>
    <definedName name="Z_5B2AC922_A8F4_4D47_9EC8_833EB954F945_.wvu.FilterData" localSheetId="2" hidden="1">'03'!$AT$3:$AT$59</definedName>
    <definedName name="Z_5B2AC922_A8F4_4D47_9EC8_833EB954F945_.wvu.FilterData" localSheetId="3" hidden="1">'04'!$AS$3:$AS$59</definedName>
    <definedName name="Z_5B2AC922_A8F4_4D47_9EC8_833EB954F945_.wvu.FilterData" localSheetId="4" hidden="1">'05'!$AT$3:$AT$58</definedName>
    <definedName name="Z_5B2AC922_A8F4_4D47_9EC8_833EB954F945_.wvu.FilterData" localSheetId="5" hidden="1">'06'!$AS$3:$AS$57</definedName>
    <definedName name="Z_5B2AC922_A8F4_4D47_9EC8_833EB954F945_.wvu.FilterData" localSheetId="6" hidden="1">'07'!$AU$3:$AU$57</definedName>
    <definedName name="Z_5B2AC922_A8F4_4D47_9EC8_833EB954F945_.wvu.FilterData" localSheetId="7" hidden="1">'08'!$AT$3:$AT$58</definedName>
    <definedName name="Z_5B2AC922_A8F4_4D47_9EC8_833EB954F945_.wvu.FilterData" localSheetId="8" hidden="1">'09'!$AS$3:$AS$58</definedName>
    <definedName name="Z_5B2AC922_A8F4_4D47_9EC8_833EB954F945_.wvu.FilterData" localSheetId="9" hidden="1">'10'!$AT$3:$AT$59</definedName>
    <definedName name="Z_5B4000BF_7CAF_4CC3_ACBC_3E99C0B6C030_.wvu.FilterData" localSheetId="0" hidden="1">'01'!$AT$3:$AT$58</definedName>
    <definedName name="Z_5B4000BF_7CAF_4CC3_ACBC_3E99C0B6C030_.wvu.FilterData" localSheetId="1" hidden="1">'02'!$AQ$3:$AQ$58</definedName>
    <definedName name="Z_5B4000BF_7CAF_4CC3_ACBC_3E99C0B6C030_.wvu.FilterData" localSheetId="2" hidden="1">'03'!$AT$3:$AT$58</definedName>
    <definedName name="Z_5B4000BF_7CAF_4CC3_ACBC_3E99C0B6C030_.wvu.FilterData" localSheetId="3" hidden="1">'04'!$AS$3:$AS$58</definedName>
    <definedName name="Z_5B4000BF_7CAF_4CC3_ACBC_3E99C0B6C030_.wvu.FilterData" localSheetId="4" hidden="1">'05'!$AT$3:$AT$57</definedName>
    <definedName name="Z_5B4000BF_7CAF_4CC3_ACBC_3E99C0B6C030_.wvu.FilterData" localSheetId="5" hidden="1">'06'!$AS$3:$AS$56</definedName>
    <definedName name="Z_5B4000BF_7CAF_4CC3_ACBC_3E99C0B6C030_.wvu.FilterData" localSheetId="6" hidden="1">'07'!$AU$3:$AU$56</definedName>
    <definedName name="Z_5B4000BF_7CAF_4CC3_ACBC_3E99C0B6C030_.wvu.FilterData" localSheetId="7" hidden="1">'08'!$AT$3:$AT$57</definedName>
    <definedName name="Z_5B4000BF_7CAF_4CC3_ACBC_3E99C0B6C030_.wvu.FilterData" localSheetId="8" hidden="1">'09'!$AS$3:$AS$57</definedName>
    <definedName name="Z_5B4000BF_7CAF_4CC3_ACBC_3E99C0B6C030_.wvu.FilterData" localSheetId="9" hidden="1">'10'!$AT$3:$AT$58</definedName>
    <definedName name="Z_5C05D8C8_6916_4BB6_83FE_7C5EBE70BA43_.wvu.FilterData" localSheetId="0" hidden="1">'01'!$AT$3:$AT$59</definedName>
    <definedName name="Z_5C05D8C8_6916_4BB6_83FE_7C5EBE70BA43_.wvu.FilterData" localSheetId="1" hidden="1">'02'!$AQ$3:$AQ$59</definedName>
    <definedName name="Z_5C05D8C8_6916_4BB6_83FE_7C5EBE70BA43_.wvu.FilterData" localSheetId="2" hidden="1">'03'!$AT$3:$AT$59</definedName>
    <definedName name="Z_5C05D8C8_6916_4BB6_83FE_7C5EBE70BA43_.wvu.FilterData" localSheetId="3" hidden="1">'04'!$AS$3:$AS$59</definedName>
    <definedName name="Z_5C05D8C8_6916_4BB6_83FE_7C5EBE70BA43_.wvu.FilterData" localSheetId="4" hidden="1">'05'!$AT$3:$AT$58</definedName>
    <definedName name="Z_5C05D8C8_6916_4BB6_83FE_7C5EBE70BA43_.wvu.FilterData" localSheetId="5" hidden="1">'06'!$AS$3:$AS$57</definedName>
    <definedName name="Z_5C05D8C8_6916_4BB6_83FE_7C5EBE70BA43_.wvu.FilterData" localSheetId="6" hidden="1">'07'!$AU$3:$AU$57</definedName>
    <definedName name="Z_5C05D8C8_6916_4BB6_83FE_7C5EBE70BA43_.wvu.FilterData" localSheetId="7" hidden="1">'08'!$AT$3:$AT$58</definedName>
    <definedName name="Z_5C05D8C8_6916_4BB6_83FE_7C5EBE70BA43_.wvu.FilterData" localSheetId="8" hidden="1">'09'!$AS$3:$AS$58</definedName>
    <definedName name="Z_5C05D8C8_6916_4BB6_83FE_7C5EBE70BA43_.wvu.FilterData" localSheetId="9" hidden="1">'10'!$AT$3:$AT$59</definedName>
    <definedName name="Z_5C6D73C1_F2E2_49D2_AD43_8F14AC6E0902_.wvu.FilterData" localSheetId="0" hidden="1">'01'!$AT$3:$AT$58</definedName>
    <definedName name="Z_5C6D73C1_F2E2_49D2_AD43_8F14AC6E0902_.wvu.FilterData" localSheetId="1" hidden="1">'02'!$AQ$3:$AQ$58</definedName>
    <definedName name="Z_5C6D73C1_F2E2_49D2_AD43_8F14AC6E0902_.wvu.FilterData" localSheetId="2" hidden="1">'03'!$AT$3:$AT$58</definedName>
    <definedName name="Z_5C6D73C1_F2E2_49D2_AD43_8F14AC6E0902_.wvu.FilterData" localSheetId="3" hidden="1">'04'!$AS$3:$AS$58</definedName>
    <definedName name="Z_5C6D73C1_F2E2_49D2_AD43_8F14AC6E0902_.wvu.FilterData" localSheetId="4" hidden="1">'05'!$AT$3:$AT$57</definedName>
    <definedName name="Z_5C6D73C1_F2E2_49D2_AD43_8F14AC6E0902_.wvu.FilterData" localSheetId="5" hidden="1">'06'!$AS$3:$AS$56</definedName>
    <definedName name="Z_5C6D73C1_F2E2_49D2_AD43_8F14AC6E0902_.wvu.FilterData" localSheetId="6" hidden="1">'07'!$AU$3:$AU$56</definedName>
    <definedName name="Z_5C6D73C1_F2E2_49D2_AD43_8F14AC6E0902_.wvu.FilterData" localSheetId="7" hidden="1">'08'!$AT$3:$AT$57</definedName>
    <definedName name="Z_5C6D73C1_F2E2_49D2_AD43_8F14AC6E0902_.wvu.FilterData" localSheetId="8" hidden="1">'09'!$AS$3:$AS$57</definedName>
    <definedName name="Z_5C6D73C1_F2E2_49D2_AD43_8F14AC6E0902_.wvu.FilterData" localSheetId="9" hidden="1">'10'!$AT$3:$AT$58</definedName>
    <definedName name="Z_5DBD6343_4A9F_4795_BD4E_219BC770990A_.wvu.FilterData" localSheetId="0" hidden="1">'01'!$AT$3:$AT$59</definedName>
    <definedName name="Z_5DBD6343_4A9F_4795_BD4E_219BC770990A_.wvu.FilterData" localSheetId="1" hidden="1">'02'!$AQ$3:$AQ$59</definedName>
    <definedName name="Z_5DBD6343_4A9F_4795_BD4E_219BC770990A_.wvu.FilterData" localSheetId="2" hidden="1">'03'!$AT$3:$AT$59</definedName>
    <definedName name="Z_5DBD6343_4A9F_4795_BD4E_219BC770990A_.wvu.FilterData" localSheetId="3" hidden="1">'04'!$AS$3:$AS$59</definedName>
    <definedName name="Z_5DBD6343_4A9F_4795_BD4E_219BC770990A_.wvu.FilterData" localSheetId="4" hidden="1">'05'!$AT$3:$AT$58</definedName>
    <definedName name="Z_5DBD6343_4A9F_4795_BD4E_219BC770990A_.wvu.FilterData" localSheetId="5" hidden="1">'06'!$AS$3:$AS$57</definedName>
    <definedName name="Z_5DBD6343_4A9F_4795_BD4E_219BC770990A_.wvu.FilterData" localSheetId="6" hidden="1">'07'!$AU$3:$AU$57</definedName>
    <definedName name="Z_5DBD6343_4A9F_4795_BD4E_219BC770990A_.wvu.FilterData" localSheetId="7" hidden="1">'08'!$AT$3:$AT$58</definedName>
    <definedName name="Z_5DBD6343_4A9F_4795_BD4E_219BC770990A_.wvu.FilterData" localSheetId="8" hidden="1">'09'!$AS$3:$AS$58</definedName>
    <definedName name="Z_5DBD6343_4A9F_4795_BD4E_219BC770990A_.wvu.FilterData" localSheetId="9" hidden="1">'10'!$AT$3:$AT$59</definedName>
    <definedName name="Z_5E382431_8D3E_4437_B96F_370103D28668_.wvu.FilterData" localSheetId="0" hidden="1">'01'!$AT$3:$AT$59</definedName>
    <definedName name="Z_5E382431_8D3E_4437_B96F_370103D28668_.wvu.FilterData" localSheetId="1" hidden="1">'02'!$AQ$3:$AQ$60</definedName>
    <definedName name="Z_5E382431_8D3E_4437_B96F_370103D28668_.wvu.FilterData" localSheetId="2" hidden="1">'03'!$AT$3:$AT$59</definedName>
    <definedName name="Z_5E382431_8D3E_4437_B96F_370103D28668_.wvu.FilterData" localSheetId="3" hidden="1">'04'!$AS$3:$AS$59</definedName>
    <definedName name="Z_5E382431_8D3E_4437_B96F_370103D28668_.wvu.FilterData" localSheetId="4" hidden="1">'05'!$AT$3:$AT$58</definedName>
    <definedName name="Z_5E382431_8D3E_4437_B96F_370103D28668_.wvu.FilterData" localSheetId="5" hidden="1">'06'!$AS$3:$AS$57</definedName>
    <definedName name="Z_5E382431_8D3E_4437_B96F_370103D28668_.wvu.FilterData" localSheetId="6" hidden="1">'07'!$AU$3:$AU$57</definedName>
    <definedName name="Z_5E382431_8D3E_4437_B96F_370103D28668_.wvu.FilterData" localSheetId="7" hidden="1">'08'!$AT$3:$AT$58</definedName>
    <definedName name="Z_5E382431_8D3E_4437_B96F_370103D28668_.wvu.FilterData" localSheetId="8" hidden="1">'09'!$AS$3:$AS$58</definedName>
    <definedName name="Z_5E382431_8D3E_4437_B96F_370103D28668_.wvu.FilterData" localSheetId="9" hidden="1">'10'!$AT$3:$AT$59</definedName>
    <definedName name="Z_5E967C21_16C1_4F94_AAB9_63F221B8905B_.wvu.FilterData" localSheetId="0" hidden="1">'01'!$AT$3:$AT$58</definedName>
    <definedName name="Z_5E967C21_16C1_4F94_AAB9_63F221B8905B_.wvu.FilterData" localSheetId="1" hidden="1">'02'!$AQ$3:$AQ$58</definedName>
    <definedName name="Z_5E967C21_16C1_4F94_AAB9_63F221B8905B_.wvu.FilterData" localSheetId="2" hidden="1">'03'!$AT$3:$AT$58</definedName>
    <definedName name="Z_5E967C21_16C1_4F94_AAB9_63F221B8905B_.wvu.FilterData" localSheetId="3" hidden="1">'04'!$AS$3:$AS$58</definedName>
    <definedName name="Z_5E967C21_16C1_4F94_AAB9_63F221B8905B_.wvu.FilterData" localSheetId="4" hidden="1">'05'!$AT$3:$AT$57</definedName>
    <definedName name="Z_5E967C21_16C1_4F94_AAB9_63F221B8905B_.wvu.FilterData" localSheetId="5" hidden="1">'06'!$AS$3:$AS$56</definedName>
    <definedName name="Z_5E967C21_16C1_4F94_AAB9_63F221B8905B_.wvu.FilterData" localSheetId="6" hidden="1">'07'!$AU$3:$AU$56</definedName>
    <definedName name="Z_5E967C21_16C1_4F94_AAB9_63F221B8905B_.wvu.FilterData" localSheetId="7" hidden="1">'08'!$AT$3:$AT$57</definedName>
    <definedName name="Z_5E967C21_16C1_4F94_AAB9_63F221B8905B_.wvu.FilterData" localSheetId="8" hidden="1">'09'!$AS$3:$AS$57</definedName>
    <definedName name="Z_5E967C21_16C1_4F94_AAB9_63F221B8905B_.wvu.FilterData" localSheetId="9" hidden="1">'10'!$AT$3:$AT$58</definedName>
    <definedName name="Z_602B4C1A_AEC1_4FB1_9695_26E813B8B8CD_.wvu.FilterData" localSheetId="0" hidden="1">'01'!$AT$3:$AT$59</definedName>
    <definedName name="Z_602B4C1A_AEC1_4FB1_9695_26E813B8B8CD_.wvu.FilterData" localSheetId="1" hidden="1">'02'!$AQ$3:$AQ$59</definedName>
    <definedName name="Z_602B4C1A_AEC1_4FB1_9695_26E813B8B8CD_.wvu.FilterData" localSheetId="2" hidden="1">'03'!$AT$3:$AT$59</definedName>
    <definedName name="Z_602B4C1A_AEC1_4FB1_9695_26E813B8B8CD_.wvu.FilterData" localSheetId="3" hidden="1">'04'!$AS$3:$AS$59</definedName>
    <definedName name="Z_602B4C1A_AEC1_4FB1_9695_26E813B8B8CD_.wvu.FilterData" localSheetId="4" hidden="1">'05'!$AT$3:$AT$58</definedName>
    <definedName name="Z_602B4C1A_AEC1_4FB1_9695_26E813B8B8CD_.wvu.FilterData" localSheetId="5" hidden="1">'06'!$AS$3:$AS$57</definedName>
    <definedName name="Z_602B4C1A_AEC1_4FB1_9695_26E813B8B8CD_.wvu.FilterData" localSheetId="6" hidden="1">'07'!$AU$3:$AU$57</definedName>
    <definedName name="Z_602B4C1A_AEC1_4FB1_9695_26E813B8B8CD_.wvu.FilterData" localSheetId="7" hidden="1">'08'!$AT$3:$AT$58</definedName>
    <definedName name="Z_602B4C1A_AEC1_4FB1_9695_26E813B8B8CD_.wvu.FilterData" localSheetId="8" hidden="1">'09'!$AS$3:$AS$58</definedName>
    <definedName name="Z_602B4C1A_AEC1_4FB1_9695_26E813B8B8CD_.wvu.FilterData" localSheetId="9" hidden="1">'10'!$AT$3:$AT$59</definedName>
    <definedName name="Z_6071E993_DDF7_4362_B524_105DE8161057_.wvu.FilterData" localSheetId="0" hidden="1">'01'!$AT$3:$AT$58</definedName>
    <definedName name="Z_6071E993_DDF7_4362_B524_105DE8161057_.wvu.FilterData" localSheetId="1" hidden="1">'02'!$AQ$3:$AQ$58</definedName>
    <definedName name="Z_6071E993_DDF7_4362_B524_105DE8161057_.wvu.FilterData" localSheetId="2" hidden="1">'03'!$AT$3:$AT$58</definedName>
    <definedName name="Z_6071E993_DDF7_4362_B524_105DE8161057_.wvu.FilterData" localSheetId="3" hidden="1">'04'!$AS$3:$AS$58</definedName>
    <definedName name="Z_6071E993_DDF7_4362_B524_105DE8161057_.wvu.FilterData" localSheetId="4" hidden="1">'05'!$AT$3:$AT$57</definedName>
    <definedName name="Z_6071E993_DDF7_4362_B524_105DE8161057_.wvu.FilterData" localSheetId="5" hidden="1">'06'!$AS$3:$AS$56</definedName>
    <definedName name="Z_6071E993_DDF7_4362_B524_105DE8161057_.wvu.FilterData" localSheetId="6" hidden="1">'07'!$AU$3:$AU$56</definedName>
    <definedName name="Z_6071E993_DDF7_4362_B524_105DE8161057_.wvu.FilterData" localSheetId="7" hidden="1">'08'!$AT$3:$AT$57</definedName>
    <definedName name="Z_6071E993_DDF7_4362_B524_105DE8161057_.wvu.FilterData" localSheetId="8" hidden="1">'09'!$AS$3:$AS$57</definedName>
    <definedName name="Z_6071E993_DDF7_4362_B524_105DE8161057_.wvu.FilterData" localSheetId="9" hidden="1">'10'!$AT$3:$AT$58</definedName>
    <definedName name="Z_60B54464_F353_4ABD_9C7F_7CF967E96DB3_.wvu.FilterData" localSheetId="2" hidden="1">'03'!$AT$3:$AT$59</definedName>
    <definedName name="Z_60B54464_F353_4ABD_9C7F_7CF967E96DB3_.wvu.FilterData" localSheetId="3" hidden="1">'04'!$AS$3:$AS$59</definedName>
    <definedName name="Z_60B54464_F353_4ABD_9C7F_7CF967E96DB3_.wvu.FilterData" localSheetId="4" hidden="1">'05'!$AT$3:$AT$58</definedName>
    <definedName name="Z_60B54464_F353_4ABD_9C7F_7CF967E96DB3_.wvu.FilterData" localSheetId="5" hidden="1">'06'!$AS$3:$AS$57</definedName>
    <definedName name="Z_60B54464_F353_4ABD_9C7F_7CF967E96DB3_.wvu.FilterData" localSheetId="6" hidden="1">'07'!$AU$3:$AU$57</definedName>
    <definedName name="Z_60B54464_F353_4ABD_9C7F_7CF967E96DB3_.wvu.FilterData" localSheetId="7" hidden="1">'08'!$AT$3:$AT$58</definedName>
    <definedName name="Z_60B54464_F353_4ABD_9C7F_7CF967E96DB3_.wvu.FilterData" localSheetId="8" hidden="1">'09'!$AS$3:$AS$58</definedName>
    <definedName name="Z_60B54464_F353_4ABD_9C7F_7CF967E96DB3_.wvu.FilterData" localSheetId="9" hidden="1">'10'!$AT$3:$AT$59</definedName>
    <definedName name="Z_60B69D7E_ABFD_4E46_998F_6572ECE8FCCF_.wvu.FilterData" localSheetId="0" hidden="1">'01'!$AT$3:$AT$58</definedName>
    <definedName name="Z_60B69D7E_ABFD_4E46_998F_6572ECE8FCCF_.wvu.FilterData" localSheetId="1" hidden="1">'02'!$AQ$3:$AQ$58</definedName>
    <definedName name="Z_60B69D7E_ABFD_4E46_998F_6572ECE8FCCF_.wvu.FilterData" localSheetId="2" hidden="1">'03'!$AT$3:$AT$58</definedName>
    <definedName name="Z_60B69D7E_ABFD_4E46_998F_6572ECE8FCCF_.wvu.FilterData" localSheetId="3" hidden="1">'04'!$AS$3:$AS$58</definedName>
    <definedName name="Z_60B69D7E_ABFD_4E46_998F_6572ECE8FCCF_.wvu.FilterData" localSheetId="4" hidden="1">'05'!$AT$3:$AT$57</definedName>
    <definedName name="Z_60B69D7E_ABFD_4E46_998F_6572ECE8FCCF_.wvu.FilterData" localSheetId="5" hidden="1">'06'!$AS$3:$AS$56</definedName>
    <definedName name="Z_60B69D7E_ABFD_4E46_998F_6572ECE8FCCF_.wvu.FilterData" localSheetId="6" hidden="1">'07'!$AU$3:$AU$56</definedName>
    <definedName name="Z_60B69D7E_ABFD_4E46_998F_6572ECE8FCCF_.wvu.FilterData" localSheetId="7" hidden="1">'08'!$AT$3:$AT$57</definedName>
    <definedName name="Z_60B69D7E_ABFD_4E46_998F_6572ECE8FCCF_.wvu.FilterData" localSheetId="8" hidden="1">'09'!$AS$3:$AS$57</definedName>
    <definedName name="Z_60B69D7E_ABFD_4E46_998F_6572ECE8FCCF_.wvu.FilterData" localSheetId="9" hidden="1">'10'!$AT$3:$AT$58</definedName>
    <definedName name="Z_60CA612F_48CE_469B_AF3F_F46F5B2095CF_.wvu.FilterData" localSheetId="3" hidden="1">'04'!$AS$3:$AS$59</definedName>
    <definedName name="Z_60CA612F_48CE_469B_AF3F_F46F5B2095CF_.wvu.FilterData" localSheetId="4" hidden="1">'05'!$AT$3:$AT$58</definedName>
    <definedName name="Z_60CA612F_48CE_469B_AF3F_F46F5B2095CF_.wvu.FilterData" localSheetId="5" hidden="1">'06'!$AS$3:$AS$57</definedName>
    <definedName name="Z_60CA612F_48CE_469B_AF3F_F46F5B2095CF_.wvu.FilterData" localSheetId="6" hidden="1">'07'!$AU$3:$AU$57</definedName>
    <definedName name="Z_60CA612F_48CE_469B_AF3F_F46F5B2095CF_.wvu.FilterData" localSheetId="7" hidden="1">'08'!$AT$3:$AT$58</definedName>
    <definedName name="Z_60CA612F_48CE_469B_AF3F_F46F5B2095CF_.wvu.FilterData" localSheetId="8" hidden="1">'09'!$AS$3:$AS$58</definedName>
    <definedName name="Z_60CA612F_48CE_469B_AF3F_F46F5B2095CF_.wvu.FilterData" localSheetId="9" hidden="1">'10'!$AT$3:$AT$59</definedName>
    <definedName name="Z_61E5895A_B129_4195_AE0F_3A18F5A9ECD5_.wvu.FilterData" localSheetId="0" hidden="1">'01'!$AT$3:$AT$58</definedName>
    <definedName name="Z_61E5895A_B129_4195_AE0F_3A18F5A9ECD5_.wvu.FilterData" localSheetId="1" hidden="1">'02'!$AQ$3:$AQ$58</definedName>
    <definedName name="Z_61E5895A_B129_4195_AE0F_3A18F5A9ECD5_.wvu.FilterData" localSheetId="2" hidden="1">'03'!$AT$3:$AT$58</definedName>
    <definedName name="Z_61E5895A_B129_4195_AE0F_3A18F5A9ECD5_.wvu.FilterData" localSheetId="3" hidden="1">'04'!$AS$3:$AS$58</definedName>
    <definedName name="Z_61E5895A_B129_4195_AE0F_3A18F5A9ECD5_.wvu.FilterData" localSheetId="4" hidden="1">'05'!$AT$3:$AT$57</definedName>
    <definedName name="Z_61E5895A_B129_4195_AE0F_3A18F5A9ECD5_.wvu.FilterData" localSheetId="5" hidden="1">'06'!$AS$3:$AS$56</definedName>
    <definedName name="Z_61E5895A_B129_4195_AE0F_3A18F5A9ECD5_.wvu.FilterData" localSheetId="6" hidden="1">'07'!$AU$3:$AU$56</definedName>
    <definedName name="Z_61E5895A_B129_4195_AE0F_3A18F5A9ECD5_.wvu.FilterData" localSheetId="7" hidden="1">'08'!$AT$3:$AT$57</definedName>
    <definedName name="Z_61E5895A_B129_4195_AE0F_3A18F5A9ECD5_.wvu.FilterData" localSheetId="8" hidden="1">'09'!$AS$3:$AS$57</definedName>
    <definedName name="Z_61E5895A_B129_4195_AE0F_3A18F5A9ECD5_.wvu.FilterData" localSheetId="9" hidden="1">'10'!$AT$3:$AT$58</definedName>
    <definedName name="Z_6221F925_CBE5_46D9_AEEC_64D2BFF20D28_.wvu.FilterData" localSheetId="0" hidden="1">'01'!$AT$3:$AT$58</definedName>
    <definedName name="Z_6221F925_CBE5_46D9_AEEC_64D2BFF20D28_.wvu.FilterData" localSheetId="1" hidden="1">'02'!$AQ$3:$AQ$58</definedName>
    <definedName name="Z_6221F925_CBE5_46D9_AEEC_64D2BFF20D28_.wvu.FilterData" localSheetId="2" hidden="1">'03'!$AT$3:$AT$58</definedName>
    <definedName name="Z_6221F925_CBE5_46D9_AEEC_64D2BFF20D28_.wvu.FilterData" localSheetId="3" hidden="1">'04'!$AS$3:$AS$58</definedName>
    <definedName name="Z_6221F925_CBE5_46D9_AEEC_64D2BFF20D28_.wvu.FilterData" localSheetId="4" hidden="1">'05'!$AT$3:$AT$57</definedName>
    <definedName name="Z_6221F925_CBE5_46D9_AEEC_64D2BFF20D28_.wvu.FilterData" localSheetId="5" hidden="1">'06'!$AS$3:$AS$56</definedName>
    <definedName name="Z_6221F925_CBE5_46D9_AEEC_64D2BFF20D28_.wvu.FilterData" localSheetId="6" hidden="1">'07'!$AU$3:$AU$56</definedName>
    <definedName name="Z_6221F925_CBE5_46D9_AEEC_64D2BFF20D28_.wvu.FilterData" localSheetId="7" hidden="1">'08'!$AT$3:$AT$57</definedName>
    <definedName name="Z_6221F925_CBE5_46D9_AEEC_64D2BFF20D28_.wvu.FilterData" localSheetId="8" hidden="1">'09'!$AS$3:$AS$57</definedName>
    <definedName name="Z_6221F925_CBE5_46D9_AEEC_64D2BFF20D28_.wvu.FilterData" localSheetId="9" hidden="1">'10'!$AT$3:$AT$58</definedName>
    <definedName name="Z_62467384_E819_4657_9480_765C202591DB_.wvu.FilterData" localSheetId="0" hidden="1">'01'!$AT$3:$AT$58</definedName>
    <definedName name="Z_62467384_E819_4657_9480_765C202591DB_.wvu.FilterData" localSheetId="1" hidden="1">'02'!$AQ$3:$AQ$58</definedName>
    <definedName name="Z_62467384_E819_4657_9480_765C202591DB_.wvu.FilterData" localSheetId="2" hidden="1">'03'!$AT$3:$AT$58</definedName>
    <definedName name="Z_62467384_E819_4657_9480_765C202591DB_.wvu.FilterData" localSheetId="3" hidden="1">'04'!$AS$3:$AS$58</definedName>
    <definedName name="Z_62467384_E819_4657_9480_765C202591DB_.wvu.FilterData" localSheetId="4" hidden="1">'05'!$AT$3:$AT$57</definedName>
    <definedName name="Z_62467384_E819_4657_9480_765C202591DB_.wvu.FilterData" localSheetId="5" hidden="1">'06'!$AS$3:$AS$56</definedName>
    <definedName name="Z_62467384_E819_4657_9480_765C202591DB_.wvu.FilterData" localSheetId="6" hidden="1">'07'!$AU$3:$AU$56</definedName>
    <definedName name="Z_62467384_E819_4657_9480_765C202591DB_.wvu.FilterData" localSheetId="7" hidden="1">'08'!$AT$3:$AT$57</definedName>
    <definedName name="Z_62467384_E819_4657_9480_765C202591DB_.wvu.FilterData" localSheetId="8" hidden="1">'09'!$AS$3:$AS$57</definedName>
    <definedName name="Z_62467384_E819_4657_9480_765C202591DB_.wvu.FilterData" localSheetId="9" hidden="1">'10'!$AT$3:$AT$58</definedName>
    <definedName name="Z_630D1649_9EF8_4A3A_9033_E451DFFB401E_.wvu.FilterData" localSheetId="2" hidden="1">'03'!$AT$3:$AT$59</definedName>
    <definedName name="Z_630D1649_9EF8_4A3A_9033_E451DFFB401E_.wvu.FilterData" localSheetId="3" hidden="1">'04'!$AS$3:$AS$59</definedName>
    <definedName name="Z_630D1649_9EF8_4A3A_9033_E451DFFB401E_.wvu.FilterData" localSheetId="4" hidden="1">'05'!$AT$3:$AT$58</definedName>
    <definedName name="Z_630D1649_9EF8_4A3A_9033_E451DFFB401E_.wvu.FilterData" localSheetId="5" hidden="1">'06'!$AS$3:$AS$57</definedName>
    <definedName name="Z_630D1649_9EF8_4A3A_9033_E451DFFB401E_.wvu.FilterData" localSheetId="6" hidden="1">'07'!$AU$3:$AU$57</definedName>
    <definedName name="Z_630D1649_9EF8_4A3A_9033_E451DFFB401E_.wvu.FilterData" localSheetId="7" hidden="1">'08'!$AT$3:$AT$58</definedName>
    <definedName name="Z_630D1649_9EF8_4A3A_9033_E451DFFB401E_.wvu.FilterData" localSheetId="8" hidden="1">'09'!$AS$3:$AS$58</definedName>
    <definedName name="Z_630D1649_9EF8_4A3A_9033_E451DFFB401E_.wvu.FilterData" localSheetId="9" hidden="1">'10'!$AT$3:$AT$59</definedName>
    <definedName name="Z_643BAC94_C305_430A_A796_81CB5FC1F74A_.wvu.FilterData" localSheetId="0" hidden="1">'01'!$AT$3:$AT$58</definedName>
    <definedName name="Z_643BAC94_C305_430A_A796_81CB5FC1F74A_.wvu.FilterData" localSheetId="1" hidden="1">'02'!$AQ$3:$AQ$58</definedName>
    <definedName name="Z_643BAC94_C305_430A_A796_81CB5FC1F74A_.wvu.FilterData" localSheetId="2" hidden="1">'03'!$AT$3:$AT$58</definedName>
    <definedName name="Z_643BAC94_C305_430A_A796_81CB5FC1F74A_.wvu.FilterData" localSheetId="3" hidden="1">'04'!$AS$3:$AS$58</definedName>
    <definedName name="Z_643BAC94_C305_430A_A796_81CB5FC1F74A_.wvu.FilterData" localSheetId="4" hidden="1">'05'!$AT$3:$AT$57</definedName>
    <definedName name="Z_643BAC94_C305_430A_A796_81CB5FC1F74A_.wvu.FilterData" localSheetId="5" hidden="1">'06'!$AS$3:$AS$56</definedName>
    <definedName name="Z_643BAC94_C305_430A_A796_81CB5FC1F74A_.wvu.FilterData" localSheetId="6" hidden="1">'07'!$AU$3:$AU$56</definedName>
    <definedName name="Z_643BAC94_C305_430A_A796_81CB5FC1F74A_.wvu.FilterData" localSheetId="7" hidden="1">'08'!$AT$3:$AT$57</definedName>
    <definedName name="Z_643BAC94_C305_430A_A796_81CB5FC1F74A_.wvu.FilterData" localSheetId="8" hidden="1">'09'!$AS$3:$AS$57</definedName>
    <definedName name="Z_643BAC94_C305_430A_A796_81CB5FC1F74A_.wvu.FilterData" localSheetId="9" hidden="1">'10'!$AT$3:$AT$58</definedName>
    <definedName name="Z_64D7BBB1_AC1E_40AA_87D9_CB63D838D2DF_.wvu.FilterData" localSheetId="0" hidden="1">'01'!$AT$3:$AT$59</definedName>
    <definedName name="Z_64D7BBB1_AC1E_40AA_87D9_CB63D838D2DF_.wvu.FilterData" localSheetId="1" hidden="1">'02'!$AQ$3:$AQ$59</definedName>
    <definedName name="Z_64D7BBB1_AC1E_40AA_87D9_CB63D838D2DF_.wvu.FilterData" localSheetId="2" hidden="1">'03'!$AT$3:$AT$59</definedName>
    <definedName name="Z_64D7BBB1_AC1E_40AA_87D9_CB63D838D2DF_.wvu.FilterData" localSheetId="3" hidden="1">'04'!$AS$3:$AS$59</definedName>
    <definedName name="Z_64D7BBB1_AC1E_40AA_87D9_CB63D838D2DF_.wvu.FilterData" localSheetId="4" hidden="1">'05'!$AT$3:$AT$58</definedName>
    <definedName name="Z_64D7BBB1_AC1E_40AA_87D9_CB63D838D2DF_.wvu.FilterData" localSheetId="5" hidden="1">'06'!$AS$3:$AS$57</definedName>
    <definedName name="Z_64D7BBB1_AC1E_40AA_87D9_CB63D838D2DF_.wvu.FilterData" localSheetId="6" hidden="1">'07'!$AU$3:$AU$57</definedName>
    <definedName name="Z_64D7BBB1_AC1E_40AA_87D9_CB63D838D2DF_.wvu.FilterData" localSheetId="7" hidden="1">'08'!$AT$3:$AT$58</definedName>
    <definedName name="Z_64D7BBB1_AC1E_40AA_87D9_CB63D838D2DF_.wvu.FilterData" localSheetId="8" hidden="1">'09'!$AS$3:$AS$58</definedName>
    <definedName name="Z_64D7BBB1_AC1E_40AA_87D9_CB63D838D2DF_.wvu.FilterData" localSheetId="9" hidden="1">'10'!$AT$3:$AT$59</definedName>
    <definedName name="Z_64F2BC54_5B05_415F_9B4B_E79D7D473800_.wvu.FilterData" localSheetId="1" hidden="1">'02'!$AQ$3:$AQ$60</definedName>
    <definedName name="Z_64F468A9_28F1_4DD5_BF50_B414EFB21A76_.wvu.FilterData" localSheetId="8" hidden="1">'09'!$AS$3:$AS$58</definedName>
    <definedName name="Z_64F468A9_28F1_4DD5_BF50_B414EFB21A76_.wvu.FilterData" localSheetId="9" hidden="1">'10'!$AT$3:$AT$59</definedName>
    <definedName name="Z_658ECF5A_8992_4D48_8472_14B444767F00_.wvu.FilterData" localSheetId="0" hidden="1">'01'!$AT$3:$AT$58</definedName>
    <definedName name="Z_658ECF5A_8992_4D48_8472_14B444767F00_.wvu.FilterData" localSheetId="1" hidden="1">'02'!$AQ$3:$AQ$58</definedName>
    <definedName name="Z_658ECF5A_8992_4D48_8472_14B444767F00_.wvu.FilterData" localSheetId="2" hidden="1">'03'!$AT$3:$AT$58</definedName>
    <definedName name="Z_658ECF5A_8992_4D48_8472_14B444767F00_.wvu.FilterData" localSheetId="3" hidden="1">'04'!$AS$3:$AS$58</definedName>
    <definedName name="Z_658ECF5A_8992_4D48_8472_14B444767F00_.wvu.FilterData" localSheetId="4" hidden="1">'05'!$AT$3:$AT$57</definedName>
    <definedName name="Z_658ECF5A_8992_4D48_8472_14B444767F00_.wvu.FilterData" localSheetId="5" hidden="1">'06'!$AS$3:$AS$56</definedName>
    <definedName name="Z_658ECF5A_8992_4D48_8472_14B444767F00_.wvu.FilterData" localSheetId="6" hidden="1">'07'!$AU$3:$AU$56</definedName>
    <definedName name="Z_658ECF5A_8992_4D48_8472_14B444767F00_.wvu.FilterData" localSheetId="7" hidden="1">'08'!$AT$3:$AT$57</definedName>
    <definedName name="Z_658ECF5A_8992_4D48_8472_14B444767F00_.wvu.FilterData" localSheetId="8" hidden="1">'09'!$AS$3:$AS$57</definedName>
    <definedName name="Z_658ECF5A_8992_4D48_8472_14B444767F00_.wvu.FilterData" localSheetId="9" hidden="1">'10'!$AT$3:$AT$58</definedName>
    <definedName name="Z_66337217_02B1_4240_80F7_55DDC70FDAE3_.wvu.FilterData" localSheetId="0" hidden="1">'01'!$AT$3:$AT$59</definedName>
    <definedName name="Z_66337217_02B1_4240_80F7_55DDC70FDAE3_.wvu.FilterData" localSheetId="1" hidden="1">'02'!$AQ$3:$AQ$59</definedName>
    <definedName name="Z_66337217_02B1_4240_80F7_55DDC70FDAE3_.wvu.FilterData" localSheetId="2" hidden="1">'03'!$AT$3:$AT$59</definedName>
    <definedName name="Z_66337217_02B1_4240_80F7_55DDC70FDAE3_.wvu.FilterData" localSheetId="3" hidden="1">'04'!$AS$3:$AS$59</definedName>
    <definedName name="Z_66337217_02B1_4240_80F7_55DDC70FDAE3_.wvu.FilterData" localSheetId="4" hidden="1">'05'!$AT$3:$AT$58</definedName>
    <definedName name="Z_66337217_02B1_4240_80F7_55DDC70FDAE3_.wvu.FilterData" localSheetId="5" hidden="1">'06'!$AS$3:$AS$57</definedName>
    <definedName name="Z_66337217_02B1_4240_80F7_55DDC70FDAE3_.wvu.FilterData" localSheetId="6" hidden="1">'07'!$AU$3:$AU$57</definedName>
    <definedName name="Z_66337217_02B1_4240_80F7_55DDC70FDAE3_.wvu.FilterData" localSheetId="7" hidden="1">'08'!$AT$3:$AT$58</definedName>
    <definedName name="Z_66337217_02B1_4240_80F7_55DDC70FDAE3_.wvu.FilterData" localSheetId="8" hidden="1">'09'!$AS$3:$AS$58</definedName>
    <definedName name="Z_66337217_02B1_4240_80F7_55DDC70FDAE3_.wvu.FilterData" localSheetId="9" hidden="1">'10'!$AT$3:$AT$59</definedName>
    <definedName name="Z_66807DA4_029B_47FA_AF91_7D6825173DCF_.wvu.FilterData" localSheetId="4" hidden="1">'05'!$AT$3:$AT$58</definedName>
    <definedName name="Z_66807DA4_029B_47FA_AF91_7D6825173DCF_.wvu.FilterData" localSheetId="5" hidden="1">'06'!$AS$3:$AS$57</definedName>
    <definedName name="Z_66807DA4_029B_47FA_AF91_7D6825173DCF_.wvu.FilterData" localSheetId="6" hidden="1">'07'!$AU$3:$AU$57</definedName>
    <definedName name="Z_66807DA4_029B_47FA_AF91_7D6825173DCF_.wvu.FilterData" localSheetId="7" hidden="1">'08'!$AT$3:$AT$58</definedName>
    <definedName name="Z_66807DA4_029B_47FA_AF91_7D6825173DCF_.wvu.FilterData" localSheetId="8" hidden="1">'09'!$AS$3:$AS$58</definedName>
    <definedName name="Z_66807DA4_029B_47FA_AF91_7D6825173DCF_.wvu.FilterData" localSheetId="9" hidden="1">'10'!$AT$3:$AT$59</definedName>
    <definedName name="Z_67D858BE_767A_499E_A563_2F37637BD682_.wvu.FilterData" localSheetId="0" hidden="1">'01'!$AT$3:$AT$59</definedName>
    <definedName name="Z_67D858BE_767A_499E_A563_2F37637BD682_.wvu.FilterData" localSheetId="1" hidden="1">'02'!$AQ$3:$AQ$59</definedName>
    <definedName name="Z_67D858BE_767A_499E_A563_2F37637BD682_.wvu.FilterData" localSheetId="2" hidden="1">'03'!$AT$3:$AT$59</definedName>
    <definedName name="Z_67D858BE_767A_499E_A563_2F37637BD682_.wvu.FilterData" localSheetId="3" hidden="1">'04'!$AS$3:$AS$59</definedName>
    <definedName name="Z_67D858BE_767A_499E_A563_2F37637BD682_.wvu.FilterData" localSheetId="4" hidden="1">'05'!$AT$3:$AT$58</definedName>
    <definedName name="Z_67D858BE_767A_499E_A563_2F37637BD682_.wvu.FilterData" localSheetId="5" hidden="1">'06'!$AS$3:$AS$57</definedName>
    <definedName name="Z_67D858BE_767A_499E_A563_2F37637BD682_.wvu.FilterData" localSheetId="6" hidden="1">'07'!$AU$3:$AU$57</definedName>
    <definedName name="Z_67D858BE_767A_499E_A563_2F37637BD682_.wvu.FilterData" localSheetId="7" hidden="1">'08'!$AT$3:$AT$58</definedName>
    <definedName name="Z_67D858BE_767A_499E_A563_2F37637BD682_.wvu.FilterData" localSheetId="8" hidden="1">'09'!$AS$3:$AS$58</definedName>
    <definedName name="Z_67D858BE_767A_499E_A563_2F37637BD682_.wvu.FilterData" localSheetId="9" hidden="1">'10'!$AT$3:$AT$59</definedName>
    <definedName name="Z_685D2D97_6E02_431B_A1EC_BD67DE197FAD_.wvu.FilterData" localSheetId="7" hidden="1">'08'!$AT$3:$AT$58</definedName>
    <definedName name="Z_685D2D97_6E02_431B_A1EC_BD67DE197FAD_.wvu.FilterData" localSheetId="8" hidden="1">'09'!$AS$3:$AS$58</definedName>
    <definedName name="Z_685D2D97_6E02_431B_A1EC_BD67DE197FAD_.wvu.FilterData" localSheetId="9" hidden="1">'10'!$AT$3:$AT$59</definedName>
    <definedName name="Z_68C06395_9A22_4FBB_A0B9_4E8DEAAD0BF0_.wvu.FilterData" localSheetId="0" hidden="1">'01'!$AT$3:$AT$58</definedName>
    <definedName name="Z_68C06395_9A22_4FBB_A0B9_4E8DEAAD0BF0_.wvu.FilterData" localSheetId="1" hidden="1">'02'!$AQ$3:$AQ$58</definedName>
    <definedName name="Z_68C06395_9A22_4FBB_A0B9_4E8DEAAD0BF0_.wvu.FilterData" localSheetId="2" hidden="1">'03'!$AT$3:$AT$58</definedName>
    <definedName name="Z_68C06395_9A22_4FBB_A0B9_4E8DEAAD0BF0_.wvu.FilterData" localSheetId="3" hidden="1">'04'!$AS$3:$AS$58</definedName>
    <definedName name="Z_68C06395_9A22_4FBB_A0B9_4E8DEAAD0BF0_.wvu.FilterData" localSheetId="4" hidden="1">'05'!$AT$3:$AT$57</definedName>
    <definedName name="Z_68C06395_9A22_4FBB_A0B9_4E8DEAAD0BF0_.wvu.FilterData" localSheetId="5" hidden="1">'06'!$AS$3:$AS$56</definedName>
    <definedName name="Z_68C06395_9A22_4FBB_A0B9_4E8DEAAD0BF0_.wvu.FilterData" localSheetId="6" hidden="1">'07'!$AU$3:$AU$56</definedName>
    <definedName name="Z_68C06395_9A22_4FBB_A0B9_4E8DEAAD0BF0_.wvu.FilterData" localSheetId="7" hidden="1">'08'!$AT$3:$AT$57</definedName>
    <definedName name="Z_68C06395_9A22_4FBB_A0B9_4E8DEAAD0BF0_.wvu.FilterData" localSheetId="8" hidden="1">'09'!$AS$3:$AS$57</definedName>
    <definedName name="Z_68C06395_9A22_4FBB_A0B9_4E8DEAAD0BF0_.wvu.FilterData" localSheetId="9" hidden="1">'10'!$AT$3:$AT$58</definedName>
    <definedName name="Z_68EE8156_446E_4135_9511_4F4EA69733FE_.wvu.FilterData" localSheetId="0" hidden="1">'01'!$AT$3:$AT$59</definedName>
    <definedName name="Z_68EE8156_446E_4135_9511_4F4EA69733FE_.wvu.FilterData" localSheetId="1" hidden="1">'02'!$AQ$3:$AQ$59</definedName>
    <definedName name="Z_68EE8156_446E_4135_9511_4F4EA69733FE_.wvu.FilterData" localSheetId="2" hidden="1">'03'!$AT$3:$AT$59</definedName>
    <definedName name="Z_68EE8156_446E_4135_9511_4F4EA69733FE_.wvu.FilterData" localSheetId="3" hidden="1">'04'!$AS$3:$AS$59</definedName>
    <definedName name="Z_68EE8156_446E_4135_9511_4F4EA69733FE_.wvu.FilterData" localSheetId="4" hidden="1">'05'!$AT$3:$AT$58</definedName>
    <definedName name="Z_68EE8156_446E_4135_9511_4F4EA69733FE_.wvu.FilterData" localSheetId="5" hidden="1">'06'!$AS$3:$AS$57</definedName>
    <definedName name="Z_68EE8156_446E_4135_9511_4F4EA69733FE_.wvu.FilterData" localSheetId="6" hidden="1">'07'!$AU$3:$AU$57</definedName>
    <definedName name="Z_68EE8156_446E_4135_9511_4F4EA69733FE_.wvu.FilterData" localSheetId="7" hidden="1">'08'!$AT$3:$AT$58</definedName>
    <definedName name="Z_68EE8156_446E_4135_9511_4F4EA69733FE_.wvu.FilterData" localSheetId="8" hidden="1">'09'!$AS$3:$AS$58</definedName>
    <definedName name="Z_68EE8156_446E_4135_9511_4F4EA69733FE_.wvu.FilterData" localSheetId="9" hidden="1">'10'!$AT$3:$AT$59</definedName>
    <definedName name="Z_69166B49_48C9_436C_B329_A0F596B5A5C8_.wvu.FilterData" localSheetId="0" hidden="1">'01'!$AT$3:$AT$59</definedName>
    <definedName name="Z_69166B49_48C9_436C_B329_A0F596B5A5C8_.wvu.FilterData" localSheetId="2" hidden="1">'03'!$AT$3:$AT$59</definedName>
    <definedName name="Z_69166B49_48C9_436C_B329_A0F596B5A5C8_.wvu.FilterData" localSheetId="3" hidden="1">'04'!$AS$3:$AS$59</definedName>
    <definedName name="Z_69166B49_48C9_436C_B329_A0F596B5A5C8_.wvu.FilterData" localSheetId="4" hidden="1">'05'!$AT$3:$AT$58</definedName>
    <definedName name="Z_69166B49_48C9_436C_B329_A0F596B5A5C8_.wvu.FilterData" localSheetId="5" hidden="1">'06'!$AS$3:$AS$57</definedName>
    <definedName name="Z_69166B49_48C9_436C_B329_A0F596B5A5C8_.wvu.FilterData" localSheetId="6" hidden="1">'07'!$AU$3:$AU$57</definedName>
    <definedName name="Z_69166B49_48C9_436C_B329_A0F596B5A5C8_.wvu.FilterData" localSheetId="7" hidden="1">'08'!$AT$3:$AT$58</definedName>
    <definedName name="Z_69166B49_48C9_436C_B329_A0F596B5A5C8_.wvu.FilterData" localSheetId="8" hidden="1">'09'!$AS$3:$AS$58</definedName>
    <definedName name="Z_69166B49_48C9_436C_B329_A0F596B5A5C8_.wvu.FilterData" localSheetId="9" hidden="1">'10'!$AT$3:$AT$59</definedName>
    <definedName name="Z_6928FE2D_40E7_46B0_A497_E5343311C9CC_.wvu.FilterData" localSheetId="0" hidden="1">'01'!$AT$3:$AT$58</definedName>
    <definedName name="Z_6928FE2D_40E7_46B0_A497_E5343311C9CC_.wvu.FilterData" localSheetId="1" hidden="1">'02'!$AQ$3:$AQ$58</definedName>
    <definedName name="Z_6928FE2D_40E7_46B0_A497_E5343311C9CC_.wvu.FilterData" localSheetId="2" hidden="1">'03'!$AT$3:$AT$58</definedName>
    <definedName name="Z_6928FE2D_40E7_46B0_A497_E5343311C9CC_.wvu.FilterData" localSheetId="3" hidden="1">'04'!$AS$3:$AS$58</definedName>
    <definedName name="Z_6928FE2D_40E7_46B0_A497_E5343311C9CC_.wvu.FilterData" localSheetId="4" hidden="1">'05'!$AT$3:$AT$57</definedName>
    <definedName name="Z_6928FE2D_40E7_46B0_A497_E5343311C9CC_.wvu.FilterData" localSheetId="5" hidden="1">'06'!$AS$3:$AS$56</definedName>
    <definedName name="Z_6928FE2D_40E7_46B0_A497_E5343311C9CC_.wvu.FilterData" localSheetId="6" hidden="1">'07'!$AU$3:$AU$56</definedName>
    <definedName name="Z_6928FE2D_40E7_46B0_A497_E5343311C9CC_.wvu.FilterData" localSheetId="7" hidden="1">'08'!$AT$3:$AT$57</definedName>
    <definedName name="Z_6928FE2D_40E7_46B0_A497_E5343311C9CC_.wvu.FilterData" localSheetId="8" hidden="1">'09'!$AS$3:$AS$57</definedName>
    <definedName name="Z_6928FE2D_40E7_46B0_A497_E5343311C9CC_.wvu.FilterData" localSheetId="9" hidden="1">'10'!$AT$3:$AT$58</definedName>
    <definedName name="Z_69B13D60_CF21_4086_85B2_B0D2DE525107_.wvu.FilterData" localSheetId="0" hidden="1">'01'!$AT$3:$AT$58</definedName>
    <definedName name="Z_69B13D60_CF21_4086_85B2_B0D2DE525107_.wvu.FilterData" localSheetId="1" hidden="1">'02'!$AQ$3:$AQ$58</definedName>
    <definedName name="Z_69B13D60_CF21_4086_85B2_B0D2DE525107_.wvu.FilterData" localSheetId="2" hidden="1">'03'!$AT$3:$AT$58</definedName>
    <definedName name="Z_69B13D60_CF21_4086_85B2_B0D2DE525107_.wvu.FilterData" localSheetId="3" hidden="1">'04'!$AS$3:$AS$58</definedName>
    <definedName name="Z_69B13D60_CF21_4086_85B2_B0D2DE525107_.wvu.FilterData" localSheetId="4" hidden="1">'05'!$AT$3:$AT$57</definedName>
    <definedName name="Z_69B13D60_CF21_4086_85B2_B0D2DE525107_.wvu.FilterData" localSheetId="5" hidden="1">'06'!$AS$3:$AS$56</definedName>
    <definedName name="Z_69B13D60_CF21_4086_85B2_B0D2DE525107_.wvu.FilterData" localSheetId="6" hidden="1">'07'!$AU$3:$AU$56</definedName>
    <definedName name="Z_69B13D60_CF21_4086_85B2_B0D2DE525107_.wvu.FilterData" localSheetId="7" hidden="1">'08'!$AT$3:$AT$57</definedName>
    <definedName name="Z_69B13D60_CF21_4086_85B2_B0D2DE525107_.wvu.FilterData" localSheetId="8" hidden="1">'09'!$AS$3:$AS$57</definedName>
    <definedName name="Z_69B13D60_CF21_4086_85B2_B0D2DE525107_.wvu.FilterData" localSheetId="9" hidden="1">'10'!$AT$3:$AT$58</definedName>
    <definedName name="Z_6B16B012_3F5D_4842_89FB_C55ADEDA4EB0_.wvu.FilterData" localSheetId="0" hidden="1">'01'!$AT$3:$AT$59</definedName>
    <definedName name="Z_6B16B012_3F5D_4842_89FB_C55ADEDA4EB0_.wvu.FilterData" localSheetId="1" hidden="1">'02'!$AQ$3:$AQ$59</definedName>
    <definedName name="Z_6B16B012_3F5D_4842_89FB_C55ADEDA4EB0_.wvu.FilterData" localSheetId="2" hidden="1">'03'!$AT$3:$AT$59</definedName>
    <definedName name="Z_6B16B012_3F5D_4842_89FB_C55ADEDA4EB0_.wvu.FilterData" localSheetId="3" hidden="1">'04'!$AS$3:$AS$59</definedName>
    <definedName name="Z_6B16B012_3F5D_4842_89FB_C55ADEDA4EB0_.wvu.FilterData" localSheetId="4" hidden="1">'05'!$AT$3:$AT$58</definedName>
    <definedName name="Z_6B16B012_3F5D_4842_89FB_C55ADEDA4EB0_.wvu.FilterData" localSheetId="5" hidden="1">'06'!$AS$3:$AS$57</definedName>
    <definedName name="Z_6B16B012_3F5D_4842_89FB_C55ADEDA4EB0_.wvu.FilterData" localSheetId="6" hidden="1">'07'!$AU$3:$AU$57</definedName>
    <definedName name="Z_6B16B012_3F5D_4842_89FB_C55ADEDA4EB0_.wvu.FilterData" localSheetId="7" hidden="1">'08'!$AT$3:$AT$58</definedName>
    <definedName name="Z_6B16B012_3F5D_4842_89FB_C55ADEDA4EB0_.wvu.FilterData" localSheetId="8" hidden="1">'09'!$AS$3:$AS$58</definedName>
    <definedName name="Z_6B16B012_3F5D_4842_89FB_C55ADEDA4EB0_.wvu.FilterData" localSheetId="9" hidden="1">'10'!$AT$3:$AT$59</definedName>
    <definedName name="Z_6BFDFA16_1594_41F7_BB4B_64CC35D76129_.wvu.FilterData" localSheetId="0" hidden="1">'01'!$AT$3:$AT$58</definedName>
    <definedName name="Z_6BFDFA16_1594_41F7_BB4B_64CC35D76129_.wvu.FilterData" localSheetId="1" hidden="1">'02'!$AQ$3:$AQ$58</definedName>
    <definedName name="Z_6BFDFA16_1594_41F7_BB4B_64CC35D76129_.wvu.FilterData" localSheetId="2" hidden="1">'03'!$AT$3:$AT$58</definedName>
    <definedName name="Z_6BFDFA16_1594_41F7_BB4B_64CC35D76129_.wvu.FilterData" localSheetId="3" hidden="1">'04'!$AS$3:$AS$58</definedName>
    <definedName name="Z_6BFDFA16_1594_41F7_BB4B_64CC35D76129_.wvu.FilterData" localSheetId="4" hidden="1">'05'!$AT$3:$AT$57</definedName>
    <definedName name="Z_6BFDFA16_1594_41F7_BB4B_64CC35D76129_.wvu.FilterData" localSheetId="5" hidden="1">'06'!$AS$3:$AS$56</definedName>
    <definedName name="Z_6BFDFA16_1594_41F7_BB4B_64CC35D76129_.wvu.FilterData" localSheetId="6" hidden="1">'07'!$AU$3:$AU$56</definedName>
    <definedName name="Z_6BFDFA16_1594_41F7_BB4B_64CC35D76129_.wvu.FilterData" localSheetId="7" hidden="1">'08'!$AT$3:$AT$57</definedName>
    <definedName name="Z_6BFDFA16_1594_41F7_BB4B_64CC35D76129_.wvu.FilterData" localSheetId="8" hidden="1">'09'!$AS$3:$AS$57</definedName>
    <definedName name="Z_6BFDFA16_1594_41F7_BB4B_64CC35D76129_.wvu.FilterData" localSheetId="9" hidden="1">'10'!$AT$3:$AT$58</definedName>
    <definedName name="Z_6C8F1F7A_A2BC_4DDE_9B54_5646408895C8_.wvu.FilterData" localSheetId="2" hidden="1">'03'!$AT$3:$AT$59</definedName>
    <definedName name="Z_6C8F1F7A_A2BC_4DDE_9B54_5646408895C8_.wvu.FilterData" localSheetId="3" hidden="1">'04'!$AS$3:$AS$59</definedName>
    <definedName name="Z_6C8F1F7A_A2BC_4DDE_9B54_5646408895C8_.wvu.FilterData" localSheetId="4" hidden="1">'05'!$AT$3:$AT$58</definedName>
    <definedName name="Z_6C8F1F7A_A2BC_4DDE_9B54_5646408895C8_.wvu.FilterData" localSheetId="5" hidden="1">'06'!$AS$3:$AS$57</definedName>
    <definedName name="Z_6C8F1F7A_A2BC_4DDE_9B54_5646408895C8_.wvu.FilterData" localSheetId="6" hidden="1">'07'!$AU$3:$AU$57</definedName>
    <definedName name="Z_6C8F1F7A_A2BC_4DDE_9B54_5646408895C8_.wvu.FilterData" localSheetId="7" hidden="1">'08'!$AT$3:$AT$58</definedName>
    <definedName name="Z_6C8F1F7A_A2BC_4DDE_9B54_5646408895C8_.wvu.FilterData" localSheetId="8" hidden="1">'09'!$AS$3:$AS$58</definedName>
    <definedName name="Z_6C8F1F7A_A2BC_4DDE_9B54_5646408895C8_.wvu.FilterData" localSheetId="9" hidden="1">'10'!$AT$3:$AT$59</definedName>
    <definedName name="Z_6F2948E6_E278_42A3_B92C_B84C1D3D059D_.wvu.FilterData" localSheetId="2" hidden="1">'03'!$AT$3:$AT$59</definedName>
    <definedName name="Z_6F2948E6_E278_42A3_B92C_B84C1D3D059D_.wvu.FilterData" localSheetId="3" hidden="1">'04'!$AS$3:$AS$59</definedName>
    <definedName name="Z_6F2948E6_E278_42A3_B92C_B84C1D3D059D_.wvu.FilterData" localSheetId="4" hidden="1">'05'!$AT$3:$AT$58</definedName>
    <definedName name="Z_6F2948E6_E278_42A3_B92C_B84C1D3D059D_.wvu.FilterData" localSheetId="5" hidden="1">'06'!$AS$3:$AS$57</definedName>
    <definedName name="Z_6F2948E6_E278_42A3_B92C_B84C1D3D059D_.wvu.FilterData" localSheetId="6" hidden="1">'07'!$AU$3:$AU$57</definedName>
    <definedName name="Z_6F2948E6_E278_42A3_B92C_B84C1D3D059D_.wvu.FilterData" localSheetId="7" hidden="1">'08'!$AT$3:$AT$58</definedName>
    <definedName name="Z_6F2948E6_E278_42A3_B92C_B84C1D3D059D_.wvu.FilterData" localSheetId="8" hidden="1">'09'!$AS$3:$AS$58</definedName>
    <definedName name="Z_6F2948E6_E278_42A3_B92C_B84C1D3D059D_.wvu.FilterData" localSheetId="9" hidden="1">'10'!$AT$3:$AT$59</definedName>
    <definedName name="Z_6FB30069_A76F_4435_838F_37435888F9CD_.wvu.FilterData" localSheetId="9" hidden="1">'10'!$AT$3:$AT$59</definedName>
    <definedName name="Z_700C98B5_5AB6_4E91_B40C_E355C172DC48_.wvu.FilterData" localSheetId="6" hidden="1">'07'!$AU$3:$AU$57</definedName>
    <definedName name="Z_700C98B5_5AB6_4E91_B40C_E355C172DC48_.wvu.FilterData" localSheetId="7" hidden="1">'08'!$AT$3:$AT$58</definedName>
    <definedName name="Z_700C98B5_5AB6_4E91_B40C_E355C172DC48_.wvu.FilterData" localSheetId="8" hidden="1">'09'!$AS$3:$AS$58</definedName>
    <definedName name="Z_700C98B5_5AB6_4E91_B40C_E355C172DC48_.wvu.FilterData" localSheetId="9" hidden="1">'10'!$AT$3:$AT$59</definedName>
    <definedName name="Z_710F00CC_4461_4D68_9909_9C152E8EE632_.wvu.FilterData" localSheetId="4" hidden="1">'05'!$AT$3:$AT$58</definedName>
    <definedName name="Z_710F00CC_4461_4D68_9909_9C152E8EE632_.wvu.FilterData" localSheetId="5" hidden="1">'06'!$AS$3:$AS$57</definedName>
    <definedName name="Z_710F00CC_4461_4D68_9909_9C152E8EE632_.wvu.FilterData" localSheetId="6" hidden="1">'07'!$AU$3:$AU$57</definedName>
    <definedName name="Z_710F00CC_4461_4D68_9909_9C152E8EE632_.wvu.FilterData" localSheetId="7" hidden="1">'08'!$AT$3:$AT$58</definedName>
    <definedName name="Z_710F00CC_4461_4D68_9909_9C152E8EE632_.wvu.FilterData" localSheetId="8" hidden="1">'09'!$AS$3:$AS$58</definedName>
    <definedName name="Z_710F00CC_4461_4D68_9909_9C152E8EE632_.wvu.FilterData" localSheetId="9" hidden="1">'10'!$AT$3:$AT$59</definedName>
    <definedName name="Z_717B38AA_6153_44E4_9256_DCAD48B6D79F_.wvu.FilterData" localSheetId="0" hidden="1">'01'!$AT$3:$AT$58</definedName>
    <definedName name="Z_717B38AA_6153_44E4_9256_DCAD48B6D79F_.wvu.FilterData" localSheetId="1" hidden="1">'02'!$AQ$3:$AQ$58</definedName>
    <definedName name="Z_717B38AA_6153_44E4_9256_DCAD48B6D79F_.wvu.FilterData" localSheetId="2" hidden="1">'03'!$AT$3:$AT$58</definedName>
    <definedName name="Z_717B38AA_6153_44E4_9256_DCAD48B6D79F_.wvu.FilterData" localSheetId="3" hidden="1">'04'!$AS$3:$AS$58</definedName>
    <definedName name="Z_717B38AA_6153_44E4_9256_DCAD48B6D79F_.wvu.FilterData" localSheetId="4" hidden="1">'05'!$AT$3:$AT$57</definedName>
    <definedName name="Z_717B38AA_6153_44E4_9256_DCAD48B6D79F_.wvu.FilterData" localSheetId="5" hidden="1">'06'!$AS$3:$AS$56</definedName>
    <definedName name="Z_717B38AA_6153_44E4_9256_DCAD48B6D79F_.wvu.FilterData" localSheetId="6" hidden="1">'07'!$AU$3:$AU$56</definedName>
    <definedName name="Z_717B38AA_6153_44E4_9256_DCAD48B6D79F_.wvu.FilterData" localSheetId="7" hidden="1">'08'!$AT$3:$AT$57</definedName>
    <definedName name="Z_717B38AA_6153_44E4_9256_DCAD48B6D79F_.wvu.FilterData" localSheetId="8" hidden="1">'09'!$AS$3:$AS$57</definedName>
    <definedName name="Z_717B38AA_6153_44E4_9256_DCAD48B6D79F_.wvu.FilterData" localSheetId="9" hidden="1">'10'!$AT$3:$AT$58</definedName>
    <definedName name="Z_71DE3D5D_F419_453D_98A7_1BD5BA752329_.wvu.FilterData" localSheetId="0" hidden="1">'01'!$AT$3:$AT$59</definedName>
    <definedName name="Z_71DE3D5D_F419_453D_98A7_1BD5BA752329_.wvu.FilterData" localSheetId="1" hidden="1">'02'!$AQ$3:$AQ$59</definedName>
    <definedName name="Z_71DE3D5D_F419_453D_98A7_1BD5BA752329_.wvu.FilterData" localSheetId="2" hidden="1">'03'!$AT$3:$AT$59</definedName>
    <definedName name="Z_71DE3D5D_F419_453D_98A7_1BD5BA752329_.wvu.FilterData" localSheetId="3" hidden="1">'04'!$AS$3:$AS$59</definedName>
    <definedName name="Z_71DE3D5D_F419_453D_98A7_1BD5BA752329_.wvu.FilterData" localSheetId="4" hidden="1">'05'!$AT$3:$AT$58</definedName>
    <definedName name="Z_71DE3D5D_F419_453D_98A7_1BD5BA752329_.wvu.FilterData" localSheetId="5" hidden="1">'06'!$AS$3:$AS$57</definedName>
    <definedName name="Z_71DE3D5D_F419_453D_98A7_1BD5BA752329_.wvu.FilterData" localSheetId="6" hidden="1">'07'!$AU$3:$AU$57</definedName>
    <definedName name="Z_71DE3D5D_F419_453D_98A7_1BD5BA752329_.wvu.FilterData" localSheetId="7" hidden="1">'08'!$AT$3:$AT$58</definedName>
    <definedName name="Z_71DE3D5D_F419_453D_98A7_1BD5BA752329_.wvu.FilterData" localSheetId="8" hidden="1">'09'!$AS$3:$AS$58</definedName>
    <definedName name="Z_71DE3D5D_F419_453D_98A7_1BD5BA752329_.wvu.FilterData" localSheetId="9" hidden="1">'10'!$AT$3:$AT$59</definedName>
    <definedName name="Z_731886CC_047B_4170_BC1E_85CB9265913C_.wvu.FilterData" localSheetId="1" hidden="1">'02'!$AQ$3:$AQ$60</definedName>
    <definedName name="Z_73BAA3D5_65AE_4D0B_8275_D437CDF5F857_.wvu.FilterData" localSheetId="0" hidden="1">'01'!$AT$3:$AT$58</definedName>
    <definedName name="Z_73BAA3D5_65AE_4D0B_8275_D437CDF5F857_.wvu.FilterData" localSheetId="1" hidden="1">'02'!$AQ$3:$AQ$58</definedName>
    <definedName name="Z_73BAA3D5_65AE_4D0B_8275_D437CDF5F857_.wvu.FilterData" localSheetId="2" hidden="1">'03'!$AT$3:$AT$58</definedName>
    <definedName name="Z_73BAA3D5_65AE_4D0B_8275_D437CDF5F857_.wvu.FilterData" localSheetId="3" hidden="1">'04'!$AS$3:$AS$58</definedName>
    <definedName name="Z_73BAA3D5_65AE_4D0B_8275_D437CDF5F857_.wvu.FilterData" localSheetId="4" hidden="1">'05'!$AT$3:$AT$57</definedName>
    <definedName name="Z_73BAA3D5_65AE_4D0B_8275_D437CDF5F857_.wvu.FilterData" localSheetId="5" hidden="1">'06'!$AS$3:$AS$56</definedName>
    <definedName name="Z_73BAA3D5_65AE_4D0B_8275_D437CDF5F857_.wvu.FilterData" localSheetId="6" hidden="1">'07'!$AU$3:$AU$56</definedName>
    <definedName name="Z_73BAA3D5_65AE_4D0B_8275_D437CDF5F857_.wvu.FilterData" localSheetId="7" hidden="1">'08'!$AT$3:$AT$57</definedName>
    <definedName name="Z_73BAA3D5_65AE_4D0B_8275_D437CDF5F857_.wvu.FilterData" localSheetId="8" hidden="1">'09'!$AS$3:$AS$57</definedName>
    <definedName name="Z_73BAA3D5_65AE_4D0B_8275_D437CDF5F857_.wvu.FilterData" localSheetId="9" hidden="1">'10'!$AT$3:$AT$58</definedName>
    <definedName name="Z_74C4DE79_5946_4E91_93D5_1728C915FE5B_.wvu.FilterData" localSheetId="0" hidden="1">'01'!$AT$3:$AT$59</definedName>
    <definedName name="Z_74C4DE79_5946_4E91_93D5_1728C915FE5B_.wvu.FilterData" localSheetId="1" hidden="1">'02'!$AQ$3:$AQ$59</definedName>
    <definedName name="Z_74C4DE79_5946_4E91_93D5_1728C915FE5B_.wvu.FilterData" localSheetId="2" hidden="1">'03'!$AT$3:$AT$59</definedName>
    <definedName name="Z_74C4DE79_5946_4E91_93D5_1728C915FE5B_.wvu.FilterData" localSheetId="3" hidden="1">'04'!$AS$3:$AS$59</definedName>
    <definedName name="Z_74C4DE79_5946_4E91_93D5_1728C915FE5B_.wvu.FilterData" localSheetId="4" hidden="1">'05'!$AT$3:$AT$58</definedName>
    <definedName name="Z_74C4DE79_5946_4E91_93D5_1728C915FE5B_.wvu.FilterData" localSheetId="5" hidden="1">'06'!$AS$3:$AS$57</definedName>
    <definedName name="Z_74C4DE79_5946_4E91_93D5_1728C915FE5B_.wvu.FilterData" localSheetId="6" hidden="1">'07'!$AU$3:$AU$57</definedName>
    <definedName name="Z_74C4DE79_5946_4E91_93D5_1728C915FE5B_.wvu.FilterData" localSheetId="7" hidden="1">'08'!$AT$3:$AT$58</definedName>
    <definedName name="Z_74C4DE79_5946_4E91_93D5_1728C915FE5B_.wvu.FilterData" localSheetId="8" hidden="1">'09'!$AS$3:$AS$58</definedName>
    <definedName name="Z_74C4DE79_5946_4E91_93D5_1728C915FE5B_.wvu.FilterData" localSheetId="9" hidden="1">'10'!$AT$3:$AT$59</definedName>
    <definedName name="Z_74D28223_7F6C_4EF3_83F1_0E0DA74E377B_.wvu.FilterData" localSheetId="1" hidden="1">'02'!$AQ$3:$AQ$60</definedName>
    <definedName name="Z_74F3D8CB_B9FF_40B9_AA18_13C6EEE69D3A_.wvu.FilterData" localSheetId="3" hidden="1">'04'!$AS$3:$AS$59</definedName>
    <definedName name="Z_755376F3_4FDC_409F_9AFA_A40F2A89C0F2_.wvu.FilterData" localSheetId="0" hidden="1">'01'!$AT$3:$AT$58</definedName>
    <definedName name="Z_755376F3_4FDC_409F_9AFA_A40F2A89C0F2_.wvu.FilterData" localSheetId="1" hidden="1">'02'!$AQ$3:$AQ$58</definedName>
    <definedName name="Z_755376F3_4FDC_409F_9AFA_A40F2A89C0F2_.wvu.FilterData" localSheetId="2" hidden="1">'03'!$AT$3:$AT$58</definedName>
    <definedName name="Z_755376F3_4FDC_409F_9AFA_A40F2A89C0F2_.wvu.FilterData" localSheetId="3" hidden="1">'04'!$AS$3:$AS$58</definedName>
    <definedName name="Z_755376F3_4FDC_409F_9AFA_A40F2A89C0F2_.wvu.FilterData" localSheetId="4" hidden="1">'05'!$AT$3:$AT$57</definedName>
    <definedName name="Z_755376F3_4FDC_409F_9AFA_A40F2A89C0F2_.wvu.FilterData" localSheetId="5" hidden="1">'06'!$AS$3:$AS$56</definedName>
    <definedName name="Z_755376F3_4FDC_409F_9AFA_A40F2A89C0F2_.wvu.FilterData" localSheetId="6" hidden="1">'07'!$AU$3:$AU$56</definedName>
    <definedName name="Z_755376F3_4FDC_409F_9AFA_A40F2A89C0F2_.wvu.FilterData" localSheetId="7" hidden="1">'08'!$AT$3:$AT$57</definedName>
    <definedName name="Z_755376F3_4FDC_409F_9AFA_A40F2A89C0F2_.wvu.FilterData" localSheetId="8" hidden="1">'09'!$AS$3:$AS$57</definedName>
    <definedName name="Z_755376F3_4FDC_409F_9AFA_A40F2A89C0F2_.wvu.FilterData" localSheetId="9" hidden="1">'10'!$AT$3:$AT$58</definedName>
    <definedName name="Z_76C53E10_DE92_4FE3_B8E1_4C076C47BC63_.wvu.FilterData" localSheetId="3" hidden="1">'04'!$AS$3:$AS$59</definedName>
    <definedName name="Z_76C53E10_DE92_4FE3_B8E1_4C076C47BC63_.wvu.FilterData" localSheetId="4" hidden="1">'05'!$AT$3:$AT$58</definedName>
    <definedName name="Z_76C53E10_DE92_4FE3_B8E1_4C076C47BC63_.wvu.FilterData" localSheetId="5" hidden="1">'06'!$AS$3:$AS$57</definedName>
    <definedName name="Z_76C53E10_DE92_4FE3_B8E1_4C076C47BC63_.wvu.FilterData" localSheetId="6" hidden="1">'07'!$AU$3:$AU$57</definedName>
    <definedName name="Z_76C53E10_DE92_4FE3_B8E1_4C076C47BC63_.wvu.FilterData" localSheetId="7" hidden="1">'08'!$AT$3:$AT$58</definedName>
    <definedName name="Z_76C53E10_DE92_4FE3_B8E1_4C076C47BC63_.wvu.FilterData" localSheetId="8" hidden="1">'09'!$AS$3:$AS$58</definedName>
    <definedName name="Z_76C53E10_DE92_4FE3_B8E1_4C076C47BC63_.wvu.FilterData" localSheetId="9" hidden="1">'10'!$AT$3:$AT$59</definedName>
    <definedName name="Z_773857F0_A878_4762_B38D_17FB809664FA_.wvu.FilterData" localSheetId="0" hidden="1">'01'!$AT$3:$AT$58</definedName>
    <definedName name="Z_773857F0_A878_4762_B38D_17FB809664FA_.wvu.FilterData" localSheetId="1" hidden="1">'02'!$AQ$3:$AQ$58</definedName>
    <definedName name="Z_773857F0_A878_4762_B38D_17FB809664FA_.wvu.FilterData" localSheetId="2" hidden="1">'03'!$AT$3:$AT$58</definedName>
    <definedName name="Z_773857F0_A878_4762_B38D_17FB809664FA_.wvu.FilterData" localSheetId="3" hidden="1">'04'!$AS$3:$AS$58</definedName>
    <definedName name="Z_773857F0_A878_4762_B38D_17FB809664FA_.wvu.FilterData" localSheetId="4" hidden="1">'05'!$AT$3:$AT$57</definedName>
    <definedName name="Z_773857F0_A878_4762_B38D_17FB809664FA_.wvu.FilterData" localSheetId="5" hidden="1">'06'!$AS$3:$AS$56</definedName>
    <definedName name="Z_773857F0_A878_4762_B38D_17FB809664FA_.wvu.FilterData" localSheetId="6" hidden="1">'07'!$AU$3:$AU$56</definedName>
    <definedName name="Z_773857F0_A878_4762_B38D_17FB809664FA_.wvu.FilterData" localSheetId="7" hidden="1">'08'!$AT$3:$AT$57</definedName>
    <definedName name="Z_773857F0_A878_4762_B38D_17FB809664FA_.wvu.FilterData" localSheetId="8" hidden="1">'09'!$AS$3:$AS$57</definedName>
    <definedName name="Z_773857F0_A878_4762_B38D_17FB809664FA_.wvu.FilterData" localSheetId="9" hidden="1">'10'!$AT$3:$AT$58</definedName>
    <definedName name="Z_791B530C_644F_4FFD_B940_3622BD0315C7_.wvu.FilterData" localSheetId="0" hidden="1">'01'!$AT$3:$AT$59</definedName>
    <definedName name="Z_791B530C_644F_4FFD_B940_3622BD0315C7_.wvu.FilterData" localSheetId="1" hidden="1">'02'!$AQ$3:$AQ$59</definedName>
    <definedName name="Z_791B530C_644F_4FFD_B940_3622BD0315C7_.wvu.FilterData" localSheetId="2" hidden="1">'03'!$AT$3:$AT$59</definedName>
    <definedName name="Z_791B530C_644F_4FFD_B940_3622BD0315C7_.wvu.FilterData" localSheetId="3" hidden="1">'04'!$AS$3:$AS$59</definedName>
    <definedName name="Z_791B530C_644F_4FFD_B940_3622BD0315C7_.wvu.FilterData" localSheetId="4" hidden="1">'05'!$AT$3:$AT$58</definedName>
    <definedName name="Z_791B530C_644F_4FFD_B940_3622BD0315C7_.wvu.FilterData" localSheetId="5" hidden="1">'06'!$AS$3:$AS$57</definedName>
    <definedName name="Z_791B530C_644F_4FFD_B940_3622BD0315C7_.wvu.FilterData" localSheetId="6" hidden="1">'07'!$AU$3:$AU$57</definedName>
    <definedName name="Z_791B530C_644F_4FFD_B940_3622BD0315C7_.wvu.FilterData" localSheetId="7" hidden="1">'08'!$AT$3:$AT$58</definedName>
    <definedName name="Z_791B530C_644F_4FFD_B940_3622BD0315C7_.wvu.FilterData" localSheetId="8" hidden="1">'09'!$AS$3:$AS$58</definedName>
    <definedName name="Z_791B530C_644F_4FFD_B940_3622BD0315C7_.wvu.FilterData" localSheetId="9" hidden="1">'10'!$AT$3:$AT$59</definedName>
    <definedName name="Z_7A99CCD3_E2BA_4D84_A519_4D444C9900EA_.wvu.FilterData" localSheetId="0" hidden="1">'01'!$AT$3:$AT$58</definedName>
    <definedName name="Z_7A99CCD3_E2BA_4D84_A519_4D444C9900EA_.wvu.FilterData" localSheetId="1" hidden="1">'02'!$AQ$3:$AQ$58</definedName>
    <definedName name="Z_7A99CCD3_E2BA_4D84_A519_4D444C9900EA_.wvu.FilterData" localSheetId="2" hidden="1">'03'!$AT$3:$AT$58</definedName>
    <definedName name="Z_7A99CCD3_E2BA_4D84_A519_4D444C9900EA_.wvu.FilterData" localSheetId="3" hidden="1">'04'!$AS$3:$AS$58</definedName>
    <definedName name="Z_7A99CCD3_E2BA_4D84_A519_4D444C9900EA_.wvu.FilterData" localSheetId="4" hidden="1">'05'!$AT$3:$AT$57</definedName>
    <definedName name="Z_7A99CCD3_E2BA_4D84_A519_4D444C9900EA_.wvu.FilterData" localSheetId="5" hidden="1">'06'!$AS$3:$AS$56</definedName>
    <definedName name="Z_7A99CCD3_E2BA_4D84_A519_4D444C9900EA_.wvu.FilterData" localSheetId="6" hidden="1">'07'!$AU$3:$AU$56</definedName>
    <definedName name="Z_7A99CCD3_E2BA_4D84_A519_4D444C9900EA_.wvu.FilterData" localSheetId="7" hidden="1">'08'!$AT$3:$AT$57</definedName>
    <definedName name="Z_7A99CCD3_E2BA_4D84_A519_4D444C9900EA_.wvu.FilterData" localSheetId="8" hidden="1">'09'!$AS$3:$AS$57</definedName>
    <definedName name="Z_7A99CCD3_E2BA_4D84_A519_4D444C9900EA_.wvu.FilterData" localSheetId="9" hidden="1">'10'!$AT$3:$AT$58</definedName>
    <definedName name="Z_7AC8E5BC_FC0A_4959_ABB9_70A4C8332D00_.wvu.FilterData" localSheetId="9" hidden="1">'10'!$AT$3:$AT$59</definedName>
    <definedName name="Z_7AE12975_286E_4F3E_84E7_84169855E9B0_.wvu.FilterData" localSheetId="5" hidden="1">'06'!$AS$3:$AS$57</definedName>
    <definedName name="Z_7AE12975_286E_4F3E_84E7_84169855E9B0_.wvu.FilterData" localSheetId="6" hidden="1">'07'!$AU$3:$AU$57</definedName>
    <definedName name="Z_7AE12975_286E_4F3E_84E7_84169855E9B0_.wvu.FilterData" localSheetId="7" hidden="1">'08'!$AT$3:$AT$58</definedName>
    <definedName name="Z_7AE12975_286E_4F3E_84E7_84169855E9B0_.wvu.FilterData" localSheetId="8" hidden="1">'09'!$AS$3:$AS$58</definedName>
    <definedName name="Z_7AE12975_286E_4F3E_84E7_84169855E9B0_.wvu.FilterData" localSheetId="9" hidden="1">'10'!$AT$3:$AT$59</definedName>
    <definedName name="Z_7B441FEC_7685_4BFC_BDA5_EB0EDC6DE9CF_.wvu.FilterData" localSheetId="9" hidden="1">'10'!$AT$3:$AT$59</definedName>
    <definedName name="Z_7BC43687_DA01_4520_9C12_E7133B862AEE_.wvu.FilterData" localSheetId="7" hidden="1">'08'!$AT$3:$AT$58</definedName>
    <definedName name="Z_7BC43687_DA01_4520_9C12_E7133B862AEE_.wvu.FilterData" localSheetId="8" hidden="1">'09'!$AS$3:$AS$58</definedName>
    <definedName name="Z_7BC43687_DA01_4520_9C12_E7133B862AEE_.wvu.FilterData" localSheetId="9" hidden="1">'10'!$AT$3:$AT$59</definedName>
    <definedName name="Z_7DDD1136_A2F2_40F2_9DC0_947B103EB4FC_.wvu.FilterData" localSheetId="0" hidden="1">'01'!$AT$3:$AT$58</definedName>
    <definedName name="Z_7DDD1136_A2F2_40F2_9DC0_947B103EB4FC_.wvu.FilterData" localSheetId="1" hidden="1">'02'!$AQ$3:$AQ$58</definedName>
    <definedName name="Z_7DDD1136_A2F2_40F2_9DC0_947B103EB4FC_.wvu.FilterData" localSheetId="2" hidden="1">'03'!$AT$3:$AT$58</definedName>
    <definedName name="Z_7DDD1136_A2F2_40F2_9DC0_947B103EB4FC_.wvu.FilterData" localSheetId="3" hidden="1">'04'!$AS$3:$AS$58</definedName>
    <definedName name="Z_7DDD1136_A2F2_40F2_9DC0_947B103EB4FC_.wvu.FilterData" localSheetId="4" hidden="1">'05'!$AT$3:$AT$57</definedName>
    <definedName name="Z_7DDD1136_A2F2_40F2_9DC0_947B103EB4FC_.wvu.FilterData" localSheetId="5" hidden="1">'06'!$AS$3:$AS$56</definedName>
    <definedName name="Z_7DDD1136_A2F2_40F2_9DC0_947B103EB4FC_.wvu.FilterData" localSheetId="6" hidden="1">'07'!$AU$3:$AU$56</definedName>
    <definedName name="Z_7DDD1136_A2F2_40F2_9DC0_947B103EB4FC_.wvu.FilterData" localSheetId="7" hidden="1">'08'!$AT$3:$AT$57</definedName>
    <definedName name="Z_7DDD1136_A2F2_40F2_9DC0_947B103EB4FC_.wvu.FilterData" localSheetId="8" hidden="1">'09'!$AS$3:$AS$57</definedName>
    <definedName name="Z_7DDD1136_A2F2_40F2_9DC0_947B103EB4FC_.wvu.FilterData" localSheetId="9" hidden="1">'10'!$AT$3:$AT$58</definedName>
    <definedName name="Z_7F158070_FAEA_407E_9C96_99D456DF239F_.wvu.FilterData" localSheetId="0" hidden="1">'01'!$AT$3:$AT$59</definedName>
    <definedName name="Z_7F158070_FAEA_407E_9C96_99D456DF239F_.wvu.FilterData" localSheetId="1" hidden="1">'02'!$AQ$3:$AQ$59</definedName>
    <definedName name="Z_7F158070_FAEA_407E_9C96_99D456DF239F_.wvu.FilterData" localSheetId="2" hidden="1">'03'!$AT$3:$AT$59</definedName>
    <definedName name="Z_7F158070_FAEA_407E_9C96_99D456DF239F_.wvu.FilterData" localSheetId="3" hidden="1">'04'!$AS$3:$AS$59</definedName>
    <definedName name="Z_7F158070_FAEA_407E_9C96_99D456DF239F_.wvu.FilterData" localSheetId="4" hidden="1">'05'!$AT$3:$AT$58</definedName>
    <definedName name="Z_7F158070_FAEA_407E_9C96_99D456DF239F_.wvu.FilterData" localSheetId="5" hidden="1">'06'!$AS$3:$AS$57</definedName>
    <definedName name="Z_7F158070_FAEA_407E_9C96_99D456DF239F_.wvu.FilterData" localSheetId="6" hidden="1">'07'!$AU$3:$AU$57</definedName>
    <definedName name="Z_7F158070_FAEA_407E_9C96_99D456DF239F_.wvu.FilterData" localSheetId="7" hidden="1">'08'!$AT$3:$AT$58</definedName>
    <definedName name="Z_7F158070_FAEA_407E_9C96_99D456DF239F_.wvu.FilterData" localSheetId="8" hidden="1">'09'!$AS$3:$AS$58</definedName>
    <definedName name="Z_7F158070_FAEA_407E_9C96_99D456DF239F_.wvu.FilterData" localSheetId="9" hidden="1">'10'!$AT$3:$AT$59</definedName>
    <definedName name="Z_7F601380_0FCE_4A4E_8864_6C96894B68DC_.wvu.FilterData" localSheetId="0" hidden="1">'01'!$AT$3:$AT$59</definedName>
    <definedName name="Z_7F601380_0FCE_4A4E_8864_6C96894B68DC_.wvu.FilterData" localSheetId="1" hidden="1">'02'!$AQ$3:$AQ$59</definedName>
    <definedName name="Z_7F601380_0FCE_4A4E_8864_6C96894B68DC_.wvu.FilterData" localSheetId="2" hidden="1">'03'!$AT$3:$AT$59</definedName>
    <definedName name="Z_7F601380_0FCE_4A4E_8864_6C96894B68DC_.wvu.FilterData" localSheetId="3" hidden="1">'04'!$AS$3:$AS$59</definedName>
    <definedName name="Z_7F601380_0FCE_4A4E_8864_6C96894B68DC_.wvu.FilterData" localSheetId="4" hidden="1">'05'!$AT$3:$AT$58</definedName>
    <definedName name="Z_7F601380_0FCE_4A4E_8864_6C96894B68DC_.wvu.FilterData" localSheetId="5" hidden="1">'06'!$AS$3:$AS$57</definedName>
    <definedName name="Z_7F601380_0FCE_4A4E_8864_6C96894B68DC_.wvu.FilterData" localSheetId="6" hidden="1">'07'!$AU$3:$AU$57</definedName>
    <definedName name="Z_7F601380_0FCE_4A4E_8864_6C96894B68DC_.wvu.FilterData" localSheetId="7" hidden="1">'08'!$AT$3:$AT$58</definedName>
    <definedName name="Z_7F601380_0FCE_4A4E_8864_6C96894B68DC_.wvu.FilterData" localSheetId="8" hidden="1">'09'!$AS$3:$AS$58</definedName>
    <definedName name="Z_7F601380_0FCE_4A4E_8864_6C96894B68DC_.wvu.FilterData" localSheetId="9" hidden="1">'10'!$AT$3:$AT$59</definedName>
    <definedName name="Z_7F6DC1D2_F6A5_4780_BE2C_9EF4309C35C5_.wvu.FilterData" localSheetId="8" hidden="1">'09'!$AS$3:$AS$58</definedName>
    <definedName name="Z_7F6DC1D2_F6A5_4780_BE2C_9EF4309C35C5_.wvu.FilterData" localSheetId="9" hidden="1">'10'!$AT$3:$AT$59</definedName>
    <definedName name="Z_7FF188DC_E4EB_4D84_BD18_6803DFCF7159_.wvu.FilterData" localSheetId="9" hidden="1">'10'!$AT$3:$AT$59</definedName>
    <definedName name="Z_7FFC3DC7_CE74_4D31_8828_62CECA833F81_.wvu.FilterData" localSheetId="1" hidden="1">'02'!$AQ$3:$AQ$60</definedName>
    <definedName name="Z_80B989FB_490F_4BFC_9A63_D8F2AF6962C6_.wvu.FilterData" localSheetId="1" hidden="1">'02'!$AQ$3:$AQ$60</definedName>
    <definedName name="Z_80E61A9F_A9C8_40E1_A0DA_A8D99A9AC8AB_.wvu.FilterData" localSheetId="8" hidden="1">'09'!$AS$3:$AS$58</definedName>
    <definedName name="Z_80E61A9F_A9C8_40E1_A0DA_A8D99A9AC8AB_.wvu.FilterData" localSheetId="9" hidden="1">'10'!$AT$3:$AT$59</definedName>
    <definedName name="Z_814CB5A5_FE88_4AC0_A677_48EB55A5A5EA_.wvu.FilterData" localSheetId="0" hidden="1">'01'!$AT$3:$AT$59</definedName>
    <definedName name="Z_814CB5A5_FE88_4AC0_A677_48EB55A5A5EA_.wvu.FilterData" localSheetId="2" hidden="1">'03'!$AT$3:$AT$59</definedName>
    <definedName name="Z_814CB5A5_FE88_4AC0_A677_48EB55A5A5EA_.wvu.FilterData" localSheetId="3" hidden="1">'04'!$AS$3:$AS$59</definedName>
    <definedName name="Z_814CB5A5_FE88_4AC0_A677_48EB55A5A5EA_.wvu.FilterData" localSheetId="4" hidden="1">'05'!$AT$3:$AT$58</definedName>
    <definedName name="Z_814CB5A5_FE88_4AC0_A677_48EB55A5A5EA_.wvu.FilterData" localSheetId="5" hidden="1">'06'!$AS$3:$AS$57</definedName>
    <definedName name="Z_814CB5A5_FE88_4AC0_A677_48EB55A5A5EA_.wvu.FilterData" localSheetId="6" hidden="1">'07'!$AU$3:$AU$57</definedName>
    <definedName name="Z_814CB5A5_FE88_4AC0_A677_48EB55A5A5EA_.wvu.FilterData" localSheetId="7" hidden="1">'08'!$AT$3:$AT$58</definedName>
    <definedName name="Z_814CB5A5_FE88_4AC0_A677_48EB55A5A5EA_.wvu.FilterData" localSheetId="8" hidden="1">'09'!$AS$3:$AS$58</definedName>
    <definedName name="Z_814CB5A5_FE88_4AC0_A677_48EB55A5A5EA_.wvu.FilterData" localSheetId="9" hidden="1">'10'!$AT$3:$AT$59</definedName>
    <definedName name="Z_81F544CC_4F50_4D26_BF2D_08F39716157C_.wvu.FilterData" localSheetId="0" hidden="1">'01'!$AT$3:$AT$58</definedName>
    <definedName name="Z_81F544CC_4F50_4D26_BF2D_08F39716157C_.wvu.FilterData" localSheetId="1" hidden="1">'02'!$AQ$3:$AQ$58</definedName>
    <definedName name="Z_81F544CC_4F50_4D26_BF2D_08F39716157C_.wvu.FilterData" localSheetId="2" hidden="1">'03'!$AT$3:$AT$58</definedName>
    <definedName name="Z_81F544CC_4F50_4D26_BF2D_08F39716157C_.wvu.FilterData" localSheetId="3" hidden="1">'04'!$AS$3:$AS$58</definedName>
    <definedName name="Z_81F544CC_4F50_4D26_BF2D_08F39716157C_.wvu.FilterData" localSheetId="4" hidden="1">'05'!$AT$3:$AT$57</definedName>
    <definedName name="Z_81F544CC_4F50_4D26_BF2D_08F39716157C_.wvu.FilterData" localSheetId="5" hidden="1">'06'!$AS$3:$AS$56</definedName>
    <definedName name="Z_81F544CC_4F50_4D26_BF2D_08F39716157C_.wvu.FilterData" localSheetId="6" hidden="1">'07'!$AU$3:$AU$56</definedName>
    <definedName name="Z_81F544CC_4F50_4D26_BF2D_08F39716157C_.wvu.FilterData" localSheetId="7" hidden="1">'08'!$AT$3:$AT$57</definedName>
    <definedName name="Z_81F544CC_4F50_4D26_BF2D_08F39716157C_.wvu.FilterData" localSheetId="8" hidden="1">'09'!$AS$3:$AS$57</definedName>
    <definedName name="Z_81F544CC_4F50_4D26_BF2D_08F39716157C_.wvu.FilterData" localSheetId="9" hidden="1">'10'!$AT$3:$AT$58</definedName>
    <definedName name="Z_824AA967_FA34_4A92_A4F2_4B42C9F7C089_.wvu.FilterData" localSheetId="0" hidden="1">'01'!$AT$3:$AT$59</definedName>
    <definedName name="Z_824AA967_FA34_4A92_A4F2_4B42C9F7C089_.wvu.FilterData" localSheetId="1" hidden="1">'02'!$AQ$3:$AQ$59</definedName>
    <definedName name="Z_824AA967_FA34_4A92_A4F2_4B42C9F7C089_.wvu.FilterData" localSheetId="2" hidden="1">'03'!$AT$3:$AT$59</definedName>
    <definedName name="Z_824AA967_FA34_4A92_A4F2_4B42C9F7C089_.wvu.FilterData" localSheetId="3" hidden="1">'04'!$AS$3:$AS$59</definedName>
    <definedName name="Z_824AA967_FA34_4A92_A4F2_4B42C9F7C089_.wvu.FilterData" localSheetId="4" hidden="1">'05'!$AT$3:$AT$58</definedName>
    <definedName name="Z_824AA967_FA34_4A92_A4F2_4B42C9F7C089_.wvu.FilterData" localSheetId="5" hidden="1">'06'!$AS$3:$AS$57</definedName>
    <definedName name="Z_824AA967_FA34_4A92_A4F2_4B42C9F7C089_.wvu.FilterData" localSheetId="6" hidden="1">'07'!$AU$3:$AU$57</definedName>
    <definedName name="Z_824AA967_FA34_4A92_A4F2_4B42C9F7C089_.wvu.FilterData" localSheetId="7" hidden="1">'08'!$AT$3:$AT$58</definedName>
    <definedName name="Z_824AA967_FA34_4A92_A4F2_4B42C9F7C089_.wvu.FilterData" localSheetId="8" hidden="1">'09'!$AS$3:$AS$58</definedName>
    <definedName name="Z_824AA967_FA34_4A92_A4F2_4B42C9F7C089_.wvu.FilterData" localSheetId="9" hidden="1">'10'!$AT$3:$AT$59</definedName>
    <definedName name="Z_82A9D279_2426_4144_9424_E3671CD0239F_.wvu.FilterData" localSheetId="0" hidden="1">'01'!$AT$3:$AT$58</definedName>
    <definedName name="Z_82A9D279_2426_4144_9424_E3671CD0239F_.wvu.FilterData" localSheetId="1" hidden="1">'02'!$AQ$3:$AQ$58</definedName>
    <definedName name="Z_82A9D279_2426_4144_9424_E3671CD0239F_.wvu.FilterData" localSheetId="2" hidden="1">'03'!$AT$3:$AT$58</definedName>
    <definedName name="Z_82A9D279_2426_4144_9424_E3671CD0239F_.wvu.FilterData" localSheetId="3" hidden="1">'04'!$AS$3:$AS$58</definedName>
    <definedName name="Z_82A9D279_2426_4144_9424_E3671CD0239F_.wvu.FilterData" localSheetId="4" hidden="1">'05'!$AT$3:$AT$57</definedName>
    <definedName name="Z_82A9D279_2426_4144_9424_E3671CD0239F_.wvu.FilterData" localSheetId="5" hidden="1">'06'!$AS$3:$AS$56</definedName>
    <definedName name="Z_82A9D279_2426_4144_9424_E3671CD0239F_.wvu.FilterData" localSheetId="6" hidden="1">'07'!$AU$3:$AU$56</definedName>
    <definedName name="Z_82A9D279_2426_4144_9424_E3671CD0239F_.wvu.FilterData" localSheetId="7" hidden="1">'08'!$AT$3:$AT$57</definedName>
    <definedName name="Z_82A9D279_2426_4144_9424_E3671CD0239F_.wvu.FilterData" localSheetId="8" hidden="1">'09'!$AS$3:$AS$57</definedName>
    <definedName name="Z_82A9D279_2426_4144_9424_E3671CD0239F_.wvu.FilterData" localSheetId="9" hidden="1">'10'!$AT$3:$AT$58</definedName>
    <definedName name="Z_83B16275_55F3_4914_8B85_437900D81C4A_.wvu.FilterData" localSheetId="0" hidden="1">'01'!$AT$3:$AT$58</definedName>
    <definedName name="Z_83B16275_55F3_4914_8B85_437900D81C4A_.wvu.FilterData" localSheetId="1" hidden="1">'02'!$AQ$3:$AQ$58</definedName>
    <definedName name="Z_83B16275_55F3_4914_8B85_437900D81C4A_.wvu.FilterData" localSheetId="2" hidden="1">'03'!$AT$3:$AT$58</definedName>
    <definedName name="Z_83B16275_55F3_4914_8B85_437900D81C4A_.wvu.FilterData" localSheetId="3" hidden="1">'04'!$AS$3:$AS$58</definedName>
    <definedName name="Z_83B16275_55F3_4914_8B85_437900D81C4A_.wvu.FilterData" localSheetId="4" hidden="1">'05'!$AT$3:$AT$57</definedName>
    <definedName name="Z_83B16275_55F3_4914_8B85_437900D81C4A_.wvu.FilterData" localSheetId="5" hidden="1">'06'!$AS$3:$AS$56</definedName>
    <definedName name="Z_83B16275_55F3_4914_8B85_437900D81C4A_.wvu.FilterData" localSheetId="6" hidden="1">'07'!$AU$3:$AU$56</definedName>
    <definedName name="Z_83B16275_55F3_4914_8B85_437900D81C4A_.wvu.FilterData" localSheetId="7" hidden="1">'08'!$AT$3:$AT$57</definedName>
    <definedName name="Z_83B16275_55F3_4914_8B85_437900D81C4A_.wvu.FilterData" localSheetId="8" hidden="1">'09'!$AS$3:$AS$57</definedName>
    <definedName name="Z_83B16275_55F3_4914_8B85_437900D81C4A_.wvu.FilterData" localSheetId="9" hidden="1">'10'!$AT$3:$AT$58</definedName>
    <definedName name="Z_83D1524A_D0F1_41D8_99E1_31998FB2A4D3_.wvu.FilterData" localSheetId="0" hidden="1">'01'!$AT$3:$AT$58</definedName>
    <definedName name="Z_83D1524A_D0F1_41D8_99E1_31998FB2A4D3_.wvu.FilterData" localSheetId="1" hidden="1">'02'!$AQ$3:$AQ$58</definedName>
    <definedName name="Z_83D1524A_D0F1_41D8_99E1_31998FB2A4D3_.wvu.FilterData" localSheetId="2" hidden="1">'03'!$AT$3:$AT$58</definedName>
    <definedName name="Z_83D1524A_D0F1_41D8_99E1_31998FB2A4D3_.wvu.FilterData" localSheetId="3" hidden="1">'04'!$AS$3:$AS$58</definedName>
    <definedName name="Z_83D1524A_D0F1_41D8_99E1_31998FB2A4D3_.wvu.FilterData" localSheetId="4" hidden="1">'05'!$AT$3:$AT$57</definedName>
    <definedName name="Z_83D1524A_D0F1_41D8_99E1_31998FB2A4D3_.wvu.FilterData" localSheetId="5" hidden="1">'06'!$AS$3:$AS$56</definedName>
    <definedName name="Z_83D1524A_D0F1_41D8_99E1_31998FB2A4D3_.wvu.FilterData" localSheetId="6" hidden="1">'07'!$AU$3:$AU$56</definedName>
    <definedName name="Z_83D1524A_D0F1_41D8_99E1_31998FB2A4D3_.wvu.FilterData" localSheetId="7" hidden="1">'08'!$AT$3:$AT$57</definedName>
    <definedName name="Z_83D1524A_D0F1_41D8_99E1_31998FB2A4D3_.wvu.FilterData" localSheetId="8" hidden="1">'09'!$AS$3:$AS$57</definedName>
    <definedName name="Z_83D1524A_D0F1_41D8_99E1_31998FB2A4D3_.wvu.FilterData" localSheetId="9" hidden="1">'10'!$AT$3:$AT$58</definedName>
    <definedName name="Z_83DE6D5F_7C75_4217_8F84_DCC6189B92CB_.wvu.FilterData" localSheetId="0" hidden="1">'01'!$AT$3:$AT$59</definedName>
    <definedName name="Z_83DE6D5F_7C75_4217_8F84_DCC6189B92CB_.wvu.FilterData" localSheetId="1" hidden="1">'02'!$AQ$3:$AQ$59</definedName>
    <definedName name="Z_83DE6D5F_7C75_4217_8F84_DCC6189B92CB_.wvu.FilterData" localSheetId="2" hidden="1">'03'!$AT$3:$AT$59</definedName>
    <definedName name="Z_83DE6D5F_7C75_4217_8F84_DCC6189B92CB_.wvu.FilterData" localSheetId="3" hidden="1">'04'!$AS$3:$AS$59</definedName>
    <definedName name="Z_83DE6D5F_7C75_4217_8F84_DCC6189B92CB_.wvu.FilterData" localSheetId="4" hidden="1">'05'!$AT$3:$AT$58</definedName>
    <definedName name="Z_83DE6D5F_7C75_4217_8F84_DCC6189B92CB_.wvu.FilterData" localSheetId="5" hidden="1">'06'!$AS$3:$AS$57</definedName>
    <definedName name="Z_83DE6D5F_7C75_4217_8F84_DCC6189B92CB_.wvu.FilterData" localSheetId="6" hidden="1">'07'!$AU$3:$AU$57</definedName>
    <definedName name="Z_83DE6D5F_7C75_4217_8F84_DCC6189B92CB_.wvu.FilterData" localSheetId="7" hidden="1">'08'!$AT$3:$AT$58</definedName>
    <definedName name="Z_83DE6D5F_7C75_4217_8F84_DCC6189B92CB_.wvu.FilterData" localSheetId="8" hidden="1">'09'!$AS$3:$AS$58</definedName>
    <definedName name="Z_83DE6D5F_7C75_4217_8F84_DCC6189B92CB_.wvu.FilterData" localSheetId="9" hidden="1">'10'!$AT$3:$AT$59</definedName>
    <definedName name="Z_8498531C_126E_4039_8DBD_A68A690FB243_.wvu.FilterData" localSheetId="8" hidden="1">'09'!$AS$3:$AS$58</definedName>
    <definedName name="Z_8498531C_126E_4039_8DBD_A68A690FB243_.wvu.FilterData" localSheetId="9" hidden="1">'10'!$AT$3:$AT$59</definedName>
    <definedName name="Z_85F9588A_F26B_47F7_B565_7B2985225408_.wvu.FilterData" localSheetId="1" hidden="1">'02'!$AQ$3:$AQ$60</definedName>
    <definedName name="Z_864A5C51_267D_4206_99C1_70DC6FC79D91_.wvu.FilterData" localSheetId="0" hidden="1">'01'!$AT$3:$AT$59</definedName>
    <definedName name="Z_864A5C51_267D_4206_99C1_70DC6FC79D91_.wvu.FilterData" localSheetId="1" hidden="1">'02'!$AQ$3:$AQ$59</definedName>
    <definedName name="Z_864A5C51_267D_4206_99C1_70DC6FC79D91_.wvu.FilterData" localSheetId="2" hidden="1">'03'!$AT$3:$AT$59</definedName>
    <definedName name="Z_864A5C51_267D_4206_99C1_70DC6FC79D91_.wvu.FilterData" localSheetId="3" hidden="1">'04'!$AS$3:$AS$59</definedName>
    <definedName name="Z_864A5C51_267D_4206_99C1_70DC6FC79D91_.wvu.FilterData" localSheetId="4" hidden="1">'05'!$AT$3:$AT$58</definedName>
    <definedName name="Z_864A5C51_267D_4206_99C1_70DC6FC79D91_.wvu.FilterData" localSheetId="5" hidden="1">'06'!$AS$3:$AS$57</definedName>
    <definedName name="Z_864A5C51_267D_4206_99C1_70DC6FC79D91_.wvu.FilterData" localSheetId="6" hidden="1">'07'!$AU$3:$AU$57</definedName>
    <definedName name="Z_864A5C51_267D_4206_99C1_70DC6FC79D91_.wvu.FilterData" localSheetId="7" hidden="1">'08'!$AT$3:$AT$58</definedName>
    <definedName name="Z_864A5C51_267D_4206_99C1_70DC6FC79D91_.wvu.FilterData" localSheetId="8" hidden="1">'09'!$AS$3:$AS$58</definedName>
    <definedName name="Z_864A5C51_267D_4206_99C1_70DC6FC79D91_.wvu.FilterData" localSheetId="9" hidden="1">'10'!$AT$3:$AT$59</definedName>
    <definedName name="Z_86B268E0_ACAC_49D2_9C66_7A75C7A5D5DA_.wvu.FilterData" localSheetId="7" hidden="1">'08'!$AT$3:$AT$58</definedName>
    <definedName name="Z_86B268E0_ACAC_49D2_9C66_7A75C7A5D5DA_.wvu.FilterData" localSheetId="8" hidden="1">'09'!$AS$3:$AS$58</definedName>
    <definedName name="Z_86B268E0_ACAC_49D2_9C66_7A75C7A5D5DA_.wvu.FilterData" localSheetId="9" hidden="1">'10'!$AT$3:$AT$59</definedName>
    <definedName name="Z_86EF2C75_FBE7_40AE_BEE8_ACF431CC0BEA_.wvu.FilterData" localSheetId="0" hidden="1">'01'!$AT$3:$AT$59</definedName>
    <definedName name="Z_86EF2C75_FBE7_40AE_BEE8_ACF431CC0BEA_.wvu.FilterData" localSheetId="1" hidden="1">'02'!$AQ$3:$AQ$59</definedName>
    <definedName name="Z_86EF2C75_FBE7_40AE_BEE8_ACF431CC0BEA_.wvu.FilterData" localSheetId="2" hidden="1">'03'!$AT$3:$AT$59</definedName>
    <definedName name="Z_86EF2C75_FBE7_40AE_BEE8_ACF431CC0BEA_.wvu.FilterData" localSheetId="3" hidden="1">'04'!$AS$3:$AS$59</definedName>
    <definedName name="Z_86EF2C75_FBE7_40AE_BEE8_ACF431CC0BEA_.wvu.FilterData" localSheetId="4" hidden="1">'05'!$AT$3:$AT$58</definedName>
    <definedName name="Z_86EF2C75_FBE7_40AE_BEE8_ACF431CC0BEA_.wvu.FilterData" localSheetId="5" hidden="1">'06'!$AS$3:$AS$57</definedName>
    <definedName name="Z_86EF2C75_FBE7_40AE_BEE8_ACF431CC0BEA_.wvu.FilterData" localSheetId="6" hidden="1">'07'!$AU$3:$AU$57</definedName>
    <definedName name="Z_86EF2C75_FBE7_40AE_BEE8_ACF431CC0BEA_.wvu.FilterData" localSheetId="7" hidden="1">'08'!$AT$3:$AT$58</definedName>
    <definedName name="Z_86EF2C75_FBE7_40AE_BEE8_ACF431CC0BEA_.wvu.FilterData" localSheetId="8" hidden="1">'09'!$AS$3:$AS$58</definedName>
    <definedName name="Z_86EF2C75_FBE7_40AE_BEE8_ACF431CC0BEA_.wvu.FilterData" localSheetId="9" hidden="1">'10'!$AT$3:$AT$59</definedName>
    <definedName name="Z_872F65DD_D345_4C3B_B551_5F187FCE2627_.wvu.FilterData" localSheetId="0" hidden="1">'01'!$AT$3:$AT$59</definedName>
    <definedName name="Z_872F65DD_D345_4C3B_B551_5F187FCE2627_.wvu.FilterData" localSheetId="1" hidden="1">'02'!$AQ$3:$AQ$59</definedName>
    <definedName name="Z_872F65DD_D345_4C3B_B551_5F187FCE2627_.wvu.FilterData" localSheetId="2" hidden="1">'03'!$AT$3:$AT$59</definedName>
    <definedName name="Z_872F65DD_D345_4C3B_B551_5F187FCE2627_.wvu.FilterData" localSheetId="3" hidden="1">'04'!$AS$3:$AS$59</definedName>
    <definedName name="Z_872F65DD_D345_4C3B_B551_5F187FCE2627_.wvu.FilterData" localSheetId="4" hidden="1">'05'!$AT$3:$AT$58</definedName>
    <definedName name="Z_872F65DD_D345_4C3B_B551_5F187FCE2627_.wvu.FilterData" localSheetId="5" hidden="1">'06'!$AS$3:$AS$57</definedName>
    <definedName name="Z_872F65DD_D345_4C3B_B551_5F187FCE2627_.wvu.FilterData" localSheetId="6" hidden="1">'07'!$AU$3:$AU$57</definedName>
    <definedName name="Z_872F65DD_D345_4C3B_B551_5F187FCE2627_.wvu.FilterData" localSheetId="7" hidden="1">'08'!$AT$3:$AT$58</definedName>
    <definedName name="Z_872F65DD_D345_4C3B_B551_5F187FCE2627_.wvu.FilterData" localSheetId="8" hidden="1">'09'!$AS$3:$AS$58</definedName>
    <definedName name="Z_872F65DD_D345_4C3B_B551_5F187FCE2627_.wvu.FilterData" localSheetId="9" hidden="1">'10'!$AT$3:$AT$59</definedName>
    <definedName name="Z_899B8435_9FB3_4E4B_8A11_95124B9E234A_.wvu.FilterData" localSheetId="3" hidden="1">'04'!$AS$3:$AS$59</definedName>
    <definedName name="Z_8B3BE74E_3890_4365_B5F9_70D2C502AC9F_.wvu.FilterData" localSheetId="0" hidden="1">'01'!$AT$3:$AT$58</definedName>
    <definedName name="Z_8B3BE74E_3890_4365_B5F9_70D2C502AC9F_.wvu.FilterData" localSheetId="1" hidden="1">'02'!$AQ$3:$AQ$58</definedName>
    <definedName name="Z_8B3BE74E_3890_4365_B5F9_70D2C502AC9F_.wvu.FilterData" localSheetId="2" hidden="1">'03'!$AT$3:$AT$58</definedName>
    <definedName name="Z_8B3BE74E_3890_4365_B5F9_70D2C502AC9F_.wvu.FilterData" localSheetId="3" hidden="1">'04'!$AS$3:$AS$58</definedName>
    <definedName name="Z_8B3BE74E_3890_4365_B5F9_70D2C502AC9F_.wvu.FilterData" localSheetId="4" hidden="1">'05'!$AT$3:$AT$57</definedName>
    <definedName name="Z_8B3BE74E_3890_4365_B5F9_70D2C502AC9F_.wvu.FilterData" localSheetId="5" hidden="1">'06'!$AS$3:$AS$56</definedName>
    <definedName name="Z_8B3BE74E_3890_4365_B5F9_70D2C502AC9F_.wvu.FilterData" localSheetId="6" hidden="1">'07'!$AU$3:$AU$56</definedName>
    <definedName name="Z_8B3BE74E_3890_4365_B5F9_70D2C502AC9F_.wvu.FilterData" localSheetId="7" hidden="1">'08'!$AT$3:$AT$57</definedName>
    <definedName name="Z_8B3BE74E_3890_4365_B5F9_70D2C502AC9F_.wvu.FilterData" localSheetId="8" hidden="1">'09'!$AS$3:$AS$57</definedName>
    <definedName name="Z_8B3BE74E_3890_4365_B5F9_70D2C502AC9F_.wvu.FilterData" localSheetId="9" hidden="1">'10'!$AT$3:$AT$58</definedName>
    <definedName name="Z_8BBEA2A9_B94C_44FC_BA1D_9E0DF310DAAC_.wvu.FilterData" localSheetId="7" hidden="1">'08'!$AT$3:$AT$58</definedName>
    <definedName name="Z_8BBEA2A9_B94C_44FC_BA1D_9E0DF310DAAC_.wvu.FilterData" localSheetId="8" hidden="1">'09'!$AS$3:$AS$58</definedName>
    <definedName name="Z_8BBEA2A9_B94C_44FC_BA1D_9E0DF310DAAC_.wvu.FilterData" localSheetId="9" hidden="1">'10'!$AT$3:$AT$59</definedName>
    <definedName name="Z_8D9DED9E_0E9B_4AC2_A6FE_0614C36A32EB_.wvu.FilterData" localSheetId="5" hidden="1">'06'!$AS$3:$AS$57</definedName>
    <definedName name="Z_8D9DED9E_0E9B_4AC2_A6FE_0614C36A32EB_.wvu.FilterData" localSheetId="6" hidden="1">'07'!$AU$3:$AU$57</definedName>
    <definedName name="Z_8D9DED9E_0E9B_4AC2_A6FE_0614C36A32EB_.wvu.FilterData" localSheetId="7" hidden="1">'08'!$AT$3:$AT$58</definedName>
    <definedName name="Z_8D9DED9E_0E9B_4AC2_A6FE_0614C36A32EB_.wvu.FilterData" localSheetId="8" hidden="1">'09'!$AS$3:$AS$58</definedName>
    <definedName name="Z_8D9DED9E_0E9B_4AC2_A6FE_0614C36A32EB_.wvu.FilterData" localSheetId="9" hidden="1">'10'!$AT$3:$AT$59</definedName>
    <definedName name="Z_8E32B2FC_51E1_48A3_AE29_8B3F49481465_.wvu.FilterData" localSheetId="0" hidden="1">'01'!$AT$3:$AT$58</definedName>
    <definedName name="Z_8E32B2FC_51E1_48A3_AE29_8B3F49481465_.wvu.FilterData" localSheetId="1" hidden="1">'02'!$AQ$3:$AQ$58</definedName>
    <definedName name="Z_8E32B2FC_51E1_48A3_AE29_8B3F49481465_.wvu.FilterData" localSheetId="2" hidden="1">'03'!$AT$3:$AT$58</definedName>
    <definedName name="Z_8E32B2FC_51E1_48A3_AE29_8B3F49481465_.wvu.FilterData" localSheetId="3" hidden="1">'04'!$AS$3:$AS$58</definedName>
    <definedName name="Z_8E32B2FC_51E1_48A3_AE29_8B3F49481465_.wvu.FilterData" localSheetId="4" hidden="1">'05'!$AT$3:$AT$57</definedName>
    <definedName name="Z_8E32B2FC_51E1_48A3_AE29_8B3F49481465_.wvu.FilterData" localSheetId="5" hidden="1">'06'!$AS$3:$AS$56</definedName>
    <definedName name="Z_8E32B2FC_51E1_48A3_AE29_8B3F49481465_.wvu.FilterData" localSheetId="6" hidden="1">'07'!$AU$3:$AU$56</definedName>
    <definedName name="Z_8E32B2FC_51E1_48A3_AE29_8B3F49481465_.wvu.FilterData" localSheetId="7" hidden="1">'08'!$AT$3:$AT$57</definedName>
    <definedName name="Z_8E32B2FC_51E1_48A3_AE29_8B3F49481465_.wvu.FilterData" localSheetId="8" hidden="1">'09'!$AS$3:$AS$57</definedName>
    <definedName name="Z_8E32B2FC_51E1_48A3_AE29_8B3F49481465_.wvu.FilterData" localSheetId="9" hidden="1">'10'!$AT$3:$AT$58</definedName>
    <definedName name="Z_8E973AA6_1089_4BB4_A81B_2E4E98D8C566_.wvu.FilterData" localSheetId="9" hidden="1">'10'!$AT$3:$AT$59</definedName>
    <definedName name="Z_8EAB4DCF_6414_404B_8D00_F7E750251DCF_.wvu.FilterData" localSheetId="6" hidden="1">'07'!$AU$3:$AU$57</definedName>
    <definedName name="Z_8EAB4DCF_6414_404B_8D00_F7E750251DCF_.wvu.FilterData" localSheetId="7" hidden="1">'08'!$AT$3:$AT$58</definedName>
    <definedName name="Z_8EAB4DCF_6414_404B_8D00_F7E750251DCF_.wvu.FilterData" localSheetId="8" hidden="1">'09'!$AS$3:$AS$58</definedName>
    <definedName name="Z_8EAB4DCF_6414_404B_8D00_F7E750251DCF_.wvu.FilterData" localSheetId="9" hidden="1">'10'!$AT$3:$AT$59</definedName>
    <definedName name="Z_902EE39C_46DC_4A85_ADE7_B3AA6B224A28_.wvu.FilterData" localSheetId="0" hidden="1">'01'!$AT$3:$AT$59</definedName>
    <definedName name="Z_902EE39C_46DC_4A85_ADE7_B3AA6B224A28_.wvu.FilterData" localSheetId="1" hidden="1">'02'!$AQ$3:$AQ$59</definedName>
    <definedName name="Z_902EE39C_46DC_4A85_ADE7_B3AA6B224A28_.wvu.FilterData" localSheetId="2" hidden="1">'03'!$AT$3:$AT$59</definedName>
    <definedName name="Z_902EE39C_46DC_4A85_ADE7_B3AA6B224A28_.wvu.FilterData" localSheetId="3" hidden="1">'04'!$AS$3:$AS$59</definedName>
    <definedName name="Z_902EE39C_46DC_4A85_ADE7_B3AA6B224A28_.wvu.FilterData" localSheetId="4" hidden="1">'05'!$AT$3:$AT$58</definedName>
    <definedName name="Z_902EE39C_46DC_4A85_ADE7_B3AA6B224A28_.wvu.FilterData" localSheetId="5" hidden="1">'06'!$AS$3:$AS$57</definedName>
    <definedName name="Z_902EE39C_46DC_4A85_ADE7_B3AA6B224A28_.wvu.FilterData" localSheetId="6" hidden="1">'07'!$AU$3:$AU$57</definedName>
    <definedName name="Z_902EE39C_46DC_4A85_ADE7_B3AA6B224A28_.wvu.FilterData" localSheetId="7" hidden="1">'08'!$AT$3:$AT$58</definedName>
    <definedName name="Z_902EE39C_46DC_4A85_ADE7_B3AA6B224A28_.wvu.FilterData" localSheetId="8" hidden="1">'09'!$AS$3:$AS$58</definedName>
    <definedName name="Z_902EE39C_46DC_4A85_ADE7_B3AA6B224A28_.wvu.FilterData" localSheetId="9" hidden="1">'10'!$AT$3:$AT$59</definedName>
    <definedName name="Z_90477163_0230_4EA2_B409_15D15F578FD4_.wvu.FilterData" localSheetId="8" hidden="1">'09'!$AS$3:$AS$58</definedName>
    <definedName name="Z_90477163_0230_4EA2_B409_15D15F578FD4_.wvu.FilterData" localSheetId="9" hidden="1">'10'!$AT$3:$AT$59</definedName>
    <definedName name="Z_90835FC3_0055_4D0A_AF9F_615946F48484_.wvu.FilterData" localSheetId="0" hidden="1">'01'!$AT$3:$AT$58</definedName>
    <definedName name="Z_90835FC3_0055_4D0A_AF9F_615946F48484_.wvu.FilterData" localSheetId="1" hidden="1">'02'!$AQ$3:$AQ$58</definedName>
    <definedName name="Z_90835FC3_0055_4D0A_AF9F_615946F48484_.wvu.FilterData" localSheetId="2" hidden="1">'03'!$AT$3:$AT$58</definedName>
    <definedName name="Z_90835FC3_0055_4D0A_AF9F_615946F48484_.wvu.FilterData" localSheetId="3" hidden="1">'04'!$AS$3:$AS$58</definedName>
    <definedName name="Z_90835FC3_0055_4D0A_AF9F_615946F48484_.wvu.FilterData" localSheetId="4" hidden="1">'05'!$AT$3:$AT$57</definedName>
    <definedName name="Z_90835FC3_0055_4D0A_AF9F_615946F48484_.wvu.FilterData" localSheetId="5" hidden="1">'06'!$AS$3:$AS$56</definedName>
    <definedName name="Z_90835FC3_0055_4D0A_AF9F_615946F48484_.wvu.FilterData" localSheetId="6" hidden="1">'07'!$AU$3:$AU$56</definedName>
    <definedName name="Z_90835FC3_0055_4D0A_AF9F_615946F48484_.wvu.FilterData" localSheetId="7" hidden="1">'08'!$AT$3:$AT$57</definedName>
    <definedName name="Z_90835FC3_0055_4D0A_AF9F_615946F48484_.wvu.FilterData" localSheetId="8" hidden="1">'09'!$AS$3:$AS$57</definedName>
    <definedName name="Z_90835FC3_0055_4D0A_AF9F_615946F48484_.wvu.FilterData" localSheetId="9" hidden="1">'10'!$AT$3:$AT$58</definedName>
    <definedName name="Z_90A95CFD_BEE1_4C29_B016_CD3908D82DDB_.wvu.FilterData" localSheetId="6" hidden="1">'07'!$AU$3:$AU$57</definedName>
    <definedName name="Z_90A95CFD_BEE1_4C29_B016_CD3908D82DDB_.wvu.FilterData" localSheetId="7" hidden="1">'08'!$AT$3:$AT$58</definedName>
    <definedName name="Z_90A95CFD_BEE1_4C29_B016_CD3908D82DDB_.wvu.FilterData" localSheetId="8" hidden="1">'09'!$AS$3:$AS$58</definedName>
    <definedName name="Z_90A95CFD_BEE1_4C29_B016_CD3908D82DDB_.wvu.FilterData" localSheetId="9" hidden="1">'10'!$AT$3:$AT$59</definedName>
    <definedName name="Z_915A4672_1FC2_420C_B675_3E26FEEF6A62_.wvu.FilterData" localSheetId="0" hidden="1">'01'!$AT$3:$AT$58</definedName>
    <definedName name="Z_915A4672_1FC2_420C_B675_3E26FEEF6A62_.wvu.FilterData" localSheetId="1" hidden="1">'02'!$AQ$3:$AQ$58</definedName>
    <definedName name="Z_915A4672_1FC2_420C_B675_3E26FEEF6A62_.wvu.FilterData" localSheetId="2" hidden="1">'03'!$AT$3:$AT$58</definedName>
    <definedName name="Z_915A4672_1FC2_420C_B675_3E26FEEF6A62_.wvu.FilterData" localSheetId="3" hidden="1">'04'!$AS$3:$AS$58</definedName>
    <definedName name="Z_915A4672_1FC2_420C_B675_3E26FEEF6A62_.wvu.FilterData" localSheetId="4" hidden="1">'05'!$AT$3:$AT$57</definedName>
    <definedName name="Z_915A4672_1FC2_420C_B675_3E26FEEF6A62_.wvu.FilterData" localSheetId="5" hidden="1">'06'!$AS$3:$AS$56</definedName>
    <definedName name="Z_915A4672_1FC2_420C_B675_3E26FEEF6A62_.wvu.FilterData" localSheetId="6" hidden="1">'07'!$AU$3:$AU$56</definedName>
    <definedName name="Z_915A4672_1FC2_420C_B675_3E26FEEF6A62_.wvu.FilterData" localSheetId="7" hidden="1">'08'!$AT$3:$AT$57</definedName>
    <definedName name="Z_915A4672_1FC2_420C_B675_3E26FEEF6A62_.wvu.FilterData" localSheetId="8" hidden="1">'09'!$AS$3:$AS$57</definedName>
    <definedName name="Z_915A4672_1FC2_420C_B675_3E26FEEF6A62_.wvu.FilterData" localSheetId="9" hidden="1">'10'!$AT$3:$AT$58</definedName>
    <definedName name="Z_91DA717C_0686_47A1_96D2_E380155DBB3B_.wvu.FilterData" localSheetId="0" hidden="1">'01'!$AT$3:$AT$58</definedName>
    <definedName name="Z_91DA717C_0686_47A1_96D2_E380155DBB3B_.wvu.FilterData" localSheetId="1" hidden="1">'02'!$AQ$3:$AQ$58</definedName>
    <definedName name="Z_91DA717C_0686_47A1_96D2_E380155DBB3B_.wvu.FilterData" localSheetId="2" hidden="1">'03'!$AT$3:$AT$58</definedName>
    <definedName name="Z_91DA717C_0686_47A1_96D2_E380155DBB3B_.wvu.FilterData" localSheetId="3" hidden="1">'04'!$AS$3:$AS$58</definedName>
    <definedName name="Z_91DA717C_0686_47A1_96D2_E380155DBB3B_.wvu.FilterData" localSheetId="4" hidden="1">'05'!$AT$3:$AT$57</definedName>
    <definedName name="Z_91DA717C_0686_47A1_96D2_E380155DBB3B_.wvu.FilterData" localSheetId="5" hidden="1">'06'!$AS$3:$AS$56</definedName>
    <definedName name="Z_91DA717C_0686_47A1_96D2_E380155DBB3B_.wvu.FilterData" localSheetId="6" hidden="1">'07'!$AU$3:$AU$56</definedName>
    <definedName name="Z_91DA717C_0686_47A1_96D2_E380155DBB3B_.wvu.FilterData" localSheetId="7" hidden="1">'08'!$AT$3:$AT$57</definedName>
    <definedName name="Z_91DA717C_0686_47A1_96D2_E380155DBB3B_.wvu.FilterData" localSheetId="8" hidden="1">'09'!$AS$3:$AS$57</definedName>
    <definedName name="Z_91DA717C_0686_47A1_96D2_E380155DBB3B_.wvu.FilterData" localSheetId="9" hidden="1">'10'!$AT$3:$AT$58</definedName>
    <definedName name="Z_93EFF4E3_2F49_4B5B_9735_CE12692785C2_.wvu.FilterData" localSheetId="0" hidden="1">'01'!$AT$3:$AT$58</definedName>
    <definedName name="Z_93EFF4E3_2F49_4B5B_9735_CE12692785C2_.wvu.FilterData" localSheetId="1" hidden="1">'02'!$AQ$3:$AQ$58</definedName>
    <definedName name="Z_93EFF4E3_2F49_4B5B_9735_CE12692785C2_.wvu.FilterData" localSheetId="2" hidden="1">'03'!$AT$3:$AT$58</definedName>
    <definedName name="Z_93EFF4E3_2F49_4B5B_9735_CE12692785C2_.wvu.FilterData" localSheetId="3" hidden="1">'04'!$AS$3:$AS$58</definedName>
    <definedName name="Z_93EFF4E3_2F49_4B5B_9735_CE12692785C2_.wvu.FilterData" localSheetId="4" hidden="1">'05'!$AT$3:$AT$57</definedName>
    <definedName name="Z_93EFF4E3_2F49_4B5B_9735_CE12692785C2_.wvu.FilterData" localSheetId="5" hidden="1">'06'!$AS$3:$AS$56</definedName>
    <definedName name="Z_93EFF4E3_2F49_4B5B_9735_CE12692785C2_.wvu.FilterData" localSheetId="6" hidden="1">'07'!$AU$3:$AU$56</definedName>
    <definedName name="Z_93EFF4E3_2F49_4B5B_9735_CE12692785C2_.wvu.FilterData" localSheetId="7" hidden="1">'08'!$AT$3:$AT$57</definedName>
    <definedName name="Z_93EFF4E3_2F49_4B5B_9735_CE12692785C2_.wvu.FilterData" localSheetId="8" hidden="1">'09'!$AS$3:$AS$57</definedName>
    <definedName name="Z_93EFF4E3_2F49_4B5B_9735_CE12692785C2_.wvu.FilterData" localSheetId="9" hidden="1">'10'!$AT$3:$AT$58</definedName>
    <definedName name="Z_945B1C2F_FE80_4616_8484_A2838DE9B436_.wvu.FilterData" localSheetId="0" hidden="1">'01'!$AT$3:$AT$58</definedName>
    <definedName name="Z_945B1C2F_FE80_4616_8484_A2838DE9B436_.wvu.FilterData" localSheetId="1" hidden="1">'02'!$AQ$3:$AQ$58</definedName>
    <definedName name="Z_945B1C2F_FE80_4616_8484_A2838DE9B436_.wvu.FilterData" localSheetId="2" hidden="1">'03'!$AT$3:$AT$58</definedName>
    <definedName name="Z_945B1C2F_FE80_4616_8484_A2838DE9B436_.wvu.FilterData" localSheetId="3" hidden="1">'04'!$AS$3:$AS$58</definedName>
    <definedName name="Z_945B1C2F_FE80_4616_8484_A2838DE9B436_.wvu.FilterData" localSheetId="4" hidden="1">'05'!$AT$3:$AT$57</definedName>
    <definedName name="Z_945B1C2F_FE80_4616_8484_A2838DE9B436_.wvu.FilterData" localSheetId="5" hidden="1">'06'!$AS$3:$AS$56</definedName>
    <definedName name="Z_945B1C2F_FE80_4616_8484_A2838DE9B436_.wvu.FilterData" localSheetId="6" hidden="1">'07'!$AU$3:$AU$56</definedName>
    <definedName name="Z_945B1C2F_FE80_4616_8484_A2838DE9B436_.wvu.FilterData" localSheetId="7" hidden="1">'08'!$AT$3:$AT$57</definedName>
    <definedName name="Z_945B1C2F_FE80_4616_8484_A2838DE9B436_.wvu.FilterData" localSheetId="8" hidden="1">'09'!$AS$3:$AS$57</definedName>
    <definedName name="Z_945B1C2F_FE80_4616_8484_A2838DE9B436_.wvu.FilterData" localSheetId="9" hidden="1">'10'!$AT$3:$AT$58</definedName>
    <definedName name="Z_96928941_585F_4B81_A8E1_56603C78D350_.wvu.FilterData" localSheetId="1" hidden="1">'02'!$AQ$3:$AQ$60</definedName>
    <definedName name="Z_97CDF1F9_5345_458D_A6F0_B2E7418CC246_.wvu.FilterData" localSheetId="0" hidden="1">'01'!$AT$3:$AT$59</definedName>
    <definedName name="Z_97CDF1F9_5345_458D_A6F0_B2E7418CC246_.wvu.FilterData" localSheetId="1" hidden="1">'02'!$AQ$3:$AQ$59</definedName>
    <definedName name="Z_97CDF1F9_5345_458D_A6F0_B2E7418CC246_.wvu.FilterData" localSheetId="2" hidden="1">'03'!$AT$3:$AT$59</definedName>
    <definedName name="Z_97CDF1F9_5345_458D_A6F0_B2E7418CC246_.wvu.FilterData" localSheetId="3" hidden="1">'04'!$AS$3:$AS$59</definedName>
    <definedName name="Z_97CDF1F9_5345_458D_A6F0_B2E7418CC246_.wvu.FilterData" localSheetId="4" hidden="1">'05'!$AT$3:$AT$58</definedName>
    <definedName name="Z_97CDF1F9_5345_458D_A6F0_B2E7418CC246_.wvu.FilterData" localSheetId="5" hidden="1">'06'!$AS$3:$AS$57</definedName>
    <definedName name="Z_97CDF1F9_5345_458D_A6F0_B2E7418CC246_.wvu.FilterData" localSheetId="6" hidden="1">'07'!$AU$3:$AU$57</definedName>
    <definedName name="Z_97CDF1F9_5345_458D_A6F0_B2E7418CC246_.wvu.FilterData" localSheetId="7" hidden="1">'08'!$AT$3:$AT$58</definedName>
    <definedName name="Z_97CDF1F9_5345_458D_A6F0_B2E7418CC246_.wvu.FilterData" localSheetId="8" hidden="1">'09'!$AS$3:$AS$58</definedName>
    <definedName name="Z_97CDF1F9_5345_458D_A6F0_B2E7418CC246_.wvu.FilterData" localSheetId="9" hidden="1">'10'!$AT$3:$AT$59</definedName>
    <definedName name="Z_9818EF31_6912_4F6C_B308_33DF66A2E4A0_.wvu.FilterData" localSheetId="0" hidden="1">'01'!$AT$3:$AT$59</definedName>
    <definedName name="Z_9818EF31_6912_4F6C_B308_33DF66A2E4A0_.wvu.FilterData" localSheetId="2" hidden="1">'03'!$AT$3:$AT$59</definedName>
    <definedName name="Z_9818EF31_6912_4F6C_B308_33DF66A2E4A0_.wvu.FilterData" localSheetId="3" hidden="1">'04'!$AS$3:$AS$59</definedName>
    <definedName name="Z_9818EF31_6912_4F6C_B308_33DF66A2E4A0_.wvu.FilterData" localSheetId="4" hidden="1">'05'!$AT$3:$AT$58</definedName>
    <definedName name="Z_9818EF31_6912_4F6C_B308_33DF66A2E4A0_.wvu.FilterData" localSheetId="5" hidden="1">'06'!$AS$3:$AS$57</definedName>
    <definedName name="Z_9818EF31_6912_4F6C_B308_33DF66A2E4A0_.wvu.FilterData" localSheetId="6" hidden="1">'07'!$AU$3:$AU$57</definedName>
    <definedName name="Z_9818EF31_6912_4F6C_B308_33DF66A2E4A0_.wvu.FilterData" localSheetId="7" hidden="1">'08'!$AT$3:$AT$58</definedName>
    <definedName name="Z_9818EF31_6912_4F6C_B308_33DF66A2E4A0_.wvu.FilterData" localSheetId="8" hidden="1">'09'!$AS$3:$AS$58</definedName>
    <definedName name="Z_9818EF31_6912_4F6C_B308_33DF66A2E4A0_.wvu.FilterData" localSheetId="9" hidden="1">'10'!$AT$3:$AT$59</definedName>
    <definedName name="Z_9A060FF7_E42B_47A1_B1AD_21CB59E1C7EE_.wvu.FilterData" localSheetId="7" hidden="1">'08'!$AT$3:$AT$58</definedName>
    <definedName name="Z_9A060FF7_E42B_47A1_B1AD_21CB59E1C7EE_.wvu.FilterData" localSheetId="8" hidden="1">'09'!$AS$3:$AS$58</definedName>
    <definedName name="Z_9A060FF7_E42B_47A1_B1AD_21CB59E1C7EE_.wvu.FilterData" localSheetId="9" hidden="1">'10'!$AT$3:$AT$59</definedName>
    <definedName name="Z_9B2D73C0_07FE_4EE2_8AD3_FC91B5F2537A_.wvu.FilterData" localSheetId="0" hidden="1">'01'!$AT$3:$AT$59</definedName>
    <definedName name="Z_9B2D73C0_07FE_4EE2_8AD3_FC91B5F2537A_.wvu.FilterData" localSheetId="1" hidden="1">'02'!$AQ$3:$AQ$59</definedName>
    <definedName name="Z_9B2D73C0_07FE_4EE2_8AD3_FC91B5F2537A_.wvu.FilterData" localSheetId="2" hidden="1">'03'!$AT$3:$AT$59</definedName>
    <definedName name="Z_9B2D73C0_07FE_4EE2_8AD3_FC91B5F2537A_.wvu.FilterData" localSheetId="3" hidden="1">'04'!$AS$3:$AS$59</definedName>
    <definedName name="Z_9B2D73C0_07FE_4EE2_8AD3_FC91B5F2537A_.wvu.FilterData" localSheetId="4" hidden="1">'05'!$AT$3:$AT$58</definedName>
    <definedName name="Z_9B2D73C0_07FE_4EE2_8AD3_FC91B5F2537A_.wvu.FilterData" localSheetId="5" hidden="1">'06'!$AS$3:$AS$57</definedName>
    <definedName name="Z_9B2D73C0_07FE_4EE2_8AD3_FC91B5F2537A_.wvu.FilterData" localSheetId="6" hidden="1">'07'!$AU$3:$AU$57</definedName>
    <definedName name="Z_9B2D73C0_07FE_4EE2_8AD3_FC91B5F2537A_.wvu.FilterData" localSheetId="7" hidden="1">'08'!$AT$3:$AT$58</definedName>
    <definedName name="Z_9B2D73C0_07FE_4EE2_8AD3_FC91B5F2537A_.wvu.FilterData" localSheetId="8" hidden="1">'09'!$AS$3:$AS$58</definedName>
    <definedName name="Z_9B2D73C0_07FE_4EE2_8AD3_FC91B5F2537A_.wvu.FilterData" localSheetId="9" hidden="1">'10'!$AT$3:$AT$59</definedName>
    <definedName name="Z_9B6010C3_D646_4BDE_AFE7_C2A12B524AC7_.wvu.FilterData" localSheetId="0" hidden="1">'01'!$AT$3:$AT$58</definedName>
    <definedName name="Z_9B6010C3_D646_4BDE_AFE7_C2A12B524AC7_.wvu.FilterData" localSheetId="1" hidden="1">'02'!$AQ$3:$AQ$58</definedName>
    <definedName name="Z_9B6010C3_D646_4BDE_AFE7_C2A12B524AC7_.wvu.FilterData" localSheetId="2" hidden="1">'03'!$AT$3:$AT$58</definedName>
    <definedName name="Z_9B6010C3_D646_4BDE_AFE7_C2A12B524AC7_.wvu.FilterData" localSheetId="3" hidden="1">'04'!$AS$3:$AS$58</definedName>
    <definedName name="Z_9B6010C3_D646_4BDE_AFE7_C2A12B524AC7_.wvu.FilterData" localSheetId="4" hidden="1">'05'!$AT$3:$AT$57</definedName>
    <definedName name="Z_9B6010C3_D646_4BDE_AFE7_C2A12B524AC7_.wvu.FilterData" localSheetId="5" hidden="1">'06'!$AS$3:$AS$56</definedName>
    <definedName name="Z_9B6010C3_D646_4BDE_AFE7_C2A12B524AC7_.wvu.FilterData" localSheetId="6" hidden="1">'07'!$AU$3:$AU$56</definedName>
    <definedName name="Z_9B6010C3_D646_4BDE_AFE7_C2A12B524AC7_.wvu.FilterData" localSheetId="7" hidden="1">'08'!$AT$3:$AT$57</definedName>
    <definedName name="Z_9B6010C3_D646_4BDE_AFE7_C2A12B524AC7_.wvu.FilterData" localSheetId="8" hidden="1">'09'!$AS$3:$AS$57</definedName>
    <definedName name="Z_9B6010C3_D646_4BDE_AFE7_C2A12B524AC7_.wvu.FilterData" localSheetId="9" hidden="1">'10'!$AT$3:$AT$58</definedName>
    <definedName name="Z_9C3AF025_EE96_4C80_AFAF_59E9BB964ECE_.wvu.FilterData" localSheetId="0" hidden="1">'01'!$AT$3:$AT$58</definedName>
    <definedName name="Z_9C3AF025_EE96_4C80_AFAF_59E9BB964ECE_.wvu.FilterData" localSheetId="1" hidden="1">'02'!$AQ$3:$AQ$58</definedName>
    <definedName name="Z_9C3AF025_EE96_4C80_AFAF_59E9BB964ECE_.wvu.FilterData" localSheetId="2" hidden="1">'03'!$AT$3:$AT$58</definedName>
    <definedName name="Z_9C3AF025_EE96_4C80_AFAF_59E9BB964ECE_.wvu.FilterData" localSheetId="3" hidden="1">'04'!$AS$3:$AS$58</definedName>
    <definedName name="Z_9C3AF025_EE96_4C80_AFAF_59E9BB964ECE_.wvu.FilterData" localSheetId="4" hidden="1">'05'!$AT$3:$AT$57</definedName>
    <definedName name="Z_9C3AF025_EE96_4C80_AFAF_59E9BB964ECE_.wvu.FilterData" localSheetId="5" hidden="1">'06'!$AS$3:$AS$56</definedName>
    <definedName name="Z_9C3AF025_EE96_4C80_AFAF_59E9BB964ECE_.wvu.FilterData" localSheetId="6" hidden="1">'07'!$AU$3:$AU$56</definedName>
    <definedName name="Z_9C3AF025_EE96_4C80_AFAF_59E9BB964ECE_.wvu.FilterData" localSheetId="7" hidden="1">'08'!$AT$3:$AT$57</definedName>
    <definedName name="Z_9C3AF025_EE96_4C80_AFAF_59E9BB964ECE_.wvu.FilterData" localSheetId="8" hidden="1">'09'!$AS$3:$AS$57</definedName>
    <definedName name="Z_9C3AF025_EE96_4C80_AFAF_59E9BB964ECE_.wvu.FilterData" localSheetId="9" hidden="1">'10'!$AT$3:$AT$58</definedName>
    <definedName name="Z_9D1E30F6_1C00_46D6_A6AC_83B35784CDAE_.wvu.FilterData" localSheetId="6" hidden="1">'07'!$AU$3:$AU$57</definedName>
    <definedName name="Z_9D1E30F6_1C00_46D6_A6AC_83B35784CDAE_.wvu.FilterData" localSheetId="7" hidden="1">'08'!$AT$3:$AT$58</definedName>
    <definedName name="Z_9D1E30F6_1C00_46D6_A6AC_83B35784CDAE_.wvu.FilterData" localSheetId="8" hidden="1">'09'!$AS$3:$AS$58</definedName>
    <definedName name="Z_9D1E30F6_1C00_46D6_A6AC_83B35784CDAE_.wvu.FilterData" localSheetId="9" hidden="1">'10'!$AT$3:$AT$59</definedName>
    <definedName name="Z_9D434332_B02C_4ACB_A457_C5F0C1E75DE6_.wvu.FilterData" localSheetId="0" hidden="1">'01'!$AT$3:$AT$58</definedName>
    <definedName name="Z_9D434332_B02C_4ACB_A457_C5F0C1E75DE6_.wvu.FilterData" localSheetId="1" hidden="1">'02'!$AQ$3:$AQ$58</definedName>
    <definedName name="Z_9D434332_B02C_4ACB_A457_C5F0C1E75DE6_.wvu.FilterData" localSheetId="2" hidden="1">'03'!$AT$3:$AT$58</definedName>
    <definedName name="Z_9D434332_B02C_4ACB_A457_C5F0C1E75DE6_.wvu.FilterData" localSheetId="3" hidden="1">'04'!$AS$3:$AS$58</definedName>
    <definedName name="Z_9D434332_B02C_4ACB_A457_C5F0C1E75DE6_.wvu.FilterData" localSheetId="4" hidden="1">'05'!$AT$3:$AT$57</definedName>
    <definedName name="Z_9D434332_B02C_4ACB_A457_C5F0C1E75DE6_.wvu.FilterData" localSheetId="5" hidden="1">'06'!$AS$3:$AS$56</definedName>
    <definedName name="Z_9D434332_B02C_4ACB_A457_C5F0C1E75DE6_.wvu.FilterData" localSheetId="6" hidden="1">'07'!$AU$3:$AU$56</definedName>
    <definedName name="Z_9D434332_B02C_4ACB_A457_C5F0C1E75DE6_.wvu.FilterData" localSheetId="7" hidden="1">'08'!$AT$3:$AT$57</definedName>
    <definedName name="Z_9D434332_B02C_4ACB_A457_C5F0C1E75DE6_.wvu.FilterData" localSheetId="8" hidden="1">'09'!$AS$3:$AS$57</definedName>
    <definedName name="Z_9D434332_B02C_4ACB_A457_C5F0C1E75DE6_.wvu.FilterData" localSheetId="9" hidden="1">'10'!$AT$3:$AT$58</definedName>
    <definedName name="Z_9EABB664_6C72_49CB_B545_24E124C31666_.wvu.FilterData" localSheetId="0" hidden="1">'01'!$AT$3:$AT$58</definedName>
    <definedName name="Z_9EABB664_6C72_49CB_B545_24E124C31666_.wvu.FilterData" localSheetId="1" hidden="1">'02'!$AQ$3:$AQ$58</definedName>
    <definedName name="Z_9EABB664_6C72_49CB_B545_24E124C31666_.wvu.FilterData" localSheetId="2" hidden="1">'03'!$AT$3:$AT$58</definedName>
    <definedName name="Z_9EABB664_6C72_49CB_B545_24E124C31666_.wvu.FilterData" localSheetId="3" hidden="1">'04'!$AS$3:$AS$58</definedName>
    <definedName name="Z_9EABB664_6C72_49CB_B545_24E124C31666_.wvu.FilterData" localSheetId="4" hidden="1">'05'!$AT$3:$AT$57</definedName>
    <definedName name="Z_9EABB664_6C72_49CB_B545_24E124C31666_.wvu.FilterData" localSheetId="5" hidden="1">'06'!$AS$3:$AS$56</definedName>
    <definedName name="Z_9EABB664_6C72_49CB_B545_24E124C31666_.wvu.FilterData" localSheetId="6" hidden="1">'07'!$AU$3:$AU$56</definedName>
    <definedName name="Z_9EABB664_6C72_49CB_B545_24E124C31666_.wvu.FilterData" localSheetId="7" hidden="1">'08'!$AT$3:$AT$57</definedName>
    <definedName name="Z_9EABB664_6C72_49CB_B545_24E124C31666_.wvu.FilterData" localSheetId="8" hidden="1">'09'!$AS$3:$AS$57</definedName>
    <definedName name="Z_9EABB664_6C72_49CB_B545_24E124C31666_.wvu.FilterData" localSheetId="9" hidden="1">'10'!$AT$3:$AT$58</definedName>
    <definedName name="Z_9F3472EB_D2CA_45EF_B105_88D28EFE2989_.wvu.FilterData" localSheetId="8" hidden="1">'09'!$AS$3:$AS$58</definedName>
    <definedName name="Z_9F3472EB_D2CA_45EF_B105_88D28EFE2989_.wvu.FilterData" localSheetId="9" hidden="1">'10'!$AT$3:$AT$59</definedName>
    <definedName name="Z_A0B4F802_D1F5_479A_9141_CE02DEE4F80A_.wvu.FilterData" localSheetId="0" hidden="1">'01'!$AT$3:$AT$58</definedName>
    <definedName name="Z_A0B4F802_D1F5_479A_9141_CE02DEE4F80A_.wvu.FilterData" localSheetId="1" hidden="1">'02'!$AQ$3:$AQ$58</definedName>
    <definedName name="Z_A0B4F802_D1F5_479A_9141_CE02DEE4F80A_.wvu.FilterData" localSheetId="2" hidden="1">'03'!$AT$3:$AT$58</definedName>
    <definedName name="Z_A0B4F802_D1F5_479A_9141_CE02DEE4F80A_.wvu.FilterData" localSheetId="3" hidden="1">'04'!$AS$3:$AS$58</definedName>
    <definedName name="Z_A0B4F802_D1F5_479A_9141_CE02DEE4F80A_.wvu.FilterData" localSheetId="4" hidden="1">'05'!$AT$3:$AT$57</definedName>
    <definedName name="Z_A0B4F802_D1F5_479A_9141_CE02DEE4F80A_.wvu.FilterData" localSheetId="5" hidden="1">'06'!$AS$3:$AS$56</definedName>
    <definedName name="Z_A0B4F802_D1F5_479A_9141_CE02DEE4F80A_.wvu.FilterData" localSheetId="6" hidden="1">'07'!$AU$3:$AU$56</definedName>
    <definedName name="Z_A0B4F802_D1F5_479A_9141_CE02DEE4F80A_.wvu.FilterData" localSheetId="7" hidden="1">'08'!$AT$3:$AT$57</definedName>
    <definedName name="Z_A0B4F802_D1F5_479A_9141_CE02DEE4F80A_.wvu.FilterData" localSheetId="8" hidden="1">'09'!$AS$3:$AS$57</definedName>
    <definedName name="Z_A0B4F802_D1F5_479A_9141_CE02DEE4F80A_.wvu.FilterData" localSheetId="9" hidden="1">'10'!$AT$3:$AT$58</definedName>
    <definedName name="Z_A0D4740B_7285_4E9F_8398_75ED79FF3EAC_.wvu.FilterData" localSheetId="0" hidden="1">'01'!$AT$3:$AT$58</definedName>
    <definedName name="Z_A0D4740B_7285_4E9F_8398_75ED79FF3EAC_.wvu.FilterData" localSheetId="1" hidden="1">'02'!$AQ$3:$AQ$58</definedName>
    <definedName name="Z_A0D4740B_7285_4E9F_8398_75ED79FF3EAC_.wvu.FilterData" localSheetId="2" hidden="1">'03'!$AT$3:$AT$58</definedName>
    <definedName name="Z_A0D4740B_7285_4E9F_8398_75ED79FF3EAC_.wvu.FilterData" localSheetId="3" hidden="1">'04'!$AS$3:$AS$58</definedName>
    <definedName name="Z_A0D4740B_7285_4E9F_8398_75ED79FF3EAC_.wvu.FilterData" localSheetId="4" hidden="1">'05'!$AT$3:$AT$57</definedName>
    <definedName name="Z_A0D4740B_7285_4E9F_8398_75ED79FF3EAC_.wvu.FilterData" localSheetId="5" hidden="1">'06'!$AS$3:$AS$56</definedName>
    <definedName name="Z_A0D4740B_7285_4E9F_8398_75ED79FF3EAC_.wvu.FilterData" localSheetId="6" hidden="1">'07'!$AU$3:$AU$56</definedName>
    <definedName name="Z_A0D4740B_7285_4E9F_8398_75ED79FF3EAC_.wvu.FilterData" localSheetId="7" hidden="1">'08'!$AT$3:$AT$57</definedName>
    <definedName name="Z_A0D4740B_7285_4E9F_8398_75ED79FF3EAC_.wvu.FilterData" localSheetId="8" hidden="1">'09'!$AS$3:$AS$57</definedName>
    <definedName name="Z_A0D4740B_7285_4E9F_8398_75ED79FF3EAC_.wvu.FilterData" localSheetId="9" hidden="1">'10'!$AT$3:$AT$58</definedName>
    <definedName name="Z_A152358A_B67A_4AFB_ACF4_0118702BB886_.wvu.FilterData" localSheetId="0" hidden="1">'01'!$AT$3:$AT$59</definedName>
    <definedName name="Z_A152358A_B67A_4AFB_ACF4_0118702BB886_.wvu.FilterData" localSheetId="2" hidden="1">'03'!$AT$3:$AT$59</definedName>
    <definedName name="Z_A152358A_B67A_4AFB_ACF4_0118702BB886_.wvu.FilterData" localSheetId="3" hidden="1">'04'!$AS$3:$AS$59</definedName>
    <definedName name="Z_A152358A_B67A_4AFB_ACF4_0118702BB886_.wvu.FilterData" localSheetId="4" hidden="1">'05'!$AT$3:$AT$58</definedName>
    <definedName name="Z_A152358A_B67A_4AFB_ACF4_0118702BB886_.wvu.FilterData" localSheetId="5" hidden="1">'06'!$AS$3:$AS$57</definedName>
    <definedName name="Z_A152358A_B67A_4AFB_ACF4_0118702BB886_.wvu.FilterData" localSheetId="6" hidden="1">'07'!$AU$3:$AU$57</definedName>
    <definedName name="Z_A152358A_B67A_4AFB_ACF4_0118702BB886_.wvu.FilterData" localSheetId="7" hidden="1">'08'!$AT$3:$AT$58</definedName>
    <definedName name="Z_A152358A_B67A_4AFB_ACF4_0118702BB886_.wvu.FilterData" localSheetId="8" hidden="1">'09'!$AS$3:$AS$58</definedName>
    <definedName name="Z_A152358A_B67A_4AFB_ACF4_0118702BB886_.wvu.FilterData" localSheetId="9" hidden="1">'10'!$AT$3:$AT$59</definedName>
    <definedName name="Z_A225688B_8581_4017_9302_733DBB19803F_.wvu.FilterData" localSheetId="0" hidden="1">'01'!$AT$3:$AT$58</definedName>
    <definedName name="Z_A225688B_8581_4017_9302_733DBB19803F_.wvu.FilterData" localSheetId="1" hidden="1">'02'!$AQ$3:$AQ$58</definedName>
    <definedName name="Z_A225688B_8581_4017_9302_733DBB19803F_.wvu.FilterData" localSheetId="2" hidden="1">'03'!$AT$3:$AT$58</definedName>
    <definedName name="Z_A225688B_8581_4017_9302_733DBB19803F_.wvu.FilterData" localSheetId="3" hidden="1">'04'!$AS$3:$AS$58</definedName>
    <definedName name="Z_A225688B_8581_4017_9302_733DBB19803F_.wvu.FilterData" localSheetId="4" hidden="1">'05'!$AT$3:$AT$57</definedName>
    <definedName name="Z_A225688B_8581_4017_9302_733DBB19803F_.wvu.FilterData" localSheetId="5" hidden="1">'06'!$AS$3:$AS$56</definedName>
    <definedName name="Z_A225688B_8581_4017_9302_733DBB19803F_.wvu.FilterData" localSheetId="6" hidden="1">'07'!$AU$3:$AU$56</definedName>
    <definedName name="Z_A225688B_8581_4017_9302_733DBB19803F_.wvu.FilterData" localSheetId="7" hidden="1">'08'!$AT$3:$AT$57</definedName>
    <definedName name="Z_A225688B_8581_4017_9302_733DBB19803F_.wvu.FilterData" localSheetId="8" hidden="1">'09'!$AS$3:$AS$57</definedName>
    <definedName name="Z_A225688B_8581_4017_9302_733DBB19803F_.wvu.FilterData" localSheetId="9" hidden="1">'10'!$AT$3:$AT$58</definedName>
    <definedName name="Z_A31D042D_2DA8_41DC_9D19_BC6580BEDFC1_.wvu.FilterData" localSheetId="0" hidden="1">'01'!$AT$3:$AT$58</definedName>
    <definedName name="Z_A31D042D_2DA8_41DC_9D19_BC6580BEDFC1_.wvu.FilterData" localSheetId="1" hidden="1">'02'!$AQ$3:$AQ$58</definedName>
    <definedName name="Z_A31D042D_2DA8_41DC_9D19_BC6580BEDFC1_.wvu.FilterData" localSheetId="2" hidden="1">'03'!$AT$3:$AT$58</definedName>
    <definedName name="Z_A31D042D_2DA8_41DC_9D19_BC6580BEDFC1_.wvu.FilterData" localSheetId="3" hidden="1">'04'!$AS$3:$AS$58</definedName>
    <definedName name="Z_A31D042D_2DA8_41DC_9D19_BC6580BEDFC1_.wvu.FilterData" localSheetId="4" hidden="1">'05'!$AT$3:$AT$57</definedName>
    <definedName name="Z_A31D042D_2DA8_41DC_9D19_BC6580BEDFC1_.wvu.FilterData" localSheetId="5" hidden="1">'06'!$AS$3:$AS$56</definedName>
    <definedName name="Z_A31D042D_2DA8_41DC_9D19_BC6580BEDFC1_.wvu.FilterData" localSheetId="6" hidden="1">'07'!$AU$3:$AU$56</definedName>
    <definedName name="Z_A31D042D_2DA8_41DC_9D19_BC6580BEDFC1_.wvu.FilterData" localSheetId="7" hidden="1">'08'!$AT$3:$AT$57</definedName>
    <definedName name="Z_A31D042D_2DA8_41DC_9D19_BC6580BEDFC1_.wvu.FilterData" localSheetId="8" hidden="1">'09'!$AS$3:$AS$57</definedName>
    <definedName name="Z_A31D042D_2DA8_41DC_9D19_BC6580BEDFC1_.wvu.FilterData" localSheetId="9" hidden="1">'10'!$AT$3:$AT$58</definedName>
    <definedName name="Z_A3255944_E4A5_4B5F_A7E1_E61A1B589219_.wvu.FilterData" localSheetId="0" hidden="1">'01'!$AT$3:$AT$59</definedName>
    <definedName name="Z_A3255944_E4A5_4B5F_A7E1_E61A1B589219_.wvu.FilterData" localSheetId="1" hidden="1">'02'!$AQ$3:$AQ$59</definedName>
    <definedName name="Z_A3255944_E4A5_4B5F_A7E1_E61A1B589219_.wvu.FilterData" localSheetId="2" hidden="1">'03'!$AT$3:$AT$59</definedName>
    <definedName name="Z_A3255944_E4A5_4B5F_A7E1_E61A1B589219_.wvu.FilterData" localSheetId="3" hidden="1">'04'!$AS$3:$AS$59</definedName>
    <definedName name="Z_A3255944_E4A5_4B5F_A7E1_E61A1B589219_.wvu.FilterData" localSheetId="4" hidden="1">'05'!$AT$3:$AT$58</definedName>
    <definedName name="Z_A3255944_E4A5_4B5F_A7E1_E61A1B589219_.wvu.FilterData" localSheetId="5" hidden="1">'06'!$AS$3:$AS$57</definedName>
    <definedName name="Z_A3255944_E4A5_4B5F_A7E1_E61A1B589219_.wvu.FilterData" localSheetId="6" hidden="1">'07'!$AU$3:$AU$57</definedName>
    <definedName name="Z_A3255944_E4A5_4B5F_A7E1_E61A1B589219_.wvu.FilterData" localSheetId="7" hidden="1">'08'!$AT$3:$AT$58</definedName>
    <definedName name="Z_A3255944_E4A5_4B5F_A7E1_E61A1B589219_.wvu.FilterData" localSheetId="8" hidden="1">'09'!$AS$3:$AS$58</definedName>
    <definedName name="Z_A3255944_E4A5_4B5F_A7E1_E61A1B589219_.wvu.FilterData" localSheetId="9" hidden="1">'10'!$AT$3:$AT$59</definedName>
    <definedName name="Z_A35DB702_4A32_4CDB_8A0C_B72A0E1A8BF4_.wvu.FilterData" localSheetId="1" hidden="1">'02'!$AQ$3:$AQ$60</definedName>
    <definedName name="Z_A3ABB654_C942_4046_AAD7_5B714A7D5DD7_.wvu.FilterData" localSheetId="0" hidden="1">'01'!$AT$3:$AT$58</definedName>
    <definedName name="Z_A3ABB654_C942_4046_AAD7_5B714A7D5DD7_.wvu.FilterData" localSheetId="1" hidden="1">'02'!$AQ$3:$AQ$58</definedName>
    <definedName name="Z_A3ABB654_C942_4046_AAD7_5B714A7D5DD7_.wvu.FilterData" localSheetId="2" hidden="1">'03'!$AT$3:$AT$58</definedName>
    <definedName name="Z_A3ABB654_C942_4046_AAD7_5B714A7D5DD7_.wvu.FilterData" localSheetId="3" hidden="1">'04'!$AS$3:$AS$58</definedName>
    <definedName name="Z_A3ABB654_C942_4046_AAD7_5B714A7D5DD7_.wvu.FilterData" localSheetId="4" hidden="1">'05'!$AT$3:$AT$57</definedName>
    <definedName name="Z_A3ABB654_C942_4046_AAD7_5B714A7D5DD7_.wvu.FilterData" localSheetId="5" hidden="1">'06'!$AS$3:$AS$56</definedName>
    <definedName name="Z_A3ABB654_C942_4046_AAD7_5B714A7D5DD7_.wvu.FilterData" localSheetId="6" hidden="1">'07'!$AU$3:$AU$56</definedName>
    <definedName name="Z_A3ABB654_C942_4046_AAD7_5B714A7D5DD7_.wvu.FilterData" localSheetId="7" hidden="1">'08'!$AT$3:$AT$57</definedName>
    <definedName name="Z_A3ABB654_C942_4046_AAD7_5B714A7D5DD7_.wvu.FilterData" localSheetId="8" hidden="1">'09'!$AS$3:$AS$57</definedName>
    <definedName name="Z_A3ABB654_C942_4046_AAD7_5B714A7D5DD7_.wvu.FilterData" localSheetId="9" hidden="1">'10'!$AT$3:$AT$58</definedName>
    <definedName name="Z_A3D7C5F9_D70C_4834_95A9_951832040369_.wvu.FilterData" localSheetId="0" hidden="1">'01'!$AT$3:$AT$58</definedName>
    <definedName name="Z_A3D7C5F9_D70C_4834_95A9_951832040369_.wvu.FilterData" localSheetId="1" hidden="1">'02'!$AQ$3:$AQ$58</definedName>
    <definedName name="Z_A3D7C5F9_D70C_4834_95A9_951832040369_.wvu.FilterData" localSheetId="2" hidden="1">'03'!$AT$3:$AT$58</definedName>
    <definedName name="Z_A3D7C5F9_D70C_4834_95A9_951832040369_.wvu.FilterData" localSheetId="3" hidden="1">'04'!$AS$3:$AS$58</definedName>
    <definedName name="Z_A3D7C5F9_D70C_4834_95A9_951832040369_.wvu.FilterData" localSheetId="4" hidden="1">'05'!$AT$3:$AT$57</definedName>
    <definedName name="Z_A3D7C5F9_D70C_4834_95A9_951832040369_.wvu.FilterData" localSheetId="5" hidden="1">'06'!$AS$3:$AS$56</definedName>
    <definedName name="Z_A3D7C5F9_D70C_4834_95A9_951832040369_.wvu.FilterData" localSheetId="6" hidden="1">'07'!$AU$3:$AU$56</definedName>
    <definedName name="Z_A3D7C5F9_D70C_4834_95A9_951832040369_.wvu.FilterData" localSheetId="7" hidden="1">'08'!$AT$3:$AT$57</definedName>
    <definedName name="Z_A3D7C5F9_D70C_4834_95A9_951832040369_.wvu.FilterData" localSheetId="8" hidden="1">'09'!$AS$3:$AS$57</definedName>
    <definedName name="Z_A3D7C5F9_D70C_4834_95A9_951832040369_.wvu.FilterData" localSheetId="9" hidden="1">'10'!$AT$3:$AT$58</definedName>
    <definedName name="Z_A3EE1E9F_FEED_4461_A32E_92380AF4FBA8_.wvu.FilterData" localSheetId="5" hidden="1">'06'!$AS$3:$AS$57</definedName>
    <definedName name="Z_A4536A47_3395_4A1E_B6FD_2469EC8A4560_.wvu.FilterData" localSheetId="0" hidden="1">'01'!$AT$3:$AT$58</definedName>
    <definedName name="Z_A4536A47_3395_4A1E_B6FD_2469EC8A4560_.wvu.FilterData" localSheetId="1" hidden="1">'02'!$AQ$3:$AQ$58</definedName>
    <definedName name="Z_A4536A47_3395_4A1E_B6FD_2469EC8A4560_.wvu.FilterData" localSheetId="2" hidden="1">'03'!$AT$3:$AT$58</definedName>
    <definedName name="Z_A4536A47_3395_4A1E_B6FD_2469EC8A4560_.wvu.FilterData" localSheetId="3" hidden="1">'04'!$AS$3:$AS$58</definedName>
    <definedName name="Z_A4536A47_3395_4A1E_B6FD_2469EC8A4560_.wvu.FilterData" localSheetId="4" hidden="1">'05'!$AT$3:$AT$57</definedName>
    <definedName name="Z_A4536A47_3395_4A1E_B6FD_2469EC8A4560_.wvu.FilterData" localSheetId="5" hidden="1">'06'!$AS$3:$AS$56</definedName>
    <definedName name="Z_A4536A47_3395_4A1E_B6FD_2469EC8A4560_.wvu.FilterData" localSheetId="6" hidden="1">'07'!$AU$3:$AU$56</definedName>
    <definedName name="Z_A4536A47_3395_4A1E_B6FD_2469EC8A4560_.wvu.FilterData" localSheetId="7" hidden="1">'08'!$AT$3:$AT$57</definedName>
    <definedName name="Z_A4536A47_3395_4A1E_B6FD_2469EC8A4560_.wvu.FilterData" localSheetId="8" hidden="1">'09'!$AS$3:$AS$57</definedName>
    <definedName name="Z_A4536A47_3395_4A1E_B6FD_2469EC8A4560_.wvu.FilterData" localSheetId="9" hidden="1">'10'!$AT$3:$AT$58</definedName>
    <definedName name="Z_A48603D6_D6F7_45B1_804F_B153FDA29355_.wvu.FilterData" localSheetId="0" hidden="1">'01'!$AT$3:$AT$59</definedName>
    <definedName name="Z_A48603D6_D6F7_45B1_804F_B153FDA29355_.wvu.FilterData" localSheetId="1" hidden="1">'02'!$AQ$3:$AQ$59</definedName>
    <definedName name="Z_A48603D6_D6F7_45B1_804F_B153FDA29355_.wvu.FilterData" localSheetId="2" hidden="1">'03'!$AT$3:$AT$59</definedName>
    <definedName name="Z_A48603D6_D6F7_45B1_804F_B153FDA29355_.wvu.FilterData" localSheetId="3" hidden="1">'04'!$AS$3:$AS$59</definedName>
    <definedName name="Z_A48603D6_D6F7_45B1_804F_B153FDA29355_.wvu.FilterData" localSheetId="4" hidden="1">'05'!$AT$3:$AT$58</definedName>
    <definedName name="Z_A48603D6_D6F7_45B1_804F_B153FDA29355_.wvu.FilterData" localSheetId="5" hidden="1">'06'!$AS$3:$AS$57</definedName>
    <definedName name="Z_A48603D6_D6F7_45B1_804F_B153FDA29355_.wvu.FilterData" localSheetId="6" hidden="1">'07'!$AU$3:$AU$57</definedName>
    <definedName name="Z_A48603D6_D6F7_45B1_804F_B153FDA29355_.wvu.FilterData" localSheetId="7" hidden="1">'08'!$AT$3:$AT$58</definedName>
    <definedName name="Z_A48603D6_D6F7_45B1_804F_B153FDA29355_.wvu.FilterData" localSheetId="8" hidden="1">'09'!$AS$3:$AS$58</definedName>
    <definedName name="Z_A48603D6_D6F7_45B1_804F_B153FDA29355_.wvu.FilterData" localSheetId="9" hidden="1">'10'!$AT$3:$AT$59</definedName>
    <definedName name="Z_A5B3AC85_AE4F_4930_B175_0EA39432D106_.wvu.FilterData" localSheetId="0" hidden="1">'01'!$AT$3:$AT$58</definedName>
    <definedName name="Z_A5B3AC85_AE4F_4930_B175_0EA39432D106_.wvu.FilterData" localSheetId="1" hidden="1">'02'!$AQ$3:$AQ$58</definedName>
    <definedName name="Z_A5B3AC85_AE4F_4930_B175_0EA39432D106_.wvu.FilterData" localSheetId="2" hidden="1">'03'!$AT$3:$AT$58</definedName>
    <definedName name="Z_A5B3AC85_AE4F_4930_B175_0EA39432D106_.wvu.FilterData" localSheetId="3" hidden="1">'04'!$AS$3:$AS$58</definedName>
    <definedName name="Z_A5B3AC85_AE4F_4930_B175_0EA39432D106_.wvu.FilterData" localSheetId="4" hidden="1">'05'!$AT$3:$AT$57</definedName>
    <definedName name="Z_A5B3AC85_AE4F_4930_B175_0EA39432D106_.wvu.FilterData" localSheetId="5" hidden="1">'06'!$AS$3:$AS$56</definedName>
    <definedName name="Z_A5B3AC85_AE4F_4930_B175_0EA39432D106_.wvu.FilterData" localSheetId="6" hidden="1">'07'!$AU$3:$AU$56</definedName>
    <definedName name="Z_A5B3AC85_AE4F_4930_B175_0EA39432D106_.wvu.FilterData" localSheetId="7" hidden="1">'08'!$AT$3:$AT$57</definedName>
    <definedName name="Z_A5B3AC85_AE4F_4930_B175_0EA39432D106_.wvu.FilterData" localSheetId="8" hidden="1">'09'!$AS$3:$AS$57</definedName>
    <definedName name="Z_A5B3AC85_AE4F_4930_B175_0EA39432D106_.wvu.FilterData" localSheetId="9" hidden="1">'10'!$AT$3:$AT$58</definedName>
    <definedName name="Z_A619B475_9DE6_43A6_924B_B84C3FF493DF_.wvu.FilterData" localSheetId="0" hidden="1">'01'!$AT$3:$AT$58</definedName>
    <definedName name="Z_A619B475_9DE6_43A6_924B_B84C3FF493DF_.wvu.FilterData" localSheetId="1" hidden="1">'02'!$AQ$3:$AQ$58</definedName>
    <definedName name="Z_A619B475_9DE6_43A6_924B_B84C3FF493DF_.wvu.FilterData" localSheetId="2" hidden="1">'03'!$AT$3:$AT$58</definedName>
    <definedName name="Z_A619B475_9DE6_43A6_924B_B84C3FF493DF_.wvu.FilterData" localSheetId="3" hidden="1">'04'!$AS$3:$AS$58</definedName>
    <definedName name="Z_A619B475_9DE6_43A6_924B_B84C3FF493DF_.wvu.FilterData" localSheetId="4" hidden="1">'05'!$AT$3:$AT$57</definedName>
    <definedName name="Z_A619B475_9DE6_43A6_924B_B84C3FF493DF_.wvu.FilterData" localSheetId="5" hidden="1">'06'!$AS$3:$AS$56</definedName>
    <definedName name="Z_A619B475_9DE6_43A6_924B_B84C3FF493DF_.wvu.FilterData" localSheetId="6" hidden="1">'07'!$AU$3:$AU$56</definedName>
    <definedName name="Z_A619B475_9DE6_43A6_924B_B84C3FF493DF_.wvu.FilterData" localSheetId="7" hidden="1">'08'!$AT$3:$AT$57</definedName>
    <definedName name="Z_A619B475_9DE6_43A6_924B_B84C3FF493DF_.wvu.FilterData" localSheetId="8" hidden="1">'09'!$AS$3:$AS$57</definedName>
    <definedName name="Z_A619B475_9DE6_43A6_924B_B84C3FF493DF_.wvu.FilterData" localSheetId="9" hidden="1">'10'!$AT$3:$AT$58</definedName>
    <definedName name="Z_A66F84DA_B23D_450F_A576_E469F5B8DF36_.wvu.FilterData" localSheetId="4" hidden="1">'05'!$AT$3:$AT$58</definedName>
    <definedName name="Z_A66F84DA_B23D_450F_A576_E469F5B8DF36_.wvu.FilterData" localSheetId="5" hidden="1">'06'!$AS$3:$AS$57</definedName>
    <definedName name="Z_A66F84DA_B23D_450F_A576_E469F5B8DF36_.wvu.FilterData" localSheetId="6" hidden="1">'07'!$AU$3:$AU$57</definedName>
    <definedName name="Z_A66F84DA_B23D_450F_A576_E469F5B8DF36_.wvu.FilterData" localSheetId="7" hidden="1">'08'!$AT$3:$AT$58</definedName>
    <definedName name="Z_A66F84DA_B23D_450F_A576_E469F5B8DF36_.wvu.FilterData" localSheetId="8" hidden="1">'09'!$AS$3:$AS$58</definedName>
    <definedName name="Z_A66F84DA_B23D_450F_A576_E469F5B8DF36_.wvu.FilterData" localSheetId="9" hidden="1">'10'!$AT$3:$AT$59</definedName>
    <definedName name="Z_A7476A3D_3576_436A_8958_7EA3EACA1D01_.wvu.FilterData" localSheetId="0" hidden="1">'01'!$AT$3:$AT$58</definedName>
    <definedName name="Z_A7476A3D_3576_436A_8958_7EA3EACA1D01_.wvu.FilterData" localSheetId="1" hidden="1">'02'!$AQ$3:$AQ$58</definedName>
    <definedName name="Z_A7476A3D_3576_436A_8958_7EA3EACA1D01_.wvu.FilterData" localSheetId="2" hidden="1">'03'!$AT$3:$AT$58</definedName>
    <definedName name="Z_A7476A3D_3576_436A_8958_7EA3EACA1D01_.wvu.FilterData" localSheetId="3" hidden="1">'04'!$AS$3:$AS$58</definedName>
    <definedName name="Z_A7476A3D_3576_436A_8958_7EA3EACA1D01_.wvu.FilterData" localSheetId="4" hidden="1">'05'!$AT$3:$AT$57</definedName>
    <definedName name="Z_A7476A3D_3576_436A_8958_7EA3EACA1D01_.wvu.FilterData" localSheetId="5" hidden="1">'06'!$AS$3:$AS$56</definedName>
    <definedName name="Z_A7476A3D_3576_436A_8958_7EA3EACA1D01_.wvu.FilterData" localSheetId="6" hidden="1">'07'!$AU$3:$AU$56</definedName>
    <definedName name="Z_A7476A3D_3576_436A_8958_7EA3EACA1D01_.wvu.FilterData" localSheetId="7" hidden="1">'08'!$AT$3:$AT$57</definedName>
    <definedName name="Z_A7476A3D_3576_436A_8958_7EA3EACA1D01_.wvu.FilterData" localSheetId="8" hidden="1">'09'!$AS$3:$AS$57</definedName>
    <definedName name="Z_A7476A3D_3576_436A_8958_7EA3EACA1D01_.wvu.FilterData" localSheetId="9" hidden="1">'10'!$AT$3:$AT$58</definedName>
    <definedName name="Z_A747AFD4_8A3F_4A3F_A71D_47889D14CF70_.wvu.FilterData" localSheetId="3" hidden="1">'04'!$AS$3:$AS$59</definedName>
    <definedName name="Z_A7660CB0_FF71_48C6_9029_77623A8E6E55_.wvu.FilterData" localSheetId="0" hidden="1">'01'!$AT$3:$AT$59</definedName>
    <definedName name="Z_A7660CB0_FF71_48C6_9029_77623A8E6E55_.wvu.FilterData" localSheetId="2" hidden="1">'03'!$AT$3:$AT$59</definedName>
    <definedName name="Z_A7660CB0_FF71_48C6_9029_77623A8E6E55_.wvu.FilterData" localSheetId="3" hidden="1">'04'!$AS$3:$AS$59</definedName>
    <definedName name="Z_A7660CB0_FF71_48C6_9029_77623A8E6E55_.wvu.FilterData" localSheetId="4" hidden="1">'05'!$AT$3:$AT$58</definedName>
    <definedName name="Z_A7660CB0_FF71_48C6_9029_77623A8E6E55_.wvu.FilterData" localSheetId="5" hidden="1">'06'!$AS$3:$AS$57</definedName>
    <definedName name="Z_A7660CB0_FF71_48C6_9029_77623A8E6E55_.wvu.FilterData" localSheetId="6" hidden="1">'07'!$AU$3:$AU$57</definedName>
    <definedName name="Z_A7660CB0_FF71_48C6_9029_77623A8E6E55_.wvu.FilterData" localSheetId="7" hidden="1">'08'!$AT$3:$AT$58</definedName>
    <definedName name="Z_A7660CB0_FF71_48C6_9029_77623A8E6E55_.wvu.FilterData" localSheetId="8" hidden="1">'09'!$AS$3:$AS$58</definedName>
    <definedName name="Z_A7660CB0_FF71_48C6_9029_77623A8E6E55_.wvu.FilterData" localSheetId="9" hidden="1">'10'!$AT$3:$AT$59</definedName>
    <definedName name="Z_A77A169A_4F5B_4947_AF7C_8990161EC901_.wvu.FilterData" localSheetId="4" hidden="1">'05'!$AT$3:$AT$58</definedName>
    <definedName name="Z_A77A169A_4F5B_4947_AF7C_8990161EC901_.wvu.FilterData" localSheetId="5" hidden="1">'06'!$AS$3:$AS$57</definedName>
    <definedName name="Z_A77A169A_4F5B_4947_AF7C_8990161EC901_.wvu.FilterData" localSheetId="6" hidden="1">'07'!$AU$3:$AU$57</definedName>
    <definedName name="Z_A77A169A_4F5B_4947_AF7C_8990161EC901_.wvu.FilterData" localSheetId="7" hidden="1">'08'!$AT$3:$AT$58</definedName>
    <definedName name="Z_A77A169A_4F5B_4947_AF7C_8990161EC901_.wvu.FilterData" localSheetId="8" hidden="1">'09'!$AS$3:$AS$58</definedName>
    <definedName name="Z_A77A169A_4F5B_4947_AF7C_8990161EC901_.wvu.FilterData" localSheetId="9" hidden="1">'10'!$AT$3:$AT$59</definedName>
    <definedName name="Z_A7BFA4F6_99EA_4049_9D2D_BA746098A7C7_.wvu.FilterData" localSheetId="7" hidden="1">'08'!$AT$3:$AT$58</definedName>
    <definedName name="Z_A7BFA4F6_99EA_4049_9D2D_BA746098A7C7_.wvu.FilterData" localSheetId="8" hidden="1">'09'!$AS$3:$AS$58</definedName>
    <definedName name="Z_A7BFA4F6_99EA_4049_9D2D_BA746098A7C7_.wvu.FilterData" localSheetId="9" hidden="1">'10'!$AT$3:$AT$59</definedName>
    <definedName name="Z_A7F636F6_2A6D_4B4E_9F3C_6519326B14D1_.wvu.FilterData" localSheetId="1" hidden="1">'02'!$AQ$3:$AQ$60</definedName>
    <definedName name="Z_A854A6D7_C446_4F18_8C38_EC3D019FB865_.wvu.FilterData" localSheetId="0" hidden="1">'01'!$AT$3:$AT$59</definedName>
    <definedName name="Z_A854A6D7_C446_4F18_8C38_EC3D019FB865_.wvu.FilterData" localSheetId="1" hidden="1">'02'!$AQ$3:$AQ$59</definedName>
    <definedName name="Z_A854A6D7_C446_4F18_8C38_EC3D019FB865_.wvu.FilterData" localSheetId="2" hidden="1">'03'!$AT$3:$AT$59</definedName>
    <definedName name="Z_A854A6D7_C446_4F18_8C38_EC3D019FB865_.wvu.FilterData" localSheetId="3" hidden="1">'04'!$AS$3:$AS$59</definedName>
    <definedName name="Z_A854A6D7_C446_4F18_8C38_EC3D019FB865_.wvu.FilterData" localSheetId="4" hidden="1">'05'!$AT$3:$AT$58</definedName>
    <definedName name="Z_A854A6D7_C446_4F18_8C38_EC3D019FB865_.wvu.FilterData" localSheetId="5" hidden="1">'06'!$AS$3:$AS$57</definedName>
    <definedName name="Z_A854A6D7_C446_4F18_8C38_EC3D019FB865_.wvu.FilterData" localSheetId="6" hidden="1">'07'!$AU$3:$AU$57</definedName>
    <definedName name="Z_A854A6D7_C446_4F18_8C38_EC3D019FB865_.wvu.FilterData" localSheetId="7" hidden="1">'08'!$AT$3:$AT$58</definedName>
    <definedName name="Z_A854A6D7_C446_4F18_8C38_EC3D019FB865_.wvu.FilterData" localSheetId="8" hidden="1">'09'!$AS$3:$AS$58</definedName>
    <definedName name="Z_A854A6D7_C446_4F18_8C38_EC3D019FB865_.wvu.FilterData" localSheetId="9" hidden="1">'10'!$AT$3:$AT$59</definedName>
    <definedName name="Z_A8A18031_5094_49A8_9014_92CCECABF531_.wvu.FilterData" localSheetId="1" hidden="1">'02'!$AQ$3:$AQ$60</definedName>
    <definedName name="Z_AA1F9471_79E3_4619_AA10_6B346535609E_.wvu.FilterData" localSheetId="0" hidden="1">'01'!$AT$3:$AT$58</definedName>
    <definedName name="Z_AA1F9471_79E3_4619_AA10_6B346535609E_.wvu.FilterData" localSheetId="1" hidden="1">'02'!$AQ$3:$AQ$58</definedName>
    <definedName name="Z_AA1F9471_79E3_4619_AA10_6B346535609E_.wvu.FilterData" localSheetId="2" hidden="1">'03'!$AT$3:$AT$58</definedName>
    <definedName name="Z_AA1F9471_79E3_4619_AA10_6B346535609E_.wvu.FilterData" localSheetId="3" hidden="1">'04'!$AS$3:$AS$58</definedName>
    <definedName name="Z_AA1F9471_79E3_4619_AA10_6B346535609E_.wvu.FilterData" localSheetId="4" hidden="1">'05'!$AT$3:$AT$57</definedName>
    <definedName name="Z_AA1F9471_79E3_4619_AA10_6B346535609E_.wvu.FilterData" localSheetId="5" hidden="1">'06'!$AS$3:$AS$56</definedName>
    <definedName name="Z_AA1F9471_79E3_4619_AA10_6B346535609E_.wvu.FilterData" localSheetId="6" hidden="1">'07'!$AU$3:$AU$56</definedName>
    <definedName name="Z_AA1F9471_79E3_4619_AA10_6B346535609E_.wvu.FilterData" localSheetId="7" hidden="1">'08'!$AT$3:$AT$57</definedName>
    <definedName name="Z_AA1F9471_79E3_4619_AA10_6B346535609E_.wvu.FilterData" localSheetId="8" hidden="1">'09'!$AS$3:$AS$57</definedName>
    <definedName name="Z_AA1F9471_79E3_4619_AA10_6B346535609E_.wvu.FilterData" localSheetId="9" hidden="1">'10'!$AT$3:$AT$58</definedName>
    <definedName name="Z_AB8EE58B_C825_46C5_B896_9188CCC406F6_.wvu.FilterData" localSheetId="0" hidden="1">'01'!$AT$3:$AT$58</definedName>
    <definedName name="Z_AB8EE58B_C825_46C5_B896_9188CCC406F6_.wvu.FilterData" localSheetId="1" hidden="1">'02'!$AQ$3:$AQ$58</definedName>
    <definedName name="Z_AB8EE58B_C825_46C5_B896_9188CCC406F6_.wvu.FilterData" localSheetId="2" hidden="1">'03'!$AT$3:$AT$58</definedName>
    <definedName name="Z_AB8EE58B_C825_46C5_B896_9188CCC406F6_.wvu.FilterData" localSheetId="3" hidden="1">'04'!$AS$3:$AS$58</definedName>
    <definedName name="Z_AB8EE58B_C825_46C5_B896_9188CCC406F6_.wvu.FilterData" localSheetId="4" hidden="1">'05'!$AT$3:$AT$57</definedName>
    <definedName name="Z_AB8EE58B_C825_46C5_B896_9188CCC406F6_.wvu.FilterData" localSheetId="5" hidden="1">'06'!$AS$3:$AS$56</definedName>
    <definedName name="Z_AB8EE58B_C825_46C5_B896_9188CCC406F6_.wvu.FilterData" localSheetId="6" hidden="1">'07'!$AU$3:$AU$56</definedName>
    <definedName name="Z_AB8EE58B_C825_46C5_B896_9188CCC406F6_.wvu.FilterData" localSheetId="7" hidden="1">'08'!$AT$3:$AT$57</definedName>
    <definedName name="Z_AB8EE58B_C825_46C5_B896_9188CCC406F6_.wvu.FilterData" localSheetId="8" hidden="1">'09'!$AS$3:$AS$57</definedName>
    <definedName name="Z_AB8EE58B_C825_46C5_B896_9188CCC406F6_.wvu.FilterData" localSheetId="9" hidden="1">'10'!$AT$3:$AT$58</definedName>
    <definedName name="Z_ABEE8B5E_230F_43F3_B984_31BCD8F7FE8D_.wvu.FilterData" localSheetId="0" hidden="1">'01'!$AT$3:$AT$58</definedName>
    <definedName name="Z_ABEE8B5E_230F_43F3_B984_31BCD8F7FE8D_.wvu.FilterData" localSheetId="1" hidden="1">'02'!$AQ$3:$AQ$58</definedName>
    <definedName name="Z_ABEE8B5E_230F_43F3_B984_31BCD8F7FE8D_.wvu.FilterData" localSheetId="2" hidden="1">'03'!$AT$3:$AT$58</definedName>
    <definedName name="Z_ABEE8B5E_230F_43F3_B984_31BCD8F7FE8D_.wvu.FilterData" localSheetId="3" hidden="1">'04'!$AS$3:$AS$58</definedName>
    <definedName name="Z_ABEE8B5E_230F_43F3_B984_31BCD8F7FE8D_.wvu.FilterData" localSheetId="4" hidden="1">'05'!$AT$3:$AT$57</definedName>
    <definedName name="Z_ABEE8B5E_230F_43F3_B984_31BCD8F7FE8D_.wvu.FilterData" localSheetId="5" hidden="1">'06'!$AS$3:$AS$56</definedName>
    <definedName name="Z_ABEE8B5E_230F_43F3_B984_31BCD8F7FE8D_.wvu.FilterData" localSheetId="6" hidden="1">'07'!$AU$3:$AU$56</definedName>
    <definedName name="Z_ABEE8B5E_230F_43F3_B984_31BCD8F7FE8D_.wvu.FilterData" localSheetId="7" hidden="1">'08'!$AT$3:$AT$57</definedName>
    <definedName name="Z_ABEE8B5E_230F_43F3_B984_31BCD8F7FE8D_.wvu.FilterData" localSheetId="8" hidden="1">'09'!$AS$3:$AS$57</definedName>
    <definedName name="Z_ABEE8B5E_230F_43F3_B984_31BCD8F7FE8D_.wvu.FilterData" localSheetId="9" hidden="1">'10'!$AT$3:$AT$58</definedName>
    <definedName name="Z_AC47ADB0_81D8_451B_8491_8342D910C19A_.wvu.FilterData" localSheetId="0" hidden="1">'01'!$AT$3:$AT$58</definedName>
    <definedName name="Z_AC47ADB0_81D8_451B_8491_8342D910C19A_.wvu.FilterData" localSheetId="1" hidden="1">'02'!$AQ$3:$AQ$58</definedName>
    <definedName name="Z_AC47ADB0_81D8_451B_8491_8342D910C19A_.wvu.FilterData" localSheetId="2" hidden="1">'03'!$AT$3:$AT$58</definedName>
    <definedName name="Z_AC47ADB0_81D8_451B_8491_8342D910C19A_.wvu.FilterData" localSheetId="3" hidden="1">'04'!$AS$3:$AS$58</definedName>
    <definedName name="Z_AC47ADB0_81D8_451B_8491_8342D910C19A_.wvu.FilterData" localSheetId="4" hidden="1">'05'!$AT$3:$AT$57</definedName>
    <definedName name="Z_AC47ADB0_81D8_451B_8491_8342D910C19A_.wvu.FilterData" localSheetId="5" hidden="1">'06'!$AS$3:$AS$56</definedName>
    <definedName name="Z_AC47ADB0_81D8_451B_8491_8342D910C19A_.wvu.FilterData" localSheetId="6" hidden="1">'07'!$AU$3:$AU$56</definedName>
    <definedName name="Z_AC47ADB0_81D8_451B_8491_8342D910C19A_.wvu.FilterData" localSheetId="7" hidden="1">'08'!$AT$3:$AT$57</definedName>
    <definedName name="Z_AC47ADB0_81D8_451B_8491_8342D910C19A_.wvu.FilterData" localSheetId="8" hidden="1">'09'!$AS$3:$AS$57</definedName>
    <definedName name="Z_AC47ADB0_81D8_451B_8491_8342D910C19A_.wvu.FilterData" localSheetId="9" hidden="1">'10'!$AT$3:$AT$58</definedName>
    <definedName name="Z_ACA6D017_B431_43F5_B22E_F314D52D088A_.wvu.FilterData" localSheetId="7" hidden="1">'08'!$AT$3:$AT$58</definedName>
    <definedName name="Z_ACA6D017_B431_43F5_B22E_F314D52D088A_.wvu.FilterData" localSheetId="8" hidden="1">'09'!$AS$3:$AS$58</definedName>
    <definedName name="Z_ACA6D017_B431_43F5_B22E_F314D52D088A_.wvu.FilterData" localSheetId="9" hidden="1">'10'!$AT$3:$AT$59</definedName>
    <definedName name="Z_AE3AE2F1_D3C5_4A47_A5A3_D4FE7BB63E5F_.wvu.FilterData" localSheetId="3" hidden="1">'04'!$AS$3:$AS$59</definedName>
    <definedName name="Z_AEE078D3_D990_494C_A85E_FBEE09918749_.wvu.FilterData" localSheetId="2" hidden="1">'03'!$AT$3:$AT$59</definedName>
    <definedName name="Z_AEE078D3_D990_494C_A85E_FBEE09918749_.wvu.FilterData" localSheetId="3" hidden="1">'04'!$AS$3:$AS$59</definedName>
    <definedName name="Z_AEE078D3_D990_494C_A85E_FBEE09918749_.wvu.FilterData" localSheetId="4" hidden="1">'05'!$AT$3:$AT$58</definedName>
    <definedName name="Z_AEE078D3_D990_494C_A85E_FBEE09918749_.wvu.FilterData" localSheetId="5" hidden="1">'06'!$AS$3:$AS$57</definedName>
    <definedName name="Z_AEE078D3_D990_494C_A85E_FBEE09918749_.wvu.FilterData" localSheetId="6" hidden="1">'07'!$AU$3:$AU$57</definedName>
    <definedName name="Z_AEE078D3_D990_494C_A85E_FBEE09918749_.wvu.FilterData" localSheetId="7" hidden="1">'08'!$AT$3:$AT$58</definedName>
    <definedName name="Z_AEE078D3_D990_494C_A85E_FBEE09918749_.wvu.FilterData" localSheetId="8" hidden="1">'09'!$AS$3:$AS$58</definedName>
    <definedName name="Z_AEE078D3_D990_494C_A85E_FBEE09918749_.wvu.FilterData" localSheetId="9" hidden="1">'10'!$AT$3:$AT$59</definedName>
    <definedName name="Z_AF213CDA_7CB9_430D_87C7_BE541A98BAFE_.wvu.FilterData" localSheetId="3" hidden="1">'04'!$AS$3:$AS$59</definedName>
    <definedName name="Z_AF213CDA_7CB9_430D_87C7_BE541A98BAFE_.wvu.FilterData" localSheetId="4" hidden="1">'05'!$AT$3:$AT$58</definedName>
    <definedName name="Z_AF213CDA_7CB9_430D_87C7_BE541A98BAFE_.wvu.FilterData" localSheetId="5" hidden="1">'06'!$AS$3:$AS$57</definedName>
    <definedName name="Z_AF213CDA_7CB9_430D_87C7_BE541A98BAFE_.wvu.FilterData" localSheetId="6" hidden="1">'07'!$AU$3:$AU$57</definedName>
    <definedName name="Z_AF213CDA_7CB9_430D_87C7_BE541A98BAFE_.wvu.FilterData" localSheetId="7" hidden="1">'08'!$AT$3:$AT$58</definedName>
    <definedName name="Z_AF213CDA_7CB9_430D_87C7_BE541A98BAFE_.wvu.FilterData" localSheetId="8" hidden="1">'09'!$AS$3:$AS$58</definedName>
    <definedName name="Z_AF213CDA_7CB9_430D_87C7_BE541A98BAFE_.wvu.FilterData" localSheetId="9" hidden="1">'10'!$AT$3:$AT$59</definedName>
    <definedName name="Z_B0261416_10FA_4EA7_9B1A_373D3E77FF98_.wvu.FilterData" localSheetId="8" hidden="1">'09'!$AS$3:$AS$58</definedName>
    <definedName name="Z_B0261416_10FA_4EA7_9B1A_373D3E77FF98_.wvu.FilterData" localSheetId="9" hidden="1">'10'!$AT$3:$AT$59</definedName>
    <definedName name="Z_B042B3BE_DF83_40E7_8A5E_A8718D3554F3_.wvu.FilterData" localSheetId="0" hidden="1">'01'!$AT$3:$AT$59</definedName>
    <definedName name="Z_B042B3BE_DF83_40E7_8A5E_A8718D3554F3_.wvu.FilterData" localSheetId="1" hidden="1">'02'!$AQ$3:$AQ$59</definedName>
    <definedName name="Z_B042B3BE_DF83_40E7_8A5E_A8718D3554F3_.wvu.FilterData" localSheetId="2" hidden="1">'03'!$AT$3:$AT$59</definedName>
    <definedName name="Z_B042B3BE_DF83_40E7_8A5E_A8718D3554F3_.wvu.FilterData" localSheetId="3" hidden="1">'04'!$AS$3:$AS$59</definedName>
    <definedName name="Z_B042B3BE_DF83_40E7_8A5E_A8718D3554F3_.wvu.FilterData" localSheetId="4" hidden="1">'05'!$AT$3:$AT$58</definedName>
    <definedName name="Z_B042B3BE_DF83_40E7_8A5E_A8718D3554F3_.wvu.FilterData" localSheetId="5" hidden="1">'06'!$AS$3:$AS$57</definedName>
    <definedName name="Z_B042B3BE_DF83_40E7_8A5E_A8718D3554F3_.wvu.FilterData" localSheetId="6" hidden="1">'07'!$AU$3:$AU$57</definedName>
    <definedName name="Z_B042B3BE_DF83_40E7_8A5E_A8718D3554F3_.wvu.FilterData" localSheetId="7" hidden="1">'08'!$AT$3:$AT$58</definedName>
    <definedName name="Z_B042B3BE_DF83_40E7_8A5E_A8718D3554F3_.wvu.FilterData" localSheetId="8" hidden="1">'09'!$AS$3:$AS$58</definedName>
    <definedName name="Z_B042B3BE_DF83_40E7_8A5E_A8718D3554F3_.wvu.FilterData" localSheetId="9" hidden="1">'10'!$AT$3:$AT$59</definedName>
    <definedName name="Z_B09AE8D0_08C8_4980_A27D_936C86FC7BB1_.wvu.FilterData" localSheetId="0" hidden="1">'01'!$AT$3:$AT$59</definedName>
    <definedName name="Z_B09AE8D0_08C8_4980_A27D_936C86FC7BB1_.wvu.FilterData" localSheetId="1" hidden="1">'02'!$AQ$3:$AQ$59</definedName>
    <definedName name="Z_B09AE8D0_08C8_4980_A27D_936C86FC7BB1_.wvu.FilterData" localSheetId="2" hidden="1">'03'!$AT$3:$AT$59</definedName>
    <definedName name="Z_B09AE8D0_08C8_4980_A27D_936C86FC7BB1_.wvu.FilterData" localSheetId="3" hidden="1">'04'!$AS$3:$AS$59</definedName>
    <definedName name="Z_B09AE8D0_08C8_4980_A27D_936C86FC7BB1_.wvu.FilterData" localSheetId="4" hidden="1">'05'!$AT$3:$AT$58</definedName>
    <definedName name="Z_B09AE8D0_08C8_4980_A27D_936C86FC7BB1_.wvu.FilterData" localSheetId="5" hidden="1">'06'!$AS$3:$AS$57</definedName>
    <definedName name="Z_B09AE8D0_08C8_4980_A27D_936C86FC7BB1_.wvu.FilterData" localSheetId="6" hidden="1">'07'!$AU$3:$AU$57</definedName>
    <definedName name="Z_B09AE8D0_08C8_4980_A27D_936C86FC7BB1_.wvu.FilterData" localSheetId="7" hidden="1">'08'!$AT$3:$AT$58</definedName>
    <definedName name="Z_B09AE8D0_08C8_4980_A27D_936C86FC7BB1_.wvu.FilterData" localSheetId="8" hidden="1">'09'!$AS$3:$AS$58</definedName>
    <definedName name="Z_B09AE8D0_08C8_4980_A27D_936C86FC7BB1_.wvu.FilterData" localSheetId="9" hidden="1">'10'!$AT$3:$AT$59</definedName>
    <definedName name="Z_B0BCF1D8_9AAC_4CFA_B1ED_82994928F0D4_.wvu.FilterData" localSheetId="0" hidden="1">'01'!$AT$3:$AT$58</definedName>
    <definedName name="Z_B0BCF1D8_9AAC_4CFA_B1ED_82994928F0D4_.wvu.FilterData" localSheetId="1" hidden="1">'02'!$AQ$3:$AQ$58</definedName>
    <definedName name="Z_B0BCF1D8_9AAC_4CFA_B1ED_82994928F0D4_.wvu.FilterData" localSheetId="2" hidden="1">'03'!$AT$3:$AT$58</definedName>
    <definedName name="Z_B0BCF1D8_9AAC_4CFA_B1ED_82994928F0D4_.wvu.FilterData" localSheetId="3" hidden="1">'04'!$AS$3:$AS$58</definedName>
    <definedName name="Z_B0BCF1D8_9AAC_4CFA_B1ED_82994928F0D4_.wvu.FilterData" localSheetId="4" hidden="1">'05'!$AT$3:$AT$57</definedName>
    <definedName name="Z_B0BCF1D8_9AAC_4CFA_B1ED_82994928F0D4_.wvu.FilterData" localSheetId="5" hidden="1">'06'!$AS$3:$AS$56</definedName>
    <definedName name="Z_B0BCF1D8_9AAC_4CFA_B1ED_82994928F0D4_.wvu.FilterData" localSheetId="6" hidden="1">'07'!$AU$3:$AU$56</definedName>
    <definedName name="Z_B0BCF1D8_9AAC_4CFA_B1ED_82994928F0D4_.wvu.FilterData" localSheetId="7" hidden="1">'08'!$AT$3:$AT$57</definedName>
    <definedName name="Z_B0BCF1D8_9AAC_4CFA_B1ED_82994928F0D4_.wvu.FilterData" localSheetId="8" hidden="1">'09'!$AS$3:$AS$57</definedName>
    <definedName name="Z_B0BCF1D8_9AAC_4CFA_B1ED_82994928F0D4_.wvu.FilterData" localSheetId="9" hidden="1">'10'!$AT$3:$AT$58</definedName>
    <definedName name="Z_B0E0D358_7122_4AB5_B3FD_9202E5B8B4F5_.wvu.FilterData" localSheetId="5" hidden="1">'06'!$AS$3:$AS$57</definedName>
    <definedName name="Z_B11F7264_2008_4F7F_8046_32715602BD8A_.wvu.FilterData" localSheetId="0" hidden="1">'01'!$AT$3:$AT$58</definedName>
    <definedName name="Z_B11F7264_2008_4F7F_8046_32715602BD8A_.wvu.FilterData" localSheetId="1" hidden="1">'02'!$AQ$3:$AQ$58</definedName>
    <definedName name="Z_B11F7264_2008_4F7F_8046_32715602BD8A_.wvu.FilterData" localSheetId="2" hidden="1">'03'!$AT$3:$AT$58</definedName>
    <definedName name="Z_B11F7264_2008_4F7F_8046_32715602BD8A_.wvu.FilterData" localSheetId="3" hidden="1">'04'!$AS$3:$AS$58</definedName>
    <definedName name="Z_B11F7264_2008_4F7F_8046_32715602BD8A_.wvu.FilterData" localSheetId="4" hidden="1">'05'!$AT$3:$AT$57</definedName>
    <definedName name="Z_B11F7264_2008_4F7F_8046_32715602BD8A_.wvu.FilterData" localSheetId="5" hidden="1">'06'!$AS$3:$AS$56</definedName>
    <definedName name="Z_B11F7264_2008_4F7F_8046_32715602BD8A_.wvu.FilterData" localSheetId="6" hidden="1">'07'!$AU$3:$AU$56</definedName>
    <definedName name="Z_B11F7264_2008_4F7F_8046_32715602BD8A_.wvu.FilterData" localSheetId="7" hidden="1">'08'!$AT$3:$AT$57</definedName>
    <definedName name="Z_B11F7264_2008_4F7F_8046_32715602BD8A_.wvu.FilterData" localSheetId="8" hidden="1">'09'!$AS$3:$AS$57</definedName>
    <definedName name="Z_B11F7264_2008_4F7F_8046_32715602BD8A_.wvu.FilterData" localSheetId="9" hidden="1">'10'!$AT$3:$AT$58</definedName>
    <definedName name="Z_B1EAC988_495B_493F_B05D_544499F53676_.wvu.FilterData" localSheetId="0" hidden="1">'01'!$AT$3:$AT$58</definedName>
    <definedName name="Z_B1EAC988_495B_493F_B05D_544499F53676_.wvu.FilterData" localSheetId="1" hidden="1">'02'!$AQ$3:$AQ$58</definedName>
    <definedName name="Z_B1EAC988_495B_493F_B05D_544499F53676_.wvu.FilterData" localSheetId="2" hidden="1">'03'!$AT$3:$AT$58</definedName>
    <definedName name="Z_B1EAC988_495B_493F_B05D_544499F53676_.wvu.FilterData" localSheetId="3" hidden="1">'04'!$AS$3:$AS$58</definedName>
    <definedName name="Z_B1EAC988_495B_493F_B05D_544499F53676_.wvu.FilterData" localSheetId="4" hidden="1">'05'!$AT$3:$AT$57</definedName>
    <definedName name="Z_B1EAC988_495B_493F_B05D_544499F53676_.wvu.FilterData" localSheetId="5" hidden="1">'06'!$AS$3:$AS$56</definedName>
    <definedName name="Z_B1EAC988_495B_493F_B05D_544499F53676_.wvu.FilterData" localSheetId="6" hidden="1">'07'!$AU$3:$AU$56</definedName>
    <definedName name="Z_B1EAC988_495B_493F_B05D_544499F53676_.wvu.FilterData" localSheetId="7" hidden="1">'08'!$AT$3:$AT$57</definedName>
    <definedName name="Z_B1EAC988_495B_493F_B05D_544499F53676_.wvu.FilterData" localSheetId="8" hidden="1">'09'!$AS$3:$AS$57</definedName>
    <definedName name="Z_B1EAC988_495B_493F_B05D_544499F53676_.wvu.FilterData" localSheetId="9" hidden="1">'10'!$AT$3:$AT$58</definedName>
    <definedName name="Z_B351F859_BC69_4B07_BADF_5CF9D1519CD3_.wvu.FilterData" localSheetId="1" hidden="1">'02'!$AQ$3:$AQ$60</definedName>
    <definedName name="Z_B375E834_EC10_4C2A_8A3B_7DB6010C1ED2_.wvu.FilterData" localSheetId="0" hidden="1">'01'!$AT$3:$AT$58</definedName>
    <definedName name="Z_B375E834_EC10_4C2A_8A3B_7DB6010C1ED2_.wvu.FilterData" localSheetId="1" hidden="1">'02'!$AQ$3:$AQ$58</definedName>
    <definedName name="Z_B375E834_EC10_4C2A_8A3B_7DB6010C1ED2_.wvu.FilterData" localSheetId="2" hidden="1">'03'!$AT$3:$AT$58</definedName>
    <definedName name="Z_B375E834_EC10_4C2A_8A3B_7DB6010C1ED2_.wvu.FilterData" localSheetId="3" hidden="1">'04'!$AS$3:$AS$58</definedName>
    <definedName name="Z_B375E834_EC10_4C2A_8A3B_7DB6010C1ED2_.wvu.FilterData" localSheetId="4" hidden="1">'05'!$AT$3:$AT$57</definedName>
    <definedName name="Z_B375E834_EC10_4C2A_8A3B_7DB6010C1ED2_.wvu.FilterData" localSheetId="5" hidden="1">'06'!$AS$3:$AS$56</definedName>
    <definedName name="Z_B375E834_EC10_4C2A_8A3B_7DB6010C1ED2_.wvu.FilterData" localSheetId="6" hidden="1">'07'!$AU$3:$AU$56</definedName>
    <definedName name="Z_B375E834_EC10_4C2A_8A3B_7DB6010C1ED2_.wvu.FilterData" localSheetId="7" hidden="1">'08'!$AT$3:$AT$57</definedName>
    <definedName name="Z_B375E834_EC10_4C2A_8A3B_7DB6010C1ED2_.wvu.FilterData" localSheetId="8" hidden="1">'09'!$AS$3:$AS$57</definedName>
    <definedName name="Z_B375E834_EC10_4C2A_8A3B_7DB6010C1ED2_.wvu.FilterData" localSheetId="9" hidden="1">'10'!$AT$3:$AT$58</definedName>
    <definedName name="Z_B3E9E019_67CD_4B60_B78F_5AFEAC125362_.wvu.FilterData" localSheetId="0" hidden="1">'01'!$AT$3:$AT$58</definedName>
    <definedName name="Z_B3E9E019_67CD_4B60_B78F_5AFEAC125362_.wvu.FilterData" localSheetId="1" hidden="1">'02'!$AQ$3:$AQ$58</definedName>
    <definedName name="Z_B3E9E019_67CD_4B60_B78F_5AFEAC125362_.wvu.FilterData" localSheetId="2" hidden="1">'03'!$AT$3:$AT$58</definedName>
    <definedName name="Z_B3E9E019_67CD_4B60_B78F_5AFEAC125362_.wvu.FilterData" localSheetId="3" hidden="1">'04'!$AS$3:$AS$58</definedName>
    <definedName name="Z_B3E9E019_67CD_4B60_B78F_5AFEAC125362_.wvu.FilterData" localSheetId="4" hidden="1">'05'!$AT$3:$AT$57</definedName>
    <definedName name="Z_B3E9E019_67CD_4B60_B78F_5AFEAC125362_.wvu.FilterData" localSheetId="5" hidden="1">'06'!$AS$3:$AS$56</definedName>
    <definedName name="Z_B3E9E019_67CD_4B60_B78F_5AFEAC125362_.wvu.FilterData" localSheetId="6" hidden="1">'07'!$AU$3:$AU$56</definedName>
    <definedName name="Z_B3E9E019_67CD_4B60_B78F_5AFEAC125362_.wvu.FilterData" localSheetId="7" hidden="1">'08'!$AT$3:$AT$57</definedName>
    <definedName name="Z_B3E9E019_67CD_4B60_B78F_5AFEAC125362_.wvu.FilterData" localSheetId="8" hidden="1">'09'!$AS$3:$AS$57</definedName>
    <definedName name="Z_B3E9E019_67CD_4B60_B78F_5AFEAC125362_.wvu.FilterData" localSheetId="9" hidden="1">'10'!$AT$3:$AT$58</definedName>
    <definedName name="Z_B42A5986_BB8B_456C_A989_30BD80E0DC27_.wvu.FilterData" localSheetId="0" hidden="1">'01'!$AT$3:$AT$58</definedName>
    <definedName name="Z_B42A5986_BB8B_456C_A989_30BD80E0DC27_.wvu.FilterData" localSheetId="1" hidden="1">'02'!$AQ$3:$AQ$58</definedName>
    <definedName name="Z_B42A5986_BB8B_456C_A989_30BD80E0DC27_.wvu.FilterData" localSheetId="2" hidden="1">'03'!$AT$3:$AT$58</definedName>
    <definedName name="Z_B42A5986_BB8B_456C_A989_30BD80E0DC27_.wvu.FilterData" localSheetId="3" hidden="1">'04'!$AS$3:$AS$58</definedName>
    <definedName name="Z_B42A5986_BB8B_456C_A989_30BD80E0DC27_.wvu.FilterData" localSheetId="4" hidden="1">'05'!$AT$3:$AT$57</definedName>
    <definedName name="Z_B42A5986_BB8B_456C_A989_30BD80E0DC27_.wvu.FilterData" localSheetId="5" hidden="1">'06'!$AS$3:$AS$56</definedName>
    <definedName name="Z_B42A5986_BB8B_456C_A989_30BD80E0DC27_.wvu.FilterData" localSheetId="6" hidden="1">'07'!$AU$3:$AU$56</definedName>
    <definedName name="Z_B42A5986_BB8B_456C_A989_30BD80E0DC27_.wvu.FilterData" localSheetId="7" hidden="1">'08'!$AT$3:$AT$57</definedName>
    <definedName name="Z_B42A5986_BB8B_456C_A989_30BD80E0DC27_.wvu.FilterData" localSheetId="8" hidden="1">'09'!$AS$3:$AS$57</definedName>
    <definedName name="Z_B42A5986_BB8B_456C_A989_30BD80E0DC27_.wvu.FilterData" localSheetId="9" hidden="1">'10'!$AT$3:$AT$58</definedName>
    <definedName name="Z_B59A7523_AB22_4DC5_981C_6AAAE2F60349_.wvu.FilterData" localSheetId="4" hidden="1">'05'!$AT$3:$AT$58</definedName>
    <definedName name="Z_B59A7523_AB22_4DC5_981C_6AAAE2F60349_.wvu.FilterData" localSheetId="5" hidden="1">'06'!$AS$3:$AS$57</definedName>
    <definedName name="Z_B59A7523_AB22_4DC5_981C_6AAAE2F60349_.wvu.FilterData" localSheetId="6" hidden="1">'07'!$AU$3:$AU$57</definedName>
    <definedName name="Z_B59A7523_AB22_4DC5_981C_6AAAE2F60349_.wvu.FilterData" localSheetId="7" hidden="1">'08'!$AT$3:$AT$58</definedName>
    <definedName name="Z_B59A7523_AB22_4DC5_981C_6AAAE2F60349_.wvu.FilterData" localSheetId="8" hidden="1">'09'!$AS$3:$AS$58</definedName>
    <definedName name="Z_B59A7523_AB22_4DC5_981C_6AAAE2F60349_.wvu.FilterData" localSheetId="9" hidden="1">'10'!$AT$3:$AT$59</definedName>
    <definedName name="Z_B62253FE_EA32_4F19_9F4D_945E607A33F0_.wvu.FilterData" localSheetId="0" hidden="1">'01'!$AT$3:$AT$59</definedName>
    <definedName name="Z_B62253FE_EA32_4F19_9F4D_945E607A33F0_.wvu.FilterData" localSheetId="2" hidden="1">'03'!$AT$3:$AT$59</definedName>
    <definedName name="Z_B62253FE_EA32_4F19_9F4D_945E607A33F0_.wvu.FilterData" localSheetId="3" hidden="1">'04'!$AS$3:$AS$59</definedName>
    <definedName name="Z_B62253FE_EA32_4F19_9F4D_945E607A33F0_.wvu.FilterData" localSheetId="4" hidden="1">'05'!$AT$3:$AT$58</definedName>
    <definedName name="Z_B62253FE_EA32_4F19_9F4D_945E607A33F0_.wvu.FilterData" localSheetId="5" hidden="1">'06'!$AS$3:$AS$57</definedName>
    <definedName name="Z_B62253FE_EA32_4F19_9F4D_945E607A33F0_.wvu.FilterData" localSheetId="6" hidden="1">'07'!$AU$3:$AU$57</definedName>
    <definedName name="Z_B62253FE_EA32_4F19_9F4D_945E607A33F0_.wvu.FilterData" localSheetId="7" hidden="1">'08'!$AT$3:$AT$58</definedName>
    <definedName name="Z_B62253FE_EA32_4F19_9F4D_945E607A33F0_.wvu.FilterData" localSheetId="8" hidden="1">'09'!$AS$3:$AS$58</definedName>
    <definedName name="Z_B62253FE_EA32_4F19_9F4D_945E607A33F0_.wvu.FilterData" localSheetId="9" hidden="1">'10'!$AT$3:$AT$59</definedName>
    <definedName name="Z_B63FAE35_7240_4A4A_8E18_9B70A8C200EA_.wvu.FilterData" localSheetId="0" hidden="1">'01'!$AT$3:$AT$59</definedName>
    <definedName name="Z_B63FAE35_7240_4A4A_8E18_9B70A8C200EA_.wvu.FilterData" localSheetId="1" hidden="1">'02'!$AQ$3:$AQ$59</definedName>
    <definedName name="Z_B63FAE35_7240_4A4A_8E18_9B70A8C200EA_.wvu.FilterData" localSheetId="2" hidden="1">'03'!$AT$3:$AT$59</definedName>
    <definedName name="Z_B63FAE35_7240_4A4A_8E18_9B70A8C200EA_.wvu.FilterData" localSheetId="3" hidden="1">'04'!$AS$3:$AS$59</definedName>
    <definedName name="Z_B63FAE35_7240_4A4A_8E18_9B70A8C200EA_.wvu.FilterData" localSheetId="4" hidden="1">'05'!$AT$3:$AT$58</definedName>
    <definedName name="Z_B63FAE35_7240_4A4A_8E18_9B70A8C200EA_.wvu.FilterData" localSheetId="5" hidden="1">'06'!$AS$3:$AS$57</definedName>
    <definedName name="Z_B63FAE35_7240_4A4A_8E18_9B70A8C200EA_.wvu.FilterData" localSheetId="6" hidden="1">'07'!$AU$3:$AU$57</definedName>
    <definedName name="Z_B63FAE35_7240_4A4A_8E18_9B70A8C200EA_.wvu.FilterData" localSheetId="7" hidden="1">'08'!$AT$3:$AT$58</definedName>
    <definedName name="Z_B63FAE35_7240_4A4A_8E18_9B70A8C200EA_.wvu.FilterData" localSheetId="8" hidden="1">'09'!$AS$3:$AS$58</definedName>
    <definedName name="Z_B63FAE35_7240_4A4A_8E18_9B70A8C200EA_.wvu.FilterData" localSheetId="9" hidden="1">'10'!$AT$3:$AT$59</definedName>
    <definedName name="Z_B6675FB5_168D_4EC7_9395_5DE064850FC1_.wvu.FilterData" localSheetId="8" hidden="1">'09'!$AS$3:$AS$58</definedName>
    <definedName name="Z_B6675FB5_168D_4EC7_9395_5DE064850FC1_.wvu.FilterData" localSheetId="9" hidden="1">'10'!$AT$3:$AT$59</definedName>
    <definedName name="Z_B6F48863_24B4_4A99_8EF5_7B554AE0C755_.wvu.FilterData" localSheetId="0" hidden="1">'01'!$AT$3:$AT$58</definedName>
    <definedName name="Z_B6F48863_24B4_4A99_8EF5_7B554AE0C755_.wvu.FilterData" localSheetId="1" hidden="1">'02'!$AQ$3:$AQ$58</definedName>
    <definedName name="Z_B6F48863_24B4_4A99_8EF5_7B554AE0C755_.wvu.FilterData" localSheetId="2" hidden="1">'03'!$AT$3:$AT$58</definedName>
    <definedName name="Z_B6F48863_24B4_4A99_8EF5_7B554AE0C755_.wvu.FilterData" localSheetId="3" hidden="1">'04'!$AS$3:$AS$58</definedName>
    <definedName name="Z_B6F48863_24B4_4A99_8EF5_7B554AE0C755_.wvu.FilterData" localSheetId="4" hidden="1">'05'!$AT$3:$AT$57</definedName>
    <definedName name="Z_B6F48863_24B4_4A99_8EF5_7B554AE0C755_.wvu.FilterData" localSheetId="5" hidden="1">'06'!$AS$3:$AS$56</definedName>
    <definedName name="Z_B6F48863_24B4_4A99_8EF5_7B554AE0C755_.wvu.FilterData" localSheetId="6" hidden="1">'07'!$AU$3:$AU$56</definedName>
    <definedName name="Z_B6F48863_24B4_4A99_8EF5_7B554AE0C755_.wvu.FilterData" localSheetId="7" hidden="1">'08'!$AT$3:$AT$57</definedName>
    <definedName name="Z_B6F48863_24B4_4A99_8EF5_7B554AE0C755_.wvu.FilterData" localSheetId="8" hidden="1">'09'!$AS$3:$AS$57</definedName>
    <definedName name="Z_B6F48863_24B4_4A99_8EF5_7B554AE0C755_.wvu.FilterData" localSheetId="9" hidden="1">'10'!$AT$3:$AT$58</definedName>
    <definedName name="Z_B7FFF4C8_570A_4542_B027_0C4A271225B8_.wvu.FilterData" localSheetId="0" hidden="1">'01'!$AT$3:$AT$58</definedName>
    <definedName name="Z_B7FFF4C8_570A_4542_B027_0C4A271225B8_.wvu.FilterData" localSheetId="1" hidden="1">'02'!$AQ$3:$AQ$58</definedName>
    <definedName name="Z_B7FFF4C8_570A_4542_B027_0C4A271225B8_.wvu.FilterData" localSheetId="2" hidden="1">'03'!$AT$3:$AT$58</definedName>
    <definedName name="Z_B7FFF4C8_570A_4542_B027_0C4A271225B8_.wvu.FilterData" localSheetId="3" hidden="1">'04'!$AS$3:$AS$58</definedName>
    <definedName name="Z_B7FFF4C8_570A_4542_B027_0C4A271225B8_.wvu.FilterData" localSheetId="4" hidden="1">'05'!$AT$3:$AT$57</definedName>
    <definedName name="Z_B7FFF4C8_570A_4542_B027_0C4A271225B8_.wvu.FilterData" localSheetId="5" hidden="1">'06'!$AS$3:$AS$56</definedName>
    <definedName name="Z_B7FFF4C8_570A_4542_B027_0C4A271225B8_.wvu.FilterData" localSheetId="6" hidden="1">'07'!$AU$3:$AU$56</definedName>
    <definedName name="Z_B7FFF4C8_570A_4542_B027_0C4A271225B8_.wvu.FilterData" localSheetId="7" hidden="1">'08'!$AT$3:$AT$57</definedName>
    <definedName name="Z_B7FFF4C8_570A_4542_B027_0C4A271225B8_.wvu.FilterData" localSheetId="8" hidden="1">'09'!$AS$3:$AS$57</definedName>
    <definedName name="Z_B7FFF4C8_570A_4542_B027_0C4A271225B8_.wvu.FilterData" localSheetId="9" hidden="1">'10'!$AT$3:$AT$58</definedName>
    <definedName name="Z_B8BF739A_98B4_4E3F_906E_E5BC49739383_.wvu.FilterData" localSheetId="0" hidden="1">'01'!$AT$3:$AT$58</definedName>
    <definedName name="Z_B8BF739A_98B4_4E3F_906E_E5BC49739383_.wvu.FilterData" localSheetId="1" hidden="1">'02'!$AQ$3:$AQ$58</definedName>
    <definedName name="Z_B8BF739A_98B4_4E3F_906E_E5BC49739383_.wvu.FilterData" localSheetId="2" hidden="1">'03'!$AT$3:$AT$58</definedName>
    <definedName name="Z_B8BF739A_98B4_4E3F_906E_E5BC49739383_.wvu.FilterData" localSheetId="3" hidden="1">'04'!$AS$3:$AS$58</definedName>
    <definedName name="Z_B8BF739A_98B4_4E3F_906E_E5BC49739383_.wvu.FilterData" localSheetId="4" hidden="1">'05'!$AT$3:$AT$57</definedName>
    <definedName name="Z_B8BF739A_98B4_4E3F_906E_E5BC49739383_.wvu.FilterData" localSheetId="5" hidden="1">'06'!$AS$3:$AS$56</definedName>
    <definedName name="Z_B8BF739A_98B4_4E3F_906E_E5BC49739383_.wvu.FilterData" localSheetId="6" hidden="1">'07'!$AU$3:$AU$56</definedName>
    <definedName name="Z_B8BF739A_98B4_4E3F_906E_E5BC49739383_.wvu.FilterData" localSheetId="7" hidden="1">'08'!$AT$3:$AT$57</definedName>
    <definedName name="Z_B8BF739A_98B4_4E3F_906E_E5BC49739383_.wvu.FilterData" localSheetId="8" hidden="1">'09'!$AS$3:$AS$57</definedName>
    <definedName name="Z_B8BF739A_98B4_4E3F_906E_E5BC49739383_.wvu.FilterData" localSheetId="9" hidden="1">'10'!$AT$3:$AT$58</definedName>
    <definedName name="Z_B8C8DC85_AC2E_4A8D_9DE5_2AEB1574E250_.wvu.FilterData" localSheetId="0" hidden="1">'01'!$AT$3:$AT$58</definedName>
    <definedName name="Z_B8C8DC85_AC2E_4A8D_9DE5_2AEB1574E250_.wvu.FilterData" localSheetId="1" hidden="1">'02'!$AQ$3:$AQ$58</definedName>
    <definedName name="Z_B8C8DC85_AC2E_4A8D_9DE5_2AEB1574E250_.wvu.FilterData" localSheetId="2" hidden="1">'03'!$AT$3:$AT$58</definedName>
    <definedName name="Z_B8C8DC85_AC2E_4A8D_9DE5_2AEB1574E250_.wvu.FilterData" localSheetId="3" hidden="1">'04'!$AS$3:$AS$58</definedName>
    <definedName name="Z_B8C8DC85_AC2E_4A8D_9DE5_2AEB1574E250_.wvu.FilterData" localSheetId="4" hidden="1">'05'!$AT$3:$AT$57</definedName>
    <definedName name="Z_B8C8DC85_AC2E_4A8D_9DE5_2AEB1574E250_.wvu.FilterData" localSheetId="5" hidden="1">'06'!$AS$3:$AS$56</definedName>
    <definedName name="Z_B8C8DC85_AC2E_4A8D_9DE5_2AEB1574E250_.wvu.FilterData" localSheetId="6" hidden="1">'07'!$AU$3:$AU$56</definedName>
    <definedName name="Z_B8C8DC85_AC2E_4A8D_9DE5_2AEB1574E250_.wvu.FilterData" localSheetId="7" hidden="1">'08'!$AT$3:$AT$57</definedName>
    <definedName name="Z_B8C8DC85_AC2E_4A8D_9DE5_2AEB1574E250_.wvu.FilterData" localSheetId="8" hidden="1">'09'!$AS$3:$AS$57</definedName>
    <definedName name="Z_B8C8DC85_AC2E_4A8D_9DE5_2AEB1574E250_.wvu.FilterData" localSheetId="9" hidden="1">'10'!$AT$3:$AT$58</definedName>
    <definedName name="Z_B9C7F9ED_A8AC_4DE5_B9AF_13DBBE75D6AB_.wvu.FilterData" localSheetId="0" hidden="1">'01'!$AT$3:$AT$59</definedName>
    <definedName name="Z_B9C7F9ED_A8AC_4DE5_B9AF_13DBBE75D6AB_.wvu.FilterData" localSheetId="1" hidden="1">'02'!$AQ$3:$AQ$59</definedName>
    <definedName name="Z_B9C7F9ED_A8AC_4DE5_B9AF_13DBBE75D6AB_.wvu.FilterData" localSheetId="2" hidden="1">'03'!$AT$3:$AT$59</definedName>
    <definedName name="Z_B9C7F9ED_A8AC_4DE5_B9AF_13DBBE75D6AB_.wvu.FilterData" localSheetId="3" hidden="1">'04'!$AS$3:$AS$59</definedName>
    <definedName name="Z_B9C7F9ED_A8AC_4DE5_B9AF_13DBBE75D6AB_.wvu.FilterData" localSheetId="4" hidden="1">'05'!$AT$3:$AT$58</definedName>
    <definedName name="Z_B9C7F9ED_A8AC_4DE5_B9AF_13DBBE75D6AB_.wvu.FilterData" localSheetId="5" hidden="1">'06'!$AS$3:$AS$57</definedName>
    <definedName name="Z_B9C7F9ED_A8AC_4DE5_B9AF_13DBBE75D6AB_.wvu.FilterData" localSheetId="6" hidden="1">'07'!$AU$3:$AU$57</definedName>
    <definedName name="Z_B9C7F9ED_A8AC_4DE5_B9AF_13DBBE75D6AB_.wvu.FilterData" localSheetId="7" hidden="1">'08'!$AT$3:$AT$58</definedName>
    <definedName name="Z_B9C7F9ED_A8AC_4DE5_B9AF_13DBBE75D6AB_.wvu.FilterData" localSheetId="8" hidden="1">'09'!$AS$3:$AS$58</definedName>
    <definedName name="Z_B9C7F9ED_A8AC_4DE5_B9AF_13DBBE75D6AB_.wvu.FilterData" localSheetId="9" hidden="1">'10'!$AT$3:$AT$59</definedName>
    <definedName name="Z_BAE45B5B_09AF_416D_8385_1B0A6F1197A9_.wvu.FilterData" localSheetId="0" hidden="1">'01'!$AT$3:$AT$58</definedName>
    <definedName name="Z_BAE45B5B_09AF_416D_8385_1B0A6F1197A9_.wvu.FilterData" localSheetId="1" hidden="1">'02'!$AQ$3:$AQ$58</definedName>
    <definedName name="Z_BAE45B5B_09AF_416D_8385_1B0A6F1197A9_.wvu.FilterData" localSheetId="2" hidden="1">'03'!$AT$3:$AT$58</definedName>
    <definedName name="Z_BAE45B5B_09AF_416D_8385_1B0A6F1197A9_.wvu.FilterData" localSheetId="3" hidden="1">'04'!$AS$3:$AS$58</definedName>
    <definedName name="Z_BAE45B5B_09AF_416D_8385_1B0A6F1197A9_.wvu.FilterData" localSheetId="4" hidden="1">'05'!$AT$3:$AT$57</definedName>
    <definedName name="Z_BAE45B5B_09AF_416D_8385_1B0A6F1197A9_.wvu.FilterData" localSheetId="5" hidden="1">'06'!$AS$3:$AS$56</definedName>
    <definedName name="Z_BAE45B5B_09AF_416D_8385_1B0A6F1197A9_.wvu.FilterData" localSheetId="6" hidden="1">'07'!$AU$3:$AU$56</definedName>
    <definedName name="Z_BAE45B5B_09AF_416D_8385_1B0A6F1197A9_.wvu.FilterData" localSheetId="7" hidden="1">'08'!$AT$3:$AT$57</definedName>
    <definedName name="Z_BAE45B5B_09AF_416D_8385_1B0A6F1197A9_.wvu.FilterData" localSheetId="8" hidden="1">'09'!$AS$3:$AS$57</definedName>
    <definedName name="Z_BAE45B5B_09AF_416D_8385_1B0A6F1197A9_.wvu.FilterData" localSheetId="9" hidden="1">'10'!$AT$3:$AT$58</definedName>
    <definedName name="Z_BBD7BD92_589B_47EB_A5C3_F82FEB28522B_.wvu.FilterData" localSheetId="0" hidden="1">'01'!$AT$3:$AT$58</definedName>
    <definedName name="Z_BBD7BD92_589B_47EB_A5C3_F82FEB28522B_.wvu.FilterData" localSheetId="1" hidden="1">'02'!$AQ$3:$AQ$58</definedName>
    <definedName name="Z_BBD7BD92_589B_47EB_A5C3_F82FEB28522B_.wvu.FilterData" localSheetId="2" hidden="1">'03'!$AT$3:$AT$58</definedName>
    <definedName name="Z_BBD7BD92_589B_47EB_A5C3_F82FEB28522B_.wvu.FilterData" localSheetId="3" hidden="1">'04'!$AS$3:$AS$58</definedName>
    <definedName name="Z_BBD7BD92_589B_47EB_A5C3_F82FEB28522B_.wvu.FilterData" localSheetId="4" hidden="1">'05'!$AT$3:$AT$57</definedName>
    <definedName name="Z_BBD7BD92_589B_47EB_A5C3_F82FEB28522B_.wvu.FilterData" localSheetId="5" hidden="1">'06'!$AS$3:$AS$56</definedName>
    <definedName name="Z_BBD7BD92_589B_47EB_A5C3_F82FEB28522B_.wvu.FilterData" localSheetId="6" hidden="1">'07'!$AU$3:$AU$56</definedName>
    <definedName name="Z_BBD7BD92_589B_47EB_A5C3_F82FEB28522B_.wvu.FilterData" localSheetId="7" hidden="1">'08'!$AT$3:$AT$57</definedName>
    <definedName name="Z_BBD7BD92_589B_47EB_A5C3_F82FEB28522B_.wvu.FilterData" localSheetId="8" hidden="1">'09'!$AS$3:$AS$57</definedName>
    <definedName name="Z_BBD7BD92_589B_47EB_A5C3_F82FEB28522B_.wvu.FilterData" localSheetId="9" hidden="1">'10'!$AT$3:$AT$58</definedName>
    <definedName name="Z_BCC51770_0B7C_4318_82DD_1BF78E5E9554_.wvu.FilterData" localSheetId="8" hidden="1">'09'!$AS$3:$AS$58</definedName>
    <definedName name="Z_BCC51770_0B7C_4318_82DD_1BF78E5E9554_.wvu.FilterData" localSheetId="9" hidden="1">'10'!$AT$3:$AT$59</definedName>
    <definedName name="Z_BE4AEE4D_98EF_4FC3_A993_B516C94EA0E3_.wvu.FilterData" localSheetId="1" hidden="1">'02'!$AQ$3:$AQ$60</definedName>
    <definedName name="Z_BEBBE21B_9C4C_422F_AB77_765E2F626A6F_.wvu.FilterData" localSheetId="6" hidden="1">'07'!$AU$3:$AU$57</definedName>
    <definedName name="Z_BEBBE21B_9C4C_422F_AB77_765E2F626A6F_.wvu.FilterData" localSheetId="7" hidden="1">'08'!$AT$3:$AT$58</definedName>
    <definedName name="Z_BEBBE21B_9C4C_422F_AB77_765E2F626A6F_.wvu.FilterData" localSheetId="8" hidden="1">'09'!$AS$3:$AS$58</definedName>
    <definedName name="Z_BEBBE21B_9C4C_422F_AB77_765E2F626A6F_.wvu.FilterData" localSheetId="9" hidden="1">'10'!$AT$3:$AT$59</definedName>
    <definedName name="Z_BF09A7AC_463C_40FD_B67E_611BCBFAC21F_.wvu.FilterData" localSheetId="0" hidden="1">'01'!$AT$3:$AT$58</definedName>
    <definedName name="Z_BF09A7AC_463C_40FD_B67E_611BCBFAC21F_.wvu.FilterData" localSheetId="1" hidden="1">'02'!$AQ$3:$AQ$58</definedName>
    <definedName name="Z_BF09A7AC_463C_40FD_B67E_611BCBFAC21F_.wvu.FilterData" localSheetId="2" hidden="1">'03'!$AT$3:$AT$58</definedName>
    <definedName name="Z_BF09A7AC_463C_40FD_B67E_611BCBFAC21F_.wvu.FilterData" localSheetId="3" hidden="1">'04'!$AS$3:$AS$58</definedName>
    <definedName name="Z_BF09A7AC_463C_40FD_B67E_611BCBFAC21F_.wvu.FilterData" localSheetId="4" hidden="1">'05'!$AT$3:$AT$57</definedName>
    <definedName name="Z_BF09A7AC_463C_40FD_B67E_611BCBFAC21F_.wvu.FilterData" localSheetId="5" hidden="1">'06'!$AS$3:$AS$56</definedName>
    <definedName name="Z_BF09A7AC_463C_40FD_B67E_611BCBFAC21F_.wvu.FilterData" localSheetId="6" hidden="1">'07'!$AU$3:$AU$56</definedName>
    <definedName name="Z_BF09A7AC_463C_40FD_B67E_611BCBFAC21F_.wvu.FilterData" localSheetId="7" hidden="1">'08'!$AT$3:$AT$57</definedName>
    <definedName name="Z_BF09A7AC_463C_40FD_B67E_611BCBFAC21F_.wvu.FilterData" localSheetId="8" hidden="1">'09'!$AS$3:$AS$57</definedName>
    <definedName name="Z_BF09A7AC_463C_40FD_B67E_611BCBFAC21F_.wvu.FilterData" localSheetId="9" hidden="1">'10'!$AT$3:$AT$58</definedName>
    <definedName name="Z_BFDEB2F8_0A4A_4847_842F_2877FF010EB3_.wvu.FilterData" localSheetId="0" hidden="1">'01'!$AT$3:$AT$58</definedName>
    <definedName name="Z_BFDEB2F8_0A4A_4847_842F_2877FF010EB3_.wvu.FilterData" localSheetId="1" hidden="1">'02'!$AQ$3:$AQ$58</definedName>
    <definedName name="Z_BFDEB2F8_0A4A_4847_842F_2877FF010EB3_.wvu.FilterData" localSheetId="2" hidden="1">'03'!$AT$3:$AT$58</definedName>
    <definedName name="Z_BFDEB2F8_0A4A_4847_842F_2877FF010EB3_.wvu.FilterData" localSheetId="3" hidden="1">'04'!$AS$3:$AS$58</definedName>
    <definedName name="Z_BFDEB2F8_0A4A_4847_842F_2877FF010EB3_.wvu.FilterData" localSheetId="4" hidden="1">'05'!$AT$3:$AT$57</definedName>
    <definedName name="Z_BFDEB2F8_0A4A_4847_842F_2877FF010EB3_.wvu.FilterData" localSheetId="5" hidden="1">'06'!$AS$3:$AS$56</definedName>
    <definedName name="Z_BFDEB2F8_0A4A_4847_842F_2877FF010EB3_.wvu.FilterData" localSheetId="6" hidden="1">'07'!$AU$3:$AU$56</definedName>
    <definedName name="Z_BFDEB2F8_0A4A_4847_842F_2877FF010EB3_.wvu.FilterData" localSheetId="7" hidden="1">'08'!$AT$3:$AT$57</definedName>
    <definedName name="Z_BFDEB2F8_0A4A_4847_842F_2877FF010EB3_.wvu.FilterData" localSheetId="8" hidden="1">'09'!$AS$3:$AS$57</definedName>
    <definedName name="Z_BFDEB2F8_0A4A_4847_842F_2877FF010EB3_.wvu.FilterData" localSheetId="9" hidden="1">'10'!$AT$3:$AT$58</definedName>
    <definedName name="Z_C0C28DCD_6B7C_4751_A5E2_77B64FE2BFF2_.wvu.FilterData" localSheetId="0" hidden="1">'01'!$AT$3:$AT$59</definedName>
    <definedName name="Z_C0C28DCD_6B7C_4751_A5E2_77B64FE2BFF2_.wvu.FilterData" localSheetId="1" hidden="1">'02'!$AQ$3:$AQ$59</definedName>
    <definedName name="Z_C0C28DCD_6B7C_4751_A5E2_77B64FE2BFF2_.wvu.FilterData" localSheetId="2" hidden="1">'03'!$AT$3:$AT$59</definedName>
    <definedName name="Z_C0C28DCD_6B7C_4751_A5E2_77B64FE2BFF2_.wvu.FilterData" localSheetId="3" hidden="1">'04'!$AS$3:$AS$59</definedName>
    <definedName name="Z_C0C28DCD_6B7C_4751_A5E2_77B64FE2BFF2_.wvu.FilterData" localSheetId="4" hidden="1">'05'!$AT$3:$AT$58</definedName>
    <definedName name="Z_C0C28DCD_6B7C_4751_A5E2_77B64FE2BFF2_.wvu.FilterData" localSheetId="5" hidden="1">'06'!$AS$3:$AS$57</definedName>
    <definedName name="Z_C0C28DCD_6B7C_4751_A5E2_77B64FE2BFF2_.wvu.FilterData" localSheetId="6" hidden="1">'07'!$AU$3:$AU$57</definedName>
    <definedName name="Z_C0C28DCD_6B7C_4751_A5E2_77B64FE2BFF2_.wvu.FilterData" localSheetId="7" hidden="1">'08'!$AT$3:$AT$58</definedName>
    <definedName name="Z_C0C28DCD_6B7C_4751_A5E2_77B64FE2BFF2_.wvu.FilterData" localSheetId="8" hidden="1">'09'!$AS$3:$AS$58</definedName>
    <definedName name="Z_C0C28DCD_6B7C_4751_A5E2_77B64FE2BFF2_.wvu.FilterData" localSheetId="9" hidden="1">'10'!$AT$3:$AT$59</definedName>
    <definedName name="Z_C0E7EED1_559E_48CD_A882_EB45349EEE29_.wvu.FilterData" localSheetId="0" hidden="1">'01'!$AT$3:$AT$59</definedName>
    <definedName name="Z_C0E7EED1_559E_48CD_A882_EB45349EEE29_.wvu.FilterData" localSheetId="1" hidden="1">'02'!$AQ$3:$AQ$59</definedName>
    <definedName name="Z_C0E7EED1_559E_48CD_A882_EB45349EEE29_.wvu.FilterData" localSheetId="2" hidden="1">'03'!$AT$3:$AT$59</definedName>
    <definedName name="Z_C0E7EED1_559E_48CD_A882_EB45349EEE29_.wvu.FilterData" localSheetId="3" hidden="1">'04'!$AS$3:$AS$59</definedName>
    <definedName name="Z_C0E7EED1_559E_48CD_A882_EB45349EEE29_.wvu.FilterData" localSheetId="4" hidden="1">'05'!$AT$3:$AT$58</definedName>
    <definedName name="Z_C0E7EED1_559E_48CD_A882_EB45349EEE29_.wvu.FilterData" localSheetId="5" hidden="1">'06'!$AS$3:$AS$57</definedName>
    <definedName name="Z_C0E7EED1_559E_48CD_A882_EB45349EEE29_.wvu.FilterData" localSheetId="6" hidden="1">'07'!$AU$3:$AU$57</definedName>
    <definedName name="Z_C0E7EED1_559E_48CD_A882_EB45349EEE29_.wvu.FilterData" localSheetId="7" hidden="1">'08'!$AT$3:$AT$58</definedName>
    <definedName name="Z_C0E7EED1_559E_48CD_A882_EB45349EEE29_.wvu.FilterData" localSheetId="8" hidden="1">'09'!$AS$3:$AS$58</definedName>
    <definedName name="Z_C0E7EED1_559E_48CD_A882_EB45349EEE29_.wvu.FilterData" localSheetId="9" hidden="1">'10'!$AT$3:$AT$59</definedName>
    <definedName name="Z_C0EBBCDE_1BE5_4350_A87C_8DEDDD82AFB9_.wvu.FilterData" localSheetId="0" hidden="1">'01'!$AT$3:$AT$58</definedName>
    <definedName name="Z_C0EBBCDE_1BE5_4350_A87C_8DEDDD82AFB9_.wvu.FilterData" localSheetId="1" hidden="1">'02'!$AQ$3:$AQ$58</definedName>
    <definedName name="Z_C0EBBCDE_1BE5_4350_A87C_8DEDDD82AFB9_.wvu.FilterData" localSheetId="2" hidden="1">'03'!$AT$3:$AT$58</definedName>
    <definedName name="Z_C0EBBCDE_1BE5_4350_A87C_8DEDDD82AFB9_.wvu.FilterData" localSheetId="3" hidden="1">'04'!$AS$3:$AS$58</definedName>
    <definedName name="Z_C0EBBCDE_1BE5_4350_A87C_8DEDDD82AFB9_.wvu.FilterData" localSheetId="4" hidden="1">'05'!$AT$3:$AT$57</definedName>
    <definedName name="Z_C0EBBCDE_1BE5_4350_A87C_8DEDDD82AFB9_.wvu.FilterData" localSheetId="5" hidden="1">'06'!$AS$3:$AS$56</definedName>
    <definedName name="Z_C0EBBCDE_1BE5_4350_A87C_8DEDDD82AFB9_.wvu.FilterData" localSheetId="6" hidden="1">'07'!$AU$3:$AU$56</definedName>
    <definedName name="Z_C0EBBCDE_1BE5_4350_A87C_8DEDDD82AFB9_.wvu.FilterData" localSheetId="7" hidden="1">'08'!$AT$3:$AT$57</definedName>
    <definedName name="Z_C0EBBCDE_1BE5_4350_A87C_8DEDDD82AFB9_.wvu.FilterData" localSheetId="8" hidden="1">'09'!$AS$3:$AS$57</definedName>
    <definedName name="Z_C0EBBCDE_1BE5_4350_A87C_8DEDDD82AFB9_.wvu.FilterData" localSheetId="9" hidden="1">'10'!$AT$3:$AT$58</definedName>
    <definedName name="Z_C12077A4_94CF_4C9A_8C42_4264E5FFD593_.wvu.FilterData" localSheetId="0" hidden="1">'01'!$AT$3:$AT$58</definedName>
    <definedName name="Z_C12077A4_94CF_4C9A_8C42_4264E5FFD593_.wvu.FilterData" localSheetId="1" hidden="1">'02'!$AQ$3:$AQ$58</definedName>
    <definedName name="Z_C12077A4_94CF_4C9A_8C42_4264E5FFD593_.wvu.FilterData" localSheetId="2" hidden="1">'03'!$AT$3:$AT$58</definedName>
    <definedName name="Z_C12077A4_94CF_4C9A_8C42_4264E5FFD593_.wvu.FilterData" localSheetId="3" hidden="1">'04'!$AS$3:$AS$58</definedName>
    <definedName name="Z_C12077A4_94CF_4C9A_8C42_4264E5FFD593_.wvu.FilterData" localSheetId="4" hidden="1">'05'!$AT$3:$AT$57</definedName>
    <definedName name="Z_C12077A4_94CF_4C9A_8C42_4264E5FFD593_.wvu.FilterData" localSheetId="5" hidden="1">'06'!$AS$3:$AS$56</definedName>
    <definedName name="Z_C12077A4_94CF_4C9A_8C42_4264E5FFD593_.wvu.FilterData" localSheetId="6" hidden="1">'07'!$AU$3:$AU$56</definedName>
    <definedName name="Z_C12077A4_94CF_4C9A_8C42_4264E5FFD593_.wvu.FilterData" localSheetId="7" hidden="1">'08'!$AT$3:$AT$57</definedName>
    <definedName name="Z_C12077A4_94CF_4C9A_8C42_4264E5FFD593_.wvu.FilterData" localSheetId="8" hidden="1">'09'!$AS$3:$AS$57</definedName>
    <definedName name="Z_C12077A4_94CF_4C9A_8C42_4264E5FFD593_.wvu.FilterData" localSheetId="9" hidden="1">'10'!$AT$3:$AT$58</definedName>
    <definedName name="Z_C1E33E81_EA50_46E4_B52D_478A825A754F_.wvu.FilterData" localSheetId="0" hidden="1">'01'!$AT$3:$AT$59</definedName>
    <definedName name="Z_C1E33E81_EA50_46E4_B52D_478A825A754F_.wvu.FilterData" localSheetId="1" hidden="1">'02'!$AQ$3:$AQ$59</definedName>
    <definedName name="Z_C1E33E81_EA50_46E4_B52D_478A825A754F_.wvu.FilterData" localSheetId="2" hidden="1">'03'!$AT$3:$AT$59</definedName>
    <definedName name="Z_C1E33E81_EA50_46E4_B52D_478A825A754F_.wvu.FilterData" localSheetId="3" hidden="1">'04'!$AS$3:$AS$59</definedName>
    <definedName name="Z_C1E33E81_EA50_46E4_B52D_478A825A754F_.wvu.FilterData" localSheetId="4" hidden="1">'05'!$AT$3:$AT$58</definedName>
    <definedName name="Z_C1E33E81_EA50_46E4_B52D_478A825A754F_.wvu.FilterData" localSheetId="5" hidden="1">'06'!$AS$3:$AS$57</definedName>
    <definedName name="Z_C1E33E81_EA50_46E4_B52D_478A825A754F_.wvu.FilterData" localSheetId="6" hidden="1">'07'!$AU$3:$AU$57</definedName>
    <definedName name="Z_C1E33E81_EA50_46E4_B52D_478A825A754F_.wvu.FilterData" localSheetId="7" hidden="1">'08'!$AT$3:$AT$58</definedName>
    <definedName name="Z_C1E33E81_EA50_46E4_B52D_478A825A754F_.wvu.FilterData" localSheetId="8" hidden="1">'09'!$AS$3:$AS$58</definedName>
    <definedName name="Z_C1E33E81_EA50_46E4_B52D_478A825A754F_.wvu.FilterData" localSheetId="9" hidden="1">'10'!$AT$3:$AT$59</definedName>
    <definedName name="Z_C223240A_F346_4B61_81AD_213FD498B6EC_.wvu.FilterData" localSheetId="0" hidden="1">'01'!$AT$3:$AT$58</definedName>
    <definedName name="Z_C223240A_F346_4B61_81AD_213FD498B6EC_.wvu.FilterData" localSheetId="1" hidden="1">'02'!$AQ$3:$AQ$58</definedName>
    <definedName name="Z_C223240A_F346_4B61_81AD_213FD498B6EC_.wvu.FilterData" localSheetId="2" hidden="1">'03'!$AT$3:$AT$58</definedName>
    <definedName name="Z_C223240A_F346_4B61_81AD_213FD498B6EC_.wvu.FilterData" localSheetId="3" hidden="1">'04'!$AS$3:$AS$58</definedName>
    <definedName name="Z_C223240A_F346_4B61_81AD_213FD498B6EC_.wvu.FilterData" localSheetId="4" hidden="1">'05'!$AT$3:$AT$57</definedName>
    <definedName name="Z_C223240A_F346_4B61_81AD_213FD498B6EC_.wvu.FilterData" localSheetId="5" hidden="1">'06'!$AS$3:$AS$56</definedName>
    <definedName name="Z_C223240A_F346_4B61_81AD_213FD498B6EC_.wvu.FilterData" localSheetId="6" hidden="1">'07'!$AU$3:$AU$56</definedName>
    <definedName name="Z_C223240A_F346_4B61_81AD_213FD498B6EC_.wvu.FilterData" localSheetId="7" hidden="1">'08'!$AT$3:$AT$57</definedName>
    <definedName name="Z_C223240A_F346_4B61_81AD_213FD498B6EC_.wvu.FilterData" localSheetId="8" hidden="1">'09'!$AS$3:$AS$57</definedName>
    <definedName name="Z_C223240A_F346_4B61_81AD_213FD498B6EC_.wvu.FilterData" localSheetId="9" hidden="1">'10'!$AT$3:$AT$58</definedName>
    <definedName name="Z_C32125AC_58EB_478E_AC6D_A6F58CEA4EE0_.wvu.FilterData" localSheetId="8" hidden="1">'09'!$AS$3:$AS$58</definedName>
    <definedName name="Z_C32125AC_58EB_478E_AC6D_A6F58CEA4EE0_.wvu.FilterData" localSheetId="9" hidden="1">'10'!$AT$3:$AT$59</definedName>
    <definedName name="Z_C3882680_18FB_487A_A117_C7914C4FCE66_.wvu.FilterData" localSheetId="0" hidden="1">'01'!$AT$3:$AT$58</definedName>
    <definedName name="Z_C3882680_18FB_487A_A117_C7914C4FCE66_.wvu.FilterData" localSheetId="1" hidden="1">'02'!$AQ$3:$AQ$58</definedName>
    <definedName name="Z_C3882680_18FB_487A_A117_C7914C4FCE66_.wvu.FilterData" localSheetId="2" hidden="1">'03'!$AT$3:$AT$58</definedName>
    <definedName name="Z_C3882680_18FB_487A_A117_C7914C4FCE66_.wvu.FilterData" localSheetId="3" hidden="1">'04'!$AS$3:$AS$58</definedName>
    <definedName name="Z_C3882680_18FB_487A_A117_C7914C4FCE66_.wvu.FilterData" localSheetId="4" hidden="1">'05'!$AT$3:$AT$57</definedName>
    <definedName name="Z_C3882680_18FB_487A_A117_C7914C4FCE66_.wvu.FilterData" localSheetId="5" hidden="1">'06'!$AS$3:$AS$56</definedName>
    <definedName name="Z_C3882680_18FB_487A_A117_C7914C4FCE66_.wvu.FilterData" localSheetId="6" hidden="1">'07'!$AU$3:$AU$56</definedName>
    <definedName name="Z_C3882680_18FB_487A_A117_C7914C4FCE66_.wvu.FilterData" localSheetId="7" hidden="1">'08'!$AT$3:$AT$57</definedName>
    <definedName name="Z_C3882680_18FB_487A_A117_C7914C4FCE66_.wvu.FilterData" localSheetId="8" hidden="1">'09'!$AS$3:$AS$57</definedName>
    <definedName name="Z_C3882680_18FB_487A_A117_C7914C4FCE66_.wvu.FilterData" localSheetId="9" hidden="1">'10'!$AT$3:$AT$58</definedName>
    <definedName name="Z_C3C16E94_424E_46E0_BC80_6A701EA07776_.wvu.FilterData" localSheetId="3" hidden="1">'04'!$AS$3:$AS$59</definedName>
    <definedName name="Z_C3D420DC_09B2_4EB6_B283_A5FDB44AFF6D_.wvu.FilterData" localSheetId="4" hidden="1">'05'!$AT$3:$AT$58</definedName>
    <definedName name="Z_C3D420DC_09B2_4EB6_B283_A5FDB44AFF6D_.wvu.FilterData" localSheetId="5" hidden="1">'06'!$AS$3:$AS$57</definedName>
    <definedName name="Z_C3D420DC_09B2_4EB6_B283_A5FDB44AFF6D_.wvu.FilterData" localSheetId="6" hidden="1">'07'!$AU$3:$AU$57</definedName>
    <definedName name="Z_C3D420DC_09B2_4EB6_B283_A5FDB44AFF6D_.wvu.FilterData" localSheetId="7" hidden="1">'08'!$AT$3:$AT$58</definedName>
    <definedName name="Z_C3D420DC_09B2_4EB6_B283_A5FDB44AFF6D_.wvu.FilterData" localSheetId="8" hidden="1">'09'!$AS$3:$AS$58</definedName>
    <definedName name="Z_C3D420DC_09B2_4EB6_B283_A5FDB44AFF6D_.wvu.FilterData" localSheetId="9" hidden="1">'10'!$AT$3:$AT$59</definedName>
    <definedName name="Z_C435FB3B_3FCB_4AE8_A9EF_51A6FF92B192_.wvu.FilterData" localSheetId="2" hidden="1">'03'!$AT$3:$AT$59</definedName>
    <definedName name="Z_C435FB3B_3FCB_4AE8_A9EF_51A6FF92B192_.wvu.FilterData" localSheetId="3" hidden="1">'04'!$AS$3:$AS$59</definedName>
    <definedName name="Z_C435FB3B_3FCB_4AE8_A9EF_51A6FF92B192_.wvu.FilterData" localSheetId="4" hidden="1">'05'!$AT$3:$AT$58</definedName>
    <definedName name="Z_C435FB3B_3FCB_4AE8_A9EF_51A6FF92B192_.wvu.FilterData" localSheetId="5" hidden="1">'06'!$AS$3:$AS$57</definedName>
    <definedName name="Z_C435FB3B_3FCB_4AE8_A9EF_51A6FF92B192_.wvu.FilterData" localSheetId="6" hidden="1">'07'!$AU$3:$AU$57</definedName>
    <definedName name="Z_C435FB3B_3FCB_4AE8_A9EF_51A6FF92B192_.wvu.FilterData" localSheetId="7" hidden="1">'08'!$AT$3:$AT$58</definedName>
    <definedName name="Z_C435FB3B_3FCB_4AE8_A9EF_51A6FF92B192_.wvu.FilterData" localSheetId="8" hidden="1">'09'!$AS$3:$AS$58</definedName>
    <definedName name="Z_C435FB3B_3FCB_4AE8_A9EF_51A6FF92B192_.wvu.FilterData" localSheetId="9" hidden="1">'10'!$AT$3:$AT$59</definedName>
    <definedName name="Z_C44CBB55_6916_4CD9_8CD4_86A71975A98C_.wvu.FilterData" localSheetId="0" hidden="1">'01'!$AT$3:$AT$59</definedName>
    <definedName name="Z_C44CBB55_6916_4CD9_8CD4_86A71975A98C_.wvu.FilterData" localSheetId="2" hidden="1">'03'!$AT$3:$AT$59</definedName>
    <definedName name="Z_C44CBB55_6916_4CD9_8CD4_86A71975A98C_.wvu.FilterData" localSheetId="3" hidden="1">'04'!$AS$3:$AS$59</definedName>
    <definedName name="Z_C44CBB55_6916_4CD9_8CD4_86A71975A98C_.wvu.FilterData" localSheetId="4" hidden="1">'05'!$AT$3:$AT$58</definedName>
    <definedName name="Z_C44CBB55_6916_4CD9_8CD4_86A71975A98C_.wvu.FilterData" localSheetId="5" hidden="1">'06'!$AS$3:$AS$57</definedName>
    <definedName name="Z_C44CBB55_6916_4CD9_8CD4_86A71975A98C_.wvu.FilterData" localSheetId="6" hidden="1">'07'!$AU$3:$AU$57</definedName>
    <definedName name="Z_C44CBB55_6916_4CD9_8CD4_86A71975A98C_.wvu.FilterData" localSheetId="7" hidden="1">'08'!$AT$3:$AT$58</definedName>
    <definedName name="Z_C44CBB55_6916_4CD9_8CD4_86A71975A98C_.wvu.FilterData" localSheetId="8" hidden="1">'09'!$AS$3:$AS$58</definedName>
    <definedName name="Z_C44CBB55_6916_4CD9_8CD4_86A71975A98C_.wvu.FilterData" localSheetId="9" hidden="1">'10'!$AT$3:$AT$59</definedName>
    <definedName name="Z_C569F32E_0420_4F22_AD17_58FE6B88F61C_.wvu.FilterData" localSheetId="0" hidden="1">'01'!$AT$3:$AT$58</definedName>
    <definedName name="Z_C569F32E_0420_4F22_AD17_58FE6B88F61C_.wvu.FilterData" localSheetId="1" hidden="1">'02'!$AQ$3:$AQ$58</definedName>
    <definedName name="Z_C569F32E_0420_4F22_AD17_58FE6B88F61C_.wvu.FilterData" localSheetId="2" hidden="1">'03'!$AT$3:$AT$58</definedName>
    <definedName name="Z_C569F32E_0420_4F22_AD17_58FE6B88F61C_.wvu.FilterData" localSheetId="3" hidden="1">'04'!$AS$3:$AS$58</definedName>
    <definedName name="Z_C569F32E_0420_4F22_AD17_58FE6B88F61C_.wvu.FilterData" localSheetId="4" hidden="1">'05'!$AT$3:$AT$57</definedName>
    <definedName name="Z_C569F32E_0420_4F22_AD17_58FE6B88F61C_.wvu.FilterData" localSheetId="5" hidden="1">'06'!$AS$3:$AS$56</definedName>
    <definedName name="Z_C569F32E_0420_4F22_AD17_58FE6B88F61C_.wvu.FilterData" localSheetId="6" hidden="1">'07'!$AU$3:$AU$56</definedName>
    <definedName name="Z_C569F32E_0420_4F22_AD17_58FE6B88F61C_.wvu.FilterData" localSheetId="7" hidden="1">'08'!$AT$3:$AT$57</definedName>
    <definedName name="Z_C569F32E_0420_4F22_AD17_58FE6B88F61C_.wvu.FilterData" localSheetId="8" hidden="1">'09'!$AS$3:$AS$57</definedName>
    <definedName name="Z_C569F32E_0420_4F22_AD17_58FE6B88F61C_.wvu.FilterData" localSheetId="9" hidden="1">'10'!$AT$3:$AT$58</definedName>
    <definedName name="Z_C5B03211_D206_4FC5_8DF2_E0C5B2BC23C5_.wvu.FilterData" localSheetId="0" hidden="1">'01'!$AT$3:$AT$58</definedName>
    <definedName name="Z_C5B03211_D206_4FC5_8DF2_E0C5B2BC23C5_.wvu.FilterData" localSheetId="1" hidden="1">'02'!$AQ$3:$AQ$58</definedName>
    <definedName name="Z_C5B03211_D206_4FC5_8DF2_E0C5B2BC23C5_.wvu.FilterData" localSheetId="2" hidden="1">'03'!$AT$3:$AT$58</definedName>
    <definedName name="Z_C5B03211_D206_4FC5_8DF2_E0C5B2BC23C5_.wvu.FilterData" localSheetId="3" hidden="1">'04'!$AS$3:$AS$58</definedName>
    <definedName name="Z_C5B03211_D206_4FC5_8DF2_E0C5B2BC23C5_.wvu.FilterData" localSheetId="4" hidden="1">'05'!$AT$3:$AT$57</definedName>
    <definedName name="Z_C5B03211_D206_4FC5_8DF2_E0C5B2BC23C5_.wvu.FilterData" localSheetId="5" hidden="1">'06'!$AS$3:$AS$56</definedName>
    <definedName name="Z_C5B03211_D206_4FC5_8DF2_E0C5B2BC23C5_.wvu.FilterData" localSheetId="6" hidden="1">'07'!$AU$3:$AU$56</definedName>
    <definedName name="Z_C5B03211_D206_4FC5_8DF2_E0C5B2BC23C5_.wvu.FilterData" localSheetId="7" hidden="1">'08'!$AT$3:$AT$57</definedName>
    <definedName name="Z_C5B03211_D206_4FC5_8DF2_E0C5B2BC23C5_.wvu.FilterData" localSheetId="8" hidden="1">'09'!$AS$3:$AS$57</definedName>
    <definedName name="Z_C5B03211_D206_4FC5_8DF2_E0C5B2BC23C5_.wvu.FilterData" localSheetId="9" hidden="1">'10'!$AT$3:$AT$58</definedName>
    <definedName name="Z_C644B733_48D4_4DB6_90E0_20C48E32CA3B_.wvu.FilterData" localSheetId="0" hidden="1">'01'!$AT$3:$AT$58</definedName>
    <definedName name="Z_C644B733_48D4_4DB6_90E0_20C48E32CA3B_.wvu.FilterData" localSheetId="1" hidden="1">'02'!$AQ$3:$AQ$58</definedName>
    <definedName name="Z_C644B733_48D4_4DB6_90E0_20C48E32CA3B_.wvu.FilterData" localSheetId="2" hidden="1">'03'!$AT$3:$AT$58</definedName>
    <definedName name="Z_C644B733_48D4_4DB6_90E0_20C48E32CA3B_.wvu.FilterData" localSheetId="3" hidden="1">'04'!$AS$3:$AS$58</definedName>
    <definedName name="Z_C644B733_48D4_4DB6_90E0_20C48E32CA3B_.wvu.FilterData" localSheetId="4" hidden="1">'05'!$AT$3:$AT$57</definedName>
    <definedName name="Z_C644B733_48D4_4DB6_90E0_20C48E32CA3B_.wvu.FilterData" localSheetId="5" hidden="1">'06'!$AS$3:$AS$56</definedName>
    <definedName name="Z_C644B733_48D4_4DB6_90E0_20C48E32CA3B_.wvu.FilterData" localSheetId="6" hidden="1">'07'!$AU$3:$AU$56</definedName>
    <definedName name="Z_C644B733_48D4_4DB6_90E0_20C48E32CA3B_.wvu.FilterData" localSheetId="7" hidden="1">'08'!$AT$3:$AT$57</definedName>
    <definedName name="Z_C644B733_48D4_4DB6_90E0_20C48E32CA3B_.wvu.FilterData" localSheetId="8" hidden="1">'09'!$AS$3:$AS$57</definedName>
    <definedName name="Z_C644B733_48D4_4DB6_90E0_20C48E32CA3B_.wvu.FilterData" localSheetId="9" hidden="1">'10'!$AT$3:$AT$58</definedName>
    <definedName name="Z_C6F6332E_5AD9_46A8_A952_77FDD7652F9B_.wvu.FilterData" localSheetId="7" hidden="1">'08'!$AT$3:$AT$58</definedName>
    <definedName name="Z_C6F6332E_5AD9_46A8_A952_77FDD7652F9B_.wvu.FilterData" localSheetId="8" hidden="1">'09'!$AS$3:$AS$58</definedName>
    <definedName name="Z_C6F6332E_5AD9_46A8_A952_77FDD7652F9B_.wvu.FilterData" localSheetId="9" hidden="1">'10'!$AT$3:$AT$59</definedName>
    <definedName name="Z_C8272EBF_135D_44E4_8296_348D3B3E265C_.wvu.FilterData" localSheetId="0" hidden="1">'01'!$AT$3:$AT$58</definedName>
    <definedName name="Z_C8272EBF_135D_44E4_8296_348D3B3E265C_.wvu.FilterData" localSheetId="1" hidden="1">'02'!$AQ$3:$AQ$58</definedName>
    <definedName name="Z_C8272EBF_135D_44E4_8296_348D3B3E265C_.wvu.FilterData" localSheetId="2" hidden="1">'03'!$AT$3:$AT$58</definedName>
    <definedName name="Z_C8272EBF_135D_44E4_8296_348D3B3E265C_.wvu.FilterData" localSheetId="3" hidden="1">'04'!$AS$3:$AS$58</definedName>
    <definedName name="Z_C8272EBF_135D_44E4_8296_348D3B3E265C_.wvu.FilterData" localSheetId="4" hidden="1">'05'!$AT$3:$AT$57</definedName>
    <definedName name="Z_C8272EBF_135D_44E4_8296_348D3B3E265C_.wvu.FilterData" localSheetId="5" hidden="1">'06'!$AS$3:$AS$56</definedName>
    <definedName name="Z_C8272EBF_135D_44E4_8296_348D3B3E265C_.wvu.FilterData" localSheetId="6" hidden="1">'07'!$AU$3:$AU$56</definedName>
    <definedName name="Z_C8272EBF_135D_44E4_8296_348D3B3E265C_.wvu.FilterData" localSheetId="7" hidden="1">'08'!$AT$3:$AT$57</definedName>
    <definedName name="Z_C8272EBF_135D_44E4_8296_348D3B3E265C_.wvu.FilterData" localSheetId="8" hidden="1">'09'!$AS$3:$AS$57</definedName>
    <definedName name="Z_C8272EBF_135D_44E4_8296_348D3B3E265C_.wvu.FilterData" localSheetId="9" hidden="1">'10'!$AT$3:$AT$58</definedName>
    <definedName name="Z_C8F5525F_B65E_4273_AFF2_CD3DC5D51D09_.wvu.FilterData" localSheetId="0" hidden="1">'01'!$AT$3:$AT$59</definedName>
    <definedName name="Z_C8F5525F_B65E_4273_AFF2_CD3DC5D51D09_.wvu.FilterData" localSheetId="2" hidden="1">'03'!$AT$3:$AT$59</definedName>
    <definedName name="Z_C8F5525F_B65E_4273_AFF2_CD3DC5D51D09_.wvu.FilterData" localSheetId="3" hidden="1">'04'!$AS$3:$AS$59</definedName>
    <definedName name="Z_C8F5525F_B65E_4273_AFF2_CD3DC5D51D09_.wvu.FilterData" localSheetId="4" hidden="1">'05'!$AT$3:$AT$58</definedName>
    <definedName name="Z_C8F5525F_B65E_4273_AFF2_CD3DC5D51D09_.wvu.FilterData" localSheetId="5" hidden="1">'06'!$AS$3:$AS$57</definedName>
    <definedName name="Z_C8F5525F_B65E_4273_AFF2_CD3DC5D51D09_.wvu.FilterData" localSheetId="6" hidden="1">'07'!$AU$3:$AU$57</definedName>
    <definedName name="Z_C8F5525F_B65E_4273_AFF2_CD3DC5D51D09_.wvu.FilterData" localSheetId="7" hidden="1">'08'!$AT$3:$AT$58</definedName>
    <definedName name="Z_C8F5525F_B65E_4273_AFF2_CD3DC5D51D09_.wvu.FilterData" localSheetId="8" hidden="1">'09'!$AS$3:$AS$58</definedName>
    <definedName name="Z_C8F5525F_B65E_4273_AFF2_CD3DC5D51D09_.wvu.FilterData" localSheetId="9" hidden="1">'10'!$AT$3:$AT$59</definedName>
    <definedName name="Z_CA6635E3_C24E_41AC_90A5_3B6A4A30262A_.wvu.FilterData" localSheetId="0" hidden="1">'01'!$AT$3:$AT$58</definedName>
    <definedName name="Z_CA6635E3_C24E_41AC_90A5_3B6A4A30262A_.wvu.FilterData" localSheetId="1" hidden="1">'02'!$AQ$3:$AQ$58</definedName>
    <definedName name="Z_CA6635E3_C24E_41AC_90A5_3B6A4A30262A_.wvu.FilterData" localSheetId="2" hidden="1">'03'!$AT$3:$AT$58</definedName>
    <definedName name="Z_CA6635E3_C24E_41AC_90A5_3B6A4A30262A_.wvu.FilterData" localSheetId="3" hidden="1">'04'!$AS$3:$AS$58</definedName>
    <definedName name="Z_CA6635E3_C24E_41AC_90A5_3B6A4A30262A_.wvu.FilterData" localSheetId="4" hidden="1">'05'!$AT$3:$AT$57</definedName>
    <definedName name="Z_CA6635E3_C24E_41AC_90A5_3B6A4A30262A_.wvu.FilterData" localSheetId="5" hidden="1">'06'!$AS$3:$AS$56</definedName>
    <definedName name="Z_CA6635E3_C24E_41AC_90A5_3B6A4A30262A_.wvu.FilterData" localSheetId="6" hidden="1">'07'!$AU$3:$AU$56</definedName>
    <definedName name="Z_CA6635E3_C24E_41AC_90A5_3B6A4A30262A_.wvu.FilterData" localSheetId="7" hidden="1">'08'!$AT$3:$AT$57</definedName>
    <definedName name="Z_CA6635E3_C24E_41AC_90A5_3B6A4A30262A_.wvu.FilterData" localSheetId="8" hidden="1">'09'!$AS$3:$AS$57</definedName>
    <definedName name="Z_CA6635E3_C24E_41AC_90A5_3B6A4A30262A_.wvu.FilterData" localSheetId="9" hidden="1">'10'!$AT$3:$AT$58</definedName>
    <definedName name="Z_CA72C637_3A84_4548_8766_732784DC7B40_.wvu.FilterData" localSheetId="0" hidden="1">'01'!$AT$3:$AT$58</definedName>
    <definedName name="Z_CA72C637_3A84_4548_8766_732784DC7B40_.wvu.FilterData" localSheetId="1" hidden="1">'02'!$AQ$3:$AQ$58</definedName>
    <definedName name="Z_CA72C637_3A84_4548_8766_732784DC7B40_.wvu.FilterData" localSheetId="2" hidden="1">'03'!$AT$3:$AT$58</definedName>
    <definedName name="Z_CA72C637_3A84_4548_8766_732784DC7B40_.wvu.FilterData" localSheetId="3" hidden="1">'04'!$AS$3:$AS$58</definedName>
    <definedName name="Z_CA72C637_3A84_4548_8766_732784DC7B40_.wvu.FilterData" localSheetId="4" hidden="1">'05'!$AT$3:$AT$57</definedName>
    <definedName name="Z_CA72C637_3A84_4548_8766_732784DC7B40_.wvu.FilterData" localSheetId="5" hidden="1">'06'!$AS$3:$AS$56</definedName>
    <definedName name="Z_CA72C637_3A84_4548_8766_732784DC7B40_.wvu.FilterData" localSheetId="6" hidden="1">'07'!$AU$3:$AU$56</definedName>
    <definedName name="Z_CA72C637_3A84_4548_8766_732784DC7B40_.wvu.FilterData" localSheetId="7" hidden="1">'08'!$AT$3:$AT$57</definedName>
    <definedName name="Z_CA72C637_3A84_4548_8766_732784DC7B40_.wvu.FilterData" localSheetId="8" hidden="1">'09'!$AS$3:$AS$57</definedName>
    <definedName name="Z_CA72C637_3A84_4548_8766_732784DC7B40_.wvu.FilterData" localSheetId="9" hidden="1">'10'!$AT$3:$AT$58</definedName>
    <definedName name="Z_CB269EA2_4B2C_4070_83F4_E92BC58B036F_.wvu.FilterData" localSheetId="9" hidden="1">'10'!$AT$3:$AT$59</definedName>
    <definedName name="Z_CC55AA53_3F88_4208_8C0F_FC023C45C261_.wvu.FilterData" localSheetId="9" hidden="1">'10'!$AT$3:$AT$59</definedName>
    <definedName name="Z_CD87A0F2_FE3D_4321_B5B4_E508123E4B2C_.wvu.FilterData" localSheetId="0" hidden="1">'01'!$AT$3:$AT$58</definedName>
    <definedName name="Z_CD87A0F2_FE3D_4321_B5B4_E508123E4B2C_.wvu.FilterData" localSheetId="1" hidden="1">'02'!$AQ$3:$AQ$58</definedName>
    <definedName name="Z_CD87A0F2_FE3D_4321_B5B4_E508123E4B2C_.wvu.FilterData" localSheetId="2" hidden="1">'03'!$AT$3:$AT$58</definedName>
    <definedName name="Z_CD87A0F2_FE3D_4321_B5B4_E508123E4B2C_.wvu.FilterData" localSheetId="3" hidden="1">'04'!$AS$3:$AS$58</definedName>
    <definedName name="Z_CD87A0F2_FE3D_4321_B5B4_E508123E4B2C_.wvu.FilterData" localSheetId="4" hidden="1">'05'!$AT$3:$AT$57</definedName>
    <definedName name="Z_CD87A0F2_FE3D_4321_B5B4_E508123E4B2C_.wvu.FilterData" localSheetId="5" hidden="1">'06'!$AS$3:$AS$56</definedName>
    <definedName name="Z_CD87A0F2_FE3D_4321_B5B4_E508123E4B2C_.wvu.FilterData" localSheetId="6" hidden="1">'07'!$AU$3:$AU$56</definedName>
    <definedName name="Z_CD87A0F2_FE3D_4321_B5B4_E508123E4B2C_.wvu.FilterData" localSheetId="7" hidden="1">'08'!$AT$3:$AT$57</definedName>
    <definedName name="Z_CD87A0F2_FE3D_4321_B5B4_E508123E4B2C_.wvu.FilterData" localSheetId="8" hidden="1">'09'!$AS$3:$AS$57</definedName>
    <definedName name="Z_CD87A0F2_FE3D_4321_B5B4_E508123E4B2C_.wvu.FilterData" localSheetId="9" hidden="1">'10'!$AT$3:$AT$58</definedName>
    <definedName name="Z_D01FD73A_0AEC_4978_9E98_65A12C9FC5AB_.wvu.FilterData" localSheetId="0" hidden="1">'01'!$AT$3:$AT$58</definedName>
    <definedName name="Z_D01FD73A_0AEC_4978_9E98_65A12C9FC5AB_.wvu.FilterData" localSheetId="1" hidden="1">'02'!$AQ$3:$AQ$58</definedName>
    <definedName name="Z_D01FD73A_0AEC_4978_9E98_65A12C9FC5AB_.wvu.FilterData" localSheetId="2" hidden="1">'03'!$AT$3:$AT$58</definedName>
    <definedName name="Z_D01FD73A_0AEC_4978_9E98_65A12C9FC5AB_.wvu.FilterData" localSheetId="3" hidden="1">'04'!$AS$3:$AS$58</definedName>
    <definedName name="Z_D01FD73A_0AEC_4978_9E98_65A12C9FC5AB_.wvu.FilterData" localSheetId="4" hidden="1">'05'!$AT$3:$AT$57</definedName>
    <definedName name="Z_D01FD73A_0AEC_4978_9E98_65A12C9FC5AB_.wvu.FilterData" localSheetId="5" hidden="1">'06'!$AS$3:$AS$56</definedName>
    <definedName name="Z_D01FD73A_0AEC_4978_9E98_65A12C9FC5AB_.wvu.FilterData" localSheetId="6" hidden="1">'07'!$AU$3:$AU$56</definedName>
    <definedName name="Z_D01FD73A_0AEC_4978_9E98_65A12C9FC5AB_.wvu.FilterData" localSheetId="7" hidden="1">'08'!$AT$3:$AT$57</definedName>
    <definedName name="Z_D01FD73A_0AEC_4978_9E98_65A12C9FC5AB_.wvu.FilterData" localSheetId="8" hidden="1">'09'!$AS$3:$AS$57</definedName>
    <definedName name="Z_D01FD73A_0AEC_4978_9E98_65A12C9FC5AB_.wvu.FilterData" localSheetId="9" hidden="1">'10'!$AT$3:$AT$58</definedName>
    <definedName name="Z_D0519CCD_770A_486A_8C8C_B17E3171CE81_.wvu.FilterData" localSheetId="5" hidden="1">'06'!$AS$3:$AS$57</definedName>
    <definedName name="Z_D2A3871A_C619_4B6C_BF98_0DD914078D48_.wvu.FilterData" localSheetId="0" hidden="1">'01'!$AT$3:$AT$59</definedName>
    <definedName name="Z_D2A3871A_C619_4B6C_BF98_0DD914078D48_.wvu.FilterData" localSheetId="1" hidden="1">'02'!$AQ$3:$AQ$59</definedName>
    <definedName name="Z_D2A3871A_C619_4B6C_BF98_0DD914078D48_.wvu.FilterData" localSheetId="2" hidden="1">'03'!$AT$3:$AT$59</definedName>
    <definedName name="Z_D2A3871A_C619_4B6C_BF98_0DD914078D48_.wvu.FilterData" localSheetId="3" hidden="1">'04'!$AS$3:$AS$59</definedName>
    <definedName name="Z_D2A3871A_C619_4B6C_BF98_0DD914078D48_.wvu.FilterData" localSheetId="4" hidden="1">'05'!$AT$3:$AT$58</definedName>
    <definedName name="Z_D2A3871A_C619_4B6C_BF98_0DD914078D48_.wvu.FilterData" localSheetId="5" hidden="1">'06'!$AS$3:$AS$57</definedName>
    <definedName name="Z_D2A3871A_C619_4B6C_BF98_0DD914078D48_.wvu.FilterData" localSheetId="6" hidden="1">'07'!$AU$3:$AU$57</definedName>
    <definedName name="Z_D2A3871A_C619_4B6C_BF98_0DD914078D48_.wvu.FilterData" localSheetId="7" hidden="1">'08'!$AT$3:$AT$58</definedName>
    <definedName name="Z_D2A3871A_C619_4B6C_BF98_0DD914078D48_.wvu.FilterData" localSheetId="8" hidden="1">'09'!$AS$3:$AS$58</definedName>
    <definedName name="Z_D2A3871A_C619_4B6C_BF98_0DD914078D48_.wvu.FilterData" localSheetId="9" hidden="1">'10'!$AT$3:$AT$59</definedName>
    <definedName name="Z_D39C42B0_1049_4D36_8DCD_D13BB3B31BD1_.wvu.FilterData" localSheetId="0" hidden="1">'01'!$AT$3:$AT$59</definedName>
    <definedName name="Z_D39C42B0_1049_4D36_8DCD_D13BB3B31BD1_.wvu.FilterData" localSheetId="2" hidden="1">'03'!$AT$3:$AT$59</definedName>
    <definedName name="Z_D39C42B0_1049_4D36_8DCD_D13BB3B31BD1_.wvu.FilterData" localSheetId="3" hidden="1">'04'!$AS$3:$AS$59</definedName>
    <definedName name="Z_D39C42B0_1049_4D36_8DCD_D13BB3B31BD1_.wvu.FilterData" localSheetId="4" hidden="1">'05'!$AT$3:$AT$58</definedName>
    <definedName name="Z_D39C42B0_1049_4D36_8DCD_D13BB3B31BD1_.wvu.FilterData" localSheetId="5" hidden="1">'06'!$AS$3:$AS$57</definedName>
    <definedName name="Z_D39C42B0_1049_4D36_8DCD_D13BB3B31BD1_.wvu.FilterData" localSheetId="6" hidden="1">'07'!$AU$3:$AU$57</definedName>
    <definedName name="Z_D39C42B0_1049_4D36_8DCD_D13BB3B31BD1_.wvu.FilterData" localSheetId="7" hidden="1">'08'!$AT$3:$AT$58</definedName>
    <definedName name="Z_D39C42B0_1049_4D36_8DCD_D13BB3B31BD1_.wvu.FilterData" localSheetId="8" hidden="1">'09'!$AS$3:$AS$58</definedName>
    <definedName name="Z_D39C42B0_1049_4D36_8DCD_D13BB3B31BD1_.wvu.FilterData" localSheetId="9" hidden="1">'10'!$AT$3:$AT$59</definedName>
    <definedName name="Z_D4353F86_4960_44BA_A7CA_A5C7CBCD8219_.wvu.FilterData" localSheetId="5" hidden="1">'06'!$AS$3:$AS$57</definedName>
    <definedName name="Z_D4A8FAAF_DB23_469D_9FAB_6EACDBEAA7EB_.wvu.FilterData" localSheetId="0" hidden="1">'01'!$AT$3:$AT$59</definedName>
    <definedName name="Z_D4A8FAAF_DB23_469D_9FAB_6EACDBEAA7EB_.wvu.FilterData" localSheetId="1" hidden="1">'02'!$AQ$3:$AQ$59</definedName>
    <definedName name="Z_D4A8FAAF_DB23_469D_9FAB_6EACDBEAA7EB_.wvu.FilterData" localSheetId="2" hidden="1">'03'!$AT$3:$AT$59</definedName>
    <definedName name="Z_D4A8FAAF_DB23_469D_9FAB_6EACDBEAA7EB_.wvu.FilterData" localSheetId="3" hidden="1">'04'!$AS$3:$AS$59</definedName>
    <definedName name="Z_D4A8FAAF_DB23_469D_9FAB_6EACDBEAA7EB_.wvu.FilterData" localSheetId="4" hidden="1">'05'!$AT$3:$AT$58</definedName>
    <definedName name="Z_D4A8FAAF_DB23_469D_9FAB_6EACDBEAA7EB_.wvu.FilterData" localSheetId="5" hidden="1">'06'!$AS$3:$AS$57</definedName>
    <definedName name="Z_D4A8FAAF_DB23_469D_9FAB_6EACDBEAA7EB_.wvu.FilterData" localSheetId="6" hidden="1">'07'!$AU$3:$AU$57</definedName>
    <definedName name="Z_D4A8FAAF_DB23_469D_9FAB_6EACDBEAA7EB_.wvu.FilterData" localSheetId="7" hidden="1">'08'!$AT$3:$AT$58</definedName>
    <definedName name="Z_D4A8FAAF_DB23_469D_9FAB_6EACDBEAA7EB_.wvu.FilterData" localSheetId="8" hidden="1">'09'!$AS$3:$AS$58</definedName>
    <definedName name="Z_D4A8FAAF_DB23_469D_9FAB_6EACDBEAA7EB_.wvu.FilterData" localSheetId="9" hidden="1">'10'!$AT$3:$AT$59</definedName>
    <definedName name="Z_D4E13D1B_AC52_4AD6_8F98_1AC05BA40B9A_.wvu.FilterData" localSheetId="0" hidden="1">'01'!$AT$3:$AT$58</definedName>
    <definedName name="Z_D4E13D1B_AC52_4AD6_8F98_1AC05BA40B9A_.wvu.FilterData" localSheetId="1" hidden="1">'02'!$AQ$3:$AQ$58</definedName>
    <definedName name="Z_D4E13D1B_AC52_4AD6_8F98_1AC05BA40B9A_.wvu.FilterData" localSheetId="2" hidden="1">'03'!$AT$3:$AT$58</definedName>
    <definedName name="Z_D4E13D1B_AC52_4AD6_8F98_1AC05BA40B9A_.wvu.FilterData" localSheetId="3" hidden="1">'04'!$AS$3:$AS$58</definedName>
    <definedName name="Z_D4E13D1B_AC52_4AD6_8F98_1AC05BA40B9A_.wvu.FilterData" localSheetId="4" hidden="1">'05'!$AT$3:$AT$57</definedName>
    <definedName name="Z_D4E13D1B_AC52_4AD6_8F98_1AC05BA40B9A_.wvu.FilterData" localSheetId="5" hidden="1">'06'!$AS$3:$AS$56</definedName>
    <definedName name="Z_D4E13D1B_AC52_4AD6_8F98_1AC05BA40B9A_.wvu.FilterData" localSheetId="6" hidden="1">'07'!$AU$3:$AU$56</definedName>
    <definedName name="Z_D4E13D1B_AC52_4AD6_8F98_1AC05BA40B9A_.wvu.FilterData" localSheetId="7" hidden="1">'08'!$AT$3:$AT$57</definedName>
    <definedName name="Z_D4E13D1B_AC52_4AD6_8F98_1AC05BA40B9A_.wvu.FilterData" localSheetId="8" hidden="1">'09'!$AS$3:$AS$57</definedName>
    <definedName name="Z_D4E13D1B_AC52_4AD6_8F98_1AC05BA40B9A_.wvu.FilterData" localSheetId="9" hidden="1">'10'!$AT$3:$AT$58</definedName>
    <definedName name="Z_D5329DC8_063E_4621_B127_9CF9BE46DF93_.wvu.FilterData" localSheetId="0" hidden="1">'01'!$AT$3:$AT$58</definedName>
    <definedName name="Z_D5329DC8_063E_4621_B127_9CF9BE46DF93_.wvu.FilterData" localSheetId="1" hidden="1">'02'!$AQ$3:$AQ$58</definedName>
    <definedName name="Z_D5329DC8_063E_4621_B127_9CF9BE46DF93_.wvu.FilterData" localSheetId="2" hidden="1">'03'!$AT$3:$AT$58</definedName>
    <definedName name="Z_D5329DC8_063E_4621_B127_9CF9BE46DF93_.wvu.FilterData" localSheetId="3" hidden="1">'04'!$AS$3:$AS$58</definedName>
    <definedName name="Z_D5329DC8_063E_4621_B127_9CF9BE46DF93_.wvu.FilterData" localSheetId="4" hidden="1">'05'!$AT$3:$AT$57</definedName>
    <definedName name="Z_D5329DC8_063E_4621_B127_9CF9BE46DF93_.wvu.FilterData" localSheetId="5" hidden="1">'06'!$AS$3:$AS$56</definedName>
    <definedName name="Z_D5329DC8_063E_4621_B127_9CF9BE46DF93_.wvu.FilterData" localSheetId="6" hidden="1">'07'!$AU$3:$AU$56</definedName>
    <definedName name="Z_D5329DC8_063E_4621_B127_9CF9BE46DF93_.wvu.FilterData" localSheetId="7" hidden="1">'08'!$AT$3:$AT$57</definedName>
    <definedName name="Z_D5329DC8_063E_4621_B127_9CF9BE46DF93_.wvu.FilterData" localSheetId="8" hidden="1">'09'!$AS$3:$AS$57</definedName>
    <definedName name="Z_D5329DC8_063E_4621_B127_9CF9BE46DF93_.wvu.FilterData" localSheetId="9" hidden="1">'10'!$AT$3:$AT$58</definedName>
    <definedName name="Z_D5740A2A_D33B_4CC2_A346_5DCD230AE05B_.wvu.FilterData" localSheetId="0" hidden="1">'01'!$AT$3:$AT$58</definedName>
    <definedName name="Z_D5740A2A_D33B_4CC2_A346_5DCD230AE05B_.wvu.FilterData" localSheetId="1" hidden="1">'02'!$AQ$3:$AQ$58</definedName>
    <definedName name="Z_D5740A2A_D33B_4CC2_A346_5DCD230AE05B_.wvu.FilterData" localSheetId="2" hidden="1">'03'!$AT$3:$AT$58</definedName>
    <definedName name="Z_D5740A2A_D33B_4CC2_A346_5DCD230AE05B_.wvu.FilterData" localSheetId="3" hidden="1">'04'!$AS$3:$AS$58</definedName>
    <definedName name="Z_D5740A2A_D33B_4CC2_A346_5DCD230AE05B_.wvu.FilterData" localSheetId="4" hidden="1">'05'!$AT$3:$AT$57</definedName>
    <definedName name="Z_D5740A2A_D33B_4CC2_A346_5DCD230AE05B_.wvu.FilterData" localSheetId="5" hidden="1">'06'!$AS$3:$AS$56</definedName>
    <definedName name="Z_D5740A2A_D33B_4CC2_A346_5DCD230AE05B_.wvu.FilterData" localSheetId="6" hidden="1">'07'!$AU$3:$AU$56</definedName>
    <definedName name="Z_D5740A2A_D33B_4CC2_A346_5DCD230AE05B_.wvu.FilterData" localSheetId="7" hidden="1">'08'!$AT$3:$AT$57</definedName>
    <definedName name="Z_D5740A2A_D33B_4CC2_A346_5DCD230AE05B_.wvu.FilterData" localSheetId="8" hidden="1">'09'!$AS$3:$AS$57</definedName>
    <definedName name="Z_D5740A2A_D33B_4CC2_A346_5DCD230AE05B_.wvu.FilterData" localSheetId="9" hidden="1">'10'!$AT$3:$AT$58</definedName>
    <definedName name="Z_D606A5A1_A66F_45D6_9BAC_AE0DD2010C25_.wvu.FilterData" localSheetId="4" hidden="1">'05'!$AT$3:$AT$58</definedName>
    <definedName name="Z_D606A5A1_A66F_45D6_9BAC_AE0DD2010C25_.wvu.FilterData" localSheetId="5" hidden="1">'06'!$AS$3:$AS$57</definedName>
    <definedName name="Z_D606A5A1_A66F_45D6_9BAC_AE0DD2010C25_.wvu.FilterData" localSheetId="6" hidden="1">'07'!$AU$3:$AU$57</definedName>
    <definedName name="Z_D606A5A1_A66F_45D6_9BAC_AE0DD2010C25_.wvu.FilterData" localSheetId="7" hidden="1">'08'!$AT$3:$AT$58</definedName>
    <definedName name="Z_D606A5A1_A66F_45D6_9BAC_AE0DD2010C25_.wvu.FilterData" localSheetId="8" hidden="1">'09'!$AS$3:$AS$58</definedName>
    <definedName name="Z_D606A5A1_A66F_45D6_9BAC_AE0DD2010C25_.wvu.FilterData" localSheetId="9" hidden="1">'10'!$AT$3:$AT$59</definedName>
    <definedName name="Z_D6B55389_6372_4759_9049_B870CEDF5F7E_.wvu.FilterData" localSheetId="0" hidden="1">'01'!$AT$3:$AT$59</definedName>
    <definedName name="Z_D6B55389_6372_4759_9049_B870CEDF5F7E_.wvu.FilterData" localSheetId="1" hidden="1">'02'!$AQ$3:$AQ$59</definedName>
    <definedName name="Z_D6B55389_6372_4759_9049_B870CEDF5F7E_.wvu.FilterData" localSheetId="2" hidden="1">'03'!$AT$3:$AT$59</definedName>
    <definedName name="Z_D6B55389_6372_4759_9049_B870CEDF5F7E_.wvu.FilterData" localSheetId="3" hidden="1">'04'!$AS$3:$AS$59</definedName>
    <definedName name="Z_D6B55389_6372_4759_9049_B870CEDF5F7E_.wvu.FilterData" localSheetId="4" hidden="1">'05'!$AT$3:$AT$58</definedName>
    <definedName name="Z_D6B55389_6372_4759_9049_B870CEDF5F7E_.wvu.FilterData" localSheetId="5" hidden="1">'06'!$AS$3:$AS$57</definedName>
    <definedName name="Z_D6B55389_6372_4759_9049_B870CEDF5F7E_.wvu.FilterData" localSheetId="6" hidden="1">'07'!$AU$3:$AU$57</definedName>
    <definedName name="Z_D6B55389_6372_4759_9049_B870CEDF5F7E_.wvu.FilterData" localSheetId="7" hidden="1">'08'!$AT$3:$AT$58</definedName>
    <definedName name="Z_D6B55389_6372_4759_9049_B870CEDF5F7E_.wvu.FilterData" localSheetId="8" hidden="1">'09'!$AS$3:$AS$58</definedName>
    <definedName name="Z_D6B55389_6372_4759_9049_B870CEDF5F7E_.wvu.FilterData" localSheetId="9" hidden="1">'10'!$AT$3:$AT$59</definedName>
    <definedName name="Z_D83B79D5_94B8_48E9_BF48_FADAEBA48B24_.wvu.FilterData" localSheetId="0" hidden="1">'01'!$AT$3:$AT$58</definedName>
    <definedName name="Z_D83B79D5_94B8_48E9_BF48_FADAEBA48B24_.wvu.FilterData" localSheetId="1" hidden="1">'02'!$AQ$3:$AQ$58</definedName>
    <definedName name="Z_D83B79D5_94B8_48E9_BF48_FADAEBA48B24_.wvu.FilterData" localSheetId="2" hidden="1">'03'!$AT$3:$AT$58</definedName>
    <definedName name="Z_D83B79D5_94B8_48E9_BF48_FADAEBA48B24_.wvu.FilterData" localSheetId="3" hidden="1">'04'!$AS$3:$AS$58</definedName>
    <definedName name="Z_D83B79D5_94B8_48E9_BF48_FADAEBA48B24_.wvu.FilterData" localSheetId="4" hidden="1">'05'!$AT$3:$AT$57</definedName>
    <definedName name="Z_D83B79D5_94B8_48E9_BF48_FADAEBA48B24_.wvu.FilterData" localSheetId="5" hidden="1">'06'!$AS$3:$AS$56</definedName>
    <definedName name="Z_D83B79D5_94B8_48E9_BF48_FADAEBA48B24_.wvu.FilterData" localSheetId="6" hidden="1">'07'!$AU$3:$AU$56</definedName>
    <definedName name="Z_D83B79D5_94B8_48E9_BF48_FADAEBA48B24_.wvu.FilterData" localSheetId="7" hidden="1">'08'!$AT$3:$AT$57</definedName>
    <definedName name="Z_D83B79D5_94B8_48E9_BF48_FADAEBA48B24_.wvu.FilterData" localSheetId="8" hidden="1">'09'!$AS$3:$AS$57</definedName>
    <definedName name="Z_D83B79D5_94B8_48E9_BF48_FADAEBA48B24_.wvu.FilterData" localSheetId="9" hidden="1">'10'!$AT$3:$AT$58</definedName>
    <definedName name="Z_D95667A5_FAF5_4FD1_9B2E_DA441F5AA043_.wvu.FilterData" localSheetId="0" hidden="1">'01'!$AT$3:$AT$58</definedName>
    <definedName name="Z_D95667A5_FAF5_4FD1_9B2E_DA441F5AA043_.wvu.FilterData" localSheetId="1" hidden="1">'02'!$AQ$3:$AQ$58</definedName>
    <definedName name="Z_D95667A5_FAF5_4FD1_9B2E_DA441F5AA043_.wvu.FilterData" localSheetId="2" hidden="1">'03'!$AT$3:$AT$58</definedName>
    <definedName name="Z_D95667A5_FAF5_4FD1_9B2E_DA441F5AA043_.wvu.FilterData" localSheetId="3" hidden="1">'04'!$AS$3:$AS$58</definedName>
    <definedName name="Z_D95667A5_FAF5_4FD1_9B2E_DA441F5AA043_.wvu.FilterData" localSheetId="4" hidden="1">'05'!$AT$3:$AT$57</definedName>
    <definedName name="Z_D95667A5_FAF5_4FD1_9B2E_DA441F5AA043_.wvu.FilterData" localSheetId="5" hidden="1">'06'!$AS$3:$AS$56</definedName>
    <definedName name="Z_D95667A5_FAF5_4FD1_9B2E_DA441F5AA043_.wvu.FilterData" localSheetId="6" hidden="1">'07'!$AU$3:$AU$56</definedName>
    <definedName name="Z_D95667A5_FAF5_4FD1_9B2E_DA441F5AA043_.wvu.FilterData" localSheetId="7" hidden="1">'08'!$AT$3:$AT$57</definedName>
    <definedName name="Z_D95667A5_FAF5_4FD1_9B2E_DA441F5AA043_.wvu.FilterData" localSheetId="8" hidden="1">'09'!$AS$3:$AS$57</definedName>
    <definedName name="Z_D95667A5_FAF5_4FD1_9B2E_DA441F5AA043_.wvu.FilterData" localSheetId="9" hidden="1">'10'!$AT$3:$AT$58</definedName>
    <definedName name="Z_D984DC6B_2A3C_4A35_996E_7EBB8C0C1CE6_.wvu.FilterData" localSheetId="0" hidden="1">'01'!$AT$3:$AT$59</definedName>
    <definedName name="Z_D984DC6B_2A3C_4A35_996E_7EBB8C0C1CE6_.wvu.FilterData" localSheetId="2" hidden="1">'03'!$AT$3:$AT$59</definedName>
    <definedName name="Z_D984DC6B_2A3C_4A35_996E_7EBB8C0C1CE6_.wvu.FilterData" localSheetId="3" hidden="1">'04'!$AS$3:$AS$59</definedName>
    <definedName name="Z_D984DC6B_2A3C_4A35_996E_7EBB8C0C1CE6_.wvu.FilterData" localSheetId="4" hidden="1">'05'!$AT$3:$AT$58</definedName>
    <definedName name="Z_D984DC6B_2A3C_4A35_996E_7EBB8C0C1CE6_.wvu.FilterData" localSheetId="5" hidden="1">'06'!$AS$3:$AS$57</definedName>
    <definedName name="Z_D984DC6B_2A3C_4A35_996E_7EBB8C0C1CE6_.wvu.FilterData" localSheetId="6" hidden="1">'07'!$AU$3:$AU$57</definedName>
    <definedName name="Z_D984DC6B_2A3C_4A35_996E_7EBB8C0C1CE6_.wvu.FilterData" localSheetId="7" hidden="1">'08'!$AT$3:$AT$58</definedName>
    <definedName name="Z_D984DC6B_2A3C_4A35_996E_7EBB8C0C1CE6_.wvu.FilterData" localSheetId="8" hidden="1">'09'!$AS$3:$AS$58</definedName>
    <definedName name="Z_D984DC6B_2A3C_4A35_996E_7EBB8C0C1CE6_.wvu.FilterData" localSheetId="9" hidden="1">'10'!$AT$3:$AT$59</definedName>
    <definedName name="Z_D9D0023D_C158_4A9A_A30C_23621C9DD92F_.wvu.FilterData" localSheetId="0" hidden="1">'01'!$AT$3:$AT$58</definedName>
    <definedName name="Z_D9D0023D_C158_4A9A_A30C_23621C9DD92F_.wvu.FilterData" localSheetId="1" hidden="1">'02'!$AQ$3:$AQ$58</definedName>
    <definedName name="Z_D9D0023D_C158_4A9A_A30C_23621C9DD92F_.wvu.FilterData" localSheetId="2" hidden="1">'03'!$AT$3:$AT$58</definedName>
    <definedName name="Z_D9D0023D_C158_4A9A_A30C_23621C9DD92F_.wvu.FilterData" localSheetId="3" hidden="1">'04'!$AS$3:$AS$58</definedName>
    <definedName name="Z_D9D0023D_C158_4A9A_A30C_23621C9DD92F_.wvu.FilterData" localSheetId="4" hidden="1">'05'!$AT$3:$AT$57</definedName>
    <definedName name="Z_D9D0023D_C158_4A9A_A30C_23621C9DD92F_.wvu.FilterData" localSheetId="5" hidden="1">'06'!$AS$3:$AS$56</definedName>
    <definedName name="Z_D9D0023D_C158_4A9A_A30C_23621C9DD92F_.wvu.FilterData" localSheetId="6" hidden="1">'07'!$AU$3:$AU$56</definedName>
    <definedName name="Z_D9D0023D_C158_4A9A_A30C_23621C9DD92F_.wvu.FilterData" localSheetId="7" hidden="1">'08'!$AT$3:$AT$57</definedName>
    <definedName name="Z_D9D0023D_C158_4A9A_A30C_23621C9DD92F_.wvu.FilterData" localSheetId="8" hidden="1">'09'!$AS$3:$AS$57</definedName>
    <definedName name="Z_D9D0023D_C158_4A9A_A30C_23621C9DD92F_.wvu.FilterData" localSheetId="9" hidden="1">'10'!$AT$3:$AT$58</definedName>
    <definedName name="Z_DA1C3AD5_0BA4_4ACB_801B_3FA2FB2E7CB4_.wvu.FilterData" localSheetId="0" hidden="1">'01'!$AT$3:$AT$58</definedName>
    <definedName name="Z_DA1C3AD5_0BA4_4ACB_801B_3FA2FB2E7CB4_.wvu.FilterData" localSheetId="1" hidden="1">'02'!$AQ$3:$AQ$58</definedName>
    <definedName name="Z_DA1C3AD5_0BA4_4ACB_801B_3FA2FB2E7CB4_.wvu.FilterData" localSheetId="2" hidden="1">'03'!$AT$3:$AT$58</definedName>
    <definedName name="Z_DA1C3AD5_0BA4_4ACB_801B_3FA2FB2E7CB4_.wvu.FilterData" localSheetId="3" hidden="1">'04'!$AS$3:$AS$58</definedName>
    <definedName name="Z_DA1C3AD5_0BA4_4ACB_801B_3FA2FB2E7CB4_.wvu.FilterData" localSheetId="4" hidden="1">'05'!$AT$3:$AT$57</definedName>
    <definedName name="Z_DA1C3AD5_0BA4_4ACB_801B_3FA2FB2E7CB4_.wvu.FilterData" localSheetId="5" hidden="1">'06'!$AS$3:$AS$56</definedName>
    <definedName name="Z_DA1C3AD5_0BA4_4ACB_801B_3FA2FB2E7CB4_.wvu.FilterData" localSheetId="6" hidden="1">'07'!$AU$3:$AU$56</definedName>
    <definedName name="Z_DA1C3AD5_0BA4_4ACB_801B_3FA2FB2E7CB4_.wvu.FilterData" localSheetId="7" hidden="1">'08'!$AT$3:$AT$57</definedName>
    <definedName name="Z_DA1C3AD5_0BA4_4ACB_801B_3FA2FB2E7CB4_.wvu.FilterData" localSheetId="8" hidden="1">'09'!$AS$3:$AS$57</definedName>
    <definedName name="Z_DA1C3AD5_0BA4_4ACB_801B_3FA2FB2E7CB4_.wvu.FilterData" localSheetId="9" hidden="1">'10'!$AT$3:$AT$58</definedName>
    <definedName name="Z_DA2F2FF0_6CDD_400B_BA0E_36C86DAE4C7A_.wvu.FilterData" localSheetId="0" hidden="1">'01'!$AT$3:$AT$58</definedName>
    <definedName name="Z_DA2F2FF0_6CDD_400B_BA0E_36C86DAE4C7A_.wvu.FilterData" localSheetId="1" hidden="1">'02'!$AQ$3:$AQ$58</definedName>
    <definedName name="Z_DA2F2FF0_6CDD_400B_BA0E_36C86DAE4C7A_.wvu.FilterData" localSheetId="2" hidden="1">'03'!$AT$3:$AT$58</definedName>
    <definedName name="Z_DA2F2FF0_6CDD_400B_BA0E_36C86DAE4C7A_.wvu.FilterData" localSheetId="3" hidden="1">'04'!$AS$3:$AS$58</definedName>
    <definedName name="Z_DA2F2FF0_6CDD_400B_BA0E_36C86DAE4C7A_.wvu.FilterData" localSheetId="4" hidden="1">'05'!$AT$3:$AT$57</definedName>
    <definedName name="Z_DA2F2FF0_6CDD_400B_BA0E_36C86DAE4C7A_.wvu.FilterData" localSheetId="5" hidden="1">'06'!$AS$3:$AS$56</definedName>
    <definedName name="Z_DA2F2FF0_6CDD_400B_BA0E_36C86DAE4C7A_.wvu.FilterData" localSheetId="6" hidden="1">'07'!$AU$3:$AU$56</definedName>
    <definedName name="Z_DA2F2FF0_6CDD_400B_BA0E_36C86DAE4C7A_.wvu.FilterData" localSheetId="7" hidden="1">'08'!$AT$3:$AT$57</definedName>
    <definedName name="Z_DA2F2FF0_6CDD_400B_BA0E_36C86DAE4C7A_.wvu.FilterData" localSheetId="8" hidden="1">'09'!$AS$3:$AS$57</definedName>
    <definedName name="Z_DA2F2FF0_6CDD_400B_BA0E_36C86DAE4C7A_.wvu.FilterData" localSheetId="9" hidden="1">'10'!$AT$3:$AT$58</definedName>
    <definedName name="Z_DB46ED7A_A0AD_4959_B9DD_42329FB35F0C_.wvu.FilterData" localSheetId="1" hidden="1">'02'!$AQ$3:$AQ$60</definedName>
    <definedName name="Z_DBE7BB5D_C1E6_4963_8A1F_F8F7EF96D10E_.wvu.FilterData" localSheetId="7" hidden="1">'08'!$AT$3:$AT$58</definedName>
    <definedName name="Z_DBE7BB5D_C1E6_4963_8A1F_F8F7EF96D10E_.wvu.FilterData" localSheetId="8" hidden="1">'09'!$AS$3:$AS$58</definedName>
    <definedName name="Z_DBE7BB5D_C1E6_4963_8A1F_F8F7EF96D10E_.wvu.FilterData" localSheetId="9" hidden="1">'10'!$AT$3:$AT$59</definedName>
    <definedName name="Z_DF345B5B_FB4E_4A24_828D_95448470D894_.wvu.FilterData" localSheetId="2" hidden="1">'03'!$AT$3:$AT$59</definedName>
    <definedName name="Z_DF345B5B_FB4E_4A24_828D_95448470D894_.wvu.FilterData" localSheetId="3" hidden="1">'04'!$AS$3:$AS$59</definedName>
    <definedName name="Z_DF345B5B_FB4E_4A24_828D_95448470D894_.wvu.FilterData" localSheetId="4" hidden="1">'05'!$AT$3:$AT$58</definedName>
    <definedName name="Z_DF345B5B_FB4E_4A24_828D_95448470D894_.wvu.FilterData" localSheetId="5" hidden="1">'06'!$AS$3:$AS$57</definedName>
    <definedName name="Z_DF345B5B_FB4E_4A24_828D_95448470D894_.wvu.FilterData" localSheetId="6" hidden="1">'07'!$AU$3:$AU$57</definedName>
    <definedName name="Z_DF345B5B_FB4E_4A24_828D_95448470D894_.wvu.FilterData" localSheetId="7" hidden="1">'08'!$AT$3:$AT$58</definedName>
    <definedName name="Z_DF345B5B_FB4E_4A24_828D_95448470D894_.wvu.FilterData" localSheetId="8" hidden="1">'09'!$AS$3:$AS$58</definedName>
    <definedName name="Z_DF345B5B_FB4E_4A24_828D_95448470D894_.wvu.FilterData" localSheetId="9" hidden="1">'10'!$AT$3:$AT$59</definedName>
    <definedName name="Z_DF4F2BFC_5CCE_4AC9_A059_A73631A47C03_.wvu.FilterData" localSheetId="0" hidden="1">'01'!$AT$3:$AT$58</definedName>
    <definedName name="Z_DF4F2BFC_5CCE_4AC9_A059_A73631A47C03_.wvu.FilterData" localSheetId="1" hidden="1">'02'!$AQ$3:$AQ$58</definedName>
    <definedName name="Z_DF4F2BFC_5CCE_4AC9_A059_A73631A47C03_.wvu.FilterData" localSheetId="2" hidden="1">'03'!$AT$3:$AT$58</definedName>
    <definedName name="Z_DF4F2BFC_5CCE_4AC9_A059_A73631A47C03_.wvu.FilterData" localSheetId="3" hidden="1">'04'!$AS$3:$AS$58</definedName>
    <definedName name="Z_DF4F2BFC_5CCE_4AC9_A059_A73631A47C03_.wvu.FilterData" localSheetId="4" hidden="1">'05'!$AT$3:$AT$57</definedName>
    <definedName name="Z_DF4F2BFC_5CCE_4AC9_A059_A73631A47C03_.wvu.FilterData" localSheetId="5" hidden="1">'06'!$AS$3:$AS$56</definedName>
    <definedName name="Z_DF4F2BFC_5CCE_4AC9_A059_A73631A47C03_.wvu.FilterData" localSheetId="6" hidden="1">'07'!$AU$3:$AU$56</definedName>
    <definedName name="Z_DF4F2BFC_5CCE_4AC9_A059_A73631A47C03_.wvu.FilterData" localSheetId="7" hidden="1">'08'!$AT$3:$AT$57</definedName>
    <definedName name="Z_DF4F2BFC_5CCE_4AC9_A059_A73631A47C03_.wvu.FilterData" localSheetId="8" hidden="1">'09'!$AS$3:$AS$57</definedName>
    <definedName name="Z_DF4F2BFC_5CCE_4AC9_A059_A73631A47C03_.wvu.FilterData" localSheetId="9" hidden="1">'10'!$AT$3:$AT$58</definedName>
    <definedName name="Z_E02DF464_5B50_4B2A_A51A_F41F42CC243C_.wvu.FilterData" localSheetId="0" hidden="1">'01'!$AT$3:$AT$58</definedName>
    <definedName name="Z_E02DF464_5B50_4B2A_A51A_F41F42CC243C_.wvu.FilterData" localSheetId="1" hidden="1">'02'!$AQ$3:$AQ$58</definedName>
    <definedName name="Z_E02DF464_5B50_4B2A_A51A_F41F42CC243C_.wvu.FilterData" localSheetId="2" hidden="1">'03'!$AT$3:$AT$58</definedName>
    <definedName name="Z_E02DF464_5B50_4B2A_A51A_F41F42CC243C_.wvu.FilterData" localSheetId="3" hidden="1">'04'!$AS$3:$AS$58</definedName>
    <definedName name="Z_E02DF464_5B50_4B2A_A51A_F41F42CC243C_.wvu.FilterData" localSheetId="4" hidden="1">'05'!$AT$3:$AT$57</definedName>
    <definedName name="Z_E02DF464_5B50_4B2A_A51A_F41F42CC243C_.wvu.FilterData" localSheetId="5" hidden="1">'06'!$AS$3:$AS$56</definedName>
    <definedName name="Z_E02DF464_5B50_4B2A_A51A_F41F42CC243C_.wvu.FilterData" localSheetId="6" hidden="1">'07'!$AU$3:$AU$56</definedName>
    <definedName name="Z_E02DF464_5B50_4B2A_A51A_F41F42CC243C_.wvu.FilterData" localSheetId="7" hidden="1">'08'!$AT$3:$AT$57</definedName>
    <definedName name="Z_E02DF464_5B50_4B2A_A51A_F41F42CC243C_.wvu.FilterData" localSheetId="8" hidden="1">'09'!$AS$3:$AS$57</definedName>
    <definedName name="Z_E02DF464_5B50_4B2A_A51A_F41F42CC243C_.wvu.FilterData" localSheetId="9" hidden="1">'10'!$AT$3:$AT$58</definedName>
    <definedName name="Z_E11F5EC0_C2B6_42C0_8F2F_597E1A0FDCD8_.wvu.FilterData" localSheetId="6" hidden="1">'07'!$AU$3:$AU$57</definedName>
    <definedName name="Z_E11F5EC0_C2B6_42C0_8F2F_597E1A0FDCD8_.wvu.FilterData" localSheetId="7" hidden="1">'08'!$AT$3:$AT$58</definedName>
    <definedName name="Z_E11F5EC0_C2B6_42C0_8F2F_597E1A0FDCD8_.wvu.FilterData" localSheetId="8" hidden="1">'09'!$AS$3:$AS$58</definedName>
    <definedName name="Z_E11F5EC0_C2B6_42C0_8F2F_597E1A0FDCD8_.wvu.FilterData" localSheetId="9" hidden="1">'10'!$AT$3:$AT$59</definedName>
    <definedName name="Z_E1C926BF_574C_4200_ACC0_EFF72CCF8F7C_.wvu.FilterData" localSheetId="0" hidden="1">'01'!$AT$3:$AT$58</definedName>
    <definedName name="Z_E1C926BF_574C_4200_ACC0_EFF72CCF8F7C_.wvu.FilterData" localSheetId="1" hidden="1">'02'!$AQ$3:$AQ$58</definedName>
    <definedName name="Z_E1C926BF_574C_4200_ACC0_EFF72CCF8F7C_.wvu.FilterData" localSheetId="2" hidden="1">'03'!$AT$3:$AT$58</definedName>
    <definedName name="Z_E1C926BF_574C_4200_ACC0_EFF72CCF8F7C_.wvu.FilterData" localSheetId="3" hidden="1">'04'!$AS$3:$AS$58</definedName>
    <definedName name="Z_E1C926BF_574C_4200_ACC0_EFF72CCF8F7C_.wvu.FilterData" localSheetId="4" hidden="1">'05'!$AT$3:$AT$57</definedName>
    <definedName name="Z_E1C926BF_574C_4200_ACC0_EFF72CCF8F7C_.wvu.FilterData" localSheetId="5" hidden="1">'06'!$AS$3:$AS$56</definedName>
    <definedName name="Z_E1C926BF_574C_4200_ACC0_EFF72CCF8F7C_.wvu.FilterData" localSheetId="6" hidden="1">'07'!$AU$3:$AU$56</definedName>
    <definedName name="Z_E1C926BF_574C_4200_ACC0_EFF72CCF8F7C_.wvu.FilterData" localSheetId="7" hidden="1">'08'!$AT$3:$AT$57</definedName>
    <definedName name="Z_E1C926BF_574C_4200_ACC0_EFF72CCF8F7C_.wvu.FilterData" localSheetId="8" hidden="1">'09'!$AS$3:$AS$57</definedName>
    <definedName name="Z_E1C926BF_574C_4200_ACC0_EFF72CCF8F7C_.wvu.FilterData" localSheetId="9" hidden="1">'10'!$AT$3:$AT$58</definedName>
    <definedName name="Z_E2907E9E_F0A5_4ACF_B967_B1C94084D640_.wvu.FilterData" localSheetId="6" hidden="1">'07'!$AU$3:$AU$57</definedName>
    <definedName name="Z_E2907E9E_F0A5_4ACF_B967_B1C94084D640_.wvu.FilterData" localSheetId="7" hidden="1">'08'!$AT$3:$AT$58</definedName>
    <definedName name="Z_E2907E9E_F0A5_4ACF_B967_B1C94084D640_.wvu.FilterData" localSheetId="8" hidden="1">'09'!$AS$3:$AS$58</definedName>
    <definedName name="Z_E2907E9E_F0A5_4ACF_B967_B1C94084D640_.wvu.FilterData" localSheetId="9" hidden="1">'10'!$AT$3:$AT$59</definedName>
    <definedName name="Z_E29C1FBB_B301_45BD_9D69_2153A5A15A6B_.wvu.FilterData" localSheetId="2" hidden="1">'03'!$AT$3:$AT$59</definedName>
    <definedName name="Z_E29C1FBB_B301_45BD_9D69_2153A5A15A6B_.wvu.FilterData" localSheetId="3" hidden="1">'04'!$AS$3:$AS$59</definedName>
    <definedName name="Z_E29C1FBB_B301_45BD_9D69_2153A5A15A6B_.wvu.FilterData" localSheetId="4" hidden="1">'05'!$AT$3:$AT$58</definedName>
    <definedName name="Z_E29C1FBB_B301_45BD_9D69_2153A5A15A6B_.wvu.FilterData" localSheetId="5" hidden="1">'06'!$AS$3:$AS$57</definedName>
    <definedName name="Z_E29C1FBB_B301_45BD_9D69_2153A5A15A6B_.wvu.FilterData" localSheetId="6" hidden="1">'07'!$AU$3:$AU$57</definedName>
    <definedName name="Z_E29C1FBB_B301_45BD_9D69_2153A5A15A6B_.wvu.FilterData" localSheetId="7" hidden="1">'08'!$AT$3:$AT$58</definedName>
    <definedName name="Z_E29C1FBB_B301_45BD_9D69_2153A5A15A6B_.wvu.FilterData" localSheetId="8" hidden="1">'09'!$AS$3:$AS$58</definedName>
    <definedName name="Z_E29C1FBB_B301_45BD_9D69_2153A5A15A6B_.wvu.FilterData" localSheetId="9" hidden="1">'10'!$AT$3:$AT$59</definedName>
    <definedName name="Z_E2D0732B_BFF9_4E08_9499_9455A262EC05_.wvu.FilterData" localSheetId="0" hidden="1">'01'!$AT$3:$AT$58</definedName>
    <definedName name="Z_E2D0732B_BFF9_4E08_9499_9455A262EC05_.wvu.FilterData" localSheetId="1" hidden="1">'02'!$AQ$3:$AQ$58</definedName>
    <definedName name="Z_E2D0732B_BFF9_4E08_9499_9455A262EC05_.wvu.FilterData" localSheetId="2" hidden="1">'03'!$AT$3:$AT$58</definedName>
    <definedName name="Z_E2D0732B_BFF9_4E08_9499_9455A262EC05_.wvu.FilterData" localSheetId="3" hidden="1">'04'!$AS$3:$AS$58</definedName>
    <definedName name="Z_E2D0732B_BFF9_4E08_9499_9455A262EC05_.wvu.FilterData" localSheetId="4" hidden="1">'05'!$AT$3:$AT$57</definedName>
    <definedName name="Z_E2D0732B_BFF9_4E08_9499_9455A262EC05_.wvu.FilterData" localSheetId="5" hidden="1">'06'!$AS$3:$AS$56</definedName>
    <definedName name="Z_E2D0732B_BFF9_4E08_9499_9455A262EC05_.wvu.FilterData" localSheetId="6" hidden="1">'07'!$AU$3:$AU$56</definedName>
    <definedName name="Z_E2D0732B_BFF9_4E08_9499_9455A262EC05_.wvu.FilterData" localSheetId="7" hidden="1">'08'!$AT$3:$AT$57</definedName>
    <definedName name="Z_E2D0732B_BFF9_4E08_9499_9455A262EC05_.wvu.FilterData" localSheetId="8" hidden="1">'09'!$AS$3:$AS$57</definedName>
    <definedName name="Z_E2D0732B_BFF9_4E08_9499_9455A262EC05_.wvu.FilterData" localSheetId="9" hidden="1">'10'!$AT$3:$AT$58</definedName>
    <definedName name="Z_E32B3342_D090_490E_8AA8_E97FEB828B35_.wvu.FilterData" localSheetId="0" hidden="1">'01'!$AT$3:$AT$59</definedName>
    <definedName name="Z_E32B3342_D090_490E_8AA8_E97FEB828B35_.wvu.FilterData" localSheetId="1" hidden="1">'02'!$AQ$3:$AQ$59</definedName>
    <definedName name="Z_E32B3342_D090_490E_8AA8_E97FEB828B35_.wvu.FilterData" localSheetId="2" hidden="1">'03'!$AT$3:$AT$59</definedName>
    <definedName name="Z_E32B3342_D090_490E_8AA8_E97FEB828B35_.wvu.FilterData" localSheetId="3" hidden="1">'04'!$AS$3:$AS$59</definedName>
    <definedName name="Z_E32B3342_D090_490E_8AA8_E97FEB828B35_.wvu.FilterData" localSheetId="4" hidden="1">'05'!$AT$3:$AT$58</definedName>
    <definedName name="Z_E32B3342_D090_490E_8AA8_E97FEB828B35_.wvu.FilterData" localSheetId="5" hidden="1">'06'!$AS$3:$AS$57</definedName>
    <definedName name="Z_E32B3342_D090_490E_8AA8_E97FEB828B35_.wvu.FilterData" localSheetId="6" hidden="1">'07'!$AU$3:$AU$57</definedName>
    <definedName name="Z_E32B3342_D090_490E_8AA8_E97FEB828B35_.wvu.FilterData" localSheetId="7" hidden="1">'08'!$AT$3:$AT$58</definedName>
    <definedName name="Z_E32B3342_D090_490E_8AA8_E97FEB828B35_.wvu.FilterData" localSheetId="8" hidden="1">'09'!$AS$3:$AS$58</definedName>
    <definedName name="Z_E32B3342_D090_490E_8AA8_E97FEB828B35_.wvu.FilterData" localSheetId="9" hidden="1">'10'!$AT$3:$AT$59</definedName>
    <definedName name="Z_E69882CB_1555_423C_8D9C_E98DEB8DFB50_.wvu.FilterData" localSheetId="0" hidden="1">'01'!$AT$3:$AT$58</definedName>
    <definedName name="Z_E69882CB_1555_423C_8D9C_E98DEB8DFB50_.wvu.FilterData" localSheetId="1" hidden="1">'02'!$AQ$3:$AQ$58</definedName>
    <definedName name="Z_E69882CB_1555_423C_8D9C_E98DEB8DFB50_.wvu.FilterData" localSheetId="2" hidden="1">'03'!$AT$3:$AT$58</definedName>
    <definedName name="Z_E69882CB_1555_423C_8D9C_E98DEB8DFB50_.wvu.FilterData" localSheetId="3" hidden="1">'04'!$AS$3:$AS$58</definedName>
    <definedName name="Z_E69882CB_1555_423C_8D9C_E98DEB8DFB50_.wvu.FilterData" localSheetId="4" hidden="1">'05'!$AT$3:$AT$57</definedName>
    <definedName name="Z_E69882CB_1555_423C_8D9C_E98DEB8DFB50_.wvu.FilterData" localSheetId="5" hidden="1">'06'!$AS$3:$AS$56</definedName>
    <definedName name="Z_E69882CB_1555_423C_8D9C_E98DEB8DFB50_.wvu.FilterData" localSheetId="6" hidden="1">'07'!$AU$3:$AU$56</definedName>
    <definedName name="Z_E69882CB_1555_423C_8D9C_E98DEB8DFB50_.wvu.FilterData" localSheetId="7" hidden="1">'08'!$AT$3:$AT$57</definedName>
    <definedName name="Z_E69882CB_1555_423C_8D9C_E98DEB8DFB50_.wvu.FilterData" localSheetId="8" hidden="1">'09'!$AS$3:$AS$57</definedName>
    <definedName name="Z_E69882CB_1555_423C_8D9C_E98DEB8DFB50_.wvu.FilterData" localSheetId="9" hidden="1">'10'!$AT$3:$AT$58</definedName>
    <definedName name="Z_E7AD2525_607A_4A0E_B65D_98E2AE8F5438_.wvu.FilterData" localSheetId="1" hidden="1">'02'!$AQ$3:$AQ$60</definedName>
    <definedName name="Z_E7AD30C0_5BAD_4964_9879_12B99454D951_.wvu.FilterData" localSheetId="0" hidden="1">'01'!$AT$3:$AT$59</definedName>
    <definedName name="Z_E7AD30C0_5BAD_4964_9879_12B99454D951_.wvu.FilterData" localSheetId="2" hidden="1">'03'!$AT$3:$AT$59</definedName>
    <definedName name="Z_E7AD30C0_5BAD_4964_9879_12B99454D951_.wvu.FilterData" localSheetId="3" hidden="1">'04'!$AS$3:$AS$59</definedName>
    <definedName name="Z_E7AD30C0_5BAD_4964_9879_12B99454D951_.wvu.FilterData" localSheetId="4" hidden="1">'05'!$AT$3:$AT$58</definedName>
    <definedName name="Z_E7AD30C0_5BAD_4964_9879_12B99454D951_.wvu.FilterData" localSheetId="5" hidden="1">'06'!$AS$3:$AS$57</definedName>
    <definedName name="Z_E7AD30C0_5BAD_4964_9879_12B99454D951_.wvu.FilterData" localSheetId="6" hidden="1">'07'!$AU$3:$AU$57</definedName>
    <definedName name="Z_E7AD30C0_5BAD_4964_9879_12B99454D951_.wvu.FilterData" localSheetId="7" hidden="1">'08'!$AT$3:$AT$58</definedName>
    <definedName name="Z_E7AD30C0_5BAD_4964_9879_12B99454D951_.wvu.FilterData" localSheetId="8" hidden="1">'09'!$AS$3:$AS$58</definedName>
    <definedName name="Z_E7AD30C0_5BAD_4964_9879_12B99454D951_.wvu.FilterData" localSheetId="9" hidden="1">'10'!$AT$3:$AT$59</definedName>
    <definedName name="Z_E7C96247_5A5A_48F1_8682_9D1E53ABB8EE_.wvu.FilterData" localSheetId="0" hidden="1">'01'!$AT$3:$AT$59</definedName>
    <definedName name="Z_E7C96247_5A5A_48F1_8682_9D1E53ABB8EE_.wvu.FilterData" localSheetId="1" hidden="1">'02'!$AQ$3:$AQ$59</definedName>
    <definedName name="Z_E7C96247_5A5A_48F1_8682_9D1E53ABB8EE_.wvu.FilterData" localSheetId="2" hidden="1">'03'!$AT$3:$AT$59</definedName>
    <definedName name="Z_E7C96247_5A5A_48F1_8682_9D1E53ABB8EE_.wvu.FilterData" localSheetId="3" hidden="1">'04'!$AS$3:$AS$59</definedName>
    <definedName name="Z_E7C96247_5A5A_48F1_8682_9D1E53ABB8EE_.wvu.FilterData" localSheetId="4" hidden="1">'05'!$AT$3:$AT$58</definedName>
    <definedName name="Z_E7C96247_5A5A_48F1_8682_9D1E53ABB8EE_.wvu.FilterData" localSheetId="5" hidden="1">'06'!$AS$3:$AS$57</definedName>
    <definedName name="Z_E7C96247_5A5A_48F1_8682_9D1E53ABB8EE_.wvu.FilterData" localSheetId="6" hidden="1">'07'!$AU$3:$AU$57</definedName>
    <definedName name="Z_E7C96247_5A5A_48F1_8682_9D1E53ABB8EE_.wvu.FilterData" localSheetId="7" hidden="1">'08'!$AT$3:$AT$58</definedName>
    <definedName name="Z_E7C96247_5A5A_48F1_8682_9D1E53ABB8EE_.wvu.FilterData" localSheetId="8" hidden="1">'09'!$AS$3:$AS$58</definedName>
    <definedName name="Z_E7C96247_5A5A_48F1_8682_9D1E53ABB8EE_.wvu.FilterData" localSheetId="9" hidden="1">'10'!$AT$3:$AT$59</definedName>
    <definedName name="Z_E8952CDE_47FD_4A39_9361_B9619B72BE49_.wvu.FilterData" localSheetId="0" hidden="1">'01'!$AT$3:$AT$59</definedName>
    <definedName name="Z_E8952CDE_47FD_4A39_9361_B9619B72BE49_.wvu.FilterData" localSheetId="1" hidden="1">'02'!$AQ$3:$AQ$59</definedName>
    <definedName name="Z_E8952CDE_47FD_4A39_9361_B9619B72BE49_.wvu.FilterData" localSheetId="2" hidden="1">'03'!$AT$3:$AT$59</definedName>
    <definedName name="Z_E8952CDE_47FD_4A39_9361_B9619B72BE49_.wvu.FilterData" localSheetId="3" hidden="1">'04'!$AS$3:$AS$59</definedName>
    <definedName name="Z_E8952CDE_47FD_4A39_9361_B9619B72BE49_.wvu.FilterData" localSheetId="4" hidden="1">'05'!$AT$3:$AT$58</definedName>
    <definedName name="Z_E8952CDE_47FD_4A39_9361_B9619B72BE49_.wvu.FilterData" localSheetId="5" hidden="1">'06'!$AS$3:$AS$57</definedName>
    <definedName name="Z_E8952CDE_47FD_4A39_9361_B9619B72BE49_.wvu.FilterData" localSheetId="6" hidden="1">'07'!$AU$3:$AU$57</definedName>
    <definedName name="Z_E8952CDE_47FD_4A39_9361_B9619B72BE49_.wvu.FilterData" localSheetId="7" hidden="1">'08'!$AT$3:$AT$58</definedName>
    <definedName name="Z_E8952CDE_47FD_4A39_9361_B9619B72BE49_.wvu.FilterData" localSheetId="8" hidden="1">'09'!$AS$3:$AS$58</definedName>
    <definedName name="Z_E8952CDE_47FD_4A39_9361_B9619B72BE49_.wvu.FilterData" localSheetId="9" hidden="1">'10'!$AT$3:$AT$59</definedName>
    <definedName name="Z_E9683532_5F5E_4631_88A6_6570A7C806DB_.wvu.FilterData" localSheetId="3" hidden="1">'04'!$AS$3:$AS$59</definedName>
    <definedName name="Z_E9683532_5F5E_4631_88A6_6570A7C806DB_.wvu.FilterData" localSheetId="4" hidden="1">'05'!$AT$3:$AT$58</definedName>
    <definedName name="Z_E9683532_5F5E_4631_88A6_6570A7C806DB_.wvu.FilterData" localSheetId="5" hidden="1">'06'!$AS$3:$AS$57</definedName>
    <definedName name="Z_E9683532_5F5E_4631_88A6_6570A7C806DB_.wvu.FilterData" localSheetId="6" hidden="1">'07'!$AU$3:$AU$57</definedName>
    <definedName name="Z_E9683532_5F5E_4631_88A6_6570A7C806DB_.wvu.FilterData" localSheetId="7" hidden="1">'08'!$AT$3:$AT$58</definedName>
    <definedName name="Z_E9683532_5F5E_4631_88A6_6570A7C806DB_.wvu.FilterData" localSheetId="8" hidden="1">'09'!$AS$3:$AS$58</definedName>
    <definedName name="Z_E9683532_5F5E_4631_88A6_6570A7C806DB_.wvu.FilterData" localSheetId="9" hidden="1">'10'!$AT$3:$AT$59</definedName>
    <definedName name="Z_EA76042C_608B_479B_B96F_6E4BDB3B00C0_.wvu.FilterData" localSheetId="0" hidden="1">'01'!$AT$3:$AT$58</definedName>
    <definedName name="Z_EA76042C_608B_479B_B96F_6E4BDB3B00C0_.wvu.FilterData" localSheetId="1" hidden="1">'02'!$AQ$3:$AQ$58</definedName>
    <definedName name="Z_EA76042C_608B_479B_B96F_6E4BDB3B00C0_.wvu.FilterData" localSheetId="2" hidden="1">'03'!$AT$3:$AT$58</definedName>
    <definedName name="Z_EA76042C_608B_479B_B96F_6E4BDB3B00C0_.wvu.FilterData" localSheetId="3" hidden="1">'04'!$AS$3:$AS$58</definedName>
    <definedName name="Z_EA76042C_608B_479B_B96F_6E4BDB3B00C0_.wvu.FilterData" localSheetId="4" hidden="1">'05'!$AT$3:$AT$57</definedName>
    <definedName name="Z_EA76042C_608B_479B_B96F_6E4BDB3B00C0_.wvu.FilterData" localSheetId="5" hidden="1">'06'!$AS$3:$AS$56</definedName>
    <definedName name="Z_EA76042C_608B_479B_B96F_6E4BDB3B00C0_.wvu.FilterData" localSheetId="6" hidden="1">'07'!$AU$3:$AU$56</definedName>
    <definedName name="Z_EA76042C_608B_479B_B96F_6E4BDB3B00C0_.wvu.FilterData" localSheetId="7" hidden="1">'08'!$AT$3:$AT$57</definedName>
    <definedName name="Z_EA76042C_608B_479B_B96F_6E4BDB3B00C0_.wvu.FilterData" localSheetId="8" hidden="1">'09'!$AS$3:$AS$57</definedName>
    <definedName name="Z_EA76042C_608B_479B_B96F_6E4BDB3B00C0_.wvu.FilterData" localSheetId="9" hidden="1">'10'!$AT$3:$AT$58</definedName>
    <definedName name="Z_EB1903D7_4CD2_4C29_8439_F46FA2FE29E0_.wvu.FilterData" localSheetId="0" hidden="1">'01'!$AT$3:$AT$58</definedName>
    <definedName name="Z_EB1903D7_4CD2_4C29_8439_F46FA2FE29E0_.wvu.FilterData" localSheetId="1" hidden="1">'02'!$AQ$3:$AQ$58</definedName>
    <definedName name="Z_EB1903D7_4CD2_4C29_8439_F46FA2FE29E0_.wvu.FilterData" localSheetId="2" hidden="1">'03'!$AT$3:$AT$58</definedName>
    <definedName name="Z_EB1903D7_4CD2_4C29_8439_F46FA2FE29E0_.wvu.FilterData" localSheetId="3" hidden="1">'04'!$AS$3:$AS$58</definedName>
    <definedName name="Z_EB1903D7_4CD2_4C29_8439_F46FA2FE29E0_.wvu.FilterData" localSheetId="4" hidden="1">'05'!$AT$3:$AT$57</definedName>
    <definedName name="Z_EB1903D7_4CD2_4C29_8439_F46FA2FE29E0_.wvu.FilterData" localSheetId="5" hidden="1">'06'!$AS$3:$AS$56</definedName>
    <definedName name="Z_EB1903D7_4CD2_4C29_8439_F46FA2FE29E0_.wvu.FilterData" localSheetId="6" hidden="1">'07'!$AU$3:$AU$56</definedName>
    <definedName name="Z_EB1903D7_4CD2_4C29_8439_F46FA2FE29E0_.wvu.FilterData" localSheetId="7" hidden="1">'08'!$AT$3:$AT$57</definedName>
    <definedName name="Z_EB1903D7_4CD2_4C29_8439_F46FA2FE29E0_.wvu.FilterData" localSheetId="8" hidden="1">'09'!$AS$3:$AS$57</definedName>
    <definedName name="Z_EB1903D7_4CD2_4C29_8439_F46FA2FE29E0_.wvu.FilterData" localSheetId="9" hidden="1">'10'!$AT$3:$AT$58</definedName>
    <definedName name="Z_EB4D9293_8206_4497_8102_9E20AA4E66C2_.wvu.FilterData" localSheetId="3" hidden="1">'04'!$AS$3:$AS$59</definedName>
    <definedName name="Z_EC32A97D_4A37_4389_B7C7_09F40996AD7A_.wvu.FilterData" localSheetId="0" hidden="1">'01'!$AT$3:$AT$58</definedName>
    <definedName name="Z_EC32A97D_4A37_4389_B7C7_09F40996AD7A_.wvu.FilterData" localSheetId="1" hidden="1">'02'!$AQ$3:$AQ$58</definedName>
    <definedName name="Z_EC32A97D_4A37_4389_B7C7_09F40996AD7A_.wvu.FilterData" localSheetId="2" hidden="1">'03'!$AT$3:$AT$58</definedName>
    <definedName name="Z_EC32A97D_4A37_4389_B7C7_09F40996AD7A_.wvu.FilterData" localSheetId="3" hidden="1">'04'!$AS$3:$AS$58</definedName>
    <definedName name="Z_EC32A97D_4A37_4389_B7C7_09F40996AD7A_.wvu.FilterData" localSheetId="4" hidden="1">'05'!$AT$3:$AT$57</definedName>
    <definedName name="Z_EC32A97D_4A37_4389_B7C7_09F40996AD7A_.wvu.FilterData" localSheetId="5" hidden="1">'06'!$AS$3:$AS$56</definedName>
    <definedName name="Z_EC32A97D_4A37_4389_B7C7_09F40996AD7A_.wvu.FilterData" localSheetId="6" hidden="1">'07'!$AU$3:$AU$56</definedName>
    <definedName name="Z_EC32A97D_4A37_4389_B7C7_09F40996AD7A_.wvu.FilterData" localSheetId="7" hidden="1">'08'!$AT$3:$AT$57</definedName>
    <definedName name="Z_EC32A97D_4A37_4389_B7C7_09F40996AD7A_.wvu.FilterData" localSheetId="8" hidden="1">'09'!$AS$3:$AS$57</definedName>
    <definedName name="Z_EC32A97D_4A37_4389_B7C7_09F40996AD7A_.wvu.FilterData" localSheetId="9" hidden="1">'10'!$AT$3:$AT$58</definedName>
    <definedName name="Z_ECEFB97E_7E93_4427_A648_7EA9A4E61216_.wvu.FilterData" localSheetId="0" hidden="1">'01'!$AT$3:$AT$59</definedName>
    <definedName name="Z_ECEFB97E_7E93_4427_A648_7EA9A4E61216_.wvu.FilterData" localSheetId="1" hidden="1">'02'!$AQ$3:$AQ$59</definedName>
    <definedName name="Z_ECEFB97E_7E93_4427_A648_7EA9A4E61216_.wvu.FilterData" localSheetId="2" hidden="1">'03'!$AT$3:$AT$59</definedName>
    <definedName name="Z_ECEFB97E_7E93_4427_A648_7EA9A4E61216_.wvu.FilterData" localSheetId="3" hidden="1">'04'!$AS$3:$AS$59</definedName>
    <definedName name="Z_ECEFB97E_7E93_4427_A648_7EA9A4E61216_.wvu.FilterData" localSheetId="4" hidden="1">'05'!$AT$3:$AT$58</definedName>
    <definedName name="Z_ECEFB97E_7E93_4427_A648_7EA9A4E61216_.wvu.FilterData" localSheetId="5" hidden="1">'06'!$AS$3:$AS$57</definedName>
    <definedName name="Z_ECEFB97E_7E93_4427_A648_7EA9A4E61216_.wvu.FilterData" localSheetId="6" hidden="1">'07'!$AU$3:$AU$57</definedName>
    <definedName name="Z_ECEFB97E_7E93_4427_A648_7EA9A4E61216_.wvu.FilterData" localSheetId="7" hidden="1">'08'!$AT$3:$AT$58</definedName>
    <definedName name="Z_ECEFB97E_7E93_4427_A648_7EA9A4E61216_.wvu.FilterData" localSheetId="8" hidden="1">'09'!$AS$3:$AS$58</definedName>
    <definedName name="Z_ECEFB97E_7E93_4427_A648_7EA9A4E61216_.wvu.FilterData" localSheetId="9" hidden="1">'10'!$AT$3:$AT$59</definedName>
    <definedName name="Z_ECF8BA3E_73E8_455B_A9B1_FC3B5D6E5583_.wvu.FilterData" localSheetId="0" hidden="1">'01'!$AT$3:$AT$59</definedName>
    <definedName name="Z_ECF8BA3E_73E8_455B_A9B1_FC3B5D6E5583_.wvu.FilterData" localSheetId="1" hidden="1">'02'!$AQ$3:$AQ$59</definedName>
    <definedName name="Z_ECF8BA3E_73E8_455B_A9B1_FC3B5D6E5583_.wvu.FilterData" localSheetId="2" hidden="1">'03'!$AT$3:$AT$59</definedName>
    <definedName name="Z_ECF8BA3E_73E8_455B_A9B1_FC3B5D6E5583_.wvu.FilterData" localSheetId="3" hidden="1">'04'!$AS$3:$AS$59</definedName>
    <definedName name="Z_ECF8BA3E_73E8_455B_A9B1_FC3B5D6E5583_.wvu.FilterData" localSheetId="4" hidden="1">'05'!$AT$3:$AT$58</definedName>
    <definedName name="Z_ECF8BA3E_73E8_455B_A9B1_FC3B5D6E5583_.wvu.FilterData" localSheetId="5" hidden="1">'06'!$AS$3:$AS$57</definedName>
    <definedName name="Z_ECF8BA3E_73E8_455B_A9B1_FC3B5D6E5583_.wvu.FilterData" localSheetId="6" hidden="1">'07'!$AU$3:$AU$57</definedName>
    <definedName name="Z_ECF8BA3E_73E8_455B_A9B1_FC3B5D6E5583_.wvu.FilterData" localSheetId="7" hidden="1">'08'!$AT$3:$AT$58</definedName>
    <definedName name="Z_ECF8BA3E_73E8_455B_A9B1_FC3B5D6E5583_.wvu.FilterData" localSheetId="8" hidden="1">'09'!$AS$3:$AS$58</definedName>
    <definedName name="Z_ECF8BA3E_73E8_455B_A9B1_FC3B5D6E5583_.wvu.FilterData" localSheetId="9" hidden="1">'10'!$AT$3:$AT$59</definedName>
    <definedName name="Z_EE0ECF52_B06D_4901_BD39_8B169BCC3117_.wvu.FilterData" localSheetId="0" hidden="1">'01'!$AT$3:$AT$58</definedName>
    <definedName name="Z_EE0ECF52_B06D_4901_BD39_8B169BCC3117_.wvu.FilterData" localSheetId="1" hidden="1">'02'!$AQ$3:$AQ$58</definedName>
    <definedName name="Z_EE0ECF52_B06D_4901_BD39_8B169BCC3117_.wvu.FilterData" localSheetId="2" hidden="1">'03'!$AT$3:$AT$58</definedName>
    <definedName name="Z_EE0ECF52_B06D_4901_BD39_8B169BCC3117_.wvu.FilterData" localSheetId="3" hidden="1">'04'!$AS$3:$AS$58</definedName>
    <definedName name="Z_EE0ECF52_B06D_4901_BD39_8B169BCC3117_.wvu.FilterData" localSheetId="4" hidden="1">'05'!$AT$3:$AT$57</definedName>
    <definedName name="Z_EE0ECF52_B06D_4901_BD39_8B169BCC3117_.wvu.FilterData" localSheetId="5" hidden="1">'06'!$AS$3:$AS$56</definedName>
    <definedName name="Z_EE0ECF52_B06D_4901_BD39_8B169BCC3117_.wvu.FilterData" localSheetId="6" hidden="1">'07'!$AU$3:$AU$56</definedName>
    <definedName name="Z_EE0ECF52_B06D_4901_BD39_8B169BCC3117_.wvu.FilterData" localSheetId="7" hidden="1">'08'!$AT$3:$AT$57</definedName>
    <definedName name="Z_EE0ECF52_B06D_4901_BD39_8B169BCC3117_.wvu.FilterData" localSheetId="8" hidden="1">'09'!$AS$3:$AS$57</definedName>
    <definedName name="Z_EE0ECF52_B06D_4901_BD39_8B169BCC3117_.wvu.FilterData" localSheetId="9" hidden="1">'10'!$AT$3:$AT$58</definedName>
    <definedName name="Z_EE702184_7A38_49AC_A9B7_FD4DE09EE817_.wvu.FilterData" localSheetId="0" hidden="1">'01'!$AT$3:$AT$58</definedName>
    <definedName name="Z_EE702184_7A38_49AC_A9B7_FD4DE09EE817_.wvu.FilterData" localSheetId="1" hidden="1">'02'!$AQ$3:$AQ$58</definedName>
    <definedName name="Z_EE702184_7A38_49AC_A9B7_FD4DE09EE817_.wvu.FilterData" localSheetId="2" hidden="1">'03'!$AT$3:$AT$58</definedName>
    <definedName name="Z_EE702184_7A38_49AC_A9B7_FD4DE09EE817_.wvu.FilterData" localSheetId="3" hidden="1">'04'!$AS$3:$AS$58</definedName>
    <definedName name="Z_EE702184_7A38_49AC_A9B7_FD4DE09EE817_.wvu.FilterData" localSheetId="4" hidden="1">'05'!$AT$3:$AT$57</definedName>
    <definedName name="Z_EE702184_7A38_49AC_A9B7_FD4DE09EE817_.wvu.FilterData" localSheetId="5" hidden="1">'06'!$AS$3:$AS$56</definedName>
    <definedName name="Z_EE702184_7A38_49AC_A9B7_FD4DE09EE817_.wvu.FilterData" localSheetId="6" hidden="1">'07'!$AU$3:$AU$56</definedName>
    <definedName name="Z_EE702184_7A38_49AC_A9B7_FD4DE09EE817_.wvu.FilterData" localSheetId="7" hidden="1">'08'!$AT$3:$AT$57</definedName>
    <definedName name="Z_EE702184_7A38_49AC_A9B7_FD4DE09EE817_.wvu.FilterData" localSheetId="8" hidden="1">'09'!$AS$3:$AS$57</definedName>
    <definedName name="Z_EE702184_7A38_49AC_A9B7_FD4DE09EE817_.wvu.FilterData" localSheetId="9" hidden="1">'10'!$AT$3:$AT$58</definedName>
    <definedName name="Z_EEE50B1E_5E28_4649_A966_543D122AA8B9_.wvu.FilterData" localSheetId="1" hidden="1">'02'!$AQ$3:$AQ$60</definedName>
    <definedName name="Z_EFD26730_B9B7_46C1_A1D8_EC43485A80B4_.wvu.FilterData" localSheetId="0" hidden="1">'01'!$AT$3:$AT$59</definedName>
    <definedName name="Z_EFD26730_B9B7_46C1_A1D8_EC43485A80B4_.wvu.FilterData" localSheetId="2" hidden="1">'03'!$AT$3:$AT$59</definedName>
    <definedName name="Z_EFD26730_B9B7_46C1_A1D8_EC43485A80B4_.wvu.FilterData" localSheetId="3" hidden="1">'04'!$AS$3:$AS$59</definedName>
    <definedName name="Z_EFD26730_B9B7_46C1_A1D8_EC43485A80B4_.wvu.FilterData" localSheetId="4" hidden="1">'05'!$AT$3:$AT$58</definedName>
    <definedName name="Z_EFD26730_B9B7_46C1_A1D8_EC43485A80B4_.wvu.FilterData" localSheetId="5" hidden="1">'06'!$AS$3:$AS$57</definedName>
    <definedName name="Z_EFD26730_B9B7_46C1_A1D8_EC43485A80B4_.wvu.FilterData" localSheetId="6" hidden="1">'07'!$AU$3:$AU$57</definedName>
    <definedName name="Z_EFD26730_B9B7_46C1_A1D8_EC43485A80B4_.wvu.FilterData" localSheetId="7" hidden="1">'08'!$AT$3:$AT$58</definedName>
    <definedName name="Z_EFD26730_B9B7_46C1_A1D8_EC43485A80B4_.wvu.FilterData" localSheetId="8" hidden="1">'09'!$AS$3:$AS$58</definedName>
    <definedName name="Z_EFD26730_B9B7_46C1_A1D8_EC43485A80B4_.wvu.FilterData" localSheetId="9" hidden="1">'10'!$AT$3:$AT$59</definedName>
    <definedName name="Z_EFEEA752_795B_48EF_9415_F2F1F335C7B5_.wvu.FilterData" localSheetId="0" hidden="1">'01'!$AT$3:$AT$58</definedName>
    <definedName name="Z_EFEEA752_795B_48EF_9415_F2F1F335C7B5_.wvu.FilterData" localSheetId="1" hidden="1">'02'!$AQ$3:$AQ$58</definedName>
    <definedName name="Z_EFEEA752_795B_48EF_9415_F2F1F335C7B5_.wvu.FilterData" localSheetId="2" hidden="1">'03'!$AT$3:$AT$58</definedName>
    <definedName name="Z_EFEEA752_795B_48EF_9415_F2F1F335C7B5_.wvu.FilterData" localSheetId="3" hidden="1">'04'!$AS$3:$AS$58</definedName>
    <definedName name="Z_EFEEA752_795B_48EF_9415_F2F1F335C7B5_.wvu.FilterData" localSheetId="4" hidden="1">'05'!$AT$3:$AT$57</definedName>
    <definedName name="Z_EFEEA752_795B_48EF_9415_F2F1F335C7B5_.wvu.FilterData" localSheetId="5" hidden="1">'06'!$AS$3:$AS$56</definedName>
    <definedName name="Z_EFEEA752_795B_48EF_9415_F2F1F335C7B5_.wvu.FilterData" localSheetId="6" hidden="1">'07'!$AU$3:$AU$56</definedName>
    <definedName name="Z_EFEEA752_795B_48EF_9415_F2F1F335C7B5_.wvu.FilterData" localSheetId="7" hidden="1">'08'!$AT$3:$AT$57</definedName>
    <definedName name="Z_EFEEA752_795B_48EF_9415_F2F1F335C7B5_.wvu.FilterData" localSheetId="8" hidden="1">'09'!$AS$3:$AS$57</definedName>
    <definedName name="Z_EFEEA752_795B_48EF_9415_F2F1F335C7B5_.wvu.FilterData" localSheetId="9" hidden="1">'10'!$AT$3:$AT$58</definedName>
    <definedName name="Z_F06B9CF7_D66B_4FEE_AF26_4E92DBF0356E_.wvu.FilterData" localSheetId="0" hidden="1">'01'!$AT$3:$AT$59</definedName>
    <definedName name="Z_F06B9CF7_D66B_4FEE_AF26_4E92DBF0356E_.wvu.FilterData" localSheetId="2" hidden="1">'03'!$AT$3:$AT$59</definedName>
    <definedName name="Z_F06B9CF7_D66B_4FEE_AF26_4E92DBF0356E_.wvu.FilterData" localSheetId="3" hidden="1">'04'!$AS$3:$AS$59</definedName>
    <definedName name="Z_F06B9CF7_D66B_4FEE_AF26_4E92DBF0356E_.wvu.FilterData" localSheetId="4" hidden="1">'05'!$AT$3:$AT$58</definedName>
    <definedName name="Z_F06B9CF7_D66B_4FEE_AF26_4E92DBF0356E_.wvu.FilterData" localSheetId="5" hidden="1">'06'!$AS$3:$AS$57</definedName>
    <definedName name="Z_F06B9CF7_D66B_4FEE_AF26_4E92DBF0356E_.wvu.FilterData" localSheetId="6" hidden="1">'07'!$AU$3:$AU$57</definedName>
    <definedName name="Z_F06B9CF7_D66B_4FEE_AF26_4E92DBF0356E_.wvu.FilterData" localSheetId="7" hidden="1">'08'!$AT$3:$AT$58</definedName>
    <definedName name="Z_F06B9CF7_D66B_4FEE_AF26_4E92DBF0356E_.wvu.FilterData" localSheetId="8" hidden="1">'09'!$AS$3:$AS$58</definedName>
    <definedName name="Z_F06B9CF7_D66B_4FEE_AF26_4E92DBF0356E_.wvu.FilterData" localSheetId="9" hidden="1">'10'!$AT$3:$AT$59</definedName>
    <definedName name="Z_F08E3F78_82E0_44A9_8760_4DDC646EC1CD_.wvu.FilterData" localSheetId="0" hidden="1">'01'!$AT$3:$AT$58</definedName>
    <definedName name="Z_F08E3F78_82E0_44A9_8760_4DDC646EC1CD_.wvu.FilterData" localSheetId="1" hidden="1">'02'!$AQ$3:$AQ$58</definedName>
    <definedName name="Z_F08E3F78_82E0_44A9_8760_4DDC646EC1CD_.wvu.FilterData" localSheetId="2" hidden="1">'03'!$AT$3:$AT$58</definedName>
    <definedName name="Z_F08E3F78_82E0_44A9_8760_4DDC646EC1CD_.wvu.FilterData" localSheetId="3" hidden="1">'04'!$AS$3:$AS$58</definedName>
    <definedName name="Z_F08E3F78_82E0_44A9_8760_4DDC646EC1CD_.wvu.FilterData" localSheetId="4" hidden="1">'05'!$AT$3:$AT$57</definedName>
    <definedName name="Z_F08E3F78_82E0_44A9_8760_4DDC646EC1CD_.wvu.FilterData" localSheetId="5" hidden="1">'06'!$AS$3:$AS$56</definedName>
    <definedName name="Z_F08E3F78_82E0_44A9_8760_4DDC646EC1CD_.wvu.FilterData" localSheetId="6" hidden="1">'07'!$AU$3:$AU$56</definedName>
    <definedName name="Z_F08E3F78_82E0_44A9_8760_4DDC646EC1CD_.wvu.FilterData" localSheetId="7" hidden="1">'08'!$AT$3:$AT$57</definedName>
    <definedName name="Z_F08E3F78_82E0_44A9_8760_4DDC646EC1CD_.wvu.FilterData" localSheetId="8" hidden="1">'09'!$AS$3:$AS$57</definedName>
    <definedName name="Z_F08E3F78_82E0_44A9_8760_4DDC646EC1CD_.wvu.FilterData" localSheetId="9" hidden="1">'10'!$AT$3:$AT$58</definedName>
    <definedName name="Z_F0D087F7_D093_4D1C_B1C6_421EBD701C24_.wvu.FilterData" localSheetId="1" hidden="1">'02'!$AQ$3:$AQ$60</definedName>
    <definedName name="Z_F160BDB2_D08A_44E8_9F16_A404108C0C19_.wvu.FilterData" localSheetId="0" hidden="1">'01'!$AT$3:$AT$59</definedName>
    <definedName name="Z_F160BDB2_D08A_44E8_9F16_A404108C0C19_.wvu.FilterData" localSheetId="1" hidden="1">'02'!$AQ$3:$AQ$59</definedName>
    <definedName name="Z_F160BDB2_D08A_44E8_9F16_A404108C0C19_.wvu.FilterData" localSheetId="2" hidden="1">'03'!$AT$3:$AT$59</definedName>
    <definedName name="Z_F160BDB2_D08A_44E8_9F16_A404108C0C19_.wvu.FilterData" localSheetId="3" hidden="1">'04'!$AS$3:$AS$59</definedName>
    <definedName name="Z_F160BDB2_D08A_44E8_9F16_A404108C0C19_.wvu.FilterData" localSheetId="4" hidden="1">'05'!$AT$3:$AT$58</definedName>
    <definedName name="Z_F160BDB2_D08A_44E8_9F16_A404108C0C19_.wvu.FilterData" localSheetId="5" hidden="1">'06'!$AS$3:$AS$57</definedName>
    <definedName name="Z_F160BDB2_D08A_44E8_9F16_A404108C0C19_.wvu.FilterData" localSheetId="6" hidden="1">'07'!$AU$3:$AU$57</definedName>
    <definedName name="Z_F160BDB2_D08A_44E8_9F16_A404108C0C19_.wvu.FilterData" localSheetId="7" hidden="1">'08'!$AT$3:$AT$58</definedName>
    <definedName name="Z_F160BDB2_D08A_44E8_9F16_A404108C0C19_.wvu.FilterData" localSheetId="8" hidden="1">'09'!$AS$3:$AS$58</definedName>
    <definedName name="Z_F160BDB2_D08A_44E8_9F16_A404108C0C19_.wvu.FilterData" localSheetId="9" hidden="1">'10'!$AT$3:$AT$59</definedName>
    <definedName name="Z_F27A4E16_C345_4D26_A00D_69FF1D2F8710_.wvu.FilterData" localSheetId="0" hidden="1">'01'!$AT$3:$AT$59</definedName>
    <definedName name="Z_F27A4E16_C345_4D26_A00D_69FF1D2F8710_.wvu.FilterData" localSheetId="1" hidden="1">'02'!$AQ$3:$AQ$59</definedName>
    <definedName name="Z_F27A4E16_C345_4D26_A00D_69FF1D2F8710_.wvu.FilterData" localSheetId="2" hidden="1">'03'!$AT$3:$AT$59</definedName>
    <definedName name="Z_F27A4E16_C345_4D26_A00D_69FF1D2F8710_.wvu.FilterData" localSheetId="3" hidden="1">'04'!$AS$3:$AS$59</definedName>
    <definedName name="Z_F27A4E16_C345_4D26_A00D_69FF1D2F8710_.wvu.FilterData" localSheetId="4" hidden="1">'05'!$AT$3:$AT$58</definedName>
    <definedName name="Z_F27A4E16_C345_4D26_A00D_69FF1D2F8710_.wvu.FilterData" localSheetId="5" hidden="1">'06'!$AS$3:$AS$57</definedName>
    <definedName name="Z_F27A4E16_C345_4D26_A00D_69FF1D2F8710_.wvu.FilterData" localSheetId="6" hidden="1">'07'!$AU$3:$AU$57</definedName>
    <definedName name="Z_F27A4E16_C345_4D26_A00D_69FF1D2F8710_.wvu.FilterData" localSheetId="7" hidden="1">'08'!$AT$3:$AT$58</definedName>
    <definedName name="Z_F27A4E16_C345_4D26_A00D_69FF1D2F8710_.wvu.FilterData" localSheetId="8" hidden="1">'09'!$AS$3:$AS$58</definedName>
    <definedName name="Z_F27A4E16_C345_4D26_A00D_69FF1D2F8710_.wvu.FilterData" localSheetId="9" hidden="1">'10'!$AT$3:$AT$59</definedName>
    <definedName name="Z_F2C12F8F_FC0B_46CB_B531_E4C5E54FFB5E_.wvu.FilterData" localSheetId="0" hidden="1">'01'!$AT$3:$AT$58</definedName>
    <definedName name="Z_F2C12F8F_FC0B_46CB_B531_E4C5E54FFB5E_.wvu.FilterData" localSheetId="1" hidden="1">'02'!$AQ$3:$AQ$58</definedName>
    <definedName name="Z_F2C12F8F_FC0B_46CB_B531_E4C5E54FFB5E_.wvu.FilterData" localSheetId="2" hidden="1">'03'!$AT$3:$AT$58</definedName>
    <definedName name="Z_F2C12F8F_FC0B_46CB_B531_E4C5E54FFB5E_.wvu.FilterData" localSheetId="3" hidden="1">'04'!$AS$3:$AS$58</definedName>
    <definedName name="Z_F2C12F8F_FC0B_46CB_B531_E4C5E54FFB5E_.wvu.FilterData" localSheetId="4" hidden="1">'05'!$AT$3:$AT$57</definedName>
    <definedName name="Z_F2C12F8F_FC0B_46CB_B531_E4C5E54FFB5E_.wvu.FilterData" localSheetId="5" hidden="1">'06'!$AS$3:$AS$56</definedName>
    <definedName name="Z_F2C12F8F_FC0B_46CB_B531_E4C5E54FFB5E_.wvu.FilterData" localSheetId="6" hidden="1">'07'!$AU$3:$AU$56</definedName>
    <definedName name="Z_F2C12F8F_FC0B_46CB_B531_E4C5E54FFB5E_.wvu.FilterData" localSheetId="7" hidden="1">'08'!$AT$3:$AT$57</definedName>
    <definedName name="Z_F2C12F8F_FC0B_46CB_B531_E4C5E54FFB5E_.wvu.FilterData" localSheetId="8" hidden="1">'09'!$AS$3:$AS$57</definedName>
    <definedName name="Z_F2C12F8F_FC0B_46CB_B531_E4C5E54FFB5E_.wvu.FilterData" localSheetId="9" hidden="1">'10'!$AT$3:$AT$58</definedName>
    <definedName name="Z_F3984BA2_5BDE_4519_994A_DFAFEC2990C4_.wvu.FilterData" localSheetId="0" hidden="1">'01'!$AT$3:$AT$58</definedName>
    <definedName name="Z_F3984BA2_5BDE_4519_994A_DFAFEC2990C4_.wvu.FilterData" localSheetId="1" hidden="1">'02'!$AQ$3:$AQ$58</definedName>
    <definedName name="Z_F3984BA2_5BDE_4519_994A_DFAFEC2990C4_.wvu.FilterData" localSheetId="2" hidden="1">'03'!$AT$3:$AT$58</definedName>
    <definedName name="Z_F3984BA2_5BDE_4519_994A_DFAFEC2990C4_.wvu.FilterData" localSheetId="3" hidden="1">'04'!$AS$3:$AS$58</definedName>
    <definedName name="Z_F3984BA2_5BDE_4519_994A_DFAFEC2990C4_.wvu.FilterData" localSheetId="4" hidden="1">'05'!$AT$3:$AT$57</definedName>
    <definedName name="Z_F3984BA2_5BDE_4519_994A_DFAFEC2990C4_.wvu.FilterData" localSheetId="5" hidden="1">'06'!$AS$3:$AS$56</definedName>
    <definedName name="Z_F3984BA2_5BDE_4519_994A_DFAFEC2990C4_.wvu.FilterData" localSheetId="6" hidden="1">'07'!$AU$3:$AU$56</definedName>
    <definedName name="Z_F3984BA2_5BDE_4519_994A_DFAFEC2990C4_.wvu.FilterData" localSheetId="7" hidden="1">'08'!$AT$3:$AT$57</definedName>
    <definedName name="Z_F3984BA2_5BDE_4519_994A_DFAFEC2990C4_.wvu.FilterData" localSheetId="8" hidden="1">'09'!$AS$3:$AS$57</definedName>
    <definedName name="Z_F3984BA2_5BDE_4519_994A_DFAFEC2990C4_.wvu.FilterData" localSheetId="9" hidden="1">'10'!$AT$3:$AT$58</definedName>
    <definedName name="Z_F3C09A64_8673_4D91_B434_700B746F23F4_.wvu.FilterData" localSheetId="0" hidden="1">'01'!$AT$3:$AT$59</definedName>
    <definedName name="Z_F3C09A64_8673_4D91_B434_700B746F23F4_.wvu.FilterData" localSheetId="2" hidden="1">'03'!$AT$3:$AT$59</definedName>
    <definedName name="Z_F3C09A64_8673_4D91_B434_700B746F23F4_.wvu.FilterData" localSheetId="3" hidden="1">'04'!$AS$3:$AS$59</definedName>
    <definedName name="Z_F3C09A64_8673_4D91_B434_700B746F23F4_.wvu.FilterData" localSheetId="4" hidden="1">'05'!$AT$3:$AT$58</definedName>
    <definedName name="Z_F3C09A64_8673_4D91_B434_700B746F23F4_.wvu.FilterData" localSheetId="5" hidden="1">'06'!$AS$3:$AS$57</definedName>
    <definedName name="Z_F3C09A64_8673_4D91_B434_700B746F23F4_.wvu.FilterData" localSheetId="6" hidden="1">'07'!$AU$3:$AU$57</definedName>
    <definedName name="Z_F3C09A64_8673_4D91_B434_700B746F23F4_.wvu.FilterData" localSheetId="7" hidden="1">'08'!$AT$3:$AT$58</definedName>
    <definedName name="Z_F3C09A64_8673_4D91_B434_700B746F23F4_.wvu.FilterData" localSheetId="8" hidden="1">'09'!$AS$3:$AS$58</definedName>
    <definedName name="Z_F3C09A64_8673_4D91_B434_700B746F23F4_.wvu.FilterData" localSheetId="9" hidden="1">'10'!$AT$3:$AT$59</definedName>
    <definedName name="Z_F4144EB3_A7A1_4A09_B7B1_A7A5C295E1A2_.wvu.FilterData" localSheetId="0" hidden="1">'01'!$AT$3:$AT$58</definedName>
    <definedName name="Z_F4144EB3_A7A1_4A09_B7B1_A7A5C295E1A2_.wvu.FilterData" localSheetId="1" hidden="1">'02'!$AQ$3:$AQ$58</definedName>
    <definedName name="Z_F4144EB3_A7A1_4A09_B7B1_A7A5C295E1A2_.wvu.FilterData" localSheetId="2" hidden="1">'03'!$AT$3:$AT$58</definedName>
    <definedName name="Z_F4144EB3_A7A1_4A09_B7B1_A7A5C295E1A2_.wvu.FilterData" localSheetId="3" hidden="1">'04'!$AS$3:$AS$58</definedName>
    <definedName name="Z_F4144EB3_A7A1_4A09_B7B1_A7A5C295E1A2_.wvu.FilterData" localSheetId="4" hidden="1">'05'!$AT$3:$AT$57</definedName>
    <definedName name="Z_F4144EB3_A7A1_4A09_B7B1_A7A5C295E1A2_.wvu.FilterData" localSheetId="5" hidden="1">'06'!$AS$3:$AS$56</definedName>
    <definedName name="Z_F4144EB3_A7A1_4A09_B7B1_A7A5C295E1A2_.wvu.FilterData" localSheetId="6" hidden="1">'07'!$AU$3:$AU$56</definedName>
    <definedName name="Z_F4144EB3_A7A1_4A09_B7B1_A7A5C295E1A2_.wvu.FilterData" localSheetId="7" hidden="1">'08'!$AT$3:$AT$57</definedName>
    <definedName name="Z_F4144EB3_A7A1_4A09_B7B1_A7A5C295E1A2_.wvu.FilterData" localSheetId="8" hidden="1">'09'!$AS$3:$AS$57</definedName>
    <definedName name="Z_F4144EB3_A7A1_4A09_B7B1_A7A5C295E1A2_.wvu.FilterData" localSheetId="9" hidden="1">'10'!$AT$3:$AT$58</definedName>
    <definedName name="Z_F4280DB3_7CBE_4F2E_BDD4_E90BBD570872_.wvu.FilterData" localSheetId="1" hidden="1">'02'!$AQ$3:$AQ$60</definedName>
    <definedName name="Z_F4A1187B_437A_4CF7_868B_BA0558D27BEC_.wvu.FilterData" localSheetId="0" hidden="1">'01'!$AT$3:$AT$59</definedName>
    <definedName name="Z_F4A1187B_437A_4CF7_868B_BA0558D27BEC_.wvu.FilterData" localSheetId="1" hidden="1">'02'!$AQ$3:$AQ$59</definedName>
    <definedName name="Z_F4A1187B_437A_4CF7_868B_BA0558D27BEC_.wvu.FilterData" localSheetId="2" hidden="1">'03'!$AT$3:$AT$59</definedName>
    <definedName name="Z_F4A1187B_437A_4CF7_868B_BA0558D27BEC_.wvu.FilterData" localSheetId="3" hidden="1">'04'!$AS$3:$AS$59</definedName>
    <definedName name="Z_F4A1187B_437A_4CF7_868B_BA0558D27BEC_.wvu.FilterData" localSheetId="4" hidden="1">'05'!$AT$3:$AT$58</definedName>
    <definedName name="Z_F4A1187B_437A_4CF7_868B_BA0558D27BEC_.wvu.FilterData" localSheetId="5" hidden="1">'06'!$AS$3:$AS$57</definedName>
    <definedName name="Z_F4A1187B_437A_4CF7_868B_BA0558D27BEC_.wvu.FilterData" localSheetId="6" hidden="1">'07'!$AU$3:$AU$57</definedName>
    <definedName name="Z_F4A1187B_437A_4CF7_868B_BA0558D27BEC_.wvu.FilterData" localSheetId="7" hidden="1">'08'!$AT$3:$AT$58</definedName>
    <definedName name="Z_F4A1187B_437A_4CF7_868B_BA0558D27BEC_.wvu.FilterData" localSheetId="8" hidden="1">'09'!$AS$3:$AS$58</definedName>
    <definedName name="Z_F4A1187B_437A_4CF7_868B_BA0558D27BEC_.wvu.FilterData" localSheetId="9" hidden="1">'10'!$AT$3:$AT$59</definedName>
    <definedName name="Z_F62AA441_EBE8_4223_B8BE_7CE528B0854F_.wvu.FilterData" localSheetId="0" hidden="1">'01'!$AT$3:$AT$59</definedName>
    <definedName name="Z_F62AA441_EBE8_4223_B8BE_7CE528B0854F_.wvu.FilterData" localSheetId="1" hidden="1">'02'!$AQ$3:$AQ$59</definedName>
    <definedName name="Z_F62AA441_EBE8_4223_B8BE_7CE528B0854F_.wvu.FilterData" localSheetId="2" hidden="1">'03'!$AT$3:$AT$59</definedName>
    <definedName name="Z_F62AA441_EBE8_4223_B8BE_7CE528B0854F_.wvu.FilterData" localSheetId="3" hidden="1">'04'!$AS$3:$AS$59</definedName>
    <definedName name="Z_F62AA441_EBE8_4223_B8BE_7CE528B0854F_.wvu.FilterData" localSheetId="4" hidden="1">'05'!$AT$3:$AT$58</definedName>
    <definedName name="Z_F62AA441_EBE8_4223_B8BE_7CE528B0854F_.wvu.FilterData" localSheetId="5" hidden="1">'06'!$AS$3:$AS$57</definedName>
    <definedName name="Z_F62AA441_EBE8_4223_B8BE_7CE528B0854F_.wvu.FilterData" localSheetId="6" hidden="1">'07'!$AU$3:$AU$57</definedName>
    <definedName name="Z_F62AA441_EBE8_4223_B8BE_7CE528B0854F_.wvu.FilterData" localSheetId="7" hidden="1">'08'!$AT$3:$AT$58</definedName>
    <definedName name="Z_F62AA441_EBE8_4223_B8BE_7CE528B0854F_.wvu.FilterData" localSheetId="8" hidden="1">'09'!$AS$3:$AS$58</definedName>
    <definedName name="Z_F62AA441_EBE8_4223_B8BE_7CE528B0854F_.wvu.FilterData" localSheetId="9" hidden="1">'10'!$AT$3:$AT$59</definedName>
    <definedName name="Z_F67E9B11_6CB6_4924_8DF1_29899F041207_.wvu.FilterData" localSheetId="0" hidden="1">'01'!$AT$3:$AT$59</definedName>
    <definedName name="Z_F67E9B11_6CB6_4924_8DF1_29899F041207_.wvu.FilterData" localSheetId="1" hidden="1">'02'!$AQ$3:$AQ$59</definedName>
    <definedName name="Z_F67E9B11_6CB6_4924_8DF1_29899F041207_.wvu.FilterData" localSheetId="2" hidden="1">'03'!$AT$3:$AT$59</definedName>
    <definedName name="Z_F67E9B11_6CB6_4924_8DF1_29899F041207_.wvu.FilterData" localSheetId="3" hidden="1">'04'!$AS$3:$AS$59</definedName>
    <definedName name="Z_F67E9B11_6CB6_4924_8DF1_29899F041207_.wvu.FilterData" localSheetId="4" hidden="1">'05'!$AT$3:$AT$58</definedName>
    <definedName name="Z_F67E9B11_6CB6_4924_8DF1_29899F041207_.wvu.FilterData" localSheetId="5" hidden="1">'06'!$AS$3:$AS$57</definedName>
    <definedName name="Z_F67E9B11_6CB6_4924_8DF1_29899F041207_.wvu.FilterData" localSheetId="6" hidden="1">'07'!$AU$3:$AU$57</definedName>
    <definedName name="Z_F67E9B11_6CB6_4924_8DF1_29899F041207_.wvu.FilterData" localSheetId="7" hidden="1">'08'!$AT$3:$AT$58</definedName>
    <definedName name="Z_F67E9B11_6CB6_4924_8DF1_29899F041207_.wvu.FilterData" localSheetId="8" hidden="1">'09'!$AS$3:$AS$58</definedName>
    <definedName name="Z_F67E9B11_6CB6_4924_8DF1_29899F041207_.wvu.FilterData" localSheetId="9" hidden="1">'10'!$AT$3:$AT$59</definedName>
    <definedName name="Z_F6A6BF52_3415_4893_9FC1_5EAFAB4C551C_.wvu.FilterData" localSheetId="2" hidden="1">'03'!$AT$3:$AT$59</definedName>
    <definedName name="Z_F6A6BF52_3415_4893_9FC1_5EAFAB4C551C_.wvu.FilterData" localSheetId="3" hidden="1">'04'!$AS$3:$AS$59</definedName>
    <definedName name="Z_F6A6BF52_3415_4893_9FC1_5EAFAB4C551C_.wvu.FilterData" localSheetId="4" hidden="1">'05'!$AT$3:$AT$58</definedName>
    <definedName name="Z_F6A6BF52_3415_4893_9FC1_5EAFAB4C551C_.wvu.FilterData" localSheetId="5" hidden="1">'06'!$AS$3:$AS$57</definedName>
    <definedName name="Z_F6A6BF52_3415_4893_9FC1_5EAFAB4C551C_.wvu.FilterData" localSheetId="6" hidden="1">'07'!$AU$3:$AU$57</definedName>
    <definedName name="Z_F6A6BF52_3415_4893_9FC1_5EAFAB4C551C_.wvu.FilterData" localSheetId="7" hidden="1">'08'!$AT$3:$AT$58</definedName>
    <definedName name="Z_F6A6BF52_3415_4893_9FC1_5EAFAB4C551C_.wvu.FilterData" localSheetId="8" hidden="1">'09'!$AS$3:$AS$58</definedName>
    <definedName name="Z_F6A6BF52_3415_4893_9FC1_5EAFAB4C551C_.wvu.FilterData" localSheetId="9" hidden="1">'10'!$AT$3:$AT$59</definedName>
    <definedName name="Z_F6ABC07A_BAAE_40DE_ACD2_F73AAA8B4877_.wvu.FilterData" localSheetId="0" hidden="1">'01'!$AT$3:$AT$58</definedName>
    <definedName name="Z_F6ABC07A_BAAE_40DE_ACD2_F73AAA8B4877_.wvu.FilterData" localSheetId="1" hidden="1">'02'!$AQ$3:$AQ$58</definedName>
    <definedName name="Z_F6ABC07A_BAAE_40DE_ACD2_F73AAA8B4877_.wvu.FilterData" localSheetId="2" hidden="1">'03'!$AT$3:$AT$58</definedName>
    <definedName name="Z_F6ABC07A_BAAE_40DE_ACD2_F73AAA8B4877_.wvu.FilterData" localSheetId="3" hidden="1">'04'!$AS$3:$AS$58</definedName>
    <definedName name="Z_F6ABC07A_BAAE_40DE_ACD2_F73AAA8B4877_.wvu.FilterData" localSheetId="4" hidden="1">'05'!$AT$3:$AT$57</definedName>
    <definedName name="Z_F6ABC07A_BAAE_40DE_ACD2_F73AAA8B4877_.wvu.FilterData" localSheetId="5" hidden="1">'06'!$AS$3:$AS$56</definedName>
    <definedName name="Z_F6ABC07A_BAAE_40DE_ACD2_F73AAA8B4877_.wvu.FilterData" localSheetId="6" hidden="1">'07'!$AU$3:$AU$56</definedName>
    <definedName name="Z_F6ABC07A_BAAE_40DE_ACD2_F73AAA8B4877_.wvu.FilterData" localSheetId="7" hidden="1">'08'!$AT$3:$AT$57</definedName>
    <definedName name="Z_F6ABC07A_BAAE_40DE_ACD2_F73AAA8B4877_.wvu.FilterData" localSheetId="8" hidden="1">'09'!$AS$3:$AS$57</definedName>
    <definedName name="Z_F6ABC07A_BAAE_40DE_ACD2_F73AAA8B4877_.wvu.FilterData" localSheetId="9" hidden="1">'10'!$AT$3:$AT$58</definedName>
    <definedName name="Z_F8CC19A7_1D00_4576_BAFF_065DF42FF24D_.wvu.FilterData" localSheetId="0" hidden="1">'01'!$AT$3:$AT$59</definedName>
    <definedName name="Z_F8CC19A7_1D00_4576_BAFF_065DF42FF24D_.wvu.FilterData" localSheetId="1" hidden="1">'02'!$AQ$3:$AQ$59</definedName>
    <definedName name="Z_F8CC19A7_1D00_4576_BAFF_065DF42FF24D_.wvu.FilterData" localSheetId="2" hidden="1">'03'!$AT$3:$AT$59</definedName>
    <definedName name="Z_F8CC19A7_1D00_4576_BAFF_065DF42FF24D_.wvu.FilterData" localSheetId="3" hidden="1">'04'!$AS$3:$AS$59</definedName>
    <definedName name="Z_F8CC19A7_1D00_4576_BAFF_065DF42FF24D_.wvu.FilterData" localSheetId="4" hidden="1">'05'!$AT$3:$AT$58</definedName>
    <definedName name="Z_F8CC19A7_1D00_4576_BAFF_065DF42FF24D_.wvu.FilterData" localSheetId="5" hidden="1">'06'!$AS$3:$AS$57</definedName>
    <definedName name="Z_F8CC19A7_1D00_4576_BAFF_065DF42FF24D_.wvu.FilterData" localSheetId="6" hidden="1">'07'!$AU$3:$AU$57</definedName>
    <definedName name="Z_F8CC19A7_1D00_4576_BAFF_065DF42FF24D_.wvu.FilterData" localSheetId="7" hidden="1">'08'!$AT$3:$AT$58</definedName>
    <definedName name="Z_F8CC19A7_1D00_4576_BAFF_065DF42FF24D_.wvu.FilterData" localSheetId="8" hidden="1">'09'!$AS$3:$AS$58</definedName>
    <definedName name="Z_F8CC19A7_1D00_4576_BAFF_065DF42FF24D_.wvu.FilterData" localSheetId="9" hidden="1">'10'!$AT$3:$AT$59</definedName>
    <definedName name="Z_FA9D8CB7_27F4_4671_8893_F8A1336921C5_.wvu.FilterData" localSheetId="4" hidden="1">'05'!$AT$3:$AT$58</definedName>
    <definedName name="Z_FA9D8CB7_27F4_4671_8893_F8A1336921C5_.wvu.FilterData" localSheetId="5" hidden="1">'06'!$AS$3:$AS$57</definedName>
    <definedName name="Z_FA9D8CB7_27F4_4671_8893_F8A1336921C5_.wvu.FilterData" localSheetId="6" hidden="1">'07'!$AU$3:$AU$57</definedName>
    <definedName name="Z_FA9D8CB7_27F4_4671_8893_F8A1336921C5_.wvu.FilterData" localSheetId="7" hidden="1">'08'!$AT$3:$AT$58</definedName>
    <definedName name="Z_FA9D8CB7_27F4_4671_8893_F8A1336921C5_.wvu.FilterData" localSheetId="8" hidden="1">'09'!$AS$3:$AS$58</definedName>
    <definedName name="Z_FA9D8CB7_27F4_4671_8893_F8A1336921C5_.wvu.FilterData" localSheetId="9" hidden="1">'10'!$AT$3:$AT$59</definedName>
    <definedName name="Z_FADB030B_9650_4D29_B365_F93C512834EC_.wvu.FilterData" localSheetId="2" hidden="1">'03'!$AT$3:$AT$59</definedName>
    <definedName name="Z_FADB030B_9650_4D29_B365_F93C512834EC_.wvu.FilterData" localSheetId="3" hidden="1">'04'!$AS$3:$AS$59</definedName>
    <definedName name="Z_FADB030B_9650_4D29_B365_F93C512834EC_.wvu.FilterData" localSheetId="4" hidden="1">'05'!$AT$3:$AT$58</definedName>
    <definedName name="Z_FADB030B_9650_4D29_B365_F93C512834EC_.wvu.FilterData" localSheetId="5" hidden="1">'06'!$AS$3:$AS$57</definedName>
    <definedName name="Z_FADB030B_9650_4D29_B365_F93C512834EC_.wvu.FilterData" localSheetId="6" hidden="1">'07'!$AU$3:$AU$57</definedName>
    <definedName name="Z_FADB030B_9650_4D29_B365_F93C512834EC_.wvu.FilterData" localSheetId="7" hidden="1">'08'!$AT$3:$AT$58</definedName>
    <definedName name="Z_FADB030B_9650_4D29_B365_F93C512834EC_.wvu.FilterData" localSheetId="8" hidden="1">'09'!$AS$3:$AS$58</definedName>
    <definedName name="Z_FADB030B_9650_4D29_B365_F93C512834EC_.wvu.FilterData" localSheetId="9" hidden="1">'10'!$AT$3:$AT$59</definedName>
    <definedName name="Z_FC235D6F_96D8_4C28_8F97_69B6F3D4A8AC_.wvu.FilterData" localSheetId="0" hidden="1">'01'!$AT$3:$AT$59</definedName>
    <definedName name="Z_FC235D6F_96D8_4C28_8F97_69B6F3D4A8AC_.wvu.FilterData" localSheetId="1" hidden="1">'02'!$AQ$3:$AQ$59</definedName>
    <definedName name="Z_FC235D6F_96D8_4C28_8F97_69B6F3D4A8AC_.wvu.FilterData" localSheetId="2" hidden="1">'03'!$AT$3:$AT$59</definedName>
    <definedName name="Z_FC235D6F_96D8_4C28_8F97_69B6F3D4A8AC_.wvu.FilterData" localSheetId="3" hidden="1">'04'!$AS$3:$AS$59</definedName>
    <definedName name="Z_FC235D6F_96D8_4C28_8F97_69B6F3D4A8AC_.wvu.FilterData" localSheetId="4" hidden="1">'05'!$AT$3:$AT$58</definedName>
    <definedName name="Z_FC235D6F_96D8_4C28_8F97_69B6F3D4A8AC_.wvu.FilterData" localSheetId="5" hidden="1">'06'!$AS$3:$AS$57</definedName>
    <definedName name="Z_FC235D6F_96D8_4C28_8F97_69B6F3D4A8AC_.wvu.FilterData" localSheetId="6" hidden="1">'07'!$AU$3:$AU$57</definedName>
    <definedName name="Z_FC235D6F_96D8_4C28_8F97_69B6F3D4A8AC_.wvu.FilterData" localSheetId="7" hidden="1">'08'!$AT$3:$AT$58</definedName>
    <definedName name="Z_FC235D6F_96D8_4C28_8F97_69B6F3D4A8AC_.wvu.FilterData" localSheetId="8" hidden="1">'09'!$AS$3:$AS$58</definedName>
    <definedName name="Z_FC235D6F_96D8_4C28_8F97_69B6F3D4A8AC_.wvu.FilterData" localSheetId="9" hidden="1">'10'!$AT$3:$AT$59</definedName>
    <definedName name="Z_FC88AB9C_37C7_4B3C_8C43_919837E4F159_.wvu.FilterData" localSheetId="0" hidden="1">'01'!$AT$3:$AT$59</definedName>
    <definedName name="Z_FC88AB9C_37C7_4B3C_8C43_919837E4F159_.wvu.FilterData" localSheetId="1" hidden="1">'02'!$AQ$3:$AQ$60</definedName>
    <definedName name="Z_FC88AB9C_37C7_4B3C_8C43_919837E4F159_.wvu.FilterData" localSheetId="2" hidden="1">'03'!$AT$3:$AT$59</definedName>
    <definedName name="Z_FC88AB9C_37C7_4B3C_8C43_919837E4F159_.wvu.FilterData" localSheetId="3" hidden="1">'04'!$AS$3:$AS$59</definedName>
    <definedName name="Z_FC88AB9C_37C7_4B3C_8C43_919837E4F159_.wvu.FilterData" localSheetId="4" hidden="1">'05'!$AT$3:$AT$58</definedName>
    <definedName name="Z_FC88AB9C_37C7_4B3C_8C43_919837E4F159_.wvu.FilterData" localSheetId="5" hidden="1">'06'!$AS$3:$AS$57</definedName>
    <definedName name="Z_FC88AB9C_37C7_4B3C_8C43_919837E4F159_.wvu.FilterData" localSheetId="6" hidden="1">'07'!$AU$3:$AU$57</definedName>
    <definedName name="Z_FC88AB9C_37C7_4B3C_8C43_919837E4F159_.wvu.FilterData" localSheetId="7" hidden="1">'08'!$AT$3:$AT$58</definedName>
    <definedName name="Z_FC88AB9C_37C7_4B3C_8C43_919837E4F159_.wvu.FilterData" localSheetId="8" hidden="1">'09'!$AS$3:$AS$58</definedName>
    <definedName name="Z_FC88AB9C_37C7_4B3C_8C43_919837E4F159_.wvu.FilterData" localSheetId="9" hidden="1">'10'!$AT$3:$AT$59</definedName>
    <definedName name="Z_FCCEE278_AFC6_4210_8796_E55A1FE1F60B_.wvu.FilterData" localSheetId="8" hidden="1">'09'!$AS$3:$AS$58</definedName>
    <definedName name="Z_FCCEE278_AFC6_4210_8796_E55A1FE1F60B_.wvu.FilterData" localSheetId="9" hidden="1">'10'!$AT$3:$AT$59</definedName>
    <definedName name="Z_FDE4F21F_07B1_48EF_9661_F0A29AFE0CA7_.wvu.FilterData" localSheetId="8" hidden="1">'09'!$AS$3:$AS$58</definedName>
    <definedName name="Z_FDE4F21F_07B1_48EF_9661_F0A29AFE0CA7_.wvu.FilterData" localSheetId="9" hidden="1">'10'!$AT$3:$AT$59</definedName>
    <definedName name="Z_FF01BBFE_BCC4_403E_832A_322D5B16205A_.wvu.FilterData" localSheetId="0" hidden="1">'01'!$AT$3:$AT$58</definedName>
    <definedName name="Z_FF01BBFE_BCC4_403E_832A_322D5B16205A_.wvu.FilterData" localSheetId="1" hidden="1">'02'!$AQ$3:$AQ$58</definedName>
    <definedName name="Z_FF01BBFE_BCC4_403E_832A_322D5B16205A_.wvu.FilterData" localSheetId="2" hidden="1">'03'!$AT$3:$AT$58</definedName>
    <definedName name="Z_FF01BBFE_BCC4_403E_832A_322D5B16205A_.wvu.FilterData" localSheetId="3" hidden="1">'04'!$AS$3:$AS$58</definedName>
    <definedName name="Z_FF01BBFE_BCC4_403E_832A_322D5B16205A_.wvu.FilterData" localSheetId="4" hidden="1">'05'!$AT$3:$AT$57</definedName>
    <definedName name="Z_FF01BBFE_BCC4_403E_832A_322D5B16205A_.wvu.FilterData" localSheetId="5" hidden="1">'06'!$AS$3:$AS$56</definedName>
    <definedName name="Z_FF01BBFE_BCC4_403E_832A_322D5B16205A_.wvu.FilterData" localSheetId="6" hidden="1">'07'!$AU$3:$AU$56</definedName>
    <definedName name="Z_FF01BBFE_BCC4_403E_832A_322D5B16205A_.wvu.FilterData" localSheetId="7" hidden="1">'08'!$AT$3:$AT$57</definedName>
    <definedName name="Z_FF01BBFE_BCC4_403E_832A_322D5B16205A_.wvu.FilterData" localSheetId="8" hidden="1">'09'!$AS$3:$AS$57</definedName>
    <definedName name="Z_FF01BBFE_BCC4_403E_832A_322D5B16205A_.wvu.FilterData" localSheetId="9" hidden="1">'10'!$AT$3:$AT$58</definedName>
    <definedName name="Z_FF2941E1_F9E0_4080_8AC4_3D9CF15BEA13_.wvu.FilterData" localSheetId="2" hidden="1">'03'!$AT$3:$AT$59</definedName>
    <definedName name="Z_FF2941E1_F9E0_4080_8AC4_3D9CF15BEA13_.wvu.FilterData" localSheetId="3" hidden="1">'04'!$AS$3:$AS$59</definedName>
    <definedName name="Z_FF2941E1_F9E0_4080_8AC4_3D9CF15BEA13_.wvu.FilterData" localSheetId="4" hidden="1">'05'!$AT$3:$AT$58</definedName>
    <definedName name="Z_FF2941E1_F9E0_4080_8AC4_3D9CF15BEA13_.wvu.FilterData" localSheetId="5" hidden="1">'06'!$AS$3:$AS$57</definedName>
    <definedName name="Z_FF2941E1_F9E0_4080_8AC4_3D9CF15BEA13_.wvu.FilterData" localSheetId="6" hidden="1">'07'!$AU$3:$AU$57</definedName>
    <definedName name="Z_FF2941E1_F9E0_4080_8AC4_3D9CF15BEA13_.wvu.FilterData" localSheetId="7" hidden="1">'08'!$AT$3:$AT$58</definedName>
    <definedName name="Z_FF2941E1_F9E0_4080_8AC4_3D9CF15BEA13_.wvu.FilterData" localSheetId="8" hidden="1">'09'!$AS$3:$AS$58</definedName>
    <definedName name="Z_FF2941E1_F9E0_4080_8AC4_3D9CF15BEA13_.wvu.FilterData" localSheetId="9" hidden="1">'10'!$AT$3:$AT$59</definedName>
    <definedName name="上班代號" localSheetId="3">{"N8","N","S","Z","1","M1","2","3","早","T早","中","T中","晚","日","小夜","大夜"}</definedName>
    <definedName name="上班代號" localSheetId="4">{"N8","N","S","Z","1","M1","2","3","早","T早","中","T中","晚","日","小夜","大夜"}</definedName>
    <definedName name="上班代號" localSheetId="5">{"N8","N","S","Z","1","M1","2","3","早","T早","中","T中","晚","日","小夜","大夜"}</definedName>
    <definedName name="上班代號" localSheetId="6">{"N8","N","S","Z","1","M1","2","3","早","T早","中","T中","晚","日","小夜","大夜"}</definedName>
    <definedName name="上班代號" localSheetId="7">{"N8","N","S","Z","1","M1","2","3","早","T早","中","T中","晚","日","小夜","大夜"}</definedName>
    <definedName name="上班代號" localSheetId="8">{"N8","N","S","Z","1","M1","2","3","早","T早","中","T中","晚","日","小夜","大夜"}</definedName>
    <definedName name="上班代號" localSheetId="9">{"N8","N","S","Z","1","M1","2","3","早","T早","中","T中","晚","日","小夜","大夜"}</definedName>
    <definedName name="上班代號">{"N8","N","S","Z","1","M1","2","3","早","T早","中","T中","晚","日","小夜","大夜"}</definedName>
    <definedName name="中班組" localSheetId="3">{2,"2","中","小夜","T中","M2"}</definedName>
    <definedName name="中班組" localSheetId="4">{2,"2","中","小夜","T中","M2"}</definedName>
    <definedName name="中班組" localSheetId="5">{2,"2","中","小夜","T中","M2"}</definedName>
    <definedName name="中班組" localSheetId="6">{2,"2","中","小夜","T中","M2"}</definedName>
    <definedName name="中班組" localSheetId="7">{2,"2","中","小夜","T中","M2"}</definedName>
    <definedName name="中班組" localSheetId="8">{2,"2","中","小夜","T中","M2"}</definedName>
    <definedName name="中班組" localSheetId="9">{2,"2","中","小夜","T中","M2"}</definedName>
    <definedName name="中班組">{2,"2","中","小夜","T中","M2"}</definedName>
    <definedName name="早班組" localSheetId="3">{1,"1","早","日","N","N8","S","Z","T早","M1"}</definedName>
    <definedName name="早班組" localSheetId="4">{1,"1","早","日","N","N8","S","Z","T早","M1"}</definedName>
    <definedName name="早班組" localSheetId="5">{1,"1","早","日","N","N8","S","Z","T早","M1"}</definedName>
    <definedName name="早班組" localSheetId="6">{1,"1","早","日","N","N8","S","Z","T早","M1"}</definedName>
    <definedName name="早班組" localSheetId="7">{1,"1","早","日","N","N8","S","Z","T早","M1"}</definedName>
    <definedName name="早班組" localSheetId="8">{1,"1","早","日","N","N8","S","Z","T早","M1"}</definedName>
    <definedName name="早班組" localSheetId="9">{1,"1","早","日","N","N8","S","Z","T早","M1"}</definedName>
    <definedName name="早班組">{1,"1","早","日","N","N8","S","Z","T早","M1"}</definedName>
    <definedName name="晚班組" localSheetId="3">{3,"3","晚","大夜"}</definedName>
    <definedName name="晚班組" localSheetId="4">{3,"3","晚","大夜"}</definedName>
    <definedName name="晚班組" localSheetId="5">{3,"3","晚","大夜"}</definedName>
    <definedName name="晚班組" localSheetId="6">{3,"3","晚","大夜"}</definedName>
    <definedName name="晚班組" localSheetId="7">{3,"3","晚","大夜"}</definedName>
    <definedName name="晚班組" localSheetId="8">{3,"3","晚","大夜"}</definedName>
    <definedName name="晚班組" localSheetId="9">{3,"3","晚","大夜"}</definedName>
    <definedName name="晚班組">{3,"3","晚","大夜"}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54" i="27" l="1" a="1"/>
  <c r="AR54" i="27" s="1"/>
  <c r="AR53" i="27" a="1"/>
  <c r="AR53" i="27" s="1"/>
  <c r="K47" i="27" l="1" a="1"/>
  <c r="K47" i="27" s="1"/>
  <c r="L47" i="27" a="1"/>
  <c r="L47" i="27" s="1"/>
  <c r="M47" i="27" a="1"/>
  <c r="M47" i="27" s="1"/>
  <c r="N47" i="27" a="1"/>
  <c r="N47" i="27" s="1"/>
  <c r="O47" i="27" a="1"/>
  <c r="O47" i="27" s="1"/>
  <c r="P47" i="27" a="1"/>
  <c r="P47" i="27" s="1"/>
  <c r="Q47" i="27" a="1"/>
  <c r="Q47" i="27" s="1"/>
  <c r="R47" i="27" a="1"/>
  <c r="R47" i="27" s="1"/>
  <c r="S47" i="27" a="1"/>
  <c r="S47" i="27" s="1"/>
  <c r="T47" i="27" a="1"/>
  <c r="T47" i="27" s="1"/>
  <c r="U47" i="27" a="1"/>
  <c r="U47" i="27" s="1"/>
  <c r="V47" i="27" a="1"/>
  <c r="V47" i="27" s="1"/>
  <c r="W47" i="27" a="1"/>
  <c r="W47" i="27" s="1"/>
  <c r="X47" i="27" a="1"/>
  <c r="X47" i="27" s="1"/>
  <c r="Y47" i="27" a="1"/>
  <c r="Y47" i="27" s="1"/>
  <c r="Z47" i="27" a="1"/>
  <c r="Z47" i="27" s="1"/>
  <c r="AA47" i="27" a="1"/>
  <c r="AA47" i="27" s="1"/>
  <c r="AB47" i="27" a="1"/>
  <c r="AB47" i="27" s="1"/>
  <c r="AC47" i="27" a="1"/>
  <c r="AC47" i="27" s="1"/>
  <c r="AD47" i="27" a="1"/>
  <c r="AD47" i="27" s="1"/>
  <c r="AE47" i="27" a="1"/>
  <c r="AE47" i="27" s="1"/>
  <c r="AF47" i="27" a="1"/>
  <c r="AF47" i="27" s="1"/>
  <c r="AG47" i="27" a="1"/>
  <c r="AG47" i="27" s="1"/>
  <c r="AH47" i="27" a="1"/>
  <c r="AH47" i="27" s="1"/>
  <c r="AI47" i="27" a="1"/>
  <c r="AI47" i="27" s="1"/>
  <c r="AJ47" i="27" a="1"/>
  <c r="AJ47" i="27" s="1"/>
  <c r="AK47" i="27" a="1"/>
  <c r="AK47" i="27" s="1"/>
  <c r="AL47" i="27" a="1"/>
  <c r="AL47" i="27" s="1"/>
  <c r="AM47" i="27" a="1"/>
  <c r="AM47" i="27" s="1"/>
  <c r="AN47" i="27" a="1"/>
  <c r="AN47" i="27" s="1"/>
  <c r="AO47" i="27" a="1"/>
  <c r="AO47" i="27" s="1"/>
  <c r="K48" i="27" a="1"/>
  <c r="K48" i="27" s="1"/>
  <c r="L48" i="27" a="1"/>
  <c r="L48" i="27" s="1"/>
  <c r="M48" i="27" a="1"/>
  <c r="M48" i="27" s="1"/>
  <c r="N48" i="27" a="1"/>
  <c r="N48" i="27" s="1"/>
  <c r="O48" i="27" a="1"/>
  <c r="O48" i="27" s="1"/>
  <c r="P48" i="27" a="1"/>
  <c r="P48" i="27" s="1"/>
  <c r="Q48" i="27" a="1"/>
  <c r="Q48" i="27" s="1"/>
  <c r="R48" i="27" a="1"/>
  <c r="R48" i="27" s="1"/>
  <c r="S48" i="27" a="1"/>
  <c r="S48" i="27" s="1"/>
  <c r="T48" i="27" a="1"/>
  <c r="T48" i="27" s="1"/>
  <c r="U48" i="27" a="1"/>
  <c r="U48" i="27" s="1"/>
  <c r="V48" i="27" a="1"/>
  <c r="V48" i="27" s="1"/>
  <c r="W48" i="27" a="1"/>
  <c r="W48" i="27" s="1"/>
  <c r="X48" i="27" a="1"/>
  <c r="X48" i="27" s="1"/>
  <c r="Y48" i="27" a="1"/>
  <c r="Y48" i="27" s="1"/>
  <c r="Z48" i="27" a="1"/>
  <c r="Z48" i="27" s="1"/>
  <c r="AA48" i="27" a="1"/>
  <c r="AA48" i="27" s="1"/>
  <c r="AB48" i="27" a="1"/>
  <c r="AB48" i="27" s="1"/>
  <c r="AC48" i="27" a="1"/>
  <c r="AC48" i="27" s="1"/>
  <c r="AD48" i="27" a="1"/>
  <c r="AD48" i="27" s="1"/>
  <c r="AE48" i="27" a="1"/>
  <c r="AE48" i="27" s="1"/>
  <c r="AF48" i="27" a="1"/>
  <c r="AF48" i="27" s="1"/>
  <c r="AG48" i="27" a="1"/>
  <c r="AG48" i="27" s="1"/>
  <c r="AH48" i="27" a="1"/>
  <c r="AH48" i="27" s="1"/>
  <c r="AI48" i="27" a="1"/>
  <c r="AI48" i="27" s="1"/>
  <c r="AJ48" i="27" a="1"/>
  <c r="AJ48" i="27" s="1"/>
  <c r="AK48" i="27" a="1"/>
  <c r="AK48" i="27" s="1"/>
  <c r="AL48" i="27" a="1"/>
  <c r="AL48" i="27" s="1"/>
  <c r="AM48" i="27" a="1"/>
  <c r="AM48" i="27" s="1"/>
  <c r="AN48" i="27" a="1"/>
  <c r="AN48" i="27" s="1"/>
  <c r="AO48" i="27" a="1"/>
  <c r="AO48" i="27" s="1"/>
  <c r="K49" i="27"/>
  <c r="L49" i="27"/>
  <c r="M49" i="27"/>
  <c r="N49" i="27"/>
  <c r="O49" i="27"/>
  <c r="P49" i="27"/>
  <c r="Q49" i="27"/>
  <c r="R49" i="27"/>
  <c r="S49" i="27"/>
  <c r="T49" i="27"/>
  <c r="U49" i="27"/>
  <c r="V49" i="27"/>
  <c r="W49" i="27"/>
  <c r="X49" i="27"/>
  <c r="Y49" i="27"/>
  <c r="Z49" i="27"/>
  <c r="AA49" i="27"/>
  <c r="AB49" i="27"/>
  <c r="AC49" i="27"/>
  <c r="AD49" i="27"/>
  <c r="AE49" i="27"/>
  <c r="AF49" i="27"/>
  <c r="AG49" i="27"/>
  <c r="AH49" i="27"/>
  <c r="AI49" i="27"/>
  <c r="AJ49" i="27"/>
  <c r="AK49" i="27"/>
  <c r="AL49" i="27"/>
  <c r="AM49" i="27"/>
  <c r="AN49" i="27"/>
  <c r="AO49" i="27"/>
  <c r="K50" i="27" a="1"/>
  <c r="K50" i="27" s="1"/>
  <c r="L50" i="27" a="1"/>
  <c r="L50" i="27" s="1"/>
  <c r="M50" i="27" a="1"/>
  <c r="M50" i="27" s="1"/>
  <c r="N50" i="27" a="1"/>
  <c r="N50" i="27" s="1"/>
  <c r="O50" i="27" a="1"/>
  <c r="O50" i="27" s="1"/>
  <c r="P50" i="27" a="1"/>
  <c r="P50" i="27" s="1"/>
  <c r="Q50" i="27" a="1"/>
  <c r="Q50" i="27" s="1"/>
  <c r="R50" i="27" a="1"/>
  <c r="R50" i="27" s="1"/>
  <c r="S50" i="27" a="1"/>
  <c r="S50" i="27" s="1"/>
  <c r="T50" i="27" a="1"/>
  <c r="T50" i="27" s="1"/>
  <c r="U50" i="27" a="1"/>
  <c r="U50" i="27" s="1"/>
  <c r="V50" i="27" a="1"/>
  <c r="V50" i="27" s="1"/>
  <c r="W50" i="27" a="1"/>
  <c r="W50" i="27" s="1"/>
  <c r="X50" i="27" a="1"/>
  <c r="X50" i="27" s="1"/>
  <c r="Y50" i="27" a="1"/>
  <c r="Y50" i="27" s="1"/>
  <c r="Z50" i="27" a="1"/>
  <c r="Z50" i="27" s="1"/>
  <c r="AA50" i="27" a="1"/>
  <c r="AA50" i="27" s="1"/>
  <c r="AB50" i="27" a="1"/>
  <c r="AB50" i="27" s="1"/>
  <c r="AC50" i="27" a="1"/>
  <c r="AC50" i="27" s="1"/>
  <c r="AD50" i="27" a="1"/>
  <c r="AD50" i="27" s="1"/>
  <c r="AE50" i="27" a="1"/>
  <c r="AE50" i="27" s="1"/>
  <c r="AF50" i="27" a="1"/>
  <c r="AF50" i="27" s="1"/>
  <c r="AG50" i="27" a="1"/>
  <c r="AG50" i="27" s="1"/>
  <c r="AH50" i="27" a="1"/>
  <c r="AH50" i="27" s="1"/>
  <c r="AI50" i="27" a="1"/>
  <c r="AI50" i="27" s="1"/>
  <c r="AJ50" i="27" a="1"/>
  <c r="AJ50" i="27" s="1"/>
  <c r="AK50" i="27" a="1"/>
  <c r="AK50" i="27" s="1"/>
  <c r="AL50" i="27" a="1"/>
  <c r="AL50" i="27" s="1"/>
  <c r="AM50" i="27" a="1"/>
  <c r="AM50" i="27" s="1"/>
  <c r="AN50" i="27" a="1"/>
  <c r="AN50" i="27" s="1"/>
  <c r="AO50" i="27" a="1"/>
  <c r="AO50" i="27" s="1"/>
  <c r="K51" i="27" a="1"/>
  <c r="K51" i="27" s="1"/>
  <c r="L51" i="27" a="1"/>
  <c r="L51" i="27" s="1"/>
  <c r="M51" i="27" a="1"/>
  <c r="M51" i="27" s="1"/>
  <c r="N51" i="27" a="1"/>
  <c r="N51" i="27" s="1"/>
  <c r="O51" i="27" a="1"/>
  <c r="O51" i="27" s="1"/>
  <c r="P51" i="27" a="1"/>
  <c r="P51" i="27" s="1"/>
  <c r="Q51" i="27" a="1"/>
  <c r="Q51" i="27" s="1"/>
  <c r="R51" i="27" a="1"/>
  <c r="R51" i="27" s="1"/>
  <c r="S51" i="27" a="1"/>
  <c r="S51" i="27" s="1"/>
  <c r="T51" i="27" a="1"/>
  <c r="T51" i="27" s="1"/>
  <c r="U51" i="27" a="1"/>
  <c r="U51" i="27" s="1"/>
  <c r="V51" i="27" a="1"/>
  <c r="V51" i="27" s="1"/>
  <c r="W51" i="27" a="1"/>
  <c r="W51" i="27" s="1"/>
  <c r="X51" i="27" a="1"/>
  <c r="X51" i="27" s="1"/>
  <c r="Y51" i="27" a="1"/>
  <c r="Y51" i="27" s="1"/>
  <c r="Z51" i="27" a="1"/>
  <c r="Z51" i="27" s="1"/>
  <c r="AA51" i="27" a="1"/>
  <c r="AA51" i="27" s="1"/>
  <c r="AB51" i="27" a="1"/>
  <c r="AB51" i="27" s="1"/>
  <c r="AC51" i="27" a="1"/>
  <c r="AC51" i="27" s="1"/>
  <c r="AD51" i="27" a="1"/>
  <c r="AD51" i="27" s="1"/>
  <c r="AE51" i="27" a="1"/>
  <c r="AE51" i="27" s="1"/>
  <c r="AF51" i="27" a="1"/>
  <c r="AF51" i="27" s="1"/>
  <c r="AG51" i="27" a="1"/>
  <c r="AG51" i="27" s="1"/>
  <c r="AH51" i="27" a="1"/>
  <c r="AH51" i="27" s="1"/>
  <c r="AI51" i="27" a="1"/>
  <c r="AI51" i="27" s="1"/>
  <c r="AJ51" i="27" a="1"/>
  <c r="AJ51" i="27" s="1"/>
  <c r="AK51" i="27" a="1"/>
  <c r="AK51" i="27" s="1"/>
  <c r="AL51" i="27" a="1"/>
  <c r="AL51" i="27" s="1"/>
  <c r="AM51" i="27" a="1"/>
  <c r="AM51" i="27" s="1"/>
  <c r="AN51" i="27" a="1"/>
  <c r="AN51" i="27" s="1"/>
  <c r="AO51" i="27" a="1"/>
  <c r="AO51" i="27" s="1"/>
  <c r="K52" i="27"/>
  <c r="L52" i="27"/>
  <c r="M52" i="27"/>
  <c r="N52" i="27"/>
  <c r="O52" i="27"/>
  <c r="P52" i="27"/>
  <c r="Q52" i="27"/>
  <c r="R52" i="27"/>
  <c r="S52" i="27"/>
  <c r="T52" i="27"/>
  <c r="U52" i="27"/>
  <c r="V52" i="27"/>
  <c r="W52" i="27"/>
  <c r="X52" i="27"/>
  <c r="Y52" i="27"/>
  <c r="Z52" i="27"/>
  <c r="AA52" i="27"/>
  <c r="AB52" i="27"/>
  <c r="AC52" i="27"/>
  <c r="AD52" i="27"/>
  <c r="AE52" i="27"/>
  <c r="AF52" i="27"/>
  <c r="AG52" i="27"/>
  <c r="AH52" i="27"/>
  <c r="AI52" i="27"/>
  <c r="AJ52" i="27"/>
  <c r="AK52" i="27"/>
  <c r="AL52" i="27"/>
  <c r="AM52" i="27"/>
  <c r="AN52" i="27"/>
  <c r="AO52" i="27"/>
  <c r="K53" i="27"/>
  <c r="L53" i="27"/>
  <c r="M53" i="27"/>
  <c r="N53" i="27"/>
  <c r="O53" i="27"/>
  <c r="P53" i="27"/>
  <c r="Q53" i="27"/>
  <c r="R53" i="27"/>
  <c r="S53" i="27"/>
  <c r="T53" i="27"/>
  <c r="U53" i="27"/>
  <c r="V53" i="27"/>
  <c r="W53" i="27"/>
  <c r="X53" i="27"/>
  <c r="Y53" i="27"/>
  <c r="Z53" i="27"/>
  <c r="AA53" i="27"/>
  <c r="AB53" i="27"/>
  <c r="AC53" i="27"/>
  <c r="AD53" i="27"/>
  <c r="AE53" i="27"/>
  <c r="AF53" i="27"/>
  <c r="AG53" i="27"/>
  <c r="AH53" i="27"/>
  <c r="AI53" i="27"/>
  <c r="AJ53" i="27"/>
  <c r="AK53" i="27"/>
  <c r="AL53" i="27"/>
  <c r="AM53" i="27"/>
  <c r="AN53" i="27"/>
  <c r="AO53" i="27"/>
  <c r="K54" i="27"/>
  <c r="L54" i="27"/>
  <c r="M54" i="27"/>
  <c r="N54" i="27"/>
  <c r="O54" i="27"/>
  <c r="P54" i="27"/>
  <c r="Q54" i="27"/>
  <c r="R54" i="27"/>
  <c r="S54" i="27"/>
  <c r="T54" i="27"/>
  <c r="U54" i="27"/>
  <c r="V54" i="27"/>
  <c r="W54" i="27"/>
  <c r="X54" i="27"/>
  <c r="Y54" i="27"/>
  <c r="Z54" i="27"/>
  <c r="AA54" i="27"/>
  <c r="AB54" i="27"/>
  <c r="AC54" i="27"/>
  <c r="AD54" i="27"/>
  <c r="AE54" i="27"/>
  <c r="AF54" i="27"/>
  <c r="AG54" i="27"/>
  <c r="AH54" i="27"/>
  <c r="AI54" i="27"/>
  <c r="AJ54" i="27"/>
  <c r="AK54" i="27"/>
  <c r="AL54" i="27"/>
  <c r="AM54" i="27"/>
  <c r="AN54" i="27"/>
  <c r="AO54" i="27"/>
  <c r="A32" i="27"/>
  <c r="B32" i="27"/>
  <c r="C32" i="27"/>
  <c r="D32" i="27"/>
  <c r="E32" i="27"/>
  <c r="F32" i="27"/>
  <c r="G32" i="27"/>
  <c r="H32" i="27"/>
  <c r="A33" i="27"/>
  <c r="B33" i="27"/>
  <c r="C33" i="27"/>
  <c r="D33" i="27"/>
  <c r="E33" i="27"/>
  <c r="F33" i="27"/>
  <c r="G33" i="27"/>
  <c r="H33" i="27"/>
  <c r="AO64" i="27" a="1"/>
  <c r="AO64" i="27" s="1"/>
  <c r="AN64" i="27" a="1"/>
  <c r="AN64" i="27" s="1"/>
  <c r="AM64" i="27" a="1"/>
  <c r="AM64" i="27" s="1"/>
  <c r="AL64" i="27" a="1"/>
  <c r="AL64" i="27" s="1"/>
  <c r="AK64" i="27" a="1"/>
  <c r="AK64" i="27" s="1"/>
  <c r="AJ64" i="27" a="1"/>
  <c r="AJ64" i="27" s="1"/>
  <c r="AI64" i="27" a="1"/>
  <c r="AI64" i="27" s="1"/>
  <c r="AH64" i="27" a="1"/>
  <c r="AH64" i="27" s="1"/>
  <c r="AG64" i="27" a="1"/>
  <c r="AG64" i="27" s="1"/>
  <c r="AF64" i="27" a="1"/>
  <c r="AF64" i="27" s="1"/>
  <c r="AE64" i="27" a="1"/>
  <c r="AE64" i="27" s="1"/>
  <c r="AD64" i="27" a="1"/>
  <c r="AD64" i="27" s="1"/>
  <c r="AC64" i="27" a="1"/>
  <c r="AC64" i="27" s="1"/>
  <c r="AB64" i="27" a="1"/>
  <c r="AB64" i="27" s="1"/>
  <c r="AA64" i="27" a="1"/>
  <c r="AA64" i="27" s="1"/>
  <c r="Z64" i="27" a="1"/>
  <c r="Z64" i="27" s="1"/>
  <c r="Y64" i="27" a="1"/>
  <c r="Y64" i="27" s="1"/>
  <c r="X64" i="27" a="1"/>
  <c r="X64" i="27" s="1"/>
  <c r="W64" i="27" a="1"/>
  <c r="W64" i="27" s="1"/>
  <c r="V64" i="27" a="1"/>
  <c r="V64" i="27" s="1"/>
  <c r="U64" i="27" a="1"/>
  <c r="U64" i="27" s="1"/>
  <c r="T64" i="27" a="1"/>
  <c r="T64" i="27" s="1"/>
  <c r="S64" i="27" a="1"/>
  <c r="S64" i="27" s="1"/>
  <c r="R64" i="27" a="1"/>
  <c r="R64" i="27" s="1"/>
  <c r="Q64" i="27" a="1"/>
  <c r="Q64" i="27" s="1"/>
  <c r="P64" i="27" a="1"/>
  <c r="P64" i="27" s="1"/>
  <c r="O64" i="27" a="1"/>
  <c r="O64" i="27" s="1"/>
  <c r="N64" i="27" a="1"/>
  <c r="N64" i="27" s="1"/>
  <c r="M64" i="27" a="1"/>
  <c r="M64" i="27" s="1"/>
  <c r="L64" i="27" a="1"/>
  <c r="L64" i="27" s="1"/>
  <c r="K64" i="27" a="1"/>
  <c r="K64" i="27" s="1"/>
  <c r="AO59" i="27"/>
  <c r="AN59" i="27"/>
  <c r="AM59" i="27"/>
  <c r="AL59" i="27"/>
  <c r="AK59" i="27"/>
  <c r="AJ59" i="27"/>
  <c r="AI59" i="27"/>
  <c r="AH59" i="27"/>
  <c r="AG59" i="27"/>
  <c r="AF59" i="27"/>
  <c r="AE59" i="27"/>
  <c r="AD59" i="27"/>
  <c r="AC59" i="27"/>
  <c r="AB59" i="27"/>
  <c r="AA59" i="27"/>
  <c r="Z59" i="27"/>
  <c r="Y59" i="27"/>
  <c r="X59" i="27"/>
  <c r="W59" i="27"/>
  <c r="V59" i="27"/>
  <c r="U59" i="27"/>
  <c r="T59" i="27"/>
  <c r="S59" i="27"/>
  <c r="R59" i="27"/>
  <c r="Q59" i="27"/>
  <c r="P59" i="27"/>
  <c r="O59" i="27"/>
  <c r="N59" i="27"/>
  <c r="M59" i="27"/>
  <c r="L59" i="27"/>
  <c r="K59" i="27"/>
  <c r="AO58" i="27"/>
  <c r="AN58" i="27"/>
  <c r="AM58" i="27"/>
  <c r="AL58" i="27"/>
  <c r="AK58" i="27"/>
  <c r="AJ58" i="27"/>
  <c r="AI58" i="27"/>
  <c r="AH58" i="27"/>
  <c r="AG58" i="27"/>
  <c r="AF58" i="27"/>
  <c r="AE58" i="27"/>
  <c r="AD58" i="27"/>
  <c r="AC58" i="27"/>
  <c r="AB58" i="27"/>
  <c r="AA58" i="27"/>
  <c r="Z58" i="27"/>
  <c r="Y58" i="27"/>
  <c r="X58" i="27"/>
  <c r="W58" i="27"/>
  <c r="V58" i="27"/>
  <c r="U58" i="27"/>
  <c r="T58" i="27"/>
  <c r="S58" i="27"/>
  <c r="R58" i="27"/>
  <c r="Q58" i="27"/>
  <c r="P58" i="27"/>
  <c r="O58" i="27"/>
  <c r="N58" i="27"/>
  <c r="M58" i="27"/>
  <c r="L58" i="27"/>
  <c r="K58" i="27"/>
  <c r="AO57" i="27"/>
  <c r="AN57" i="27"/>
  <c r="AM57" i="27"/>
  <c r="AL57" i="27"/>
  <c r="AK57" i="27"/>
  <c r="AJ57" i="27"/>
  <c r="AI57" i="27"/>
  <c r="AH57" i="27"/>
  <c r="AG57" i="27"/>
  <c r="AF57" i="27"/>
  <c r="AE57" i="27"/>
  <c r="AD57" i="27"/>
  <c r="AC57" i="27"/>
  <c r="AB57" i="27"/>
  <c r="AA57" i="27"/>
  <c r="Z57" i="27"/>
  <c r="Y57" i="27"/>
  <c r="X57" i="27"/>
  <c r="W57" i="27"/>
  <c r="V57" i="27"/>
  <c r="U57" i="27"/>
  <c r="T57" i="27"/>
  <c r="S57" i="27"/>
  <c r="R57" i="27"/>
  <c r="Q57" i="27"/>
  <c r="P57" i="27"/>
  <c r="O57" i="27"/>
  <c r="N57" i="27"/>
  <c r="M57" i="27"/>
  <c r="L57" i="27"/>
  <c r="K57" i="27"/>
  <c r="AO56" i="27"/>
  <c r="AN56" i="27"/>
  <c r="AM56" i="27"/>
  <c r="AL56" i="27"/>
  <c r="AK56" i="27"/>
  <c r="AJ56" i="27"/>
  <c r="AI56" i="27"/>
  <c r="AH56" i="27"/>
  <c r="AG56" i="27"/>
  <c r="AF56" i="27"/>
  <c r="AE56" i="27"/>
  <c r="AD56" i="27"/>
  <c r="AC56" i="27"/>
  <c r="AB56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AS54" i="27" a="1"/>
  <c r="AS54" i="27" s="1"/>
  <c r="AS53" i="27" a="1"/>
  <c r="AS53" i="27" s="1"/>
  <c r="AS52" i="27"/>
  <c r="AR52" i="27"/>
  <c r="AS51" i="27"/>
  <c r="AR51" i="27"/>
  <c r="AS50" i="27"/>
  <c r="AR50" i="27"/>
  <c r="AS49" i="27"/>
  <c r="AR49" i="27"/>
  <c r="H46" i="27"/>
  <c r="G46" i="27"/>
  <c r="F46" i="27"/>
  <c r="E46" i="27"/>
  <c r="D46" i="27"/>
  <c r="C46" i="27"/>
  <c r="B46" i="27"/>
  <c r="A46" i="27"/>
  <c r="H45" i="27"/>
  <c r="G45" i="27"/>
  <c r="F45" i="27"/>
  <c r="E45" i="27"/>
  <c r="D45" i="27"/>
  <c r="C45" i="27"/>
  <c r="B45" i="27"/>
  <c r="A45" i="27"/>
  <c r="H44" i="27"/>
  <c r="G44" i="27"/>
  <c r="F44" i="27"/>
  <c r="E44" i="27"/>
  <c r="D44" i="27"/>
  <c r="C44" i="27"/>
  <c r="B44" i="27"/>
  <c r="A44" i="27"/>
  <c r="H43" i="27"/>
  <c r="G43" i="27"/>
  <c r="F43" i="27"/>
  <c r="E43" i="27"/>
  <c r="D43" i="27"/>
  <c r="C43" i="27"/>
  <c r="B43" i="27"/>
  <c r="A43" i="27"/>
  <c r="H42" i="27"/>
  <c r="G42" i="27"/>
  <c r="F42" i="27"/>
  <c r="E42" i="27"/>
  <c r="D42" i="27"/>
  <c r="C42" i="27"/>
  <c r="B42" i="27"/>
  <c r="A42" i="27"/>
  <c r="H41" i="27"/>
  <c r="G41" i="27"/>
  <c r="F41" i="27"/>
  <c r="E41" i="27"/>
  <c r="D41" i="27"/>
  <c r="C41" i="27"/>
  <c r="B41" i="27"/>
  <c r="A41" i="27"/>
  <c r="H40" i="27"/>
  <c r="G40" i="27"/>
  <c r="F40" i="27"/>
  <c r="E40" i="27"/>
  <c r="D40" i="27"/>
  <c r="C40" i="27"/>
  <c r="B40" i="27"/>
  <c r="A40" i="27"/>
  <c r="H39" i="27"/>
  <c r="G39" i="27"/>
  <c r="F39" i="27"/>
  <c r="E39" i="27"/>
  <c r="D39" i="27"/>
  <c r="C39" i="27"/>
  <c r="B39" i="27"/>
  <c r="A39" i="27"/>
  <c r="H38" i="27"/>
  <c r="G38" i="27"/>
  <c r="F38" i="27"/>
  <c r="E38" i="27"/>
  <c r="D38" i="27"/>
  <c r="C38" i="27"/>
  <c r="B38" i="27"/>
  <c r="A38" i="27"/>
  <c r="H37" i="27"/>
  <c r="G37" i="27"/>
  <c r="F37" i="27"/>
  <c r="E37" i="27"/>
  <c r="D37" i="27"/>
  <c r="C37" i="27"/>
  <c r="B37" i="27"/>
  <c r="A37" i="27"/>
  <c r="H36" i="27"/>
  <c r="G36" i="27"/>
  <c r="F36" i="27"/>
  <c r="E36" i="27"/>
  <c r="D36" i="27"/>
  <c r="C36" i="27"/>
  <c r="B36" i="27"/>
  <c r="A36" i="27"/>
  <c r="H35" i="27"/>
  <c r="G35" i="27"/>
  <c r="F35" i="27"/>
  <c r="E35" i="27"/>
  <c r="D35" i="27"/>
  <c r="C35" i="27"/>
  <c r="B35" i="27"/>
  <c r="A35" i="27"/>
  <c r="H34" i="27"/>
  <c r="G34" i="27"/>
  <c r="F34" i="27"/>
  <c r="E34" i="27"/>
  <c r="D34" i="27"/>
  <c r="C34" i="27"/>
  <c r="B34" i="27"/>
  <c r="A34" i="27"/>
  <c r="H31" i="27"/>
  <c r="G31" i="27"/>
  <c r="F31" i="27"/>
  <c r="E31" i="27"/>
  <c r="D31" i="27"/>
  <c r="C31" i="27"/>
  <c r="B31" i="27"/>
  <c r="A31" i="27"/>
  <c r="H30" i="27"/>
  <c r="G30" i="27"/>
  <c r="F30" i="27"/>
  <c r="E30" i="27"/>
  <c r="D30" i="27"/>
  <c r="C30" i="27"/>
  <c r="B30" i="27"/>
  <c r="A30" i="27"/>
  <c r="H29" i="27"/>
  <c r="G29" i="27"/>
  <c r="F29" i="27"/>
  <c r="E29" i="27"/>
  <c r="D29" i="27"/>
  <c r="C29" i="27"/>
  <c r="B29" i="27"/>
  <c r="A29" i="27"/>
  <c r="H28" i="27"/>
  <c r="G28" i="27"/>
  <c r="F28" i="27"/>
  <c r="E28" i="27"/>
  <c r="D28" i="27"/>
  <c r="C28" i="27"/>
  <c r="B28" i="27"/>
  <c r="A28" i="27"/>
  <c r="H27" i="27"/>
  <c r="G27" i="27"/>
  <c r="F27" i="27"/>
  <c r="E27" i="27"/>
  <c r="D27" i="27"/>
  <c r="C27" i="27"/>
  <c r="B27" i="27"/>
  <c r="A27" i="27"/>
  <c r="H26" i="27"/>
  <c r="G26" i="27"/>
  <c r="F26" i="27"/>
  <c r="E26" i="27"/>
  <c r="D26" i="27"/>
  <c r="C26" i="27"/>
  <c r="B26" i="27"/>
  <c r="A26" i="27"/>
  <c r="H25" i="27"/>
  <c r="G25" i="27"/>
  <c r="F25" i="27"/>
  <c r="E25" i="27"/>
  <c r="D25" i="27"/>
  <c r="C25" i="27"/>
  <c r="B25" i="27"/>
  <c r="A25" i="27"/>
  <c r="H24" i="27"/>
  <c r="G24" i="27"/>
  <c r="F24" i="27"/>
  <c r="E24" i="27"/>
  <c r="D24" i="27"/>
  <c r="C24" i="27"/>
  <c r="B24" i="27"/>
  <c r="A24" i="27"/>
  <c r="H23" i="27"/>
  <c r="G23" i="27"/>
  <c r="F23" i="27"/>
  <c r="E23" i="27"/>
  <c r="D23" i="27"/>
  <c r="C23" i="27"/>
  <c r="B23" i="27"/>
  <c r="A23" i="27"/>
  <c r="H22" i="27"/>
  <c r="G22" i="27"/>
  <c r="F22" i="27"/>
  <c r="E22" i="27"/>
  <c r="D22" i="27"/>
  <c r="C22" i="27"/>
  <c r="B22" i="27"/>
  <c r="A22" i="27"/>
  <c r="H21" i="27"/>
  <c r="G21" i="27"/>
  <c r="F21" i="27"/>
  <c r="E21" i="27"/>
  <c r="D21" i="27"/>
  <c r="C21" i="27"/>
  <c r="B21" i="27"/>
  <c r="A21" i="27"/>
  <c r="H20" i="27"/>
  <c r="G20" i="27"/>
  <c r="F20" i="27"/>
  <c r="E20" i="27"/>
  <c r="D20" i="27"/>
  <c r="C20" i="27"/>
  <c r="B20" i="27"/>
  <c r="A20" i="27"/>
  <c r="H19" i="27"/>
  <c r="G19" i="27"/>
  <c r="F19" i="27"/>
  <c r="E19" i="27"/>
  <c r="D19" i="27"/>
  <c r="C19" i="27"/>
  <c r="B19" i="27"/>
  <c r="A19" i="27"/>
  <c r="H18" i="27"/>
  <c r="G18" i="27"/>
  <c r="F18" i="27"/>
  <c r="E18" i="27"/>
  <c r="D18" i="27"/>
  <c r="C18" i="27"/>
  <c r="B18" i="27"/>
  <c r="A18" i="27"/>
  <c r="AW17" i="27" a="1"/>
  <c r="AW17" i="27" s="1"/>
  <c r="AY17" i="27" s="1"/>
  <c r="H17" i="27"/>
  <c r="G17" i="27"/>
  <c r="F17" i="27"/>
  <c r="E17" i="27"/>
  <c r="D17" i="27"/>
  <c r="C17" i="27"/>
  <c r="B17" i="27"/>
  <c r="A17" i="27"/>
  <c r="AW16" i="27" a="1"/>
  <c r="AW16" i="27" s="1"/>
  <c r="AY16" i="27" s="1"/>
  <c r="H16" i="27"/>
  <c r="G16" i="27"/>
  <c r="F16" i="27"/>
  <c r="E16" i="27"/>
  <c r="D16" i="27"/>
  <c r="C16" i="27"/>
  <c r="B16" i="27"/>
  <c r="A16" i="27"/>
  <c r="AW15" i="27" a="1"/>
  <c r="AW15" i="27" s="1"/>
  <c r="AY15" i="27" s="1"/>
  <c r="H15" i="27"/>
  <c r="G15" i="27"/>
  <c r="F15" i="27"/>
  <c r="E15" i="27"/>
  <c r="D15" i="27"/>
  <c r="C15" i="27"/>
  <c r="B15" i="27"/>
  <c r="A15" i="27"/>
  <c r="AW14" i="27" a="1"/>
  <c r="AW14" i="27" s="1"/>
  <c r="AY14" i="27" s="1"/>
  <c r="H14" i="27"/>
  <c r="G14" i="27"/>
  <c r="F14" i="27"/>
  <c r="E14" i="27"/>
  <c r="D14" i="27"/>
  <c r="C14" i="27"/>
  <c r="B14" i="27"/>
  <c r="A14" i="27"/>
  <c r="H13" i="27"/>
  <c r="G13" i="27"/>
  <c r="F13" i="27"/>
  <c r="E13" i="27"/>
  <c r="D13" i="27"/>
  <c r="C13" i="27"/>
  <c r="B13" i="27"/>
  <c r="A13" i="27"/>
  <c r="AW12" i="27" a="1"/>
  <c r="AW12" i="27" s="1"/>
  <c r="AY12" i="27" s="1"/>
  <c r="H12" i="27"/>
  <c r="G12" i="27"/>
  <c r="F12" i="27"/>
  <c r="E12" i="27"/>
  <c r="D12" i="27"/>
  <c r="C12" i="27"/>
  <c r="B12" i="27"/>
  <c r="A12" i="27"/>
  <c r="AW11" i="27" a="1"/>
  <c r="AW11" i="27" s="1"/>
  <c r="AY11" i="27" s="1"/>
  <c r="H11" i="27"/>
  <c r="G11" i="27"/>
  <c r="F11" i="27"/>
  <c r="E11" i="27"/>
  <c r="D11" i="27"/>
  <c r="C11" i="27"/>
  <c r="B11" i="27"/>
  <c r="A11" i="27"/>
  <c r="AW10" i="27" a="1"/>
  <c r="AW10" i="27" s="1"/>
  <c r="AY10" i="27" s="1"/>
  <c r="H10" i="27"/>
  <c r="G10" i="27"/>
  <c r="F10" i="27"/>
  <c r="E10" i="27"/>
  <c r="D10" i="27"/>
  <c r="C10" i="27"/>
  <c r="B10" i="27"/>
  <c r="A10" i="27"/>
  <c r="AW9" i="27" a="1"/>
  <c r="AW9" i="27" s="1"/>
  <c r="AY9" i="27" s="1"/>
  <c r="H9" i="27"/>
  <c r="G9" i="27"/>
  <c r="F9" i="27"/>
  <c r="E9" i="27"/>
  <c r="D9" i="27"/>
  <c r="C9" i="27"/>
  <c r="B9" i="27"/>
  <c r="A9" i="27"/>
  <c r="AW8" i="27" a="1"/>
  <c r="AW8" i="27" s="1"/>
  <c r="AY8" i="27" s="1"/>
  <c r="H8" i="27"/>
  <c r="G8" i="27"/>
  <c r="F8" i="27"/>
  <c r="E8" i="27"/>
  <c r="D8" i="27"/>
  <c r="C8" i="27"/>
  <c r="B8" i="27"/>
  <c r="A8" i="27"/>
  <c r="AW7" i="27" a="1"/>
  <c r="AW7" i="27" s="1"/>
  <c r="AY7" i="27" s="1"/>
  <c r="H7" i="27"/>
  <c r="G7" i="27"/>
  <c r="F7" i="27"/>
  <c r="E7" i="27"/>
  <c r="D7" i="27"/>
  <c r="C7" i="27"/>
  <c r="B7" i="27"/>
  <c r="A7" i="27"/>
  <c r="AW6" i="27" a="1"/>
  <c r="AW6" i="27" s="1"/>
  <c r="AY6" i="27" s="1"/>
  <c r="H6" i="27"/>
  <c r="G6" i="27"/>
  <c r="F6" i="27"/>
  <c r="E6" i="27"/>
  <c r="D6" i="27"/>
  <c r="C6" i="27"/>
  <c r="B6" i="27"/>
  <c r="A6" i="27"/>
  <c r="H5" i="27"/>
  <c r="G5" i="27"/>
  <c r="F5" i="27"/>
  <c r="E5" i="27"/>
  <c r="D5" i="27"/>
  <c r="C5" i="27"/>
  <c r="B5" i="27"/>
  <c r="A5" i="27"/>
  <c r="AW4" i="27" a="1"/>
  <c r="AW4" i="27" s="1"/>
  <c r="AY4" i="27" s="1"/>
  <c r="H4" i="27"/>
  <c r="G4" i="27"/>
  <c r="F4" i="27"/>
  <c r="E4" i="27"/>
  <c r="D4" i="27"/>
  <c r="C4" i="27"/>
  <c r="B4" i="27"/>
  <c r="A4" i="27"/>
  <c r="AQ52" i="26"/>
  <c r="AQ49" i="26"/>
  <c r="H33" i="26"/>
  <c r="G33" i="26"/>
  <c r="F33" i="26"/>
  <c r="E33" i="26"/>
  <c r="D33" i="26"/>
  <c r="C33" i="26"/>
  <c r="B33" i="26"/>
  <c r="A33" i="26"/>
  <c r="I32" i="27" l="1"/>
  <c r="AM55" i="27"/>
  <c r="AM60" i="27" s="1"/>
  <c r="Q55" i="27"/>
  <c r="Q60" i="27" s="1"/>
  <c r="P55" i="27"/>
  <c r="P60" i="27" s="1"/>
  <c r="AD55" i="27"/>
  <c r="AD60" i="27" s="1"/>
  <c r="N55" i="27"/>
  <c r="N60" i="27" s="1"/>
  <c r="AI55" i="27"/>
  <c r="AI60" i="27" s="1"/>
  <c r="AE55" i="27"/>
  <c r="AE60" i="27" s="1"/>
  <c r="S55" i="27"/>
  <c r="S60" i="27" s="1"/>
  <c r="Z55" i="27"/>
  <c r="Z60" i="27" s="1"/>
  <c r="AC55" i="27"/>
  <c r="AC60" i="27" s="1"/>
  <c r="AO55" i="27"/>
  <c r="AO60" i="27" s="1"/>
  <c r="AB55" i="27"/>
  <c r="AB60" i="27" s="1"/>
  <c r="M55" i="27"/>
  <c r="M60" i="27" s="1"/>
  <c r="AA55" i="27"/>
  <c r="AA60" i="27" s="1"/>
  <c r="L55" i="27"/>
  <c r="L60" i="27" s="1"/>
  <c r="K55" i="27"/>
  <c r="K60" i="27" s="1"/>
  <c r="O55" i="27"/>
  <c r="O60" i="27" s="1"/>
  <c r="W55" i="27"/>
  <c r="W60" i="27" s="1"/>
  <c r="X55" i="27"/>
  <c r="X60" i="27" s="1"/>
  <c r="AH55" i="27"/>
  <c r="AH60" i="27" s="1"/>
  <c r="AL55" i="27"/>
  <c r="AL60" i="27" s="1"/>
  <c r="AJ55" i="27"/>
  <c r="AJ60" i="27" s="1"/>
  <c r="V55" i="27"/>
  <c r="V60" i="27" s="1"/>
  <c r="U55" i="27"/>
  <c r="U60" i="27" s="1"/>
  <c r="AG55" i="27"/>
  <c r="AG60" i="27" s="1"/>
  <c r="T55" i="27"/>
  <c r="T60" i="27" s="1"/>
  <c r="AK55" i="27"/>
  <c r="AK60" i="27" s="1"/>
  <c r="R55" i="27"/>
  <c r="R60" i="27" s="1"/>
  <c r="AN55" i="27"/>
  <c r="AN60" i="27" s="1"/>
  <c r="Y55" i="27"/>
  <c r="Y60" i="27" s="1"/>
  <c r="AF55" i="27"/>
  <c r="AF60" i="27" s="1"/>
  <c r="I33" i="27"/>
  <c r="O61" i="27"/>
  <c r="AE61" i="27"/>
  <c r="S61" i="27"/>
  <c r="AQ15" i="27"/>
  <c r="AS15" i="27" s="1"/>
  <c r="AQ45" i="27"/>
  <c r="AS45" i="27" s="1"/>
  <c r="AQ8" i="27"/>
  <c r="AS8" i="27" s="1"/>
  <c r="I46" i="27"/>
  <c r="I4" i="27"/>
  <c r="U61" i="27"/>
  <c r="AK61" i="27"/>
  <c r="I26" i="27"/>
  <c r="I8" i="27"/>
  <c r="AQ4" i="27"/>
  <c r="AS4" i="27" s="1"/>
  <c r="AQ5" i="27"/>
  <c r="AS5" i="27" s="1"/>
  <c r="I11" i="27"/>
  <c r="AQ10" i="27"/>
  <c r="AS10" i="27" s="1"/>
  <c r="AQ16" i="27"/>
  <c r="AS16" i="27" s="1"/>
  <c r="K61" i="27"/>
  <c r="AA61" i="27"/>
  <c r="AB61" i="27"/>
  <c r="I23" i="27"/>
  <c r="AQ19" i="27"/>
  <c r="AS19" i="27" s="1"/>
  <c r="AQ21" i="27"/>
  <c r="AS21" i="27" s="1"/>
  <c r="AQ23" i="27"/>
  <c r="AS23" i="27" s="1"/>
  <c r="AQ25" i="27"/>
  <c r="AS25" i="27" s="1"/>
  <c r="L61" i="27"/>
  <c r="I16" i="27"/>
  <c r="AQ27" i="27"/>
  <c r="AS27" i="27" s="1"/>
  <c r="AQ31" i="27"/>
  <c r="AS31" i="27" s="1"/>
  <c r="AQ35" i="27"/>
  <c r="AS35" i="27" s="1"/>
  <c r="AQ39" i="27"/>
  <c r="AS39" i="27" s="1"/>
  <c r="AQ43" i="27"/>
  <c r="AS43" i="27" s="1"/>
  <c r="I9" i="27"/>
  <c r="AQ12" i="27"/>
  <c r="AS12" i="27" s="1"/>
  <c r="I18" i="27"/>
  <c r="I20" i="27"/>
  <c r="I22" i="27"/>
  <c r="AF61" i="27"/>
  <c r="Q61" i="27"/>
  <c r="AG61" i="27"/>
  <c r="AH61" i="27"/>
  <c r="I42" i="27"/>
  <c r="AQ18" i="27"/>
  <c r="AS18" i="27" s="1"/>
  <c r="AQ20" i="27"/>
  <c r="AS20" i="27" s="1"/>
  <c r="AQ26" i="27"/>
  <c r="AS26" i="27" s="1"/>
  <c r="AQ30" i="27"/>
  <c r="AS30" i="27" s="1"/>
  <c r="AQ36" i="27"/>
  <c r="AS36" i="27" s="1"/>
  <c r="I31" i="27"/>
  <c r="I37" i="27"/>
  <c r="I39" i="27"/>
  <c r="Y61" i="27"/>
  <c r="AO61" i="27"/>
  <c r="Z61" i="27"/>
  <c r="I30" i="27"/>
  <c r="AQ13" i="27"/>
  <c r="AS13" i="27" s="1"/>
  <c r="AQ22" i="27"/>
  <c r="AS22" i="27" s="1"/>
  <c r="I28" i="27"/>
  <c r="AQ41" i="27"/>
  <c r="AS41" i="27" s="1"/>
  <c r="I5" i="27"/>
  <c r="I36" i="27"/>
  <c r="I38" i="27"/>
  <c r="I17" i="27"/>
  <c r="I12" i="27"/>
  <c r="AQ24" i="27"/>
  <c r="AS24" i="27" s="1"/>
  <c r="I7" i="27"/>
  <c r="I6" i="27"/>
  <c r="I14" i="27"/>
  <c r="I19" i="27"/>
  <c r="I21" i="27"/>
  <c r="I40" i="27"/>
  <c r="M61" i="27"/>
  <c r="AC61" i="27"/>
  <c r="N61" i="27"/>
  <c r="AD61" i="27"/>
  <c r="I34" i="27"/>
  <c r="AQ28" i="27"/>
  <c r="AS28" i="27" s="1"/>
  <c r="AQ32" i="27"/>
  <c r="AS32" i="27" s="1"/>
  <c r="AQ34" i="27"/>
  <c r="AS34" i="27" s="1"/>
  <c r="AQ17" i="27"/>
  <c r="AS17" i="27" s="1"/>
  <c r="I27" i="27"/>
  <c r="AQ38" i="27"/>
  <c r="AS38" i="27" s="1"/>
  <c r="I44" i="27"/>
  <c r="P61" i="27"/>
  <c r="AQ40" i="27"/>
  <c r="AS40" i="27" s="1"/>
  <c r="R61" i="27"/>
  <c r="AI61" i="27"/>
  <c r="AQ42" i="27"/>
  <c r="AS42" i="27" s="1"/>
  <c r="AQ44" i="27"/>
  <c r="AS44" i="27" s="1"/>
  <c r="AQ46" i="27"/>
  <c r="AS46" i="27" s="1"/>
  <c r="T61" i="27"/>
  <c r="AJ61" i="27"/>
  <c r="AR58" i="27"/>
  <c r="I35" i="27"/>
  <c r="AQ9" i="27"/>
  <c r="AS9" i="27" s="1"/>
  <c r="I43" i="27"/>
  <c r="V61" i="27"/>
  <c r="AL61" i="27"/>
  <c r="I15" i="27"/>
  <c r="AQ6" i="27"/>
  <c r="AS6" i="27" s="1"/>
  <c r="I13" i="27"/>
  <c r="I24" i="27"/>
  <c r="AQ29" i="27"/>
  <c r="AS29" i="27" s="1"/>
  <c r="I41" i="27"/>
  <c r="W61" i="27"/>
  <c r="AM61" i="27"/>
  <c r="I25" i="27"/>
  <c r="I10" i="27"/>
  <c r="AQ11" i="27"/>
  <c r="AS11" i="27" s="1"/>
  <c r="AQ33" i="27"/>
  <c r="AS33" i="27" s="1"/>
  <c r="AQ37" i="27"/>
  <c r="AS37" i="27" s="1"/>
  <c r="X61" i="27"/>
  <c r="AN61" i="27"/>
  <c r="AS58" i="27"/>
  <c r="I45" i="27"/>
  <c r="AQ7" i="27"/>
  <c r="AS7" i="27" s="1"/>
  <c r="AQ14" i="27"/>
  <c r="AS14" i="27" s="1"/>
  <c r="I29" i="27"/>
  <c r="AP33" i="26"/>
  <c r="AR33" i="26" s="1"/>
  <c r="I33" i="26"/>
  <c r="K1" i="27" l="1"/>
  <c r="AN64" i="26" a="1"/>
  <c r="AN64" i="26" s="1"/>
  <c r="AM64" i="26" a="1"/>
  <c r="AM64" i="26" s="1"/>
  <c r="AL64" i="26" a="1"/>
  <c r="AL64" i="26" s="1"/>
  <c r="AK64" i="26" a="1"/>
  <c r="AK64" i="26" s="1"/>
  <c r="AJ64" i="26" a="1"/>
  <c r="AJ64" i="26" s="1"/>
  <c r="AI64" i="26" a="1"/>
  <c r="AI64" i="26" s="1"/>
  <c r="AH64" i="26" a="1"/>
  <c r="AH64" i="26" s="1"/>
  <c r="AG64" i="26" a="1"/>
  <c r="AG64" i="26" s="1"/>
  <c r="AF64" i="26" a="1"/>
  <c r="AF64" i="26" s="1"/>
  <c r="AE64" i="26" a="1"/>
  <c r="AE64" i="26" s="1"/>
  <c r="AD64" i="26" a="1"/>
  <c r="AD64" i="26" s="1"/>
  <c r="AC64" i="26" a="1"/>
  <c r="AC64" i="26" s="1"/>
  <c r="AB64" i="26" a="1"/>
  <c r="AB64" i="26" s="1"/>
  <c r="AA64" i="26" a="1"/>
  <c r="AA64" i="26" s="1"/>
  <c r="Z64" i="26" a="1"/>
  <c r="Z64" i="26" s="1"/>
  <c r="Y64" i="26" a="1"/>
  <c r="Y64" i="26" s="1"/>
  <c r="X64" i="26" a="1"/>
  <c r="X64" i="26" s="1"/>
  <c r="W64" i="26" a="1"/>
  <c r="W64" i="26" s="1"/>
  <c r="V64" i="26" a="1"/>
  <c r="V64" i="26" s="1"/>
  <c r="U64" i="26" a="1"/>
  <c r="U64" i="26" s="1"/>
  <c r="T64" i="26" a="1"/>
  <c r="T64" i="26" s="1"/>
  <c r="S64" i="26" a="1"/>
  <c r="S64" i="26" s="1"/>
  <c r="R64" i="26" a="1"/>
  <c r="R64" i="26" s="1"/>
  <c r="Q64" i="26" a="1"/>
  <c r="Q64" i="26" s="1"/>
  <c r="P64" i="26" a="1"/>
  <c r="P64" i="26" s="1"/>
  <c r="O64" i="26" a="1"/>
  <c r="O64" i="26" s="1"/>
  <c r="N64" i="26" a="1"/>
  <c r="N64" i="26" s="1"/>
  <c r="M64" i="26" a="1"/>
  <c r="M64" i="26" s="1"/>
  <c r="L64" i="26" a="1"/>
  <c r="L64" i="26" s="1"/>
  <c r="K64" i="26" a="1"/>
  <c r="K64" i="26" s="1"/>
  <c r="AN59" i="26"/>
  <c r="AM59" i="26"/>
  <c r="AL59" i="26"/>
  <c r="AK59" i="26"/>
  <c r="AJ59" i="26"/>
  <c r="AI59" i="26"/>
  <c r="AH59" i="26"/>
  <c r="AG59" i="26"/>
  <c r="AF59" i="26"/>
  <c r="AE59" i="26"/>
  <c r="AD59" i="26"/>
  <c r="AC59" i="26"/>
  <c r="AB59" i="26"/>
  <c r="AA59" i="26"/>
  <c r="Z59" i="26"/>
  <c r="Y59" i="26"/>
  <c r="X59" i="26"/>
  <c r="W59" i="26"/>
  <c r="V59" i="26"/>
  <c r="U59" i="26"/>
  <c r="T59" i="26"/>
  <c r="S59" i="26"/>
  <c r="R59" i="26"/>
  <c r="Q59" i="26"/>
  <c r="P59" i="26"/>
  <c r="O59" i="26"/>
  <c r="N59" i="26"/>
  <c r="M59" i="26"/>
  <c r="L59" i="26"/>
  <c r="K59" i="26"/>
  <c r="AN58" i="26"/>
  <c r="AM58" i="26"/>
  <c r="AL58" i="26"/>
  <c r="AK58" i="26"/>
  <c r="AJ58" i="26"/>
  <c r="AI58" i="26"/>
  <c r="AH58" i="26"/>
  <c r="AG58" i="26"/>
  <c r="AF58" i="26"/>
  <c r="AE58" i="26"/>
  <c r="AD58" i="26"/>
  <c r="AC58" i="26"/>
  <c r="AB58" i="26"/>
  <c r="AA58" i="26"/>
  <c r="Z58" i="26"/>
  <c r="Y58" i="26"/>
  <c r="X58" i="26"/>
  <c r="W58" i="26"/>
  <c r="V58" i="26"/>
  <c r="U58" i="26"/>
  <c r="T58" i="26"/>
  <c r="S58" i="26"/>
  <c r="R58" i="26"/>
  <c r="Q58" i="26"/>
  <c r="P58" i="26"/>
  <c r="O58" i="26"/>
  <c r="N58" i="26"/>
  <c r="M58" i="26"/>
  <c r="L58" i="26"/>
  <c r="K58" i="26"/>
  <c r="AN57" i="26"/>
  <c r="AM57" i="26"/>
  <c r="AL57" i="26"/>
  <c r="AK57" i="26"/>
  <c r="AJ57" i="26"/>
  <c r="AI57" i="26"/>
  <c r="AH57" i="26"/>
  <c r="AG57" i="26"/>
  <c r="AF57" i="26"/>
  <c r="AE57" i="26"/>
  <c r="AD57" i="26"/>
  <c r="AC57" i="26"/>
  <c r="AB57" i="26"/>
  <c r="AA57" i="26"/>
  <c r="Z57" i="26"/>
  <c r="Y57" i="26"/>
  <c r="X57" i="26"/>
  <c r="W57" i="26"/>
  <c r="V57" i="26"/>
  <c r="U57" i="26"/>
  <c r="T57" i="26"/>
  <c r="S57" i="26"/>
  <c r="R57" i="26"/>
  <c r="Q57" i="26"/>
  <c r="P57" i="26"/>
  <c r="O57" i="26"/>
  <c r="N57" i="26"/>
  <c r="M57" i="26"/>
  <c r="L57" i="26"/>
  <c r="K57" i="26"/>
  <c r="AN56" i="26"/>
  <c r="AM56" i="26"/>
  <c r="AL56" i="26"/>
  <c r="AK56" i="26"/>
  <c r="AJ56" i="26"/>
  <c r="AI56" i="26"/>
  <c r="AH56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L61" i="26" s="1"/>
  <c r="K56" i="26"/>
  <c r="AR54" i="26" a="1"/>
  <c r="AR54" i="26" s="1"/>
  <c r="AQ54" i="26"/>
  <c r="AN54" i="26"/>
  <c r="AM54" i="26"/>
  <c r="AL54" i="26"/>
  <c r="AK54" i="26"/>
  <c r="AJ54" i="26"/>
  <c r="AI54" i="26"/>
  <c r="AH54" i="26"/>
  <c r="AG54" i="26"/>
  <c r="AF54" i="26"/>
  <c r="AE54" i="26"/>
  <c r="AD54" i="26"/>
  <c r="AC54" i="26"/>
  <c r="AB54" i="26"/>
  <c r="AA54" i="26"/>
  <c r="Z54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AR53" i="26" a="1"/>
  <c r="AR53" i="26" s="1"/>
  <c r="AQ53" i="26" a="1"/>
  <c r="AQ53" i="26" s="1"/>
  <c r="AN53" i="26"/>
  <c r="AM53" i="26"/>
  <c r="AL53" i="26"/>
  <c r="AK53" i="26"/>
  <c r="AJ53" i="26"/>
  <c r="AI53" i="26"/>
  <c r="AH53" i="26"/>
  <c r="AG53" i="26"/>
  <c r="AF53" i="26"/>
  <c r="AE53" i="26"/>
  <c r="AD53" i="26"/>
  <c r="AC53" i="26"/>
  <c r="AB53" i="26"/>
  <c r="AA53" i="26"/>
  <c r="Z53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AR52" i="26"/>
  <c r="AN52" i="26"/>
  <c r="AM52" i="26"/>
  <c r="AL52" i="26"/>
  <c r="AK52" i="26"/>
  <c r="AJ52" i="26"/>
  <c r="AI52" i="26"/>
  <c r="AH52" i="26"/>
  <c r="AG52" i="26"/>
  <c r="AF52" i="26"/>
  <c r="AE52" i="26"/>
  <c r="AD52" i="26"/>
  <c r="AC52" i="26"/>
  <c r="AB52" i="26"/>
  <c r="AA52" i="26"/>
  <c r="Z52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AR51" i="26"/>
  <c r="AQ51" i="26"/>
  <c r="AN51" i="26" a="1"/>
  <c r="AN51" i="26" s="1"/>
  <c r="AM51" i="26" a="1"/>
  <c r="AM51" i="26" s="1"/>
  <c r="AL51" i="26" a="1"/>
  <c r="AL51" i="26" s="1"/>
  <c r="AK51" i="26" a="1"/>
  <c r="AK51" i="26" s="1"/>
  <c r="AJ51" i="26" a="1"/>
  <c r="AJ51" i="26" s="1"/>
  <c r="AI51" i="26" a="1"/>
  <c r="AI51" i="26" s="1"/>
  <c r="AH51" i="26" a="1"/>
  <c r="AH51" i="26" s="1"/>
  <c r="AG51" i="26" a="1"/>
  <c r="AG51" i="26" s="1"/>
  <c r="AF51" i="26" a="1"/>
  <c r="AF51" i="26" s="1"/>
  <c r="AE51" i="26" a="1"/>
  <c r="AE51" i="26" s="1"/>
  <c r="AD51" i="26" a="1"/>
  <c r="AD51" i="26" s="1"/>
  <c r="AC51" i="26" a="1"/>
  <c r="AC51" i="26" s="1"/>
  <c r="AB51" i="26" a="1"/>
  <c r="AB51" i="26" s="1"/>
  <c r="AA51" i="26" a="1"/>
  <c r="AA51" i="26" s="1"/>
  <c r="Z51" i="26" a="1"/>
  <c r="Z51" i="26" s="1"/>
  <c r="Y51" i="26" a="1"/>
  <c r="Y51" i="26" s="1"/>
  <c r="X51" i="26" a="1"/>
  <c r="X51" i="26" s="1"/>
  <c r="W51" i="26" a="1"/>
  <c r="W51" i="26" s="1"/>
  <c r="V51" i="26" a="1"/>
  <c r="V51" i="26" s="1"/>
  <c r="U51" i="26" a="1"/>
  <c r="U51" i="26" s="1"/>
  <c r="T51" i="26" a="1"/>
  <c r="T51" i="26" s="1"/>
  <c r="S51" i="26" a="1"/>
  <c r="S51" i="26" s="1"/>
  <c r="R51" i="26" a="1"/>
  <c r="R51" i="26" s="1"/>
  <c r="Q51" i="26" a="1"/>
  <c r="Q51" i="26" s="1"/>
  <c r="P51" i="26" a="1"/>
  <c r="P51" i="26" s="1"/>
  <c r="O51" i="26" a="1"/>
  <c r="O51" i="26" s="1"/>
  <c r="N51" i="26" a="1"/>
  <c r="N51" i="26" s="1"/>
  <c r="M51" i="26" a="1"/>
  <c r="M51" i="26" s="1"/>
  <c r="L51" i="26" a="1"/>
  <c r="L51" i="26" s="1"/>
  <c r="K51" i="26" a="1"/>
  <c r="K51" i="26" s="1"/>
  <c r="AR50" i="26"/>
  <c r="AQ50" i="26"/>
  <c r="AN50" i="26" a="1"/>
  <c r="AN50" i="26" s="1"/>
  <c r="AM50" i="26" a="1"/>
  <c r="AM50" i="26" s="1"/>
  <c r="AL50" i="26" a="1"/>
  <c r="AL50" i="26" s="1"/>
  <c r="AK50" i="26" a="1"/>
  <c r="AK50" i="26" s="1"/>
  <c r="AJ50" i="26" a="1"/>
  <c r="AJ50" i="26" s="1"/>
  <c r="AI50" i="26" a="1"/>
  <c r="AI50" i="26" s="1"/>
  <c r="AH50" i="26" a="1"/>
  <c r="AH50" i="26" s="1"/>
  <c r="AG50" i="26" a="1"/>
  <c r="AG50" i="26" s="1"/>
  <c r="AF50" i="26" a="1"/>
  <c r="AF50" i="26" s="1"/>
  <c r="AE50" i="26" a="1"/>
  <c r="AE50" i="26" s="1"/>
  <c r="AD50" i="26" a="1"/>
  <c r="AD50" i="26" s="1"/>
  <c r="AC50" i="26" a="1"/>
  <c r="AC50" i="26" s="1"/>
  <c r="AB50" i="26" a="1"/>
  <c r="AB50" i="26" s="1"/>
  <c r="AA50" i="26" a="1"/>
  <c r="AA50" i="26" s="1"/>
  <c r="Z50" i="26" a="1"/>
  <c r="Z50" i="26" s="1"/>
  <c r="Y50" i="26" a="1"/>
  <c r="Y50" i="26" s="1"/>
  <c r="X50" i="26" a="1"/>
  <c r="X50" i="26" s="1"/>
  <c r="W50" i="26" a="1"/>
  <c r="W50" i="26" s="1"/>
  <c r="V50" i="26" a="1"/>
  <c r="V50" i="26" s="1"/>
  <c r="U50" i="26" a="1"/>
  <c r="U50" i="26" s="1"/>
  <c r="T50" i="26" a="1"/>
  <c r="T50" i="26" s="1"/>
  <c r="S50" i="26" a="1"/>
  <c r="S50" i="26" s="1"/>
  <c r="R50" i="26" a="1"/>
  <c r="R50" i="26" s="1"/>
  <c r="Q50" i="26" a="1"/>
  <c r="Q50" i="26" s="1"/>
  <c r="P50" i="26" a="1"/>
  <c r="P50" i="26" s="1"/>
  <c r="O50" i="26" a="1"/>
  <c r="O50" i="26" s="1"/>
  <c r="N50" i="26" a="1"/>
  <c r="N50" i="26" s="1"/>
  <c r="M50" i="26" a="1"/>
  <c r="M50" i="26" s="1"/>
  <c r="L50" i="26" a="1"/>
  <c r="L50" i="26" s="1"/>
  <c r="K50" i="26" a="1"/>
  <c r="K50" i="26" s="1"/>
  <c r="AR49" i="26"/>
  <c r="AN49" i="26"/>
  <c r="AM49" i="26"/>
  <c r="AL49" i="26"/>
  <c r="AK49" i="26"/>
  <c r="AJ49" i="26"/>
  <c r="AI49" i="26"/>
  <c r="AH49" i="26"/>
  <c r="AG49" i="26"/>
  <c r="AF49" i="26"/>
  <c r="AE49" i="26"/>
  <c r="AD49" i="26"/>
  <c r="AC49" i="26"/>
  <c r="AB49" i="26"/>
  <c r="AA49" i="26"/>
  <c r="Z49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AN48" i="26" a="1"/>
  <c r="AN48" i="26" s="1"/>
  <c r="AM48" i="26" a="1"/>
  <c r="AM48" i="26" s="1"/>
  <c r="AL48" i="26" a="1"/>
  <c r="AL48" i="26" s="1"/>
  <c r="AK48" i="26" a="1"/>
  <c r="AK48" i="26" s="1"/>
  <c r="AJ48" i="26" a="1"/>
  <c r="AJ48" i="26" s="1"/>
  <c r="AI48" i="26" a="1"/>
  <c r="AI48" i="26" s="1"/>
  <c r="AH48" i="26" a="1"/>
  <c r="AH48" i="26" s="1"/>
  <c r="AG48" i="26" a="1"/>
  <c r="AG48" i="26" s="1"/>
  <c r="AF48" i="26" a="1"/>
  <c r="AF48" i="26" s="1"/>
  <c r="AE48" i="26" a="1"/>
  <c r="AE48" i="26" s="1"/>
  <c r="AD48" i="26" a="1"/>
  <c r="AD48" i="26" s="1"/>
  <c r="AC48" i="26" a="1"/>
  <c r="AC48" i="26" s="1"/>
  <c r="AB48" i="26" a="1"/>
  <c r="AB48" i="26" s="1"/>
  <c r="AA48" i="26" a="1"/>
  <c r="AA48" i="26" s="1"/>
  <c r="Z48" i="26" a="1"/>
  <c r="Z48" i="26" s="1"/>
  <c r="Y48" i="26" a="1"/>
  <c r="Y48" i="26" s="1"/>
  <c r="X48" i="26" a="1"/>
  <c r="X48" i="26" s="1"/>
  <c r="W48" i="26" a="1"/>
  <c r="W48" i="26" s="1"/>
  <c r="V48" i="26" a="1"/>
  <c r="V48" i="26" s="1"/>
  <c r="U48" i="26" a="1"/>
  <c r="U48" i="26" s="1"/>
  <c r="T48" i="26" a="1"/>
  <c r="T48" i="26" s="1"/>
  <c r="S48" i="26" a="1"/>
  <c r="S48" i="26" s="1"/>
  <c r="R48" i="26" a="1"/>
  <c r="R48" i="26" s="1"/>
  <c r="Q48" i="26" a="1"/>
  <c r="Q48" i="26" s="1"/>
  <c r="P48" i="26" a="1"/>
  <c r="P48" i="26" s="1"/>
  <c r="O48" i="26" a="1"/>
  <c r="O48" i="26" s="1"/>
  <c r="N48" i="26" a="1"/>
  <c r="N48" i="26" s="1"/>
  <c r="M48" i="26" a="1"/>
  <c r="M48" i="26" s="1"/>
  <c r="L48" i="26" a="1"/>
  <c r="L48" i="26" s="1"/>
  <c r="K48" i="26" a="1"/>
  <c r="K48" i="26" s="1"/>
  <c r="AN47" i="26" a="1"/>
  <c r="AN47" i="26" s="1"/>
  <c r="AM47" i="26" a="1"/>
  <c r="AM47" i="26" s="1"/>
  <c r="AL47" i="26" a="1"/>
  <c r="AL47" i="26" s="1"/>
  <c r="AK47" i="26" a="1"/>
  <c r="AK47" i="26" s="1"/>
  <c r="AJ47" i="26" a="1"/>
  <c r="AJ47" i="26" s="1"/>
  <c r="AI47" i="26" a="1"/>
  <c r="AI47" i="26" s="1"/>
  <c r="AH47" i="26" a="1"/>
  <c r="AH47" i="26" s="1"/>
  <c r="AG47" i="26" a="1"/>
  <c r="AG47" i="26" s="1"/>
  <c r="AF47" i="26" a="1"/>
  <c r="AF47" i="26" s="1"/>
  <c r="AE47" i="26" a="1"/>
  <c r="AE47" i="26" s="1"/>
  <c r="AD47" i="26" a="1"/>
  <c r="AD47" i="26" s="1"/>
  <c r="AC47" i="26" a="1"/>
  <c r="AC47" i="26" s="1"/>
  <c r="AB47" i="26" a="1"/>
  <c r="AB47" i="26" s="1"/>
  <c r="AA47" i="26" a="1"/>
  <c r="AA47" i="26" s="1"/>
  <c r="Z47" i="26" a="1"/>
  <c r="Z47" i="26" s="1"/>
  <c r="Y47" i="26" a="1"/>
  <c r="Y47" i="26" s="1"/>
  <c r="X47" i="26" a="1"/>
  <c r="X47" i="26" s="1"/>
  <c r="W47" i="26" a="1"/>
  <c r="W47" i="26" s="1"/>
  <c r="V47" i="26" a="1"/>
  <c r="V47" i="26" s="1"/>
  <c r="U47" i="26" a="1"/>
  <c r="U47" i="26" s="1"/>
  <c r="T47" i="26" a="1"/>
  <c r="T47" i="26" s="1"/>
  <c r="S47" i="26" a="1"/>
  <c r="S47" i="26" s="1"/>
  <c r="R47" i="26" a="1"/>
  <c r="R47" i="26" s="1"/>
  <c r="Q47" i="26" a="1"/>
  <c r="Q47" i="26" s="1"/>
  <c r="P47" i="26" a="1"/>
  <c r="P47" i="26" s="1"/>
  <c r="O47" i="26" a="1"/>
  <c r="O47" i="26" s="1"/>
  <c r="N47" i="26" a="1"/>
  <c r="N47" i="26" s="1"/>
  <c r="M47" i="26" a="1"/>
  <c r="M47" i="26" s="1"/>
  <c r="L47" i="26" a="1"/>
  <c r="L47" i="26" s="1"/>
  <c r="K47" i="26" a="1"/>
  <c r="K47" i="26" s="1"/>
  <c r="H46" i="26"/>
  <c r="G46" i="26"/>
  <c r="F46" i="26"/>
  <c r="E46" i="26"/>
  <c r="D46" i="26"/>
  <c r="C46" i="26"/>
  <c r="B46" i="26"/>
  <c r="A46" i="26"/>
  <c r="H45" i="26"/>
  <c r="G45" i="26"/>
  <c r="F45" i="26"/>
  <c r="E45" i="26"/>
  <c r="D45" i="26"/>
  <c r="C45" i="26"/>
  <c r="B45" i="26"/>
  <c r="A45" i="26"/>
  <c r="H44" i="26"/>
  <c r="G44" i="26"/>
  <c r="F44" i="26"/>
  <c r="E44" i="26"/>
  <c r="D44" i="26"/>
  <c r="C44" i="26"/>
  <c r="B44" i="26"/>
  <c r="A44" i="26"/>
  <c r="H43" i="26"/>
  <c r="G43" i="26"/>
  <c r="F43" i="26"/>
  <c r="E43" i="26"/>
  <c r="D43" i="26"/>
  <c r="C43" i="26"/>
  <c r="B43" i="26"/>
  <c r="A43" i="26"/>
  <c r="H42" i="26"/>
  <c r="G42" i="26"/>
  <c r="F42" i="26"/>
  <c r="E42" i="26"/>
  <c r="D42" i="26"/>
  <c r="C42" i="26"/>
  <c r="B42" i="26"/>
  <c r="A42" i="26"/>
  <c r="H41" i="26"/>
  <c r="G41" i="26"/>
  <c r="F41" i="26"/>
  <c r="E41" i="26"/>
  <c r="D41" i="26"/>
  <c r="C41" i="26"/>
  <c r="B41" i="26"/>
  <c r="A41" i="26"/>
  <c r="H40" i="26"/>
  <c r="G40" i="26"/>
  <c r="F40" i="26"/>
  <c r="E40" i="26"/>
  <c r="D40" i="26"/>
  <c r="C40" i="26"/>
  <c r="B40" i="26"/>
  <c r="A40" i="26"/>
  <c r="H39" i="26"/>
  <c r="G39" i="26"/>
  <c r="F39" i="26"/>
  <c r="E39" i="26"/>
  <c r="D39" i="26"/>
  <c r="C39" i="26"/>
  <c r="B39" i="26"/>
  <c r="A39" i="26"/>
  <c r="H38" i="26"/>
  <c r="G38" i="26"/>
  <c r="F38" i="26"/>
  <c r="E38" i="26"/>
  <c r="D38" i="26"/>
  <c r="C38" i="26"/>
  <c r="B38" i="26"/>
  <c r="A38" i="26"/>
  <c r="H37" i="26"/>
  <c r="G37" i="26"/>
  <c r="F37" i="26"/>
  <c r="E37" i="26"/>
  <c r="D37" i="26"/>
  <c r="C37" i="26"/>
  <c r="B37" i="26"/>
  <c r="A37" i="26"/>
  <c r="H36" i="26"/>
  <c r="G36" i="26"/>
  <c r="F36" i="26"/>
  <c r="E36" i="26"/>
  <c r="D36" i="26"/>
  <c r="C36" i="26"/>
  <c r="B36" i="26"/>
  <c r="A36" i="26"/>
  <c r="H35" i="26"/>
  <c r="G35" i="26"/>
  <c r="F35" i="26"/>
  <c r="E35" i="26"/>
  <c r="D35" i="26"/>
  <c r="C35" i="26"/>
  <c r="B35" i="26"/>
  <c r="A35" i="26"/>
  <c r="H34" i="26"/>
  <c r="G34" i="26"/>
  <c r="F34" i="26"/>
  <c r="E34" i="26"/>
  <c r="D34" i="26"/>
  <c r="C34" i="26"/>
  <c r="B34" i="26"/>
  <c r="A34" i="26"/>
  <c r="H32" i="26"/>
  <c r="G32" i="26"/>
  <c r="F32" i="26"/>
  <c r="E32" i="26"/>
  <c r="D32" i="26"/>
  <c r="C32" i="26"/>
  <c r="B32" i="26"/>
  <c r="A32" i="26"/>
  <c r="H31" i="26"/>
  <c r="G31" i="26"/>
  <c r="F31" i="26"/>
  <c r="E31" i="26"/>
  <c r="D31" i="26"/>
  <c r="C31" i="26"/>
  <c r="B31" i="26"/>
  <c r="A31" i="26"/>
  <c r="H30" i="26"/>
  <c r="G30" i="26"/>
  <c r="F30" i="26"/>
  <c r="E30" i="26"/>
  <c r="D30" i="26"/>
  <c r="C30" i="26"/>
  <c r="B30" i="26"/>
  <c r="A30" i="26"/>
  <c r="H29" i="26"/>
  <c r="G29" i="26"/>
  <c r="F29" i="26"/>
  <c r="E29" i="26"/>
  <c r="D29" i="26"/>
  <c r="C29" i="26"/>
  <c r="B29" i="26"/>
  <c r="A29" i="26"/>
  <c r="H28" i="26"/>
  <c r="G28" i="26"/>
  <c r="F28" i="26"/>
  <c r="E28" i="26"/>
  <c r="D28" i="26"/>
  <c r="C28" i="26"/>
  <c r="B28" i="26"/>
  <c r="A28" i="26"/>
  <c r="H27" i="26"/>
  <c r="G27" i="26"/>
  <c r="F27" i="26"/>
  <c r="E27" i="26"/>
  <c r="D27" i="26"/>
  <c r="C27" i="26"/>
  <c r="B27" i="26"/>
  <c r="A27" i="26"/>
  <c r="H26" i="26"/>
  <c r="G26" i="26"/>
  <c r="F26" i="26"/>
  <c r="E26" i="26"/>
  <c r="D26" i="26"/>
  <c r="C26" i="26"/>
  <c r="B26" i="26"/>
  <c r="A26" i="26"/>
  <c r="H25" i="26"/>
  <c r="G25" i="26"/>
  <c r="F25" i="26"/>
  <c r="E25" i="26"/>
  <c r="D25" i="26"/>
  <c r="C25" i="26"/>
  <c r="B25" i="26"/>
  <c r="A25" i="26"/>
  <c r="H24" i="26"/>
  <c r="G24" i="26"/>
  <c r="F24" i="26"/>
  <c r="E24" i="26"/>
  <c r="D24" i="26"/>
  <c r="C24" i="26"/>
  <c r="B24" i="26"/>
  <c r="A24" i="26"/>
  <c r="H23" i="26"/>
  <c r="G23" i="26"/>
  <c r="F23" i="26"/>
  <c r="E23" i="26"/>
  <c r="D23" i="26"/>
  <c r="C23" i="26"/>
  <c r="B23" i="26"/>
  <c r="A23" i="26"/>
  <c r="H22" i="26"/>
  <c r="G22" i="26"/>
  <c r="F22" i="26"/>
  <c r="E22" i="26"/>
  <c r="D22" i="26"/>
  <c r="C22" i="26"/>
  <c r="B22" i="26"/>
  <c r="A22" i="26"/>
  <c r="H21" i="26"/>
  <c r="G21" i="26"/>
  <c r="F21" i="26"/>
  <c r="E21" i="26"/>
  <c r="D21" i="26"/>
  <c r="C21" i="26"/>
  <c r="B21" i="26"/>
  <c r="A21" i="26"/>
  <c r="H20" i="26"/>
  <c r="G20" i="26"/>
  <c r="F20" i="26"/>
  <c r="E20" i="26"/>
  <c r="D20" i="26"/>
  <c r="C20" i="26"/>
  <c r="B20" i="26"/>
  <c r="A20" i="26"/>
  <c r="H19" i="26"/>
  <c r="G19" i="26"/>
  <c r="F19" i="26"/>
  <c r="E19" i="26"/>
  <c r="D19" i="26"/>
  <c r="C19" i="26"/>
  <c r="B19" i="26"/>
  <c r="A19" i="26"/>
  <c r="H18" i="26"/>
  <c r="G18" i="26"/>
  <c r="F18" i="26"/>
  <c r="E18" i="26"/>
  <c r="D18" i="26"/>
  <c r="C18" i="26"/>
  <c r="B18" i="26"/>
  <c r="A18" i="26"/>
  <c r="I18" i="26" s="1"/>
  <c r="AV17" i="26" a="1"/>
  <c r="AV17" i="26" s="1"/>
  <c r="AX17" i="26" s="1"/>
  <c r="H17" i="26"/>
  <c r="G17" i="26"/>
  <c r="F17" i="26"/>
  <c r="E17" i="26"/>
  <c r="D17" i="26"/>
  <c r="C17" i="26"/>
  <c r="B17" i="26"/>
  <c r="A17" i="26"/>
  <c r="AV16" i="26" a="1"/>
  <c r="AV16" i="26" s="1"/>
  <c r="AX16" i="26" s="1"/>
  <c r="H16" i="26"/>
  <c r="G16" i="26"/>
  <c r="F16" i="26"/>
  <c r="E16" i="26"/>
  <c r="D16" i="26"/>
  <c r="C16" i="26"/>
  <c r="B16" i="26"/>
  <c r="A16" i="26"/>
  <c r="AV15" i="26" a="1"/>
  <c r="AV15" i="26" s="1"/>
  <c r="AX15" i="26" s="1"/>
  <c r="H15" i="26"/>
  <c r="G15" i="26"/>
  <c r="F15" i="26"/>
  <c r="E15" i="26"/>
  <c r="D15" i="26"/>
  <c r="C15" i="26"/>
  <c r="B15" i="26"/>
  <c r="A15" i="26"/>
  <c r="AV14" i="26" a="1"/>
  <c r="AV14" i="26" s="1"/>
  <c r="AX14" i="26" s="1"/>
  <c r="H14" i="26"/>
  <c r="G14" i="26"/>
  <c r="F14" i="26"/>
  <c r="E14" i="26"/>
  <c r="D14" i="26"/>
  <c r="C14" i="26"/>
  <c r="B14" i="26"/>
  <c r="A14" i="26"/>
  <c r="H13" i="26"/>
  <c r="G13" i="26"/>
  <c r="F13" i="26"/>
  <c r="E13" i="26"/>
  <c r="D13" i="26"/>
  <c r="C13" i="26"/>
  <c r="B13" i="26"/>
  <c r="A13" i="26"/>
  <c r="AV12" i="26" a="1"/>
  <c r="AV12" i="26" s="1"/>
  <c r="AX12" i="26" s="1"/>
  <c r="H12" i="26"/>
  <c r="G12" i="26"/>
  <c r="F12" i="26"/>
  <c r="E12" i="26"/>
  <c r="D12" i="26"/>
  <c r="C12" i="26"/>
  <c r="B12" i="26"/>
  <c r="A12" i="26"/>
  <c r="AV11" i="26" a="1"/>
  <c r="AV11" i="26" s="1"/>
  <c r="AX11" i="26" s="1"/>
  <c r="H11" i="26"/>
  <c r="G11" i="26"/>
  <c r="F11" i="26"/>
  <c r="E11" i="26"/>
  <c r="D11" i="26"/>
  <c r="C11" i="26"/>
  <c r="B11" i="26"/>
  <c r="A11" i="26"/>
  <c r="AV10" i="26" a="1"/>
  <c r="AV10" i="26" s="1"/>
  <c r="AX10" i="26" s="1"/>
  <c r="H10" i="26"/>
  <c r="G10" i="26"/>
  <c r="F10" i="26"/>
  <c r="E10" i="26"/>
  <c r="D10" i="26"/>
  <c r="C10" i="26"/>
  <c r="B10" i="26"/>
  <c r="A10" i="26"/>
  <c r="AV9" i="26" a="1"/>
  <c r="AV9" i="26" s="1"/>
  <c r="AX9" i="26" s="1"/>
  <c r="H9" i="26"/>
  <c r="G9" i="26"/>
  <c r="F9" i="26"/>
  <c r="E9" i="26"/>
  <c r="D9" i="26"/>
  <c r="C9" i="26"/>
  <c r="B9" i="26"/>
  <c r="A9" i="26"/>
  <c r="AV8" i="26" a="1"/>
  <c r="AV8" i="26" s="1"/>
  <c r="AX8" i="26" s="1"/>
  <c r="H8" i="26"/>
  <c r="G8" i="26"/>
  <c r="F8" i="26"/>
  <c r="E8" i="26"/>
  <c r="D8" i="26"/>
  <c r="C8" i="26"/>
  <c r="B8" i="26"/>
  <c r="A8" i="26"/>
  <c r="AV7" i="26" a="1"/>
  <c r="AV7" i="26" s="1"/>
  <c r="AX7" i="26" s="1"/>
  <c r="H7" i="26"/>
  <c r="G7" i="26"/>
  <c r="F7" i="26"/>
  <c r="E7" i="26"/>
  <c r="D7" i="26"/>
  <c r="C7" i="26"/>
  <c r="B7" i="26"/>
  <c r="A7" i="26"/>
  <c r="AV6" i="26" a="1"/>
  <c r="AV6" i="26" s="1"/>
  <c r="AX6" i="26" s="1"/>
  <c r="H6" i="26"/>
  <c r="G6" i="26"/>
  <c r="F6" i="26"/>
  <c r="E6" i="26"/>
  <c r="D6" i="26"/>
  <c r="C6" i="26"/>
  <c r="B6" i="26"/>
  <c r="A6" i="26"/>
  <c r="H5" i="26"/>
  <c r="G5" i="26"/>
  <c r="F5" i="26"/>
  <c r="E5" i="26"/>
  <c r="D5" i="26"/>
  <c r="C5" i="26"/>
  <c r="B5" i="26"/>
  <c r="A5" i="26"/>
  <c r="AV4" i="26" a="1"/>
  <c r="AV4" i="26" s="1"/>
  <c r="AX4" i="26" s="1"/>
  <c r="H4" i="26"/>
  <c r="G4" i="26"/>
  <c r="F4" i="26"/>
  <c r="E4" i="26"/>
  <c r="D4" i="26"/>
  <c r="C4" i="26"/>
  <c r="B4" i="26"/>
  <c r="A4" i="26"/>
  <c r="K61" i="26" l="1"/>
  <c r="AB61" i="26"/>
  <c r="AN61" i="26"/>
  <c r="AP5" i="26"/>
  <c r="AR5" i="26" s="1"/>
  <c r="AA61" i="26"/>
  <c r="T61" i="26"/>
  <c r="AJ61" i="26"/>
  <c r="W61" i="26"/>
  <c r="O61" i="26"/>
  <c r="R61" i="26"/>
  <c r="V61" i="26"/>
  <c r="AL61" i="26"/>
  <c r="Y61" i="26"/>
  <c r="M61" i="26"/>
  <c r="AC61" i="26"/>
  <c r="S61" i="26"/>
  <c r="AI61" i="26"/>
  <c r="U61" i="26"/>
  <c r="AK61" i="26"/>
  <c r="Z61" i="26"/>
  <c r="Q61" i="26"/>
  <c r="AP25" i="26"/>
  <c r="AR25" i="26" s="1"/>
  <c r="AP27" i="26"/>
  <c r="AR27" i="26" s="1"/>
  <c r="AP31" i="26"/>
  <c r="AR31" i="26" s="1"/>
  <c r="AP34" i="26"/>
  <c r="AR34" i="26" s="1"/>
  <c r="AP38" i="26"/>
  <c r="AR38" i="26" s="1"/>
  <c r="AP44" i="26"/>
  <c r="AR44" i="26" s="1"/>
  <c r="AP46" i="26"/>
  <c r="AR46" i="26" s="1"/>
  <c r="N61" i="26"/>
  <c r="AD61" i="26"/>
  <c r="P61" i="26"/>
  <c r="AM61" i="26"/>
  <c r="AH61" i="26"/>
  <c r="AG61" i="26"/>
  <c r="AF61" i="26"/>
  <c r="AE61" i="26"/>
  <c r="X61" i="26"/>
  <c r="AL55" i="26"/>
  <c r="AL60" i="26" s="1"/>
  <c r="AP8" i="26"/>
  <c r="AR8" i="26" s="1"/>
  <c r="I26" i="26"/>
  <c r="I4" i="26"/>
  <c r="AP12" i="26"/>
  <c r="AR12" i="26" s="1"/>
  <c r="I30" i="26"/>
  <c r="I37" i="26"/>
  <c r="I39" i="26"/>
  <c r="I45" i="26"/>
  <c r="AP22" i="26"/>
  <c r="AR22" i="26" s="1"/>
  <c r="AP24" i="26"/>
  <c r="AR24" i="26" s="1"/>
  <c r="AP32" i="26"/>
  <c r="AR32" i="26" s="1"/>
  <c r="AP43" i="26"/>
  <c r="AR43" i="26" s="1"/>
  <c r="AP11" i="26"/>
  <c r="AR11" i="26" s="1"/>
  <c r="AP41" i="26"/>
  <c r="AR41" i="26" s="1"/>
  <c r="I17" i="26"/>
  <c r="I44" i="26"/>
  <c r="AP14" i="26"/>
  <c r="AR14" i="26" s="1"/>
  <c r="I8" i="26"/>
  <c r="I19" i="26"/>
  <c r="AR58" i="26"/>
  <c r="I12" i="26"/>
  <c r="I9" i="26"/>
  <c r="AP9" i="26"/>
  <c r="AR9" i="26" s="1"/>
  <c r="AP16" i="26"/>
  <c r="AR16" i="26" s="1"/>
  <c r="I14" i="26"/>
  <c r="AP20" i="26"/>
  <c r="AR20" i="26" s="1"/>
  <c r="I20" i="26"/>
  <c r="V55" i="26"/>
  <c r="V60" i="26" s="1"/>
  <c r="AP10" i="26"/>
  <c r="AR10" i="26" s="1"/>
  <c r="AP15" i="26"/>
  <c r="AR15" i="26" s="1"/>
  <c r="AP23" i="26"/>
  <c r="AR23" i="26" s="1"/>
  <c r="I24" i="26"/>
  <c r="AP29" i="26"/>
  <c r="AR29" i="26" s="1"/>
  <c r="AP36" i="26"/>
  <c r="AR36" i="26" s="1"/>
  <c r="AP40" i="26"/>
  <c r="AR40" i="26" s="1"/>
  <c r="AP42" i="26"/>
  <c r="AR42" i="26" s="1"/>
  <c r="I41" i="26"/>
  <c r="I43" i="26"/>
  <c r="AP7" i="26"/>
  <c r="AR7" i="26" s="1"/>
  <c r="AP18" i="26"/>
  <c r="AR18" i="26" s="1"/>
  <c r="I22" i="26"/>
  <c r="I28" i="26"/>
  <c r="I35" i="26"/>
  <c r="AP4" i="26"/>
  <c r="AR4" i="26" s="1"/>
  <c r="I11" i="26"/>
  <c r="AP28" i="26"/>
  <c r="AR28" i="26" s="1"/>
  <c r="AP30" i="26"/>
  <c r="AR30" i="26" s="1"/>
  <c r="AP35" i="26"/>
  <c r="AR35" i="26" s="1"/>
  <c r="AP37" i="26"/>
  <c r="AR37" i="26" s="1"/>
  <c r="I6" i="26"/>
  <c r="AP17" i="26"/>
  <c r="AR17" i="26" s="1"/>
  <c r="I21" i="26"/>
  <c r="AP26" i="26"/>
  <c r="AR26" i="26" s="1"/>
  <c r="AP39" i="26"/>
  <c r="AR39" i="26" s="1"/>
  <c r="I16" i="26"/>
  <c r="I23" i="26"/>
  <c r="I13" i="26"/>
  <c r="I27" i="26"/>
  <c r="I29" i="26"/>
  <c r="I31" i="26"/>
  <c r="I34" i="26"/>
  <c r="I36" i="26"/>
  <c r="I38" i="26"/>
  <c r="AP45" i="26"/>
  <c r="AR45" i="26" s="1"/>
  <c r="I10" i="26"/>
  <c r="AP19" i="26"/>
  <c r="AR19" i="26" s="1"/>
  <c r="I25" i="26"/>
  <c r="I40" i="26"/>
  <c r="I5" i="26"/>
  <c r="I42" i="26"/>
  <c r="I46" i="26"/>
  <c r="AP13" i="26"/>
  <c r="AR13" i="26" s="1"/>
  <c r="I15" i="26"/>
  <c r="AP21" i="26"/>
  <c r="AR21" i="26" s="1"/>
  <c r="Y55" i="26"/>
  <c r="Y60" i="26" s="1"/>
  <c r="I32" i="26"/>
  <c r="AQ58" i="26"/>
  <c r="R55" i="26"/>
  <c r="R60" i="26" s="1"/>
  <c r="W55" i="26"/>
  <c r="W60" i="26" s="1"/>
  <c r="AK55" i="26"/>
  <c r="AK60" i="26" s="1"/>
  <c r="L55" i="26"/>
  <c r="L60" i="26" s="1"/>
  <c r="Z55" i="26"/>
  <c r="Z60" i="26" s="1"/>
  <c r="AM55" i="26"/>
  <c r="AM60" i="26" s="1"/>
  <c r="AA55" i="26"/>
  <c r="AA60" i="26" s="1"/>
  <c r="AN55" i="26"/>
  <c r="AN60" i="26" s="1"/>
  <c r="S55" i="26"/>
  <c r="S60" i="26" s="1"/>
  <c r="AI55" i="26"/>
  <c r="AI60" i="26" s="1"/>
  <c r="AH55" i="26"/>
  <c r="AH60" i="26" s="1"/>
  <c r="AB55" i="26"/>
  <c r="AB60" i="26" s="1"/>
  <c r="P55" i="26"/>
  <c r="P60" i="26" s="1"/>
  <c r="AC55" i="26"/>
  <c r="AC60" i="26" s="1"/>
  <c r="U55" i="26"/>
  <c r="U60" i="26" s="1"/>
  <c r="K55" i="26"/>
  <c r="K60" i="26" s="1"/>
  <c r="T55" i="26"/>
  <c r="T60" i="26" s="1"/>
  <c r="AJ55" i="26"/>
  <c r="AJ60" i="26" s="1"/>
  <c r="X55" i="26"/>
  <c r="X60" i="26" s="1"/>
  <c r="M55" i="26"/>
  <c r="M60" i="26" s="1"/>
  <c r="O55" i="26"/>
  <c r="O60" i="26" s="1"/>
  <c r="AE55" i="26"/>
  <c r="AE60" i="26" s="1"/>
  <c r="AF55" i="26"/>
  <c r="AF60" i="26" s="1"/>
  <c r="AP6" i="26"/>
  <c r="AR6" i="26" s="1"/>
  <c r="N55" i="26"/>
  <c r="N60" i="26" s="1"/>
  <c r="AD55" i="26"/>
  <c r="AD60" i="26" s="1"/>
  <c r="Q55" i="26"/>
  <c r="Q60" i="26" s="1"/>
  <c r="AG55" i="26"/>
  <c r="AG60" i="26" s="1"/>
  <c r="I7" i="26"/>
  <c r="K1" i="26" l="1"/>
  <c r="A6" i="25"/>
  <c r="B6" i="25"/>
  <c r="C6" i="25"/>
  <c r="D6" i="25"/>
  <c r="E6" i="25"/>
  <c r="F6" i="25"/>
  <c r="G6" i="25"/>
  <c r="H6" i="25"/>
  <c r="A7" i="25"/>
  <c r="B7" i="25"/>
  <c r="C7" i="25"/>
  <c r="D7" i="25"/>
  <c r="E7" i="25"/>
  <c r="F7" i="25"/>
  <c r="G7" i="25"/>
  <c r="H7" i="25"/>
  <c r="A8" i="25"/>
  <c r="B8" i="25"/>
  <c r="C8" i="25"/>
  <c r="D8" i="25"/>
  <c r="E8" i="25"/>
  <c r="F8" i="25"/>
  <c r="G8" i="25"/>
  <c r="H8" i="25"/>
  <c r="A9" i="25"/>
  <c r="B9" i="25"/>
  <c r="C9" i="25"/>
  <c r="D9" i="25"/>
  <c r="E9" i="25"/>
  <c r="F9" i="25"/>
  <c r="G9" i="25"/>
  <c r="H9" i="25"/>
  <c r="A10" i="25"/>
  <c r="B10" i="25"/>
  <c r="C10" i="25"/>
  <c r="D10" i="25"/>
  <c r="E10" i="25"/>
  <c r="F10" i="25"/>
  <c r="G10" i="25"/>
  <c r="H10" i="25"/>
  <c r="A11" i="25"/>
  <c r="B11" i="25"/>
  <c r="C11" i="25"/>
  <c r="D11" i="25"/>
  <c r="E11" i="25"/>
  <c r="F11" i="25"/>
  <c r="G11" i="25"/>
  <c r="H11" i="25"/>
  <c r="A12" i="25"/>
  <c r="B12" i="25"/>
  <c r="C12" i="25"/>
  <c r="D12" i="25"/>
  <c r="E12" i="25"/>
  <c r="F12" i="25"/>
  <c r="G12" i="25"/>
  <c r="H12" i="25"/>
  <c r="A13" i="25"/>
  <c r="B13" i="25"/>
  <c r="C13" i="25"/>
  <c r="D13" i="25"/>
  <c r="E13" i="25"/>
  <c r="F13" i="25"/>
  <c r="G13" i="25"/>
  <c r="H13" i="25"/>
  <c r="A14" i="25"/>
  <c r="B14" i="25"/>
  <c r="C14" i="25"/>
  <c r="D14" i="25"/>
  <c r="E14" i="25"/>
  <c r="F14" i="25"/>
  <c r="G14" i="25"/>
  <c r="H14" i="25"/>
  <c r="A15" i="25"/>
  <c r="B15" i="25"/>
  <c r="C15" i="25"/>
  <c r="D15" i="25"/>
  <c r="E15" i="25"/>
  <c r="F15" i="25"/>
  <c r="G15" i="25"/>
  <c r="H15" i="25"/>
  <c r="A16" i="25"/>
  <c r="B16" i="25"/>
  <c r="C16" i="25"/>
  <c r="D16" i="25"/>
  <c r="E16" i="25"/>
  <c r="F16" i="25"/>
  <c r="G16" i="25"/>
  <c r="H16" i="25"/>
  <c r="I14" i="25" l="1"/>
  <c r="I16" i="25"/>
  <c r="I15" i="25"/>
  <c r="I13" i="25"/>
  <c r="I9" i="25"/>
  <c r="I8" i="25"/>
  <c r="I10" i="25"/>
  <c r="I12" i="25"/>
  <c r="I7" i="25"/>
  <c r="I6" i="25"/>
  <c r="I11" i="25"/>
  <c r="AS53" i="25" a="1"/>
  <c r="AS53" i="25" s="1"/>
  <c r="AR53" i="25" a="1"/>
  <c r="AR53" i="25" s="1"/>
  <c r="AS52" i="25" a="1"/>
  <c r="AS52" i="25" s="1"/>
  <c r="AR52" i="25" a="1"/>
  <c r="AR52" i="25" s="1"/>
  <c r="L46" i="25" a="1"/>
  <c r="L46" i="25" s="1"/>
  <c r="M46" i="25" a="1"/>
  <c r="M46" i="25" s="1"/>
  <c r="N46" i="25" a="1"/>
  <c r="N46" i="25" s="1"/>
  <c r="O46" i="25" a="1"/>
  <c r="O46" i="25" s="1"/>
  <c r="P46" i="25" a="1"/>
  <c r="P46" i="25" s="1"/>
  <c r="Q46" i="25" a="1"/>
  <c r="Q46" i="25" s="1"/>
  <c r="R46" i="25" a="1"/>
  <c r="R46" i="25" s="1"/>
  <c r="S46" i="25" a="1"/>
  <c r="S46" i="25" s="1"/>
  <c r="T46" i="25" a="1"/>
  <c r="T46" i="25" s="1"/>
  <c r="U46" i="25" a="1"/>
  <c r="U46" i="25" s="1"/>
  <c r="V46" i="25" a="1"/>
  <c r="V46" i="25" s="1"/>
  <c r="W46" i="25" a="1"/>
  <c r="W46" i="25" s="1"/>
  <c r="X46" i="25" a="1"/>
  <c r="X46" i="25" s="1"/>
  <c r="Y46" i="25" a="1"/>
  <c r="Y46" i="25" s="1"/>
  <c r="Z46" i="25" a="1"/>
  <c r="Z46" i="25" s="1"/>
  <c r="AA46" i="25" a="1"/>
  <c r="AA46" i="25" s="1"/>
  <c r="AB46" i="25" a="1"/>
  <c r="AB46" i="25" s="1"/>
  <c r="AC46" i="25" a="1"/>
  <c r="AC46" i="25" s="1"/>
  <c r="AD46" i="25" a="1"/>
  <c r="AD46" i="25" s="1"/>
  <c r="AE46" i="25" a="1"/>
  <c r="AE46" i="25" s="1"/>
  <c r="AF46" i="25" a="1"/>
  <c r="AF46" i="25" s="1"/>
  <c r="AG46" i="25" a="1"/>
  <c r="AG46" i="25" s="1"/>
  <c r="AH46" i="25" a="1"/>
  <c r="AH46" i="25" s="1"/>
  <c r="AI46" i="25" a="1"/>
  <c r="AI46" i="25" s="1"/>
  <c r="AJ46" i="25" a="1"/>
  <c r="AJ46" i="25" s="1"/>
  <c r="AK46" i="25" a="1"/>
  <c r="AK46" i="25" s="1"/>
  <c r="AL46" i="25" a="1"/>
  <c r="AL46" i="25" s="1"/>
  <c r="AM46" i="25" a="1"/>
  <c r="AM46" i="25" s="1"/>
  <c r="AN46" i="25" a="1"/>
  <c r="AN46" i="25" s="1"/>
  <c r="AO46" i="25" a="1"/>
  <c r="AO46" i="25" s="1"/>
  <c r="L47" i="25" a="1"/>
  <c r="L47" i="25" s="1"/>
  <c r="M47" i="25" a="1"/>
  <c r="M47" i="25" s="1"/>
  <c r="N47" i="25" a="1"/>
  <c r="N47" i="25" s="1"/>
  <c r="O47" i="25" a="1"/>
  <c r="O47" i="25" s="1"/>
  <c r="P47" i="25" a="1"/>
  <c r="P47" i="25" s="1"/>
  <c r="Q47" i="25" a="1"/>
  <c r="Q47" i="25" s="1"/>
  <c r="R47" i="25" a="1"/>
  <c r="R47" i="25" s="1"/>
  <c r="S47" i="25" a="1"/>
  <c r="S47" i="25" s="1"/>
  <c r="T47" i="25" a="1"/>
  <c r="T47" i="25" s="1"/>
  <c r="U47" i="25" a="1"/>
  <c r="U47" i="25" s="1"/>
  <c r="V47" i="25" a="1"/>
  <c r="V47" i="25" s="1"/>
  <c r="W47" i="25" a="1"/>
  <c r="W47" i="25" s="1"/>
  <c r="X47" i="25" a="1"/>
  <c r="X47" i="25" s="1"/>
  <c r="Y47" i="25" a="1"/>
  <c r="Y47" i="25" s="1"/>
  <c r="Z47" i="25" a="1"/>
  <c r="Z47" i="25" s="1"/>
  <c r="AA47" i="25" a="1"/>
  <c r="AA47" i="25" s="1"/>
  <c r="AB47" i="25" a="1"/>
  <c r="AB47" i="25" s="1"/>
  <c r="AC47" i="25" a="1"/>
  <c r="AC47" i="25" s="1"/>
  <c r="AD47" i="25" a="1"/>
  <c r="AD47" i="25" s="1"/>
  <c r="AE47" i="25" a="1"/>
  <c r="AE47" i="25" s="1"/>
  <c r="AF47" i="25" a="1"/>
  <c r="AF47" i="25" s="1"/>
  <c r="AG47" i="25" a="1"/>
  <c r="AG47" i="25" s="1"/>
  <c r="AH47" i="25" a="1"/>
  <c r="AH47" i="25" s="1"/>
  <c r="AI47" i="25" a="1"/>
  <c r="AI47" i="25" s="1"/>
  <c r="AJ47" i="25" a="1"/>
  <c r="AJ47" i="25" s="1"/>
  <c r="AK47" i="25" a="1"/>
  <c r="AK47" i="25" s="1"/>
  <c r="AL47" i="25" a="1"/>
  <c r="AL47" i="25" s="1"/>
  <c r="AM47" i="25" a="1"/>
  <c r="AM47" i="25" s="1"/>
  <c r="AN47" i="25" a="1"/>
  <c r="AN47" i="25" s="1"/>
  <c r="AO47" i="25" a="1"/>
  <c r="AO47" i="25" s="1"/>
  <c r="L48" i="25"/>
  <c r="M48" i="25"/>
  <c r="N48" i="25"/>
  <c r="O48" i="25"/>
  <c r="P48" i="25"/>
  <c r="Q48" i="25"/>
  <c r="R48" i="25"/>
  <c r="S48" i="25"/>
  <c r="T48" i="25"/>
  <c r="U48" i="25"/>
  <c r="V48" i="25"/>
  <c r="W48" i="25"/>
  <c r="X48" i="25"/>
  <c r="Y48" i="25"/>
  <c r="Z48" i="25"/>
  <c r="AA48" i="25"/>
  <c r="AB48" i="25"/>
  <c r="AC48" i="25"/>
  <c r="AD48" i="25"/>
  <c r="AE48" i="25"/>
  <c r="AF48" i="25"/>
  <c r="AG48" i="25"/>
  <c r="AH48" i="25"/>
  <c r="AI48" i="25"/>
  <c r="AJ48" i="25"/>
  <c r="AK48" i="25"/>
  <c r="AL48" i="25"/>
  <c r="AM48" i="25"/>
  <c r="AN48" i="25"/>
  <c r="AO48" i="25"/>
  <c r="L49" i="25" a="1"/>
  <c r="L49" i="25" s="1"/>
  <c r="M49" i="25" a="1"/>
  <c r="M49" i="25" s="1"/>
  <c r="N49" i="25" a="1"/>
  <c r="N49" i="25" s="1"/>
  <c r="O49" i="25" a="1"/>
  <c r="O49" i="25" s="1"/>
  <c r="P49" i="25" a="1"/>
  <c r="P49" i="25" s="1"/>
  <c r="Q49" i="25" a="1"/>
  <c r="Q49" i="25" s="1"/>
  <c r="R49" i="25" a="1"/>
  <c r="R49" i="25" s="1"/>
  <c r="S49" i="25" a="1"/>
  <c r="S49" i="25" s="1"/>
  <c r="T49" i="25" a="1"/>
  <c r="T49" i="25" s="1"/>
  <c r="U49" i="25" a="1"/>
  <c r="U49" i="25" s="1"/>
  <c r="V49" i="25" a="1"/>
  <c r="V49" i="25" s="1"/>
  <c r="W49" i="25" a="1"/>
  <c r="W49" i="25" s="1"/>
  <c r="X49" i="25" a="1"/>
  <c r="X49" i="25" s="1"/>
  <c r="Y49" i="25" a="1"/>
  <c r="Y49" i="25" s="1"/>
  <c r="Z49" i="25" a="1"/>
  <c r="Z49" i="25" s="1"/>
  <c r="AA49" i="25" a="1"/>
  <c r="AA49" i="25" s="1"/>
  <c r="AB49" i="25" a="1"/>
  <c r="AB49" i="25" s="1"/>
  <c r="AC49" i="25" a="1"/>
  <c r="AC49" i="25" s="1"/>
  <c r="AD49" i="25" a="1"/>
  <c r="AD49" i="25" s="1"/>
  <c r="AE49" i="25" a="1"/>
  <c r="AE49" i="25" s="1"/>
  <c r="AF49" i="25" a="1"/>
  <c r="AF49" i="25" s="1"/>
  <c r="AG49" i="25" a="1"/>
  <c r="AG49" i="25" s="1"/>
  <c r="AH49" i="25" a="1"/>
  <c r="AH49" i="25" s="1"/>
  <c r="AI49" i="25" a="1"/>
  <c r="AI49" i="25" s="1"/>
  <c r="AJ49" i="25" a="1"/>
  <c r="AJ49" i="25" s="1"/>
  <c r="AK49" i="25" a="1"/>
  <c r="AK49" i="25" s="1"/>
  <c r="AL49" i="25" a="1"/>
  <c r="AL49" i="25" s="1"/>
  <c r="AM49" i="25" a="1"/>
  <c r="AM49" i="25" s="1"/>
  <c r="AN49" i="25" a="1"/>
  <c r="AN49" i="25" s="1"/>
  <c r="AO49" i="25" a="1"/>
  <c r="AO49" i="25" s="1"/>
  <c r="L50" i="25" a="1"/>
  <c r="L50" i="25" s="1"/>
  <c r="M50" i="25" a="1"/>
  <c r="M50" i="25" s="1"/>
  <c r="N50" i="25" a="1"/>
  <c r="N50" i="25" s="1"/>
  <c r="O50" i="25" a="1"/>
  <c r="O50" i="25" s="1"/>
  <c r="P50" i="25" a="1"/>
  <c r="P50" i="25" s="1"/>
  <c r="Q50" i="25" a="1"/>
  <c r="Q50" i="25" s="1"/>
  <c r="R50" i="25" a="1"/>
  <c r="R50" i="25" s="1"/>
  <c r="S50" i="25" a="1"/>
  <c r="S50" i="25" s="1"/>
  <c r="T50" i="25" a="1"/>
  <c r="T50" i="25" s="1"/>
  <c r="U50" i="25" a="1"/>
  <c r="U50" i="25" s="1"/>
  <c r="V50" i="25" a="1"/>
  <c r="V50" i="25" s="1"/>
  <c r="W50" i="25" a="1"/>
  <c r="W50" i="25" s="1"/>
  <c r="X50" i="25" a="1"/>
  <c r="X50" i="25" s="1"/>
  <c r="Y50" i="25" a="1"/>
  <c r="Y50" i="25" s="1"/>
  <c r="Z50" i="25" a="1"/>
  <c r="Z50" i="25" s="1"/>
  <c r="AA50" i="25" a="1"/>
  <c r="AA50" i="25" s="1"/>
  <c r="AB50" i="25" a="1"/>
  <c r="AB50" i="25" s="1"/>
  <c r="AC50" i="25" a="1"/>
  <c r="AC50" i="25" s="1"/>
  <c r="AD50" i="25" a="1"/>
  <c r="AD50" i="25" s="1"/>
  <c r="AE50" i="25" a="1"/>
  <c r="AE50" i="25" s="1"/>
  <c r="AF50" i="25" a="1"/>
  <c r="AF50" i="25" s="1"/>
  <c r="AG50" i="25" a="1"/>
  <c r="AG50" i="25" s="1"/>
  <c r="AH50" i="25" a="1"/>
  <c r="AH50" i="25" s="1"/>
  <c r="AI50" i="25" a="1"/>
  <c r="AI50" i="25" s="1"/>
  <c r="AJ50" i="25" a="1"/>
  <c r="AJ50" i="25" s="1"/>
  <c r="AK50" i="25" a="1"/>
  <c r="AK50" i="25" s="1"/>
  <c r="AL50" i="25" a="1"/>
  <c r="AL50" i="25" s="1"/>
  <c r="AM50" i="25" a="1"/>
  <c r="AM50" i="25" s="1"/>
  <c r="AN50" i="25" a="1"/>
  <c r="AN50" i="25" s="1"/>
  <c r="AO50" i="25" a="1"/>
  <c r="AO50" i="25" s="1"/>
  <c r="L51" i="25"/>
  <c r="M51" i="25"/>
  <c r="N51" i="25"/>
  <c r="O51" i="25"/>
  <c r="P51" i="25"/>
  <c r="Q51" i="25"/>
  <c r="R51" i="25"/>
  <c r="S51" i="25"/>
  <c r="T51" i="25"/>
  <c r="U51" i="25"/>
  <c r="V51" i="25"/>
  <c r="W51" i="25"/>
  <c r="X51" i="25"/>
  <c r="Y51" i="25"/>
  <c r="Z51" i="25"/>
  <c r="AA51" i="25"/>
  <c r="AB51" i="25"/>
  <c r="AC51" i="25"/>
  <c r="AD51" i="25"/>
  <c r="AE51" i="25"/>
  <c r="AF51" i="25"/>
  <c r="AG51" i="25"/>
  <c r="AH51" i="25"/>
  <c r="AI51" i="25"/>
  <c r="AJ51" i="25"/>
  <c r="AK51" i="25"/>
  <c r="AL51" i="25"/>
  <c r="AM51" i="25"/>
  <c r="AN51" i="25"/>
  <c r="AO51" i="25"/>
  <c r="L52" i="25"/>
  <c r="M52" i="25"/>
  <c r="N52" i="25"/>
  <c r="O52" i="25"/>
  <c r="P52" i="25"/>
  <c r="Q52" i="25"/>
  <c r="R52" i="25"/>
  <c r="S52" i="25"/>
  <c r="T52" i="25"/>
  <c r="U52" i="25"/>
  <c r="V52" i="25"/>
  <c r="W52" i="25"/>
  <c r="X52" i="25"/>
  <c r="Y52" i="25"/>
  <c r="Z52" i="25"/>
  <c r="AA52" i="25"/>
  <c r="AB52" i="25"/>
  <c r="AC52" i="25"/>
  <c r="AD52" i="25"/>
  <c r="AE52" i="25"/>
  <c r="AF52" i="25"/>
  <c r="AG52" i="25"/>
  <c r="AH52" i="25"/>
  <c r="AI52" i="25"/>
  <c r="AJ52" i="25"/>
  <c r="AK52" i="25"/>
  <c r="AL52" i="25"/>
  <c r="AM52" i="25"/>
  <c r="AN52" i="25"/>
  <c r="AO52" i="25"/>
  <c r="L53" i="25"/>
  <c r="M53" i="25"/>
  <c r="N53" i="25"/>
  <c r="O53" i="25"/>
  <c r="P53" i="25"/>
  <c r="Q53" i="25"/>
  <c r="R53" i="25"/>
  <c r="S53" i="25"/>
  <c r="T53" i="25"/>
  <c r="U53" i="25"/>
  <c r="V53" i="25"/>
  <c r="W53" i="25"/>
  <c r="X53" i="25"/>
  <c r="Y53" i="25"/>
  <c r="Z53" i="25"/>
  <c r="AA53" i="25"/>
  <c r="AB53" i="25"/>
  <c r="AC53" i="25"/>
  <c r="AD53" i="25"/>
  <c r="AE53" i="25"/>
  <c r="AF53" i="25"/>
  <c r="AG53" i="25"/>
  <c r="AH53" i="25"/>
  <c r="AI53" i="25"/>
  <c r="AJ53" i="25"/>
  <c r="AK53" i="25"/>
  <c r="AL53" i="25"/>
  <c r="AM53" i="25"/>
  <c r="AN53" i="25"/>
  <c r="AO53" i="25"/>
  <c r="L55" i="25"/>
  <c r="M55" i="25"/>
  <c r="N55" i="25"/>
  <c r="O55" i="25"/>
  <c r="P55" i="25"/>
  <c r="Q55" i="25"/>
  <c r="R55" i="25"/>
  <c r="S55" i="25"/>
  <c r="T55" i="25"/>
  <c r="U55" i="25"/>
  <c r="V55" i="25"/>
  <c r="W55" i="25"/>
  <c r="X55" i="25"/>
  <c r="Y55" i="25"/>
  <c r="Z55" i="25"/>
  <c r="AA55" i="25"/>
  <c r="AB55" i="25"/>
  <c r="AC55" i="25"/>
  <c r="AD55" i="25"/>
  <c r="AE55" i="25"/>
  <c r="AF55" i="25"/>
  <c r="AG55" i="25"/>
  <c r="AH55" i="25"/>
  <c r="AI55" i="25"/>
  <c r="AJ55" i="25"/>
  <c r="AK55" i="25"/>
  <c r="AL55" i="25"/>
  <c r="AM55" i="25"/>
  <c r="AN55" i="25"/>
  <c r="AO55" i="25"/>
  <c r="L56" i="25"/>
  <c r="M56" i="25"/>
  <c r="N56" i="25"/>
  <c r="O56" i="25"/>
  <c r="P56" i="25"/>
  <c r="Q56" i="25"/>
  <c r="R56" i="25"/>
  <c r="S56" i="25"/>
  <c r="T56" i="25"/>
  <c r="U56" i="25"/>
  <c r="V56" i="25"/>
  <c r="W56" i="25"/>
  <c r="X56" i="25"/>
  <c r="Y56" i="25"/>
  <c r="Z56" i="25"/>
  <c r="AA56" i="25"/>
  <c r="AB56" i="25"/>
  <c r="AC56" i="25"/>
  <c r="AD56" i="25"/>
  <c r="AE56" i="25"/>
  <c r="AF56" i="25"/>
  <c r="AG56" i="25"/>
  <c r="AH56" i="25"/>
  <c r="AI56" i="25"/>
  <c r="AJ56" i="25"/>
  <c r="AK56" i="25"/>
  <c r="AL56" i="25"/>
  <c r="AM56" i="25"/>
  <c r="AN56" i="25"/>
  <c r="AO56" i="25"/>
  <c r="L57" i="25"/>
  <c r="M57" i="25"/>
  <c r="N57" i="25"/>
  <c r="O57" i="25"/>
  <c r="P57" i="25"/>
  <c r="Q57" i="25"/>
  <c r="R57" i="25"/>
  <c r="S57" i="25"/>
  <c r="T57" i="25"/>
  <c r="U57" i="25"/>
  <c r="V57" i="25"/>
  <c r="W57" i="25"/>
  <c r="X57" i="25"/>
  <c r="Y57" i="25"/>
  <c r="Z57" i="25"/>
  <c r="AA57" i="25"/>
  <c r="AB57" i="25"/>
  <c r="AC57" i="25"/>
  <c r="AD57" i="25"/>
  <c r="AE57" i="25"/>
  <c r="AF57" i="25"/>
  <c r="AG57" i="25"/>
  <c r="AH57" i="25"/>
  <c r="AI57" i="25"/>
  <c r="AJ57" i="25"/>
  <c r="AK57" i="25"/>
  <c r="AL57" i="25"/>
  <c r="AM57" i="25"/>
  <c r="AN57" i="25"/>
  <c r="AO57" i="25"/>
  <c r="L58" i="25"/>
  <c r="M58" i="25"/>
  <c r="N58" i="25"/>
  <c r="O58" i="25"/>
  <c r="P58" i="25"/>
  <c r="Q58" i="25"/>
  <c r="R58" i="25"/>
  <c r="S58" i="25"/>
  <c r="T58" i="25"/>
  <c r="U58" i="25"/>
  <c r="V58" i="25"/>
  <c r="W58" i="25"/>
  <c r="X58" i="25"/>
  <c r="Y58" i="25"/>
  <c r="Z58" i="25"/>
  <c r="AA58" i="25"/>
  <c r="AB58" i="25"/>
  <c r="AC58" i="25"/>
  <c r="AD58" i="25"/>
  <c r="AE58" i="25"/>
  <c r="AF58" i="25"/>
  <c r="AG58" i="25"/>
  <c r="AH58" i="25"/>
  <c r="AI58" i="25"/>
  <c r="AJ58" i="25"/>
  <c r="AK58" i="25"/>
  <c r="AL58" i="25"/>
  <c r="AM58" i="25"/>
  <c r="AN58" i="25"/>
  <c r="AO58" i="25"/>
  <c r="AH54" i="25" l="1"/>
  <c r="AH59" i="25" s="1"/>
  <c r="AD54" i="25"/>
  <c r="AD59" i="25" s="1"/>
  <c r="AC54" i="25"/>
  <c r="AC59" i="25" s="1"/>
  <c r="Z54" i="25"/>
  <c r="Z59" i="25" s="1"/>
  <c r="Y54" i="25"/>
  <c r="Y59" i="25" s="1"/>
  <c r="AK54" i="25"/>
  <c r="AK59" i="25" s="1"/>
  <c r="U54" i="25"/>
  <c r="U59" i="25" s="1"/>
  <c r="T54" i="25"/>
  <c r="T59" i="25" s="1"/>
  <c r="S54" i="25"/>
  <c r="S59" i="25" s="1"/>
  <c r="R54" i="25"/>
  <c r="R59" i="25" s="1"/>
  <c r="AG54" i="25"/>
  <c r="AG59" i="25" s="1"/>
  <c r="AF54" i="25"/>
  <c r="AF59" i="25" s="1"/>
  <c r="P54" i="25"/>
  <c r="P59" i="25" s="1"/>
  <c r="AE54" i="25"/>
  <c r="AE59" i="25" s="1"/>
  <c r="O54" i="25"/>
  <c r="O59" i="25" s="1"/>
  <c r="N54" i="25"/>
  <c r="N59" i="25" s="1"/>
  <c r="AA54" i="25"/>
  <c r="AA59" i="25" s="1"/>
  <c r="AB54" i="25"/>
  <c r="AB59" i="25" s="1"/>
  <c r="X54" i="25"/>
  <c r="X59" i="25" s="1"/>
  <c r="W54" i="25"/>
  <c r="W59" i="25" s="1"/>
  <c r="V54" i="25"/>
  <c r="V59" i="25" s="1"/>
  <c r="Q54" i="25"/>
  <c r="Q59" i="25" s="1"/>
  <c r="AJ54" i="25"/>
  <c r="AJ59" i="25" s="1"/>
  <c r="AI54" i="25"/>
  <c r="AI59" i="25" s="1"/>
  <c r="AN54" i="25"/>
  <c r="AN59" i="25" s="1"/>
  <c r="AL54" i="25"/>
  <c r="AL59" i="25" s="1"/>
  <c r="AO54" i="25"/>
  <c r="AO59" i="25" s="1"/>
  <c r="AM54" i="25"/>
  <c r="AM59" i="25" s="1"/>
  <c r="M54" i="25"/>
  <c r="M59" i="25" s="1"/>
  <c r="L54" i="25"/>
  <c r="L59" i="25" s="1"/>
  <c r="A45" i="25"/>
  <c r="B45" i="25"/>
  <c r="C45" i="25"/>
  <c r="D45" i="25"/>
  <c r="E45" i="25"/>
  <c r="F45" i="25"/>
  <c r="G45" i="25"/>
  <c r="H45" i="25"/>
  <c r="K46" i="25" a="1"/>
  <c r="K46" i="25" s="1"/>
  <c r="K47" i="25" a="1"/>
  <c r="K47" i="25" s="1"/>
  <c r="K48" i="25"/>
  <c r="K49" i="25" a="1"/>
  <c r="K49" i="25" s="1"/>
  <c r="K50" i="25" a="1"/>
  <c r="K50" i="25" s="1"/>
  <c r="K51" i="25"/>
  <c r="K52" i="25"/>
  <c r="K53" i="25"/>
  <c r="F42" i="25"/>
  <c r="K54" i="25" l="1"/>
  <c r="I45" i="25"/>
  <c r="AO63" i="25" a="1"/>
  <c r="AO63" i="25" s="1"/>
  <c r="AN63" i="25" a="1"/>
  <c r="AN63" i="25" s="1"/>
  <c r="AM63" i="25" a="1"/>
  <c r="AM63" i="25" s="1"/>
  <c r="AL63" i="25" a="1"/>
  <c r="AL63" i="25" s="1"/>
  <c r="AK63" i="25" a="1"/>
  <c r="AK63" i="25" s="1"/>
  <c r="AJ63" i="25" a="1"/>
  <c r="AJ63" i="25" s="1"/>
  <c r="AI63" i="25" a="1"/>
  <c r="AI63" i="25" s="1"/>
  <c r="AH63" i="25" a="1"/>
  <c r="AH63" i="25" s="1"/>
  <c r="AG63" i="25" a="1"/>
  <c r="AG63" i="25" s="1"/>
  <c r="AF63" i="25" a="1"/>
  <c r="AF63" i="25" s="1"/>
  <c r="AE63" i="25" a="1"/>
  <c r="AE63" i="25" s="1"/>
  <c r="AD63" i="25" a="1"/>
  <c r="AD63" i="25" s="1"/>
  <c r="AC63" i="25" a="1"/>
  <c r="AC63" i="25" s="1"/>
  <c r="AB63" i="25" a="1"/>
  <c r="AB63" i="25" s="1"/>
  <c r="AA63" i="25" a="1"/>
  <c r="AA63" i="25" s="1"/>
  <c r="Z63" i="25" a="1"/>
  <c r="Z63" i="25" s="1"/>
  <c r="Y63" i="25" a="1"/>
  <c r="Y63" i="25" s="1"/>
  <c r="X63" i="25" a="1"/>
  <c r="X63" i="25" s="1"/>
  <c r="W63" i="25" a="1"/>
  <c r="W63" i="25" s="1"/>
  <c r="V63" i="25" a="1"/>
  <c r="V63" i="25" s="1"/>
  <c r="U63" i="25" a="1"/>
  <c r="U63" i="25" s="1"/>
  <c r="T63" i="25" a="1"/>
  <c r="T63" i="25" s="1"/>
  <c r="S63" i="25" a="1"/>
  <c r="S63" i="25" s="1"/>
  <c r="R63" i="25" a="1"/>
  <c r="R63" i="25" s="1"/>
  <c r="Q63" i="25" a="1"/>
  <c r="Q63" i="25" s="1"/>
  <c r="P63" i="25" a="1"/>
  <c r="P63" i="25" s="1"/>
  <c r="O63" i="25" a="1"/>
  <c r="O63" i="25" s="1"/>
  <c r="N63" i="25" a="1"/>
  <c r="N63" i="25" s="1"/>
  <c r="M63" i="25" a="1"/>
  <c r="M63" i="25" s="1"/>
  <c r="L63" i="25" a="1"/>
  <c r="L63" i="25" s="1"/>
  <c r="K63" i="25" a="1"/>
  <c r="K63" i="25" s="1"/>
  <c r="K58" i="25"/>
  <c r="K57" i="25"/>
  <c r="K56" i="25"/>
  <c r="K55" i="25"/>
  <c r="AS51" i="25"/>
  <c r="AR51" i="25"/>
  <c r="AS50" i="25"/>
  <c r="AR50" i="25"/>
  <c r="AS49" i="25"/>
  <c r="AR49" i="25"/>
  <c r="AS48" i="25"/>
  <c r="AR48" i="25"/>
  <c r="H44" i="25"/>
  <c r="G44" i="25"/>
  <c r="F44" i="25"/>
  <c r="E44" i="25"/>
  <c r="D44" i="25"/>
  <c r="C44" i="25"/>
  <c r="B44" i="25"/>
  <c r="A44" i="25"/>
  <c r="H43" i="25"/>
  <c r="G43" i="25"/>
  <c r="F43" i="25"/>
  <c r="E43" i="25"/>
  <c r="D43" i="25"/>
  <c r="C43" i="25"/>
  <c r="B43" i="25"/>
  <c r="A43" i="25"/>
  <c r="H42" i="25"/>
  <c r="G42" i="25"/>
  <c r="E42" i="25"/>
  <c r="D42" i="25"/>
  <c r="C42" i="25"/>
  <c r="B42" i="25"/>
  <c r="A42" i="25"/>
  <c r="H41" i="25"/>
  <c r="G41" i="25"/>
  <c r="F41" i="25"/>
  <c r="E41" i="25"/>
  <c r="D41" i="25"/>
  <c r="C41" i="25"/>
  <c r="B41" i="25"/>
  <c r="A41" i="25"/>
  <c r="H40" i="25"/>
  <c r="G40" i="25"/>
  <c r="F40" i="25"/>
  <c r="E40" i="25"/>
  <c r="D40" i="25"/>
  <c r="C40" i="25"/>
  <c r="B40" i="25"/>
  <c r="A40" i="25"/>
  <c r="H39" i="25"/>
  <c r="G39" i="25"/>
  <c r="F39" i="25"/>
  <c r="E39" i="25"/>
  <c r="D39" i="25"/>
  <c r="C39" i="25"/>
  <c r="B39" i="25"/>
  <c r="A39" i="25"/>
  <c r="H38" i="25"/>
  <c r="G38" i="25"/>
  <c r="F38" i="25"/>
  <c r="E38" i="25"/>
  <c r="D38" i="25"/>
  <c r="C38" i="25"/>
  <c r="B38" i="25"/>
  <c r="A38" i="25"/>
  <c r="H37" i="25"/>
  <c r="G37" i="25"/>
  <c r="F37" i="25"/>
  <c r="E37" i="25"/>
  <c r="D37" i="25"/>
  <c r="C37" i="25"/>
  <c r="B37" i="25"/>
  <c r="A37" i="25"/>
  <c r="H36" i="25"/>
  <c r="G36" i="25"/>
  <c r="F36" i="25"/>
  <c r="E36" i="25"/>
  <c r="D36" i="25"/>
  <c r="C36" i="25"/>
  <c r="B36" i="25"/>
  <c r="A36" i="25"/>
  <c r="H35" i="25"/>
  <c r="G35" i="25"/>
  <c r="F35" i="25"/>
  <c r="E35" i="25"/>
  <c r="D35" i="25"/>
  <c r="C35" i="25"/>
  <c r="B35" i="25"/>
  <c r="A35" i="25"/>
  <c r="H34" i="25"/>
  <c r="G34" i="25"/>
  <c r="F34" i="25"/>
  <c r="E34" i="25"/>
  <c r="D34" i="25"/>
  <c r="C34" i="25"/>
  <c r="B34" i="25"/>
  <c r="A34" i="25"/>
  <c r="H33" i="25"/>
  <c r="G33" i="25"/>
  <c r="F33" i="25"/>
  <c r="E33" i="25"/>
  <c r="D33" i="25"/>
  <c r="C33" i="25"/>
  <c r="B33" i="25"/>
  <c r="A33" i="25"/>
  <c r="H32" i="25"/>
  <c r="G32" i="25"/>
  <c r="F32" i="25"/>
  <c r="E32" i="25"/>
  <c r="D32" i="25"/>
  <c r="C32" i="25"/>
  <c r="B32" i="25"/>
  <c r="A32" i="25"/>
  <c r="H31" i="25"/>
  <c r="G31" i="25"/>
  <c r="F31" i="25"/>
  <c r="E31" i="25"/>
  <c r="D31" i="25"/>
  <c r="C31" i="25"/>
  <c r="B31" i="25"/>
  <c r="A31" i="25"/>
  <c r="H30" i="25"/>
  <c r="G30" i="25"/>
  <c r="F30" i="25"/>
  <c r="E30" i="25"/>
  <c r="D30" i="25"/>
  <c r="C30" i="25"/>
  <c r="B30" i="25"/>
  <c r="A30" i="25"/>
  <c r="H29" i="25"/>
  <c r="G29" i="25"/>
  <c r="F29" i="25"/>
  <c r="E29" i="25"/>
  <c r="D29" i="25"/>
  <c r="C29" i="25"/>
  <c r="B29" i="25"/>
  <c r="A29" i="25"/>
  <c r="H28" i="25"/>
  <c r="G28" i="25"/>
  <c r="F28" i="25"/>
  <c r="E28" i="25"/>
  <c r="D28" i="25"/>
  <c r="C28" i="25"/>
  <c r="B28" i="25"/>
  <c r="A28" i="25"/>
  <c r="H27" i="25"/>
  <c r="G27" i="25"/>
  <c r="F27" i="25"/>
  <c r="E27" i="25"/>
  <c r="D27" i="25"/>
  <c r="C27" i="25"/>
  <c r="B27" i="25"/>
  <c r="A27" i="25"/>
  <c r="H26" i="25"/>
  <c r="G26" i="25"/>
  <c r="F26" i="25"/>
  <c r="E26" i="25"/>
  <c r="D26" i="25"/>
  <c r="C26" i="25"/>
  <c r="B26" i="25"/>
  <c r="A26" i="25"/>
  <c r="H25" i="25"/>
  <c r="G25" i="25"/>
  <c r="F25" i="25"/>
  <c r="E25" i="25"/>
  <c r="D25" i="25"/>
  <c r="C25" i="25"/>
  <c r="B25" i="25"/>
  <c r="A25" i="25"/>
  <c r="H24" i="25"/>
  <c r="G24" i="25"/>
  <c r="F24" i="25"/>
  <c r="E24" i="25"/>
  <c r="D24" i="25"/>
  <c r="C24" i="25"/>
  <c r="B24" i="25"/>
  <c r="A24" i="25"/>
  <c r="H23" i="25"/>
  <c r="G23" i="25"/>
  <c r="F23" i="25"/>
  <c r="E23" i="25"/>
  <c r="D23" i="25"/>
  <c r="C23" i="25"/>
  <c r="B23" i="25"/>
  <c r="A23" i="25"/>
  <c r="H22" i="25"/>
  <c r="G22" i="25"/>
  <c r="F22" i="25"/>
  <c r="E22" i="25"/>
  <c r="D22" i="25"/>
  <c r="C22" i="25"/>
  <c r="B22" i="25"/>
  <c r="A22" i="25"/>
  <c r="H21" i="25"/>
  <c r="G21" i="25"/>
  <c r="F21" i="25"/>
  <c r="E21" i="25"/>
  <c r="D21" i="25"/>
  <c r="C21" i="25"/>
  <c r="B21" i="25"/>
  <c r="A21" i="25"/>
  <c r="H20" i="25"/>
  <c r="G20" i="25"/>
  <c r="F20" i="25"/>
  <c r="E20" i="25"/>
  <c r="D20" i="25"/>
  <c r="C20" i="25"/>
  <c r="B20" i="25"/>
  <c r="A20" i="25"/>
  <c r="H19" i="25"/>
  <c r="G19" i="25"/>
  <c r="F19" i="25"/>
  <c r="E19" i="25"/>
  <c r="D19" i="25"/>
  <c r="C19" i="25"/>
  <c r="B19" i="25"/>
  <c r="A19" i="25"/>
  <c r="AW18" i="25" a="1"/>
  <c r="AW18" i="25" s="1"/>
  <c r="AY18" i="25" s="1"/>
  <c r="H18" i="25"/>
  <c r="G18" i="25"/>
  <c r="F18" i="25"/>
  <c r="E18" i="25"/>
  <c r="D18" i="25"/>
  <c r="C18" i="25"/>
  <c r="B18" i="25"/>
  <c r="A18" i="25"/>
  <c r="AW17" i="25" a="1"/>
  <c r="AW17" i="25" s="1"/>
  <c r="AY17" i="25" s="1"/>
  <c r="H17" i="25"/>
  <c r="G17" i="25"/>
  <c r="F17" i="25"/>
  <c r="E17" i="25"/>
  <c r="D17" i="25"/>
  <c r="C17" i="25"/>
  <c r="B17" i="25"/>
  <c r="A17" i="25"/>
  <c r="AW16" i="25" a="1"/>
  <c r="AW16" i="25" s="1"/>
  <c r="AY16" i="25" s="1"/>
  <c r="AW15" i="25" a="1"/>
  <c r="AW15" i="25" s="1"/>
  <c r="AY15" i="25" s="1"/>
  <c r="AW13" i="25" a="1"/>
  <c r="AW13" i="25" s="1"/>
  <c r="AY13" i="25" s="1"/>
  <c r="AW12" i="25" a="1"/>
  <c r="AW12" i="25" s="1"/>
  <c r="AY12" i="25" s="1"/>
  <c r="AW11" i="25" a="1"/>
  <c r="AW11" i="25" s="1"/>
  <c r="AY11" i="25" s="1"/>
  <c r="AW10" i="25" a="1"/>
  <c r="AW10" i="25" s="1"/>
  <c r="AY10" i="25" s="1"/>
  <c r="AW9" i="25" a="1"/>
  <c r="AW9" i="25" s="1"/>
  <c r="AY9" i="25" s="1"/>
  <c r="AW7" i="25" a="1"/>
  <c r="AW7" i="25" s="1"/>
  <c r="AY7" i="25" s="1"/>
  <c r="AW6" i="25" a="1"/>
  <c r="AW6" i="25" s="1"/>
  <c r="AY6" i="25" s="1"/>
  <c r="H5" i="25"/>
  <c r="G5" i="25"/>
  <c r="F5" i="25"/>
  <c r="E5" i="25"/>
  <c r="D5" i="25"/>
  <c r="C5" i="25"/>
  <c r="B5" i="25"/>
  <c r="A5" i="25"/>
  <c r="AW4" i="25" a="1"/>
  <c r="AW4" i="25" s="1"/>
  <c r="AY4" i="25" s="1"/>
  <c r="H4" i="25"/>
  <c r="G4" i="25"/>
  <c r="F4" i="25"/>
  <c r="E4" i="25"/>
  <c r="D4" i="25"/>
  <c r="C4" i="25"/>
  <c r="B4" i="25"/>
  <c r="A4" i="25"/>
  <c r="AR57" i="25" l="1"/>
  <c r="AS57" i="25"/>
  <c r="AQ6" i="25"/>
  <c r="AS6" i="25" s="1"/>
  <c r="AQ4" i="25"/>
  <c r="AS4" i="25" s="1"/>
  <c r="I43" i="25"/>
  <c r="AQ7" i="25"/>
  <c r="AS7" i="25" s="1"/>
  <c r="AQ18" i="25"/>
  <c r="AS18" i="25" s="1"/>
  <c r="AB60" i="25"/>
  <c r="AQ11" i="25"/>
  <c r="AS11" i="25" s="1"/>
  <c r="I5" i="25"/>
  <c r="I27" i="25"/>
  <c r="L60" i="25"/>
  <c r="R60" i="25"/>
  <c r="AQ9" i="25"/>
  <c r="AS9" i="25" s="1"/>
  <c r="AQ21" i="25"/>
  <c r="AS21" i="25" s="1"/>
  <c r="AQ41" i="25"/>
  <c r="AS41" i="25" s="1"/>
  <c r="I24" i="25"/>
  <c r="I44" i="25"/>
  <c r="X60" i="25"/>
  <c r="AN60" i="25"/>
  <c r="Y60" i="25"/>
  <c r="AO60" i="25"/>
  <c r="AQ16" i="25"/>
  <c r="AS16" i="25" s="1"/>
  <c r="K60" i="25"/>
  <c r="AA60" i="25"/>
  <c r="AQ40" i="25"/>
  <c r="AS40" i="25" s="1"/>
  <c r="AQ24" i="25"/>
  <c r="AS24" i="25" s="1"/>
  <c r="AQ28" i="25"/>
  <c r="AS28" i="25" s="1"/>
  <c r="AQ30" i="25"/>
  <c r="AS30" i="25" s="1"/>
  <c r="AQ44" i="25"/>
  <c r="AS44" i="25" s="1"/>
  <c r="O60" i="25"/>
  <c r="AE60" i="25"/>
  <c r="P60" i="25"/>
  <c r="AF60" i="25"/>
  <c r="I4" i="25"/>
  <c r="AH60" i="25"/>
  <c r="S60" i="25"/>
  <c r="AI60" i="25"/>
  <c r="T60" i="25"/>
  <c r="AJ60" i="25"/>
  <c r="AQ25" i="25"/>
  <c r="AS25" i="25" s="1"/>
  <c r="AQ29" i="25"/>
  <c r="AS29" i="25" s="1"/>
  <c r="AQ35" i="25"/>
  <c r="AS35" i="25" s="1"/>
  <c r="AQ37" i="25"/>
  <c r="AS37" i="25" s="1"/>
  <c r="V60" i="25"/>
  <c r="AL60" i="25"/>
  <c r="AQ8" i="25"/>
  <c r="AS8" i="25" s="1"/>
  <c r="AQ13" i="25"/>
  <c r="AS13" i="25" s="1"/>
  <c r="AQ27" i="25"/>
  <c r="AS27" i="25" s="1"/>
  <c r="AQ31" i="25"/>
  <c r="AS31" i="25" s="1"/>
  <c r="I33" i="25"/>
  <c r="AQ39" i="25"/>
  <c r="AS39" i="25" s="1"/>
  <c r="I17" i="25"/>
  <c r="AQ20" i="25"/>
  <c r="AS20" i="25" s="1"/>
  <c r="Q60" i="25"/>
  <c r="AG60" i="25"/>
  <c r="I28" i="25"/>
  <c r="I32" i="25"/>
  <c r="I34" i="25"/>
  <c r="I36" i="25"/>
  <c r="I38" i="25"/>
  <c r="AQ10" i="25"/>
  <c r="AS10" i="25" s="1"/>
  <c r="AQ22" i="25"/>
  <c r="AS22" i="25" s="1"/>
  <c r="I26" i="25"/>
  <c r="AQ43" i="25"/>
  <c r="AS43" i="25" s="1"/>
  <c r="AQ45" i="25"/>
  <c r="AS45" i="25" s="1"/>
  <c r="U60" i="25"/>
  <c r="AK60" i="25"/>
  <c r="AQ5" i="25"/>
  <c r="AS5" i="25" s="1"/>
  <c r="AQ15" i="25"/>
  <c r="AS15" i="25" s="1"/>
  <c r="I19" i="25"/>
  <c r="I21" i="25"/>
  <c r="I30" i="25"/>
  <c r="AQ12" i="25"/>
  <c r="AS12" i="25" s="1"/>
  <c r="AQ26" i="25"/>
  <c r="AS26" i="25" s="1"/>
  <c r="I40" i="25"/>
  <c r="I42" i="25"/>
  <c r="K59" i="25"/>
  <c r="AQ32" i="25"/>
  <c r="AS32" i="25" s="1"/>
  <c r="AQ34" i="25"/>
  <c r="AS34" i="25" s="1"/>
  <c r="AQ36" i="25"/>
  <c r="AS36" i="25" s="1"/>
  <c r="AQ38" i="25"/>
  <c r="AS38" i="25" s="1"/>
  <c r="W60" i="25"/>
  <c r="AM60" i="25"/>
  <c r="AQ17" i="25"/>
  <c r="AS17" i="25" s="1"/>
  <c r="I25" i="25"/>
  <c r="AQ19" i="25"/>
  <c r="AS19" i="25" s="1"/>
  <c r="I23" i="25"/>
  <c r="AQ42" i="25"/>
  <c r="AS42" i="25" s="1"/>
  <c r="AQ14" i="25"/>
  <c r="AS14" i="25" s="1"/>
  <c r="I18" i="25"/>
  <c r="I31" i="25"/>
  <c r="I35" i="25"/>
  <c r="I37" i="25"/>
  <c r="Z60" i="25"/>
  <c r="I29" i="25"/>
  <c r="I41" i="25"/>
  <c r="I20" i="25"/>
  <c r="AQ23" i="25"/>
  <c r="AS23" i="25" s="1"/>
  <c r="I39" i="25"/>
  <c r="M60" i="25"/>
  <c r="AC60" i="25"/>
  <c r="I22" i="25"/>
  <c r="N60" i="25"/>
  <c r="AD60" i="25"/>
  <c r="AQ33" i="25"/>
  <c r="AS33" i="25" s="1"/>
  <c r="K1" i="25" l="1"/>
  <c r="F5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38" i="24"/>
  <c r="F39" i="24"/>
  <c r="F40" i="24"/>
  <c r="F41" i="24"/>
  <c r="F42" i="24"/>
  <c r="F43" i="24"/>
  <c r="F44" i="24"/>
  <c r="F4" i="24"/>
  <c r="A11" i="24"/>
  <c r="B11" i="24"/>
  <c r="C11" i="24"/>
  <c r="D11" i="24"/>
  <c r="E11" i="24"/>
  <c r="G11" i="24"/>
  <c r="H11" i="24"/>
  <c r="I11" i="24"/>
  <c r="A12" i="24"/>
  <c r="B12" i="24"/>
  <c r="C12" i="24"/>
  <c r="D12" i="24"/>
  <c r="E12" i="24"/>
  <c r="G12" i="24"/>
  <c r="H12" i="24"/>
  <c r="I12" i="24"/>
  <c r="A13" i="24"/>
  <c r="B13" i="24"/>
  <c r="C13" i="24"/>
  <c r="D13" i="24"/>
  <c r="E13" i="24"/>
  <c r="G13" i="24"/>
  <c r="H13" i="24"/>
  <c r="I13" i="24"/>
  <c r="A14" i="24"/>
  <c r="B14" i="24"/>
  <c r="C14" i="24"/>
  <c r="D14" i="24"/>
  <c r="E14" i="24"/>
  <c r="G14" i="24"/>
  <c r="H14" i="24"/>
  <c r="I14" i="24"/>
  <c r="A44" i="24"/>
  <c r="B44" i="24"/>
  <c r="C44" i="24"/>
  <c r="D44" i="24"/>
  <c r="E44" i="24"/>
  <c r="G44" i="24"/>
  <c r="H44" i="24"/>
  <c r="I44" i="24"/>
  <c r="U56" i="24"/>
  <c r="U55" i="24"/>
  <c r="AS48" i="24"/>
  <c r="A41" i="24"/>
  <c r="B41" i="24"/>
  <c r="C41" i="24"/>
  <c r="D41" i="24"/>
  <c r="E41" i="24"/>
  <c r="G41" i="24"/>
  <c r="H41" i="24"/>
  <c r="I41" i="24"/>
  <c r="A42" i="24"/>
  <c r="B42" i="24"/>
  <c r="C42" i="24"/>
  <c r="D42" i="24"/>
  <c r="E42" i="24"/>
  <c r="G42" i="24"/>
  <c r="H42" i="24"/>
  <c r="I42" i="24"/>
  <c r="A43" i="24"/>
  <c r="B43" i="24"/>
  <c r="C43" i="24"/>
  <c r="D43" i="24"/>
  <c r="E43" i="24"/>
  <c r="G43" i="24"/>
  <c r="H43" i="24"/>
  <c r="I43" i="24"/>
  <c r="L45" i="24" a="1"/>
  <c r="L45" i="24" s="1"/>
  <c r="M45" i="24" a="1"/>
  <c r="M45" i="24" s="1"/>
  <c r="N45" i="24" a="1"/>
  <c r="N45" i="24" s="1"/>
  <c r="O45" i="24" a="1"/>
  <c r="O45" i="24" s="1"/>
  <c r="P45" i="24" a="1"/>
  <c r="P45" i="24" s="1"/>
  <c r="Q45" i="24" a="1"/>
  <c r="Q45" i="24" s="1"/>
  <c r="R45" i="24" a="1"/>
  <c r="R45" i="24" s="1"/>
  <c r="S45" i="24" a="1"/>
  <c r="S45" i="24" s="1"/>
  <c r="T45" i="24" a="1"/>
  <c r="T45" i="24" s="1"/>
  <c r="U45" i="24" a="1"/>
  <c r="U45" i="24" s="1"/>
  <c r="V45" i="24" a="1"/>
  <c r="V45" i="24" s="1"/>
  <c r="W45" i="24" a="1"/>
  <c r="W45" i="24" s="1"/>
  <c r="X45" i="24" a="1"/>
  <c r="X45" i="24" s="1"/>
  <c r="Y45" i="24" a="1"/>
  <c r="Y45" i="24" s="1"/>
  <c r="Z45" i="24" a="1"/>
  <c r="Z45" i="24" s="1"/>
  <c r="AA45" i="24" a="1"/>
  <c r="AA45" i="24" s="1"/>
  <c r="AB45" i="24" a="1"/>
  <c r="AB45" i="24" s="1"/>
  <c r="AC45" i="24" a="1"/>
  <c r="AC45" i="24" s="1"/>
  <c r="AD45" i="24" a="1"/>
  <c r="AD45" i="24" s="1"/>
  <c r="AE45" i="24" a="1"/>
  <c r="AE45" i="24" s="1"/>
  <c r="AF45" i="24" a="1"/>
  <c r="AF45" i="24" s="1"/>
  <c r="AG45" i="24" a="1"/>
  <c r="AG45" i="24" s="1"/>
  <c r="AH45" i="24" a="1"/>
  <c r="AH45" i="24" s="1"/>
  <c r="AI45" i="24" a="1"/>
  <c r="AI45" i="24" s="1"/>
  <c r="AJ45" i="24" a="1"/>
  <c r="AJ45" i="24" s="1"/>
  <c r="AK45" i="24" a="1"/>
  <c r="AK45" i="24" s="1"/>
  <c r="AL45" i="24" a="1"/>
  <c r="AL45" i="24" s="1"/>
  <c r="AM45" i="24" a="1"/>
  <c r="AM45" i="24" s="1"/>
  <c r="AN45" i="24" a="1"/>
  <c r="AN45" i="24" s="1"/>
  <c r="AO45" i="24" a="1"/>
  <c r="AO45" i="24" s="1"/>
  <c r="AP45" i="24" a="1"/>
  <c r="AP45" i="24" s="1"/>
  <c r="L46" i="24" a="1"/>
  <c r="L46" i="24" s="1"/>
  <c r="M46" i="24" a="1"/>
  <c r="M46" i="24" s="1"/>
  <c r="N46" i="24" a="1"/>
  <c r="N46" i="24" s="1"/>
  <c r="O46" i="24" a="1"/>
  <c r="O46" i="24" s="1"/>
  <c r="P46" i="24" a="1"/>
  <c r="P46" i="24" s="1"/>
  <c r="Q46" i="24" a="1"/>
  <c r="Q46" i="24" s="1"/>
  <c r="R46" i="24" a="1"/>
  <c r="R46" i="24" s="1"/>
  <c r="S46" i="24" a="1"/>
  <c r="S46" i="24" s="1"/>
  <c r="T46" i="24" a="1"/>
  <c r="T46" i="24" s="1"/>
  <c r="U46" i="24" a="1"/>
  <c r="U46" i="24" s="1"/>
  <c r="V46" i="24" a="1"/>
  <c r="V46" i="24" s="1"/>
  <c r="W46" i="24" a="1"/>
  <c r="W46" i="24" s="1"/>
  <c r="X46" i="24" a="1"/>
  <c r="X46" i="24" s="1"/>
  <c r="Y46" i="24" a="1"/>
  <c r="Y46" i="24" s="1"/>
  <c r="Z46" i="24" a="1"/>
  <c r="Z46" i="24" s="1"/>
  <c r="AA46" i="24" a="1"/>
  <c r="AA46" i="24" s="1"/>
  <c r="AB46" i="24" a="1"/>
  <c r="AB46" i="24" s="1"/>
  <c r="AC46" i="24" a="1"/>
  <c r="AC46" i="24" s="1"/>
  <c r="AD46" i="24" a="1"/>
  <c r="AD46" i="24" s="1"/>
  <c r="AE46" i="24" a="1"/>
  <c r="AE46" i="24" s="1"/>
  <c r="AF46" i="24" a="1"/>
  <c r="AF46" i="24" s="1"/>
  <c r="AG46" i="24" a="1"/>
  <c r="AG46" i="24" s="1"/>
  <c r="AH46" i="24" a="1"/>
  <c r="AH46" i="24" s="1"/>
  <c r="AI46" i="24" a="1"/>
  <c r="AI46" i="24" s="1"/>
  <c r="AJ46" i="24" a="1"/>
  <c r="AJ46" i="24" s="1"/>
  <c r="AK46" i="24" a="1"/>
  <c r="AK46" i="24" s="1"/>
  <c r="AL46" i="24" a="1"/>
  <c r="AL46" i="24" s="1"/>
  <c r="AM46" i="24" a="1"/>
  <c r="AM46" i="24" s="1"/>
  <c r="AN46" i="24" a="1"/>
  <c r="AN46" i="24" s="1"/>
  <c r="AO46" i="24" a="1"/>
  <c r="AO46" i="24" s="1"/>
  <c r="AP46" i="24" a="1"/>
  <c r="AP46" i="24" s="1"/>
  <c r="L47" i="24"/>
  <c r="M47" i="24"/>
  <c r="N47" i="24"/>
  <c r="O47" i="24"/>
  <c r="P47" i="24"/>
  <c r="Q47" i="24"/>
  <c r="R47" i="24"/>
  <c r="S47" i="24"/>
  <c r="T47" i="24"/>
  <c r="U47" i="24"/>
  <c r="V47" i="24"/>
  <c r="W47" i="24"/>
  <c r="X47" i="24"/>
  <c r="Y47" i="24"/>
  <c r="Z47" i="24"/>
  <c r="AA47" i="24"/>
  <c r="AB47" i="24"/>
  <c r="AC47" i="24"/>
  <c r="AD47" i="24"/>
  <c r="AE47" i="24"/>
  <c r="AF47" i="24"/>
  <c r="AG47" i="24"/>
  <c r="AH47" i="24"/>
  <c r="AI47" i="24"/>
  <c r="AJ47" i="24"/>
  <c r="AK47" i="24"/>
  <c r="AL47" i="24"/>
  <c r="AM47" i="24"/>
  <c r="AN47" i="24"/>
  <c r="AO47" i="24"/>
  <c r="AP47" i="24"/>
  <c r="L48" i="24" a="1"/>
  <c r="L48" i="24" s="1"/>
  <c r="M48" i="24" a="1"/>
  <c r="M48" i="24" s="1"/>
  <c r="N48" i="24" a="1"/>
  <c r="N48" i="24" s="1"/>
  <c r="O48" i="24" a="1"/>
  <c r="O48" i="24" s="1"/>
  <c r="P48" i="24" a="1"/>
  <c r="P48" i="24" s="1"/>
  <c r="Q48" i="24" a="1"/>
  <c r="Q48" i="24" s="1"/>
  <c r="R48" i="24" a="1"/>
  <c r="R48" i="24" s="1"/>
  <c r="S48" i="24" a="1"/>
  <c r="S48" i="24" s="1"/>
  <c r="T48" i="24" a="1"/>
  <c r="T48" i="24" s="1"/>
  <c r="U48" i="24" a="1"/>
  <c r="U48" i="24" s="1"/>
  <c r="V48" i="24" a="1"/>
  <c r="V48" i="24" s="1"/>
  <c r="W48" i="24" a="1"/>
  <c r="W48" i="24" s="1"/>
  <c r="X48" i="24" a="1"/>
  <c r="X48" i="24" s="1"/>
  <c r="Y48" i="24" a="1"/>
  <c r="Y48" i="24" s="1"/>
  <c r="Z48" i="24" a="1"/>
  <c r="Z48" i="24" s="1"/>
  <c r="AA48" i="24" a="1"/>
  <c r="AA48" i="24" s="1"/>
  <c r="AB48" i="24" a="1"/>
  <c r="AB48" i="24" s="1"/>
  <c r="AC48" i="24" a="1"/>
  <c r="AC48" i="24" s="1"/>
  <c r="AD48" i="24" a="1"/>
  <c r="AD48" i="24" s="1"/>
  <c r="AE48" i="24" a="1"/>
  <c r="AE48" i="24" s="1"/>
  <c r="AF48" i="24" a="1"/>
  <c r="AF48" i="24" s="1"/>
  <c r="AG48" i="24" a="1"/>
  <c r="AG48" i="24" s="1"/>
  <c r="AH48" i="24" a="1"/>
  <c r="AH48" i="24" s="1"/>
  <c r="AI48" i="24" a="1"/>
  <c r="AI48" i="24" s="1"/>
  <c r="AJ48" i="24" a="1"/>
  <c r="AJ48" i="24" s="1"/>
  <c r="AK48" i="24" a="1"/>
  <c r="AK48" i="24" s="1"/>
  <c r="AL48" i="24" a="1"/>
  <c r="AL48" i="24" s="1"/>
  <c r="AM48" i="24" a="1"/>
  <c r="AM48" i="24" s="1"/>
  <c r="AN48" i="24" a="1"/>
  <c r="AN48" i="24" s="1"/>
  <c r="AO48" i="24" a="1"/>
  <c r="AO48" i="24" s="1"/>
  <c r="AP48" i="24" a="1"/>
  <c r="AP48" i="24" s="1"/>
  <c r="L49" i="24" a="1"/>
  <c r="L49" i="24" s="1"/>
  <c r="M49" i="24" a="1"/>
  <c r="M49" i="24" s="1"/>
  <c r="N49" i="24" a="1"/>
  <c r="N49" i="24" s="1"/>
  <c r="O49" i="24" a="1"/>
  <c r="O49" i="24" s="1"/>
  <c r="P49" i="24" a="1"/>
  <c r="P49" i="24" s="1"/>
  <c r="Q49" i="24" a="1"/>
  <c r="Q49" i="24" s="1"/>
  <c r="R49" i="24" a="1"/>
  <c r="R49" i="24" s="1"/>
  <c r="S49" i="24" a="1"/>
  <c r="S49" i="24" s="1"/>
  <c r="T49" i="24" a="1"/>
  <c r="T49" i="24" s="1"/>
  <c r="U49" i="24" a="1"/>
  <c r="U49" i="24" s="1"/>
  <c r="V49" i="24" a="1"/>
  <c r="V49" i="24" s="1"/>
  <c r="W49" i="24" a="1"/>
  <c r="W49" i="24" s="1"/>
  <c r="X49" i="24" a="1"/>
  <c r="X49" i="24" s="1"/>
  <c r="Y49" i="24" a="1"/>
  <c r="Y49" i="24" s="1"/>
  <c r="Z49" i="24" a="1"/>
  <c r="Z49" i="24" s="1"/>
  <c r="AA49" i="24" a="1"/>
  <c r="AA49" i="24" s="1"/>
  <c r="AB49" i="24" a="1"/>
  <c r="AB49" i="24" s="1"/>
  <c r="AC49" i="24" a="1"/>
  <c r="AC49" i="24" s="1"/>
  <c r="AD49" i="24" a="1"/>
  <c r="AD49" i="24" s="1"/>
  <c r="AE49" i="24" a="1"/>
  <c r="AE49" i="24" s="1"/>
  <c r="AF49" i="24" a="1"/>
  <c r="AF49" i="24" s="1"/>
  <c r="AG49" i="24" a="1"/>
  <c r="AG49" i="24" s="1"/>
  <c r="AH49" i="24" a="1"/>
  <c r="AH49" i="24" s="1"/>
  <c r="AI49" i="24" a="1"/>
  <c r="AI49" i="24" s="1"/>
  <c r="AJ49" i="24" a="1"/>
  <c r="AJ49" i="24" s="1"/>
  <c r="AK49" i="24" a="1"/>
  <c r="AK49" i="24" s="1"/>
  <c r="AL49" i="24" a="1"/>
  <c r="AL49" i="24" s="1"/>
  <c r="AM49" i="24" a="1"/>
  <c r="AM49" i="24" s="1"/>
  <c r="AN49" i="24" a="1"/>
  <c r="AN49" i="24" s="1"/>
  <c r="AO49" i="24" a="1"/>
  <c r="AO49" i="24" s="1"/>
  <c r="AP49" i="24" a="1"/>
  <c r="AP49" i="24" s="1"/>
  <c r="L50" i="24"/>
  <c r="M50" i="24"/>
  <c r="N50" i="24"/>
  <c r="O50" i="24"/>
  <c r="P50" i="24"/>
  <c r="Q50" i="24"/>
  <c r="R50" i="24"/>
  <c r="S50" i="24"/>
  <c r="T50" i="24"/>
  <c r="U50" i="24"/>
  <c r="V50" i="24"/>
  <c r="W50" i="24"/>
  <c r="X50" i="24"/>
  <c r="Y50" i="24"/>
  <c r="Z50" i="24"/>
  <c r="AA50" i="24"/>
  <c r="AB50" i="24"/>
  <c r="AC50" i="24"/>
  <c r="AD50" i="24"/>
  <c r="AE50" i="24"/>
  <c r="AF50" i="24"/>
  <c r="AG50" i="24"/>
  <c r="AH50" i="24"/>
  <c r="AI50" i="24"/>
  <c r="AJ50" i="24"/>
  <c r="AK50" i="24"/>
  <c r="AL50" i="24"/>
  <c r="AM50" i="24"/>
  <c r="AN50" i="24"/>
  <c r="AO50" i="24"/>
  <c r="AP50" i="24"/>
  <c r="L51" i="24"/>
  <c r="M51" i="24"/>
  <c r="N51" i="24"/>
  <c r="O51" i="24"/>
  <c r="P51" i="24"/>
  <c r="Q51" i="24"/>
  <c r="R51" i="24"/>
  <c r="S51" i="24"/>
  <c r="T51" i="24"/>
  <c r="U51" i="24"/>
  <c r="V51" i="24"/>
  <c r="W51" i="24"/>
  <c r="X51" i="24"/>
  <c r="Y51" i="24"/>
  <c r="Z51" i="24"/>
  <c r="AA51" i="24"/>
  <c r="AB51" i="24"/>
  <c r="AC51" i="24"/>
  <c r="AD51" i="24"/>
  <c r="AE51" i="24"/>
  <c r="AF51" i="24"/>
  <c r="AG51" i="24"/>
  <c r="AH51" i="24"/>
  <c r="AI51" i="24"/>
  <c r="AJ51" i="24"/>
  <c r="AK51" i="24"/>
  <c r="AL51" i="24"/>
  <c r="AM51" i="24"/>
  <c r="AN51" i="24"/>
  <c r="AO51" i="24"/>
  <c r="AP51" i="24"/>
  <c r="L52" i="24"/>
  <c r="M52" i="24"/>
  <c r="N52" i="24"/>
  <c r="O52" i="24"/>
  <c r="P52" i="24"/>
  <c r="Q52" i="24"/>
  <c r="R52" i="24"/>
  <c r="S52" i="24"/>
  <c r="T52" i="24"/>
  <c r="U52" i="24"/>
  <c r="V52" i="24"/>
  <c r="W52" i="24"/>
  <c r="X52" i="24"/>
  <c r="Y52" i="24"/>
  <c r="Z52" i="24"/>
  <c r="AA52" i="24"/>
  <c r="AB52" i="24"/>
  <c r="AC52" i="24"/>
  <c r="AD52" i="24"/>
  <c r="AE52" i="24"/>
  <c r="AF52" i="24"/>
  <c r="AG52" i="24"/>
  <c r="AH52" i="24"/>
  <c r="AI52" i="24"/>
  <c r="AJ52" i="24"/>
  <c r="AK52" i="24"/>
  <c r="AL52" i="24"/>
  <c r="AM52" i="24"/>
  <c r="AN52" i="24"/>
  <c r="AO52" i="24"/>
  <c r="AP52" i="24"/>
  <c r="A28" i="24"/>
  <c r="B28" i="24"/>
  <c r="C28" i="24"/>
  <c r="D28" i="24"/>
  <c r="E28" i="24"/>
  <c r="G28" i="24"/>
  <c r="H28" i="24"/>
  <c r="I28" i="24"/>
  <c r="A16" i="24"/>
  <c r="B16" i="24"/>
  <c r="C16" i="24"/>
  <c r="D16" i="24"/>
  <c r="E16" i="24"/>
  <c r="G16" i="24"/>
  <c r="H16" i="24"/>
  <c r="I16" i="24"/>
  <c r="AW6" i="24" a="1"/>
  <c r="AW6" i="24" s="1"/>
  <c r="AY6" i="24" s="1"/>
  <c r="AW7" i="24" a="1"/>
  <c r="AW7" i="24" s="1"/>
  <c r="AY7" i="24" s="1"/>
  <c r="AW9" i="24" a="1"/>
  <c r="AW9" i="24" s="1"/>
  <c r="AY9" i="24" s="1"/>
  <c r="AW10" i="24" a="1"/>
  <c r="AW10" i="24" s="1"/>
  <c r="AY10" i="24" s="1"/>
  <c r="AW11" i="24" a="1"/>
  <c r="AW11" i="24" s="1"/>
  <c r="AY11" i="24" s="1"/>
  <c r="AW12" i="24" a="1"/>
  <c r="AW12" i="24" s="1"/>
  <c r="AY12" i="24" s="1"/>
  <c r="AW13" i="24" a="1"/>
  <c r="AW13" i="24" s="1"/>
  <c r="AY13" i="24" s="1"/>
  <c r="AW15" i="24" a="1"/>
  <c r="AW15" i="24" s="1"/>
  <c r="AY15" i="24" s="1"/>
  <c r="AW16" i="24" a="1"/>
  <c r="AW16" i="24" s="1"/>
  <c r="AY16" i="24" s="1"/>
  <c r="AW17" i="24" a="1"/>
  <c r="AW17" i="24" s="1"/>
  <c r="AY17" i="24" s="1"/>
  <c r="AW18" i="24" a="1"/>
  <c r="AW18" i="24" s="1"/>
  <c r="AY18" i="24" s="1"/>
  <c r="AW4" i="24" a="1"/>
  <c r="AW4" i="24" s="1"/>
  <c r="AY4" i="24" s="1"/>
  <c r="AP62" i="24" a="1"/>
  <c r="AP62" i="24" s="1"/>
  <c r="AO62" i="24" a="1"/>
  <c r="AO62" i="24" s="1"/>
  <c r="AN62" i="24" a="1"/>
  <c r="AN62" i="24" s="1"/>
  <c r="AM62" i="24" a="1"/>
  <c r="AM62" i="24" s="1"/>
  <c r="AL62" i="24" a="1"/>
  <c r="AL62" i="24" s="1"/>
  <c r="AK62" i="24" a="1"/>
  <c r="AK62" i="24" s="1"/>
  <c r="AJ62" i="24" a="1"/>
  <c r="AJ62" i="24" s="1"/>
  <c r="AI62" i="24" a="1"/>
  <c r="AI62" i="24" s="1"/>
  <c r="AH62" i="24" a="1"/>
  <c r="AH62" i="24" s="1"/>
  <c r="AG62" i="24" a="1"/>
  <c r="AG62" i="24" s="1"/>
  <c r="AF62" i="24" a="1"/>
  <c r="AF62" i="24" s="1"/>
  <c r="AE62" i="24" a="1"/>
  <c r="AE62" i="24" s="1"/>
  <c r="AD62" i="24" a="1"/>
  <c r="AD62" i="24" s="1"/>
  <c r="AC62" i="24" a="1"/>
  <c r="AC62" i="24" s="1"/>
  <c r="AB62" i="24" a="1"/>
  <c r="AB62" i="24" s="1"/>
  <c r="AA62" i="24" a="1"/>
  <c r="AA62" i="24" s="1"/>
  <c r="Z62" i="24" a="1"/>
  <c r="Z62" i="24" s="1"/>
  <c r="Y62" i="24" a="1"/>
  <c r="Y62" i="24" s="1"/>
  <c r="X62" i="24" a="1"/>
  <c r="X62" i="24" s="1"/>
  <c r="W62" i="24" a="1"/>
  <c r="W62" i="24" s="1"/>
  <c r="V62" i="24" a="1"/>
  <c r="V62" i="24" s="1"/>
  <c r="U62" i="24" a="1"/>
  <c r="U62" i="24" s="1"/>
  <c r="T62" i="24" a="1"/>
  <c r="T62" i="24" s="1"/>
  <c r="S62" i="24" a="1"/>
  <c r="S62" i="24" s="1"/>
  <c r="R62" i="24" a="1"/>
  <c r="R62" i="24" s="1"/>
  <c r="Q62" i="24" a="1"/>
  <c r="Q62" i="24" s="1"/>
  <c r="P62" i="24" a="1"/>
  <c r="P62" i="24" s="1"/>
  <c r="O62" i="24" a="1"/>
  <c r="O62" i="24" s="1"/>
  <c r="N62" i="24" a="1"/>
  <c r="N62" i="24" s="1"/>
  <c r="M62" i="24" a="1"/>
  <c r="M62" i="24" s="1"/>
  <c r="L62" i="24" a="1"/>
  <c r="L62" i="24" s="1"/>
  <c r="AP57" i="24"/>
  <c r="AO57" i="24"/>
  <c r="AN57" i="24"/>
  <c r="AM57" i="24"/>
  <c r="AL57" i="24"/>
  <c r="AK57" i="24"/>
  <c r="AJ57" i="24"/>
  <c r="AI57" i="24"/>
  <c r="AH57" i="24"/>
  <c r="AG57" i="24"/>
  <c r="AF57" i="24"/>
  <c r="AE57" i="24"/>
  <c r="AD57" i="24"/>
  <c r="AC57" i="24"/>
  <c r="AB57" i="24"/>
  <c r="AA57" i="24"/>
  <c r="Z57" i="24"/>
  <c r="Y57" i="24"/>
  <c r="X57" i="24"/>
  <c r="W57" i="24"/>
  <c r="V57" i="24"/>
  <c r="U57" i="24"/>
  <c r="T57" i="24"/>
  <c r="S57" i="24"/>
  <c r="R57" i="24"/>
  <c r="Q57" i="24"/>
  <c r="P57" i="24"/>
  <c r="O57" i="24"/>
  <c r="N57" i="24"/>
  <c r="M57" i="24"/>
  <c r="L57" i="24"/>
  <c r="AP56" i="24"/>
  <c r="AO56" i="24"/>
  <c r="AN56" i="24"/>
  <c r="AM56" i="24"/>
  <c r="AL56" i="24"/>
  <c r="AK56" i="24"/>
  <c r="AJ56" i="24"/>
  <c r="AI56" i="24"/>
  <c r="AH56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T56" i="24"/>
  <c r="S56" i="24"/>
  <c r="R56" i="24"/>
  <c r="Q56" i="24"/>
  <c r="P56" i="24"/>
  <c r="O56" i="24"/>
  <c r="N56" i="24"/>
  <c r="M56" i="24"/>
  <c r="L56" i="24"/>
  <c r="AP55" i="24"/>
  <c r="AO55" i="24"/>
  <c r="AN55" i="24"/>
  <c r="AM55" i="24"/>
  <c r="AL55" i="24"/>
  <c r="AK55" i="24"/>
  <c r="AJ55" i="24"/>
  <c r="AI55" i="24"/>
  <c r="AH55" i="24"/>
  <c r="AG55" i="24"/>
  <c r="AF55" i="24"/>
  <c r="AE55" i="24"/>
  <c r="AD55" i="24"/>
  <c r="AC55" i="24"/>
  <c r="AB55" i="24"/>
  <c r="AA55" i="24"/>
  <c r="Z55" i="24"/>
  <c r="Y55" i="24"/>
  <c r="X55" i="24"/>
  <c r="W55" i="24"/>
  <c r="V55" i="24"/>
  <c r="T55" i="24"/>
  <c r="S55" i="24"/>
  <c r="R55" i="24"/>
  <c r="Q55" i="24"/>
  <c r="P55" i="24"/>
  <c r="O55" i="24"/>
  <c r="N55" i="24"/>
  <c r="M55" i="24"/>
  <c r="L55" i="24"/>
  <c r="AP54" i="24"/>
  <c r="AO54" i="24"/>
  <c r="AN54" i="24"/>
  <c r="AM54" i="24"/>
  <c r="AL54" i="24"/>
  <c r="AK54" i="24"/>
  <c r="AJ54" i="24"/>
  <c r="AI54" i="24"/>
  <c r="AH54" i="24"/>
  <c r="AG54" i="24"/>
  <c r="AF54" i="24"/>
  <c r="AE54" i="24"/>
  <c r="AD54" i="24"/>
  <c r="AC54" i="24"/>
  <c r="AB54" i="24"/>
  <c r="AA54" i="24"/>
  <c r="Z54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AT52" i="24"/>
  <c r="AS52" i="24"/>
  <c r="AT51" i="24" a="1"/>
  <c r="AT51" i="24" s="1"/>
  <c r="AS51" i="24" a="1"/>
  <c r="AS51" i="24" s="1"/>
  <c r="AT50" i="24"/>
  <c r="AS50" i="24"/>
  <c r="AT49" i="24"/>
  <c r="AS49" i="24"/>
  <c r="AT48" i="24"/>
  <c r="AT47" i="24"/>
  <c r="AS47" i="24"/>
  <c r="I40" i="24"/>
  <c r="H40" i="24"/>
  <c r="G40" i="24"/>
  <c r="E40" i="24"/>
  <c r="D40" i="24"/>
  <c r="C40" i="24"/>
  <c r="B40" i="24"/>
  <c r="A40" i="24"/>
  <c r="I39" i="24"/>
  <c r="H39" i="24"/>
  <c r="G39" i="24"/>
  <c r="E39" i="24"/>
  <c r="D39" i="24"/>
  <c r="C39" i="24"/>
  <c r="B39" i="24"/>
  <c r="A39" i="24"/>
  <c r="I38" i="24"/>
  <c r="H38" i="24"/>
  <c r="G38" i="24"/>
  <c r="E38" i="24"/>
  <c r="D38" i="24"/>
  <c r="C38" i="24"/>
  <c r="B38" i="24"/>
  <c r="A38" i="24"/>
  <c r="I37" i="24"/>
  <c r="H37" i="24"/>
  <c r="G37" i="24"/>
  <c r="E37" i="24"/>
  <c r="D37" i="24"/>
  <c r="C37" i="24"/>
  <c r="B37" i="24"/>
  <c r="A37" i="24"/>
  <c r="I36" i="24"/>
  <c r="H36" i="24"/>
  <c r="G36" i="24"/>
  <c r="E36" i="24"/>
  <c r="D36" i="24"/>
  <c r="C36" i="24"/>
  <c r="B36" i="24"/>
  <c r="A36" i="24"/>
  <c r="I35" i="24"/>
  <c r="H35" i="24"/>
  <c r="G35" i="24"/>
  <c r="E35" i="24"/>
  <c r="D35" i="24"/>
  <c r="C35" i="24"/>
  <c r="B35" i="24"/>
  <c r="A35" i="24"/>
  <c r="I34" i="24"/>
  <c r="H34" i="24"/>
  <c r="G34" i="24"/>
  <c r="E34" i="24"/>
  <c r="D34" i="24"/>
  <c r="C34" i="24"/>
  <c r="B34" i="24"/>
  <c r="A34" i="24"/>
  <c r="I33" i="24"/>
  <c r="H33" i="24"/>
  <c r="G33" i="24"/>
  <c r="E33" i="24"/>
  <c r="D33" i="24"/>
  <c r="C33" i="24"/>
  <c r="B33" i="24"/>
  <c r="A33" i="24"/>
  <c r="I32" i="24"/>
  <c r="H32" i="24"/>
  <c r="G32" i="24"/>
  <c r="E32" i="24"/>
  <c r="D32" i="24"/>
  <c r="C32" i="24"/>
  <c r="B32" i="24"/>
  <c r="A32" i="24"/>
  <c r="I31" i="24"/>
  <c r="H31" i="24"/>
  <c r="G31" i="24"/>
  <c r="E31" i="24"/>
  <c r="D31" i="24"/>
  <c r="C31" i="24"/>
  <c r="B31" i="24"/>
  <c r="A31" i="24"/>
  <c r="I30" i="24"/>
  <c r="H30" i="24"/>
  <c r="G30" i="24"/>
  <c r="E30" i="24"/>
  <c r="D30" i="24"/>
  <c r="C30" i="24"/>
  <c r="B30" i="24"/>
  <c r="A30" i="24"/>
  <c r="I29" i="24"/>
  <c r="H29" i="24"/>
  <c r="G29" i="24"/>
  <c r="E29" i="24"/>
  <c r="D29" i="24"/>
  <c r="C29" i="24"/>
  <c r="B29" i="24"/>
  <c r="A29" i="24"/>
  <c r="I27" i="24"/>
  <c r="H27" i="24"/>
  <c r="G27" i="24"/>
  <c r="E27" i="24"/>
  <c r="D27" i="24"/>
  <c r="C27" i="24"/>
  <c r="B27" i="24"/>
  <c r="A27" i="24"/>
  <c r="I26" i="24"/>
  <c r="H26" i="24"/>
  <c r="G26" i="24"/>
  <c r="E26" i="24"/>
  <c r="D26" i="24"/>
  <c r="C26" i="24"/>
  <c r="B26" i="24"/>
  <c r="A26" i="24"/>
  <c r="I25" i="24"/>
  <c r="H25" i="24"/>
  <c r="G25" i="24"/>
  <c r="E25" i="24"/>
  <c r="D25" i="24"/>
  <c r="C25" i="24"/>
  <c r="B25" i="24"/>
  <c r="A25" i="24"/>
  <c r="I24" i="24"/>
  <c r="H24" i="24"/>
  <c r="G24" i="24"/>
  <c r="E24" i="24"/>
  <c r="D24" i="24"/>
  <c r="C24" i="24"/>
  <c r="B24" i="24"/>
  <c r="A24" i="24"/>
  <c r="I23" i="24"/>
  <c r="H23" i="24"/>
  <c r="G23" i="24"/>
  <c r="E23" i="24"/>
  <c r="D23" i="24"/>
  <c r="C23" i="24"/>
  <c r="B23" i="24"/>
  <c r="A23" i="24"/>
  <c r="I22" i="24"/>
  <c r="H22" i="24"/>
  <c r="G22" i="24"/>
  <c r="E22" i="24"/>
  <c r="D22" i="24"/>
  <c r="C22" i="24"/>
  <c r="B22" i="24"/>
  <c r="A22" i="24"/>
  <c r="I21" i="24"/>
  <c r="H21" i="24"/>
  <c r="G21" i="24"/>
  <c r="E21" i="24"/>
  <c r="D21" i="24"/>
  <c r="C21" i="24"/>
  <c r="B21" i="24"/>
  <c r="A21" i="24"/>
  <c r="I20" i="24"/>
  <c r="H20" i="24"/>
  <c r="G20" i="24"/>
  <c r="E20" i="24"/>
  <c r="D20" i="24"/>
  <c r="C20" i="24"/>
  <c r="B20" i="24"/>
  <c r="A20" i="24"/>
  <c r="I19" i="24"/>
  <c r="H19" i="24"/>
  <c r="G19" i="24"/>
  <c r="E19" i="24"/>
  <c r="D19" i="24"/>
  <c r="C19" i="24"/>
  <c r="B19" i="24"/>
  <c r="A19" i="24"/>
  <c r="I18" i="24"/>
  <c r="H18" i="24"/>
  <c r="G18" i="24"/>
  <c r="E18" i="24"/>
  <c r="D18" i="24"/>
  <c r="C18" i="24"/>
  <c r="B18" i="24"/>
  <c r="A18" i="24"/>
  <c r="I17" i="24"/>
  <c r="H17" i="24"/>
  <c r="G17" i="24"/>
  <c r="E17" i="24"/>
  <c r="D17" i="24"/>
  <c r="C17" i="24"/>
  <c r="B17" i="24"/>
  <c r="A17" i="24"/>
  <c r="I15" i="24"/>
  <c r="H15" i="24"/>
  <c r="G15" i="24"/>
  <c r="E15" i="24"/>
  <c r="D15" i="24"/>
  <c r="C15" i="24"/>
  <c r="B15" i="24"/>
  <c r="A15" i="24"/>
  <c r="I10" i="24"/>
  <c r="H10" i="24"/>
  <c r="G10" i="24"/>
  <c r="E10" i="24"/>
  <c r="D10" i="24"/>
  <c r="C10" i="24"/>
  <c r="B10" i="24"/>
  <c r="A10" i="24"/>
  <c r="I9" i="24"/>
  <c r="H9" i="24"/>
  <c r="G9" i="24"/>
  <c r="E9" i="24"/>
  <c r="D9" i="24"/>
  <c r="C9" i="24"/>
  <c r="B9" i="24"/>
  <c r="A9" i="24"/>
  <c r="I8" i="24"/>
  <c r="H8" i="24"/>
  <c r="G8" i="24"/>
  <c r="E8" i="24"/>
  <c r="D8" i="24"/>
  <c r="C8" i="24"/>
  <c r="B8" i="24"/>
  <c r="A8" i="24"/>
  <c r="I7" i="24"/>
  <c r="H7" i="24"/>
  <c r="G7" i="24"/>
  <c r="E7" i="24"/>
  <c r="D7" i="24"/>
  <c r="C7" i="24"/>
  <c r="B7" i="24"/>
  <c r="A7" i="24"/>
  <c r="I6" i="24"/>
  <c r="H6" i="24"/>
  <c r="G6" i="24"/>
  <c r="E6" i="24"/>
  <c r="D6" i="24"/>
  <c r="C6" i="24"/>
  <c r="B6" i="24"/>
  <c r="A6" i="24"/>
  <c r="I5" i="24"/>
  <c r="H5" i="24"/>
  <c r="G5" i="24"/>
  <c r="E5" i="24"/>
  <c r="D5" i="24"/>
  <c r="C5" i="24"/>
  <c r="B5" i="24"/>
  <c r="A5" i="24"/>
  <c r="I4" i="24"/>
  <c r="H4" i="24"/>
  <c r="G4" i="24"/>
  <c r="E4" i="24"/>
  <c r="D4" i="24"/>
  <c r="C4" i="24"/>
  <c r="B4" i="24"/>
  <c r="A4" i="24"/>
  <c r="A44" i="22"/>
  <c r="B44" i="22"/>
  <c r="C44" i="22"/>
  <c r="D44" i="22"/>
  <c r="E44" i="22"/>
  <c r="F44" i="22"/>
  <c r="G44" i="22"/>
  <c r="H44" i="22"/>
  <c r="AR48" i="22"/>
  <c r="K45" i="22" a="1"/>
  <c r="K45" i="22" s="1"/>
  <c r="L45" i="22" a="1"/>
  <c r="L45" i="22" s="1"/>
  <c r="M45" i="22" a="1"/>
  <c r="M45" i="22" s="1"/>
  <c r="N45" i="22" a="1"/>
  <c r="N45" i="22" s="1"/>
  <c r="O45" i="22" a="1"/>
  <c r="O45" i="22" s="1"/>
  <c r="P45" i="22" a="1"/>
  <c r="P45" i="22" s="1"/>
  <c r="Q45" i="22" a="1"/>
  <c r="Q45" i="22" s="1"/>
  <c r="R45" i="22" a="1"/>
  <c r="R45" i="22" s="1"/>
  <c r="S45" i="22" a="1"/>
  <c r="S45" i="22" s="1"/>
  <c r="T45" i="22" a="1"/>
  <c r="T45" i="22" s="1"/>
  <c r="U45" i="22" a="1"/>
  <c r="U45" i="22" s="1"/>
  <c r="V45" i="22" a="1"/>
  <c r="V45" i="22" s="1"/>
  <c r="W45" i="22" a="1"/>
  <c r="W45" i="22" s="1"/>
  <c r="X45" i="22" a="1"/>
  <c r="X45" i="22" s="1"/>
  <c r="Y45" i="22" a="1"/>
  <c r="Y45" i="22" s="1"/>
  <c r="Z45" i="22" a="1"/>
  <c r="Z45" i="22" s="1"/>
  <c r="AA45" i="22" a="1"/>
  <c r="AA45" i="22" s="1"/>
  <c r="AB45" i="22" a="1"/>
  <c r="AB45" i="22" s="1"/>
  <c r="AC45" i="22" a="1"/>
  <c r="AC45" i="22" s="1"/>
  <c r="AD45" i="22" a="1"/>
  <c r="AD45" i="22" s="1"/>
  <c r="AE45" i="22" a="1"/>
  <c r="AE45" i="22" s="1"/>
  <c r="AF45" i="22" a="1"/>
  <c r="AF45" i="22" s="1"/>
  <c r="AG45" i="22" a="1"/>
  <c r="AG45" i="22" s="1"/>
  <c r="AH45" i="22" a="1"/>
  <c r="AH45" i="22" s="1"/>
  <c r="AI45" i="22" a="1"/>
  <c r="AI45" i="22" s="1"/>
  <c r="AJ45" i="22" a="1"/>
  <c r="AJ45" i="22" s="1"/>
  <c r="AK45" i="22" a="1"/>
  <c r="AK45" i="22" s="1"/>
  <c r="AL45" i="22" a="1"/>
  <c r="AL45" i="22" s="1"/>
  <c r="AM45" i="22" a="1"/>
  <c r="AM45" i="22" s="1"/>
  <c r="AN45" i="22" a="1"/>
  <c r="AN45" i="22" s="1"/>
  <c r="K46" i="22" a="1"/>
  <c r="K46" i="22" s="1"/>
  <c r="L46" i="22" a="1"/>
  <c r="L46" i="22" s="1"/>
  <c r="M46" i="22" a="1"/>
  <c r="M46" i="22" s="1"/>
  <c r="N46" i="22" a="1"/>
  <c r="N46" i="22" s="1"/>
  <c r="O46" i="22" a="1"/>
  <c r="O46" i="22" s="1"/>
  <c r="P46" i="22" a="1"/>
  <c r="P46" i="22" s="1"/>
  <c r="Q46" i="22" a="1"/>
  <c r="Q46" i="22" s="1"/>
  <c r="R46" i="22" a="1"/>
  <c r="R46" i="22" s="1"/>
  <c r="S46" i="22" a="1"/>
  <c r="S46" i="22" s="1"/>
  <c r="T46" i="22" a="1"/>
  <c r="T46" i="22" s="1"/>
  <c r="U46" i="22" a="1"/>
  <c r="U46" i="22" s="1"/>
  <c r="V46" i="22" a="1"/>
  <c r="V46" i="22" s="1"/>
  <c r="W46" i="22" a="1"/>
  <c r="W46" i="22" s="1"/>
  <c r="X46" i="22" a="1"/>
  <c r="X46" i="22" s="1"/>
  <c r="Y46" i="22" a="1"/>
  <c r="Y46" i="22" s="1"/>
  <c r="Z46" i="22" a="1"/>
  <c r="Z46" i="22" s="1"/>
  <c r="AA46" i="22" a="1"/>
  <c r="AA46" i="22" s="1"/>
  <c r="AB46" i="22" a="1"/>
  <c r="AB46" i="22" s="1"/>
  <c r="AC46" i="22" a="1"/>
  <c r="AC46" i="22" s="1"/>
  <c r="AD46" i="22" a="1"/>
  <c r="AD46" i="22" s="1"/>
  <c r="AE46" i="22" a="1"/>
  <c r="AE46" i="22" s="1"/>
  <c r="AF46" i="22" a="1"/>
  <c r="AF46" i="22" s="1"/>
  <c r="AG46" i="22" a="1"/>
  <c r="AG46" i="22" s="1"/>
  <c r="AH46" i="22" a="1"/>
  <c r="AH46" i="22" s="1"/>
  <c r="AI46" i="22" a="1"/>
  <c r="AI46" i="22" s="1"/>
  <c r="AJ46" i="22" a="1"/>
  <c r="AJ46" i="22" s="1"/>
  <c r="AK46" i="22" a="1"/>
  <c r="AK46" i="22" s="1"/>
  <c r="AL46" i="22" a="1"/>
  <c r="AL46" i="22" s="1"/>
  <c r="AM46" i="22" a="1"/>
  <c r="AM46" i="22" s="1"/>
  <c r="AN46" i="22" a="1"/>
  <c r="AN46" i="22" s="1"/>
  <c r="K47" i="22"/>
  <c r="L47" i="22"/>
  <c r="M47" i="22"/>
  <c r="N47" i="22"/>
  <c r="O47" i="22"/>
  <c r="P47" i="22"/>
  <c r="Q47" i="22"/>
  <c r="R47" i="22"/>
  <c r="S47" i="22"/>
  <c r="T47" i="22"/>
  <c r="U47" i="22"/>
  <c r="V47" i="22"/>
  <c r="W47" i="22"/>
  <c r="X47" i="22"/>
  <c r="Y47" i="22"/>
  <c r="Z47" i="22"/>
  <c r="AA47" i="22"/>
  <c r="AB47" i="22"/>
  <c r="AC47" i="22"/>
  <c r="AD47" i="22"/>
  <c r="AE47" i="22"/>
  <c r="AF47" i="22"/>
  <c r="AG47" i="22"/>
  <c r="AH47" i="22"/>
  <c r="AI47" i="22"/>
  <c r="AJ47" i="22"/>
  <c r="AK47" i="22"/>
  <c r="AL47" i="22"/>
  <c r="AM47" i="22"/>
  <c r="AN47" i="22"/>
  <c r="K48" i="22" a="1"/>
  <c r="K48" i="22" s="1"/>
  <c r="L48" i="22" a="1"/>
  <c r="L48" i="22" s="1"/>
  <c r="M48" i="22" a="1"/>
  <c r="M48" i="22" s="1"/>
  <c r="N48" i="22" a="1"/>
  <c r="N48" i="22" s="1"/>
  <c r="O48" i="22" a="1"/>
  <c r="O48" i="22" s="1"/>
  <c r="P48" i="22" a="1"/>
  <c r="P48" i="22" s="1"/>
  <c r="Q48" i="22" a="1"/>
  <c r="Q48" i="22" s="1"/>
  <c r="R48" i="22" a="1"/>
  <c r="R48" i="22" s="1"/>
  <c r="S48" i="22" a="1"/>
  <c r="S48" i="22" s="1"/>
  <c r="T48" i="22" a="1"/>
  <c r="T48" i="22" s="1"/>
  <c r="U48" i="22" a="1"/>
  <c r="U48" i="22" s="1"/>
  <c r="V48" i="22" a="1"/>
  <c r="V48" i="22" s="1"/>
  <c r="W48" i="22" a="1"/>
  <c r="W48" i="22" s="1"/>
  <c r="X48" i="22" a="1"/>
  <c r="X48" i="22" s="1"/>
  <c r="Y48" i="22" a="1"/>
  <c r="Y48" i="22" s="1"/>
  <c r="Z48" i="22" a="1"/>
  <c r="Z48" i="22" s="1"/>
  <c r="AA48" i="22" a="1"/>
  <c r="AA48" i="22" s="1"/>
  <c r="AB48" i="22" a="1"/>
  <c r="AB48" i="22" s="1"/>
  <c r="AC48" i="22" a="1"/>
  <c r="AC48" i="22" s="1"/>
  <c r="AD48" i="22" a="1"/>
  <c r="AD48" i="22" s="1"/>
  <c r="AE48" i="22" a="1"/>
  <c r="AE48" i="22" s="1"/>
  <c r="AF48" i="22" a="1"/>
  <c r="AF48" i="22" s="1"/>
  <c r="AG48" i="22" a="1"/>
  <c r="AG48" i="22" s="1"/>
  <c r="AH48" i="22" a="1"/>
  <c r="AH48" i="22" s="1"/>
  <c r="AI48" i="22" a="1"/>
  <c r="AI48" i="22" s="1"/>
  <c r="AJ48" i="22" a="1"/>
  <c r="AJ48" i="22" s="1"/>
  <c r="AK48" i="22" a="1"/>
  <c r="AK48" i="22" s="1"/>
  <c r="AL48" i="22" a="1"/>
  <c r="AL48" i="22" s="1"/>
  <c r="AM48" i="22" a="1"/>
  <c r="AM48" i="22" s="1"/>
  <c r="AN48" i="22" a="1"/>
  <c r="AN48" i="22" s="1"/>
  <c r="K49" i="22" a="1"/>
  <c r="K49" i="22" s="1"/>
  <c r="L49" i="22" a="1"/>
  <c r="L49" i="22" s="1"/>
  <c r="M49" i="22" a="1"/>
  <c r="M49" i="22" s="1"/>
  <c r="N49" i="22" a="1"/>
  <c r="N49" i="22" s="1"/>
  <c r="O49" i="22" a="1"/>
  <c r="O49" i="22" s="1"/>
  <c r="P49" i="22" a="1"/>
  <c r="P49" i="22" s="1"/>
  <c r="Q49" i="22" a="1"/>
  <c r="Q49" i="22" s="1"/>
  <c r="R49" i="22" a="1"/>
  <c r="R49" i="22" s="1"/>
  <c r="S49" i="22" a="1"/>
  <c r="S49" i="22" s="1"/>
  <c r="T49" i="22" a="1"/>
  <c r="T49" i="22" s="1"/>
  <c r="U49" i="22" a="1"/>
  <c r="U49" i="22" s="1"/>
  <c r="V49" i="22" a="1"/>
  <c r="V49" i="22" s="1"/>
  <c r="W49" i="22" a="1"/>
  <c r="W49" i="22" s="1"/>
  <c r="X49" i="22" a="1"/>
  <c r="X49" i="22" s="1"/>
  <c r="Y49" i="22" a="1"/>
  <c r="Y49" i="22" s="1"/>
  <c r="Z49" i="22" a="1"/>
  <c r="Z49" i="22" s="1"/>
  <c r="AA49" i="22" a="1"/>
  <c r="AA49" i="22" s="1"/>
  <c r="AB49" i="22" a="1"/>
  <c r="AB49" i="22" s="1"/>
  <c r="AC49" i="22" a="1"/>
  <c r="AC49" i="22" s="1"/>
  <c r="AD49" i="22" a="1"/>
  <c r="AD49" i="22" s="1"/>
  <c r="AE49" i="22" a="1"/>
  <c r="AE49" i="22" s="1"/>
  <c r="AF49" i="22" a="1"/>
  <c r="AF49" i="22" s="1"/>
  <c r="AG49" i="22" a="1"/>
  <c r="AG49" i="22" s="1"/>
  <c r="AH49" i="22" a="1"/>
  <c r="AH49" i="22" s="1"/>
  <c r="AI49" i="22" a="1"/>
  <c r="AI49" i="22" s="1"/>
  <c r="AJ49" i="22" a="1"/>
  <c r="AJ49" i="22" s="1"/>
  <c r="AK49" i="22" a="1"/>
  <c r="AK49" i="22" s="1"/>
  <c r="AL49" i="22" a="1"/>
  <c r="AL49" i="22" s="1"/>
  <c r="AM49" i="22" a="1"/>
  <c r="AM49" i="22" s="1"/>
  <c r="AN49" i="22" a="1"/>
  <c r="AN49" i="22" s="1"/>
  <c r="K50" i="22"/>
  <c r="L50" i="22"/>
  <c r="M50" i="22"/>
  <c r="N50" i="22"/>
  <c r="O50" i="22"/>
  <c r="P50" i="22"/>
  <c r="Q50" i="22"/>
  <c r="R50" i="22"/>
  <c r="S50" i="22"/>
  <c r="T50" i="22"/>
  <c r="U50" i="22"/>
  <c r="V50" i="22"/>
  <c r="W50" i="22"/>
  <c r="X50" i="22"/>
  <c r="Y50" i="22"/>
  <c r="Z50" i="22"/>
  <c r="AA50" i="22"/>
  <c r="AB50" i="22"/>
  <c r="AC50" i="22"/>
  <c r="AD50" i="22"/>
  <c r="AE50" i="22"/>
  <c r="AF50" i="22"/>
  <c r="AG50" i="22"/>
  <c r="AH50" i="22"/>
  <c r="AI50" i="22"/>
  <c r="AJ50" i="22"/>
  <c r="AK50" i="22"/>
  <c r="AL50" i="22"/>
  <c r="AM50" i="22"/>
  <c r="AN50" i="22"/>
  <c r="K51" i="22"/>
  <c r="L51" i="22"/>
  <c r="M51" i="22"/>
  <c r="N51" i="22"/>
  <c r="O51" i="22"/>
  <c r="P51" i="22"/>
  <c r="Q51" i="22"/>
  <c r="R51" i="22"/>
  <c r="S51" i="22"/>
  <c r="T51" i="22"/>
  <c r="U51" i="22"/>
  <c r="V51" i="22"/>
  <c r="W51" i="22"/>
  <c r="X51" i="22"/>
  <c r="Y51" i="22"/>
  <c r="Z51" i="22"/>
  <c r="AA51" i="22"/>
  <c r="AB51" i="22"/>
  <c r="AC51" i="22"/>
  <c r="AD51" i="22"/>
  <c r="AE51" i="22"/>
  <c r="AF51" i="22"/>
  <c r="AG51" i="22"/>
  <c r="AH51" i="22"/>
  <c r="AI51" i="22"/>
  <c r="AJ51" i="22"/>
  <c r="AK51" i="22"/>
  <c r="AL51" i="22"/>
  <c r="AM51" i="22"/>
  <c r="AN51" i="22"/>
  <c r="K52" i="22"/>
  <c r="L52" i="22"/>
  <c r="M52" i="22"/>
  <c r="N52" i="22"/>
  <c r="O52" i="22"/>
  <c r="P52" i="22"/>
  <c r="Q52" i="22"/>
  <c r="R52" i="22"/>
  <c r="S52" i="22"/>
  <c r="T52" i="22"/>
  <c r="U52" i="22"/>
  <c r="V52" i="22"/>
  <c r="W52" i="22"/>
  <c r="X52" i="22"/>
  <c r="Y52" i="22"/>
  <c r="Z52" i="22"/>
  <c r="AA52" i="22"/>
  <c r="AB52" i="22"/>
  <c r="AC52" i="22"/>
  <c r="AD52" i="22"/>
  <c r="AE52" i="22"/>
  <c r="AF52" i="22"/>
  <c r="AG52" i="22"/>
  <c r="AH52" i="22"/>
  <c r="AI52" i="22"/>
  <c r="AJ52" i="22"/>
  <c r="AK52" i="22"/>
  <c r="AL52" i="22"/>
  <c r="AM52" i="22"/>
  <c r="AN52" i="22"/>
  <c r="AU6" i="22" a="1"/>
  <c r="AU6" i="22" s="1"/>
  <c r="AW6" i="22" s="1"/>
  <c r="AU7" i="22" a="1"/>
  <c r="AU7" i="22" s="1"/>
  <c r="AW7" i="22" s="1"/>
  <c r="AU9" i="22" a="1"/>
  <c r="AU9" i="22" s="1"/>
  <c r="AW9" i="22" s="1"/>
  <c r="AU10" i="22" a="1"/>
  <c r="AU10" i="22" s="1"/>
  <c r="AW10" i="22" s="1"/>
  <c r="AU11" i="22" a="1"/>
  <c r="AU11" i="22" s="1"/>
  <c r="AW11" i="22" s="1"/>
  <c r="AU12" i="22" a="1"/>
  <c r="AU12" i="22" s="1"/>
  <c r="AW12" i="22" s="1"/>
  <c r="AU13" i="22" a="1"/>
  <c r="AU13" i="22" s="1"/>
  <c r="AW13" i="22" s="1"/>
  <c r="AU15" i="22" a="1"/>
  <c r="AU15" i="22" s="1"/>
  <c r="AW15" i="22" s="1"/>
  <c r="AU16" i="22" a="1"/>
  <c r="AU16" i="22" s="1"/>
  <c r="AW16" i="22" s="1"/>
  <c r="AU17" i="22" a="1"/>
  <c r="AU17" i="22" s="1"/>
  <c r="AW17" i="22" s="1"/>
  <c r="AU18" i="22" a="1"/>
  <c r="AU18" i="22" s="1"/>
  <c r="AW18" i="22" s="1"/>
  <c r="AU4" i="22" a="1"/>
  <c r="AU4" i="22" s="1"/>
  <c r="AW4" i="22" s="1"/>
  <c r="AN62" i="22" a="1"/>
  <c r="AN62" i="22" s="1"/>
  <c r="AM62" i="22" a="1"/>
  <c r="AM62" i="22" s="1"/>
  <c r="AL62" i="22" a="1"/>
  <c r="AL62" i="22" s="1"/>
  <c r="AK62" i="22" a="1"/>
  <c r="AK62" i="22" s="1"/>
  <c r="AJ62" i="22" a="1"/>
  <c r="AJ62" i="22" s="1"/>
  <c r="AI62" i="22" a="1"/>
  <c r="AI62" i="22" s="1"/>
  <c r="AH62" i="22" a="1"/>
  <c r="AH62" i="22" s="1"/>
  <c r="AG62" i="22" a="1"/>
  <c r="AG62" i="22" s="1"/>
  <c r="AF62" i="22" a="1"/>
  <c r="AF62" i="22" s="1"/>
  <c r="AE62" i="22" a="1"/>
  <c r="AE62" i="22" s="1"/>
  <c r="AD62" i="22" a="1"/>
  <c r="AD62" i="22" s="1"/>
  <c r="AC62" i="22" a="1"/>
  <c r="AC62" i="22" s="1"/>
  <c r="AB62" i="22" a="1"/>
  <c r="AB62" i="22" s="1"/>
  <c r="AA62" i="22" a="1"/>
  <c r="AA62" i="22" s="1"/>
  <c r="Z62" i="22" a="1"/>
  <c r="Z62" i="22" s="1"/>
  <c r="Y62" i="22" a="1"/>
  <c r="Y62" i="22" s="1"/>
  <c r="X62" i="22" a="1"/>
  <c r="X62" i="22" s="1"/>
  <c r="W62" i="22" a="1"/>
  <c r="W62" i="22" s="1"/>
  <c r="V62" i="22" a="1"/>
  <c r="V62" i="22" s="1"/>
  <c r="U62" i="22" a="1"/>
  <c r="U62" i="22" s="1"/>
  <c r="T62" i="22" a="1"/>
  <c r="T62" i="22" s="1"/>
  <c r="S62" i="22" a="1"/>
  <c r="S62" i="22" s="1"/>
  <c r="R62" i="22" a="1"/>
  <c r="R62" i="22" s="1"/>
  <c r="Q62" i="22" a="1"/>
  <c r="Q62" i="22" s="1"/>
  <c r="P62" i="22" a="1"/>
  <c r="P62" i="22" s="1"/>
  <c r="O62" i="22" a="1"/>
  <c r="O62" i="22" s="1"/>
  <c r="N62" i="22" a="1"/>
  <c r="N62" i="22" s="1"/>
  <c r="M62" i="22" a="1"/>
  <c r="M62" i="22" s="1"/>
  <c r="L62" i="22" a="1"/>
  <c r="L62" i="22" s="1"/>
  <c r="K62" i="22" a="1"/>
  <c r="K62" i="22" s="1"/>
  <c r="AN57" i="22"/>
  <c r="AM57" i="22"/>
  <c r="AL57" i="22"/>
  <c r="AK57" i="22"/>
  <c r="AJ57" i="22"/>
  <c r="AI57" i="22"/>
  <c r="AH57" i="22"/>
  <c r="AG57" i="22"/>
  <c r="AF57" i="22"/>
  <c r="AE57" i="22"/>
  <c r="AD57" i="22"/>
  <c r="AC57" i="22"/>
  <c r="AB57" i="22"/>
  <c r="AA57" i="22"/>
  <c r="Z57" i="22"/>
  <c r="Y57" i="22"/>
  <c r="X57" i="22"/>
  <c r="W57" i="22"/>
  <c r="V57" i="22"/>
  <c r="U57" i="22"/>
  <c r="T57" i="22"/>
  <c r="S57" i="22"/>
  <c r="R57" i="22"/>
  <c r="Q57" i="22"/>
  <c r="P57" i="22"/>
  <c r="O57" i="22"/>
  <c r="N57" i="22"/>
  <c r="M57" i="22"/>
  <c r="L57" i="22"/>
  <c r="K57" i="22"/>
  <c r="AN56" i="22"/>
  <c r="AM56" i="22"/>
  <c r="AL56" i="22"/>
  <c r="AK56" i="22"/>
  <c r="AJ56" i="22"/>
  <c r="AI56" i="22"/>
  <c r="AH56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AN55" i="22"/>
  <c r="AM55" i="22"/>
  <c r="AL55" i="22"/>
  <c r="AK55" i="22"/>
  <c r="AJ55" i="22"/>
  <c r="AI55" i="22"/>
  <c r="AH55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AN54" i="22"/>
  <c r="AM54" i="22"/>
  <c r="AL54" i="22"/>
  <c r="AK54" i="22"/>
  <c r="AJ54" i="22"/>
  <c r="AI54" i="22"/>
  <c r="AH54" i="22"/>
  <c r="AG54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AR52" i="22"/>
  <c r="AQ52" i="22"/>
  <c r="AR51" i="22" a="1"/>
  <c r="AR51" i="22" s="1"/>
  <c r="AQ51" i="22" a="1"/>
  <c r="AQ51" i="22" s="1"/>
  <c r="AR50" i="22"/>
  <c r="AQ50" i="22"/>
  <c r="AR49" i="22"/>
  <c r="AQ49" i="22"/>
  <c r="AQ48" i="22"/>
  <c r="AR47" i="22"/>
  <c r="AQ47" i="22"/>
  <c r="H43" i="22"/>
  <c r="G43" i="22"/>
  <c r="F43" i="22"/>
  <c r="E43" i="22"/>
  <c r="D43" i="22"/>
  <c r="C43" i="22"/>
  <c r="B43" i="22"/>
  <c r="A43" i="22"/>
  <c r="H42" i="22"/>
  <c r="G42" i="22"/>
  <c r="F42" i="22"/>
  <c r="E42" i="22"/>
  <c r="D42" i="22"/>
  <c r="C42" i="22"/>
  <c r="B42" i="22"/>
  <c r="A42" i="22"/>
  <c r="H41" i="22"/>
  <c r="G41" i="22"/>
  <c r="F41" i="22"/>
  <c r="E41" i="22"/>
  <c r="D41" i="22"/>
  <c r="C41" i="22"/>
  <c r="B41" i="22"/>
  <c r="A41" i="22"/>
  <c r="H40" i="22"/>
  <c r="G40" i="22"/>
  <c r="F40" i="22"/>
  <c r="E40" i="22"/>
  <c r="D40" i="22"/>
  <c r="C40" i="22"/>
  <c r="B40" i="22"/>
  <c r="A40" i="22"/>
  <c r="H39" i="22"/>
  <c r="G39" i="22"/>
  <c r="F39" i="22"/>
  <c r="E39" i="22"/>
  <c r="D39" i="22"/>
  <c r="C39" i="22"/>
  <c r="B39" i="22"/>
  <c r="A39" i="22"/>
  <c r="H38" i="22"/>
  <c r="G38" i="22"/>
  <c r="F38" i="22"/>
  <c r="E38" i="22"/>
  <c r="D38" i="22"/>
  <c r="C38" i="22"/>
  <c r="B38" i="22"/>
  <c r="A38" i="22"/>
  <c r="H37" i="22"/>
  <c r="G37" i="22"/>
  <c r="F37" i="22"/>
  <c r="E37" i="22"/>
  <c r="D37" i="22"/>
  <c r="C37" i="22"/>
  <c r="B37" i="22"/>
  <c r="A37" i="22"/>
  <c r="H36" i="22"/>
  <c r="G36" i="22"/>
  <c r="F36" i="22"/>
  <c r="E36" i="22"/>
  <c r="D36" i="22"/>
  <c r="C36" i="22"/>
  <c r="B36" i="22"/>
  <c r="A36" i="22"/>
  <c r="H35" i="22"/>
  <c r="G35" i="22"/>
  <c r="F35" i="22"/>
  <c r="E35" i="22"/>
  <c r="D35" i="22"/>
  <c r="C35" i="22"/>
  <c r="B35" i="22"/>
  <c r="A35" i="22"/>
  <c r="H34" i="22"/>
  <c r="G34" i="22"/>
  <c r="F34" i="22"/>
  <c r="E34" i="22"/>
  <c r="D34" i="22"/>
  <c r="C34" i="22"/>
  <c r="B34" i="22"/>
  <c r="A34" i="22"/>
  <c r="H33" i="22"/>
  <c r="G33" i="22"/>
  <c r="F33" i="22"/>
  <c r="E33" i="22"/>
  <c r="D33" i="22"/>
  <c r="C33" i="22"/>
  <c r="B33" i="22"/>
  <c r="A33" i="22"/>
  <c r="H32" i="22"/>
  <c r="G32" i="22"/>
  <c r="F32" i="22"/>
  <c r="E32" i="22"/>
  <c r="D32" i="22"/>
  <c r="C32" i="22"/>
  <c r="B32" i="22"/>
  <c r="A32" i="22"/>
  <c r="H31" i="22"/>
  <c r="G31" i="22"/>
  <c r="F31" i="22"/>
  <c r="E31" i="22"/>
  <c r="D31" i="22"/>
  <c r="C31" i="22"/>
  <c r="B31" i="22"/>
  <c r="A31" i="22"/>
  <c r="H30" i="22"/>
  <c r="G30" i="22"/>
  <c r="F30" i="22"/>
  <c r="E30" i="22"/>
  <c r="D30" i="22"/>
  <c r="C30" i="22"/>
  <c r="B30" i="22"/>
  <c r="A30" i="22"/>
  <c r="H29" i="22"/>
  <c r="G29" i="22"/>
  <c r="F29" i="22"/>
  <c r="E29" i="22"/>
  <c r="D29" i="22"/>
  <c r="C29" i="22"/>
  <c r="B29" i="22"/>
  <c r="A29" i="22"/>
  <c r="H28" i="22"/>
  <c r="G28" i="22"/>
  <c r="F28" i="22"/>
  <c r="E28" i="22"/>
  <c r="D28" i="22"/>
  <c r="C28" i="22"/>
  <c r="B28" i="22"/>
  <c r="A28" i="22"/>
  <c r="H27" i="22"/>
  <c r="G27" i="22"/>
  <c r="F27" i="22"/>
  <c r="E27" i="22"/>
  <c r="D27" i="22"/>
  <c r="C27" i="22"/>
  <c r="B27" i="22"/>
  <c r="A27" i="22"/>
  <c r="H26" i="22"/>
  <c r="G26" i="22"/>
  <c r="F26" i="22"/>
  <c r="E26" i="22"/>
  <c r="D26" i="22"/>
  <c r="C26" i="22"/>
  <c r="B26" i="22"/>
  <c r="A26" i="22"/>
  <c r="H25" i="22"/>
  <c r="G25" i="22"/>
  <c r="F25" i="22"/>
  <c r="E25" i="22"/>
  <c r="D25" i="22"/>
  <c r="C25" i="22"/>
  <c r="B25" i="22"/>
  <c r="A25" i="22"/>
  <c r="H24" i="22"/>
  <c r="G24" i="22"/>
  <c r="F24" i="22"/>
  <c r="E24" i="22"/>
  <c r="D24" i="22"/>
  <c r="C24" i="22"/>
  <c r="B24" i="22"/>
  <c r="A24" i="22"/>
  <c r="H23" i="22"/>
  <c r="G23" i="22"/>
  <c r="F23" i="22"/>
  <c r="E23" i="22"/>
  <c r="D23" i="22"/>
  <c r="C23" i="22"/>
  <c r="B23" i="22"/>
  <c r="A23" i="22"/>
  <c r="H22" i="22"/>
  <c r="G22" i="22"/>
  <c r="F22" i="22"/>
  <c r="E22" i="22"/>
  <c r="D22" i="22"/>
  <c r="C22" i="22"/>
  <c r="B22" i="22"/>
  <c r="A22" i="22"/>
  <c r="H21" i="22"/>
  <c r="G21" i="22"/>
  <c r="F21" i="22"/>
  <c r="E21" i="22"/>
  <c r="D21" i="22"/>
  <c r="C21" i="22"/>
  <c r="B21" i="22"/>
  <c r="A21" i="22"/>
  <c r="H20" i="22"/>
  <c r="G20" i="22"/>
  <c r="F20" i="22"/>
  <c r="E20" i="22"/>
  <c r="D20" i="22"/>
  <c r="C20" i="22"/>
  <c r="B20" i="22"/>
  <c r="A20" i="22"/>
  <c r="H19" i="22"/>
  <c r="G19" i="22"/>
  <c r="F19" i="22"/>
  <c r="E19" i="22"/>
  <c r="D19" i="22"/>
  <c r="C19" i="22"/>
  <c r="B19" i="22"/>
  <c r="A19" i="22"/>
  <c r="H18" i="22"/>
  <c r="G18" i="22"/>
  <c r="F18" i="22"/>
  <c r="E18" i="22"/>
  <c r="D18" i="22"/>
  <c r="C18" i="22"/>
  <c r="B18" i="22"/>
  <c r="A18" i="22"/>
  <c r="H17" i="22"/>
  <c r="G17" i="22"/>
  <c r="F17" i="22"/>
  <c r="E17" i="22"/>
  <c r="D17" i="22"/>
  <c r="C17" i="22"/>
  <c r="B17" i="22"/>
  <c r="A17" i="22"/>
  <c r="H16" i="22"/>
  <c r="G16" i="22"/>
  <c r="F16" i="22"/>
  <c r="E16" i="22"/>
  <c r="D16" i="22"/>
  <c r="C16" i="22"/>
  <c r="B16" i="22"/>
  <c r="A16" i="22"/>
  <c r="H15" i="22"/>
  <c r="G15" i="22"/>
  <c r="F15" i="22"/>
  <c r="E15" i="22"/>
  <c r="D15" i="22"/>
  <c r="C15" i="22"/>
  <c r="B15" i="22"/>
  <c r="A15" i="22"/>
  <c r="H14" i="22"/>
  <c r="G14" i="22"/>
  <c r="F14" i="22"/>
  <c r="E14" i="22"/>
  <c r="D14" i="22"/>
  <c r="C14" i="22"/>
  <c r="B14" i="22"/>
  <c r="A14" i="22"/>
  <c r="H13" i="22"/>
  <c r="G13" i="22"/>
  <c r="F13" i="22"/>
  <c r="E13" i="22"/>
  <c r="D13" i="22"/>
  <c r="C13" i="22"/>
  <c r="B13" i="22"/>
  <c r="A13" i="22"/>
  <c r="H12" i="22"/>
  <c r="G12" i="22"/>
  <c r="F12" i="22"/>
  <c r="E12" i="22"/>
  <c r="D12" i="22"/>
  <c r="C12" i="22"/>
  <c r="B12" i="22"/>
  <c r="A12" i="22"/>
  <c r="H11" i="22"/>
  <c r="G11" i="22"/>
  <c r="F11" i="22"/>
  <c r="E11" i="22"/>
  <c r="D11" i="22"/>
  <c r="C11" i="22"/>
  <c r="B11" i="22"/>
  <c r="A11" i="22"/>
  <c r="H10" i="22"/>
  <c r="G10" i="22"/>
  <c r="F10" i="22"/>
  <c r="E10" i="22"/>
  <c r="D10" i="22"/>
  <c r="C10" i="22"/>
  <c r="B10" i="22"/>
  <c r="A10" i="22"/>
  <c r="H9" i="22"/>
  <c r="G9" i="22"/>
  <c r="F9" i="22"/>
  <c r="E9" i="22"/>
  <c r="D9" i="22"/>
  <c r="C9" i="22"/>
  <c r="B9" i="22"/>
  <c r="A9" i="22"/>
  <c r="H8" i="22"/>
  <c r="G8" i="22"/>
  <c r="F8" i="22"/>
  <c r="E8" i="22"/>
  <c r="D8" i="22"/>
  <c r="C8" i="22"/>
  <c r="B8" i="22"/>
  <c r="A8" i="22"/>
  <c r="H7" i="22"/>
  <c r="G7" i="22"/>
  <c r="F7" i="22"/>
  <c r="E7" i="22"/>
  <c r="D7" i="22"/>
  <c r="C7" i="22"/>
  <c r="B7" i="22"/>
  <c r="A7" i="22"/>
  <c r="H6" i="22"/>
  <c r="G6" i="22"/>
  <c r="F6" i="22"/>
  <c r="E6" i="22"/>
  <c r="D6" i="22"/>
  <c r="C6" i="22"/>
  <c r="B6" i="22"/>
  <c r="A6" i="22"/>
  <c r="H5" i="22"/>
  <c r="G5" i="22"/>
  <c r="F5" i="22"/>
  <c r="E5" i="22"/>
  <c r="D5" i="22"/>
  <c r="C5" i="22"/>
  <c r="B5" i="22"/>
  <c r="A5" i="22"/>
  <c r="H4" i="22"/>
  <c r="G4" i="22"/>
  <c r="F4" i="22"/>
  <c r="E4" i="22"/>
  <c r="D4" i="22"/>
  <c r="C4" i="22"/>
  <c r="B4" i="22"/>
  <c r="A4" i="22"/>
  <c r="K46" i="21" a="1"/>
  <c r="K46" i="21" s="1"/>
  <c r="L46" i="21" a="1"/>
  <c r="L46" i="21" s="1"/>
  <c r="M46" i="21" a="1"/>
  <c r="M46" i="21" s="1"/>
  <c r="N46" i="21" a="1"/>
  <c r="N46" i="21" s="1"/>
  <c r="O46" i="21" a="1"/>
  <c r="O46" i="21" s="1"/>
  <c r="P46" i="21" a="1"/>
  <c r="P46" i="21" s="1"/>
  <c r="Q46" i="21" a="1"/>
  <c r="Q46" i="21" s="1"/>
  <c r="R46" i="21" a="1"/>
  <c r="R46" i="21" s="1"/>
  <c r="S46" i="21" a="1"/>
  <c r="S46" i="21" s="1"/>
  <c r="T46" i="21" a="1"/>
  <c r="T46" i="21" s="1"/>
  <c r="U46" i="21" a="1"/>
  <c r="U46" i="21" s="1"/>
  <c r="V46" i="21" a="1"/>
  <c r="V46" i="21" s="1"/>
  <c r="W46" i="21" a="1"/>
  <c r="W46" i="21" s="1"/>
  <c r="X46" i="21" a="1"/>
  <c r="X46" i="21" s="1"/>
  <c r="Y46" i="21" a="1"/>
  <c r="Y46" i="21" s="1"/>
  <c r="Z46" i="21" a="1"/>
  <c r="Z46" i="21" s="1"/>
  <c r="AA46" i="21" a="1"/>
  <c r="AA46" i="21" s="1"/>
  <c r="AB46" i="21" a="1"/>
  <c r="AB46" i="21" s="1"/>
  <c r="AC46" i="21" a="1"/>
  <c r="AC46" i="21" s="1"/>
  <c r="AD46" i="21" a="1"/>
  <c r="AD46" i="21" s="1"/>
  <c r="AE46" i="21" a="1"/>
  <c r="AE46" i="21" s="1"/>
  <c r="AF46" i="21" a="1"/>
  <c r="AF46" i="21" s="1"/>
  <c r="AG46" i="21" a="1"/>
  <c r="AG46" i="21" s="1"/>
  <c r="AH46" i="21" a="1"/>
  <c r="AH46" i="21" s="1"/>
  <c r="AI46" i="21" a="1"/>
  <c r="AI46" i="21" s="1"/>
  <c r="AJ46" i="21" a="1"/>
  <c r="AJ46" i="21" s="1"/>
  <c r="AK46" i="21" a="1"/>
  <c r="AK46" i="21" s="1"/>
  <c r="AL46" i="21" a="1"/>
  <c r="AL46" i="21" s="1"/>
  <c r="AM46" i="21" a="1"/>
  <c r="AM46" i="21" s="1"/>
  <c r="AN46" i="21" a="1"/>
  <c r="AN46" i="21" s="1"/>
  <c r="AO46" i="21" a="1"/>
  <c r="AO46" i="21" s="1"/>
  <c r="K47" i="21" a="1"/>
  <c r="K47" i="21" s="1"/>
  <c r="L47" i="21" a="1"/>
  <c r="L47" i="21" s="1"/>
  <c r="M47" i="21" a="1"/>
  <c r="M47" i="21" s="1"/>
  <c r="N47" i="21" a="1"/>
  <c r="N47" i="21" s="1"/>
  <c r="O47" i="21" a="1"/>
  <c r="O47" i="21" s="1"/>
  <c r="P47" i="21" a="1"/>
  <c r="P47" i="21" s="1"/>
  <c r="Q47" i="21" a="1"/>
  <c r="Q47" i="21" s="1"/>
  <c r="R47" i="21" a="1"/>
  <c r="R47" i="21" s="1"/>
  <c r="S47" i="21" a="1"/>
  <c r="S47" i="21" s="1"/>
  <c r="T47" i="21" a="1"/>
  <c r="T47" i="21" s="1"/>
  <c r="U47" i="21" a="1"/>
  <c r="U47" i="21" s="1"/>
  <c r="V47" i="21" a="1"/>
  <c r="V47" i="21" s="1"/>
  <c r="W47" i="21" a="1"/>
  <c r="W47" i="21" s="1"/>
  <c r="X47" i="21" a="1"/>
  <c r="X47" i="21" s="1"/>
  <c r="Y47" i="21" a="1"/>
  <c r="Y47" i="21" s="1"/>
  <c r="Z47" i="21" a="1"/>
  <c r="Z47" i="21" s="1"/>
  <c r="AA47" i="21" a="1"/>
  <c r="AA47" i="21" s="1"/>
  <c r="AB47" i="21" a="1"/>
  <c r="AB47" i="21" s="1"/>
  <c r="AC47" i="21" a="1"/>
  <c r="AC47" i="21" s="1"/>
  <c r="AD47" i="21" a="1"/>
  <c r="AD47" i="21" s="1"/>
  <c r="AE47" i="21" a="1"/>
  <c r="AE47" i="21" s="1"/>
  <c r="AF47" i="21" a="1"/>
  <c r="AF47" i="21" s="1"/>
  <c r="AG47" i="21" a="1"/>
  <c r="AG47" i="21" s="1"/>
  <c r="AH47" i="21" a="1"/>
  <c r="AH47" i="21" s="1"/>
  <c r="AI47" i="21" a="1"/>
  <c r="AI47" i="21" s="1"/>
  <c r="AJ47" i="21" a="1"/>
  <c r="AJ47" i="21" s="1"/>
  <c r="AK47" i="21" a="1"/>
  <c r="AK47" i="21" s="1"/>
  <c r="AL47" i="21" a="1"/>
  <c r="AL47" i="21" s="1"/>
  <c r="AM47" i="21" a="1"/>
  <c r="AM47" i="21" s="1"/>
  <c r="AN47" i="21" a="1"/>
  <c r="AN47" i="21" s="1"/>
  <c r="AO47" i="21" a="1"/>
  <c r="AO47" i="21" s="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K48" i="21"/>
  <c r="AL48" i="21"/>
  <c r="AM48" i="21"/>
  <c r="AN48" i="21"/>
  <c r="AO48" i="21"/>
  <c r="K49" i="21" a="1"/>
  <c r="K49" i="21" s="1"/>
  <c r="L49" i="21" a="1"/>
  <c r="L49" i="21" s="1"/>
  <c r="M49" i="21" a="1"/>
  <c r="M49" i="21" s="1"/>
  <c r="N49" i="21" a="1"/>
  <c r="N49" i="21" s="1"/>
  <c r="O49" i="21" a="1"/>
  <c r="O49" i="21" s="1"/>
  <c r="P49" i="21" a="1"/>
  <c r="P49" i="21" s="1"/>
  <c r="Q49" i="21" a="1"/>
  <c r="Q49" i="21" s="1"/>
  <c r="R49" i="21" a="1"/>
  <c r="R49" i="21" s="1"/>
  <c r="S49" i="21" a="1"/>
  <c r="S49" i="21" s="1"/>
  <c r="T49" i="21" a="1"/>
  <c r="T49" i="21" s="1"/>
  <c r="U49" i="21" a="1"/>
  <c r="U49" i="21" s="1"/>
  <c r="V49" i="21" a="1"/>
  <c r="V49" i="21" s="1"/>
  <c r="W49" i="21" a="1"/>
  <c r="W49" i="21" s="1"/>
  <c r="X49" i="21" a="1"/>
  <c r="X49" i="21" s="1"/>
  <c r="Y49" i="21" a="1"/>
  <c r="Y49" i="21" s="1"/>
  <c r="Z49" i="21" a="1"/>
  <c r="Z49" i="21" s="1"/>
  <c r="AA49" i="21" a="1"/>
  <c r="AA49" i="21" s="1"/>
  <c r="AB49" i="21" a="1"/>
  <c r="AB49" i="21" s="1"/>
  <c r="AC49" i="21" a="1"/>
  <c r="AC49" i="21" s="1"/>
  <c r="AD49" i="21" a="1"/>
  <c r="AD49" i="21" s="1"/>
  <c r="AE49" i="21" a="1"/>
  <c r="AE49" i="21" s="1"/>
  <c r="AF49" i="21" a="1"/>
  <c r="AF49" i="21" s="1"/>
  <c r="AG49" i="21" a="1"/>
  <c r="AG49" i="21" s="1"/>
  <c r="AH49" i="21" a="1"/>
  <c r="AH49" i="21" s="1"/>
  <c r="AI49" i="21" a="1"/>
  <c r="AI49" i="21" s="1"/>
  <c r="AJ49" i="21" a="1"/>
  <c r="AJ49" i="21" s="1"/>
  <c r="AK49" i="21" a="1"/>
  <c r="AK49" i="21" s="1"/>
  <c r="AL49" i="21" a="1"/>
  <c r="AL49" i="21" s="1"/>
  <c r="AM49" i="21" a="1"/>
  <c r="AM49" i="21" s="1"/>
  <c r="AN49" i="21" a="1"/>
  <c r="AN49" i="21" s="1"/>
  <c r="AO49" i="21" a="1"/>
  <c r="AO49" i="21" s="1"/>
  <c r="K50" i="21" a="1"/>
  <c r="K50" i="21" s="1"/>
  <c r="L50" i="21" a="1"/>
  <c r="L50" i="21" s="1"/>
  <c r="M50" i="21" a="1"/>
  <c r="M50" i="21" s="1"/>
  <c r="N50" i="21" a="1"/>
  <c r="N50" i="21" s="1"/>
  <c r="O50" i="21" a="1"/>
  <c r="O50" i="21" s="1"/>
  <c r="P50" i="21" a="1"/>
  <c r="P50" i="21" s="1"/>
  <c r="Q50" i="21" a="1"/>
  <c r="Q50" i="21" s="1"/>
  <c r="R50" i="21" a="1"/>
  <c r="R50" i="21" s="1"/>
  <c r="S50" i="21" a="1"/>
  <c r="S50" i="21" s="1"/>
  <c r="T50" i="21" a="1"/>
  <c r="T50" i="21" s="1"/>
  <c r="U50" i="21" a="1"/>
  <c r="U50" i="21" s="1"/>
  <c r="V50" i="21" a="1"/>
  <c r="V50" i="21" s="1"/>
  <c r="W50" i="21" a="1"/>
  <c r="W50" i="21" s="1"/>
  <c r="X50" i="21" a="1"/>
  <c r="X50" i="21" s="1"/>
  <c r="Y50" i="21" a="1"/>
  <c r="Y50" i="21" s="1"/>
  <c r="Z50" i="21" a="1"/>
  <c r="Z50" i="21" s="1"/>
  <c r="AA50" i="21" a="1"/>
  <c r="AA50" i="21" s="1"/>
  <c r="AB50" i="21" a="1"/>
  <c r="AB50" i="21" s="1"/>
  <c r="AC50" i="21" a="1"/>
  <c r="AC50" i="21" s="1"/>
  <c r="AD50" i="21" a="1"/>
  <c r="AD50" i="21" s="1"/>
  <c r="AE50" i="21" a="1"/>
  <c r="AE50" i="21" s="1"/>
  <c r="AF50" i="21" a="1"/>
  <c r="AF50" i="21" s="1"/>
  <c r="AG50" i="21" a="1"/>
  <c r="AG50" i="21" s="1"/>
  <c r="AH50" i="21" a="1"/>
  <c r="AH50" i="21" s="1"/>
  <c r="AI50" i="21" a="1"/>
  <c r="AI50" i="21" s="1"/>
  <c r="AJ50" i="21" a="1"/>
  <c r="AJ50" i="21" s="1"/>
  <c r="AK50" i="21" a="1"/>
  <c r="AK50" i="21" s="1"/>
  <c r="AL50" i="21" a="1"/>
  <c r="AL50" i="21" s="1"/>
  <c r="AM50" i="21" a="1"/>
  <c r="AM50" i="21" s="1"/>
  <c r="AN50" i="21" a="1"/>
  <c r="AN50" i="21" s="1"/>
  <c r="AO50" i="21" a="1"/>
  <c r="AO50" i="21" s="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K51" i="21"/>
  <c r="AL51" i="21"/>
  <c r="AM51" i="21"/>
  <c r="AN51" i="21"/>
  <c r="AO51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K52" i="21"/>
  <c r="AL52" i="21"/>
  <c r="AM52" i="21"/>
  <c r="AN52" i="21"/>
  <c r="AO52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K53" i="21"/>
  <c r="AL53" i="21"/>
  <c r="AM53" i="21"/>
  <c r="AN53" i="21"/>
  <c r="AO53" i="21"/>
  <c r="J13" i="24" l="1"/>
  <c r="J14" i="24"/>
  <c r="J12" i="24"/>
  <c r="J11" i="24"/>
  <c r="J44" i="24"/>
  <c r="X59" i="24"/>
  <c r="Q59" i="24"/>
  <c r="R59" i="24"/>
  <c r="M59" i="24"/>
  <c r="S59" i="24"/>
  <c r="AP59" i="24"/>
  <c r="AB59" i="24"/>
  <c r="Z59" i="24"/>
  <c r="AE59" i="24"/>
  <c r="AG59" i="24"/>
  <c r="AF59" i="24"/>
  <c r="AH59" i="24"/>
  <c r="U59" i="24"/>
  <c r="Y59" i="24"/>
  <c r="AI59" i="24"/>
  <c r="T59" i="24"/>
  <c r="AL59" i="24"/>
  <c r="AA59" i="24"/>
  <c r="AM59" i="24"/>
  <c r="AN59" i="24"/>
  <c r="AO59" i="24"/>
  <c r="L59" i="24"/>
  <c r="N59" i="24"/>
  <c r="J42" i="24"/>
  <c r="J43" i="24"/>
  <c r="J41" i="24"/>
  <c r="T53" i="24"/>
  <c r="T58" i="24" s="1"/>
  <c r="O53" i="24"/>
  <c r="O58" i="24" s="1"/>
  <c r="Z53" i="24"/>
  <c r="Z58" i="24" s="1"/>
  <c r="AJ53" i="24"/>
  <c r="AJ58" i="24" s="1"/>
  <c r="AB53" i="24"/>
  <c r="AB58" i="24" s="1"/>
  <c r="AK53" i="24"/>
  <c r="AK58" i="24" s="1"/>
  <c r="V53" i="24"/>
  <c r="V58" i="24" s="1"/>
  <c r="AO53" i="24"/>
  <c r="AO58" i="24" s="1"/>
  <c r="AD53" i="24"/>
  <c r="AD58" i="24" s="1"/>
  <c r="AC53" i="24"/>
  <c r="AC58" i="24" s="1"/>
  <c r="AA53" i="24"/>
  <c r="AA58" i="24" s="1"/>
  <c r="U53" i="24"/>
  <c r="U58" i="24" s="1"/>
  <c r="P53" i="24"/>
  <c r="P58" i="24" s="1"/>
  <c r="Q53" i="24"/>
  <c r="Q58" i="24" s="1"/>
  <c r="N53" i="24"/>
  <c r="N58" i="24" s="1"/>
  <c r="L53" i="24"/>
  <c r="L58" i="24" s="1"/>
  <c r="AN53" i="24"/>
  <c r="AN58" i="24" s="1"/>
  <c r="AM53" i="24"/>
  <c r="AM58" i="24" s="1"/>
  <c r="Y53" i="24"/>
  <c r="Y58" i="24" s="1"/>
  <c r="M53" i="24"/>
  <c r="M58" i="24" s="1"/>
  <c r="AL53" i="24"/>
  <c r="AL58" i="24" s="1"/>
  <c r="AP53" i="24"/>
  <c r="AP58" i="24" s="1"/>
  <c r="R53" i="24"/>
  <c r="R58" i="24" s="1"/>
  <c r="AG53" i="24"/>
  <c r="AG58" i="24" s="1"/>
  <c r="AE53" i="24"/>
  <c r="AE58" i="24" s="1"/>
  <c r="AF53" i="24"/>
  <c r="AF58" i="24" s="1"/>
  <c r="S53" i="24"/>
  <c r="S58" i="24" s="1"/>
  <c r="AI53" i="24"/>
  <c r="AI58" i="24" s="1"/>
  <c r="X53" i="24"/>
  <c r="X58" i="24" s="1"/>
  <c r="W53" i="24"/>
  <c r="W58" i="24" s="1"/>
  <c r="AH53" i="24"/>
  <c r="AH58" i="24" s="1"/>
  <c r="AR20" i="24"/>
  <c r="AT20" i="24" s="1"/>
  <c r="J28" i="24"/>
  <c r="AR29" i="24"/>
  <c r="AT29" i="24" s="1"/>
  <c r="AR31" i="24"/>
  <c r="AT31" i="24" s="1"/>
  <c r="AR33" i="24"/>
  <c r="AT33" i="24" s="1"/>
  <c r="J36" i="24"/>
  <c r="AR12" i="24"/>
  <c r="AT12" i="24" s="1"/>
  <c r="AR25" i="24"/>
  <c r="AT25" i="24" s="1"/>
  <c r="J16" i="24"/>
  <c r="AR16" i="24"/>
  <c r="AT16" i="24" s="1"/>
  <c r="AR17" i="24"/>
  <c r="AT17" i="24" s="1"/>
  <c r="AR4" i="24"/>
  <c r="AT4" i="24" s="1"/>
  <c r="P59" i="24"/>
  <c r="AR6" i="24"/>
  <c r="AT6" i="24" s="1"/>
  <c r="AR27" i="24"/>
  <c r="AT27" i="24" s="1"/>
  <c r="J21" i="24"/>
  <c r="J27" i="24"/>
  <c r="J31" i="24"/>
  <c r="J33" i="24"/>
  <c r="W59" i="24"/>
  <c r="AR9" i="24"/>
  <c r="AT9" i="24" s="1"/>
  <c r="AR13" i="24"/>
  <c r="AT13" i="24" s="1"/>
  <c r="AR11" i="24"/>
  <c r="AT11" i="24" s="1"/>
  <c r="AR15" i="24"/>
  <c r="AT15" i="24" s="1"/>
  <c r="AR41" i="24"/>
  <c r="AT41" i="24" s="1"/>
  <c r="AR43" i="24"/>
  <c r="AT43" i="24" s="1"/>
  <c r="AC59" i="24"/>
  <c r="J20" i="24"/>
  <c r="AK59" i="24"/>
  <c r="AR26" i="24"/>
  <c r="AT26" i="24" s="1"/>
  <c r="AR30" i="24"/>
  <c r="AT30" i="24" s="1"/>
  <c r="AR36" i="24"/>
  <c r="AT36" i="24" s="1"/>
  <c r="AR38" i="24"/>
  <c r="AT38" i="24" s="1"/>
  <c r="AR40" i="24"/>
  <c r="AT40" i="24" s="1"/>
  <c r="AR44" i="24"/>
  <c r="AT44" i="24" s="1"/>
  <c r="J5" i="24"/>
  <c r="J15" i="24"/>
  <c r="J17" i="24"/>
  <c r="AR22" i="24"/>
  <c r="AT22" i="24" s="1"/>
  <c r="AR24" i="24"/>
  <c r="AT24" i="24" s="1"/>
  <c r="AR28" i="24"/>
  <c r="AT28" i="24" s="1"/>
  <c r="AR32" i="24"/>
  <c r="AT32" i="24" s="1"/>
  <c r="J9" i="24"/>
  <c r="AR34" i="24"/>
  <c r="AT34" i="24" s="1"/>
  <c r="J38" i="24"/>
  <c r="AJ59" i="24"/>
  <c r="J19" i="24"/>
  <c r="J25" i="24"/>
  <c r="AR42" i="24"/>
  <c r="AT42" i="24" s="1"/>
  <c r="AT56" i="24"/>
  <c r="V59" i="24"/>
  <c r="AR19" i="24"/>
  <c r="AT19" i="24" s="1"/>
  <c r="AR5" i="24"/>
  <c r="AT5" i="24" s="1"/>
  <c r="J7" i="24"/>
  <c r="J35" i="24"/>
  <c r="J37" i="24"/>
  <c r="J8" i="24"/>
  <c r="J18" i="24"/>
  <c r="AR35" i="24"/>
  <c r="AT35" i="24" s="1"/>
  <c r="J6" i="24"/>
  <c r="AR21" i="24"/>
  <c r="AT21" i="24" s="1"/>
  <c r="AR23" i="24"/>
  <c r="AT23" i="24" s="1"/>
  <c r="J24" i="24"/>
  <c r="J30" i="24"/>
  <c r="J34" i="24"/>
  <c r="J22" i="24"/>
  <c r="AD59" i="24"/>
  <c r="O59" i="24"/>
  <c r="J4" i="24"/>
  <c r="AR8" i="24"/>
  <c r="AT8" i="24" s="1"/>
  <c r="J10" i="24"/>
  <c r="AR14" i="24"/>
  <c r="AT14" i="24" s="1"/>
  <c r="AR18" i="24"/>
  <c r="AT18" i="24" s="1"/>
  <c r="AR37" i="24"/>
  <c r="AT37" i="24" s="1"/>
  <c r="J39" i="24"/>
  <c r="J32" i="24"/>
  <c r="J40" i="24"/>
  <c r="AS56" i="24"/>
  <c r="J23" i="24"/>
  <c r="J26" i="24"/>
  <c r="AR10" i="24"/>
  <c r="AT10" i="24" s="1"/>
  <c r="AR7" i="24"/>
  <c r="AT7" i="24" s="1"/>
  <c r="AR39" i="24"/>
  <c r="AT39" i="24" s="1"/>
  <c r="J29" i="24"/>
  <c r="I44" i="22"/>
  <c r="P53" i="22"/>
  <c r="P58" i="22" s="1"/>
  <c r="M53" i="22"/>
  <c r="M58" i="22" s="1"/>
  <c r="AN53" i="22"/>
  <c r="AN58" i="22" s="1"/>
  <c r="AM53" i="22"/>
  <c r="AM58" i="22" s="1"/>
  <c r="AH53" i="22"/>
  <c r="AH58" i="22" s="1"/>
  <c r="AG53" i="22"/>
  <c r="AG58" i="22" s="1"/>
  <c r="AE53" i="22"/>
  <c r="AE58" i="22" s="1"/>
  <c r="AC53" i="22"/>
  <c r="AC58" i="22" s="1"/>
  <c r="T53" i="22"/>
  <c r="T58" i="22" s="1"/>
  <c r="R53" i="22"/>
  <c r="R58" i="22" s="1"/>
  <c r="Q53" i="22"/>
  <c r="Q58" i="22" s="1"/>
  <c r="O53" i="22"/>
  <c r="O58" i="22" s="1"/>
  <c r="N53" i="22"/>
  <c r="N58" i="22" s="1"/>
  <c r="L53" i="22"/>
  <c r="L58" i="22" s="1"/>
  <c r="AF53" i="22"/>
  <c r="AF58" i="22" s="1"/>
  <c r="AJ53" i="22"/>
  <c r="AJ58" i="22" s="1"/>
  <c r="AL53" i="22"/>
  <c r="AL58" i="22" s="1"/>
  <c r="AK53" i="22"/>
  <c r="AK58" i="22" s="1"/>
  <c r="AD53" i="22"/>
  <c r="AD58" i="22" s="1"/>
  <c r="AB53" i="22"/>
  <c r="AB58" i="22" s="1"/>
  <c r="U53" i="22"/>
  <c r="U58" i="22" s="1"/>
  <c r="Z53" i="22"/>
  <c r="Z58" i="22" s="1"/>
  <c r="Y53" i="22"/>
  <c r="Y58" i="22" s="1"/>
  <c r="X53" i="22"/>
  <c r="X58" i="22" s="1"/>
  <c r="W53" i="22"/>
  <c r="W58" i="22" s="1"/>
  <c r="V53" i="22"/>
  <c r="V58" i="22" s="1"/>
  <c r="K53" i="22"/>
  <c r="K58" i="22" s="1"/>
  <c r="AI53" i="22"/>
  <c r="AI58" i="22" s="1"/>
  <c r="S53" i="22"/>
  <c r="S58" i="22" s="1"/>
  <c r="AA53" i="22"/>
  <c r="AA58" i="22" s="1"/>
  <c r="Y59" i="22"/>
  <c r="W59" i="22"/>
  <c r="N59" i="22"/>
  <c r="Z59" i="22"/>
  <c r="K59" i="22"/>
  <c r="AA59" i="22"/>
  <c r="L59" i="22"/>
  <c r="AB59" i="22"/>
  <c r="M59" i="22"/>
  <c r="AC59" i="22"/>
  <c r="AP6" i="22"/>
  <c r="AR6" i="22" s="1"/>
  <c r="AP10" i="22"/>
  <c r="AR10" i="22" s="1"/>
  <c r="AP14" i="22"/>
  <c r="AR14" i="22" s="1"/>
  <c r="AP42" i="22"/>
  <c r="AR42" i="22" s="1"/>
  <c r="AP4" i="22"/>
  <c r="AR4" i="22" s="1"/>
  <c r="AP8" i="22"/>
  <c r="AR8" i="22" s="1"/>
  <c r="AP12" i="22"/>
  <c r="AR12" i="22" s="1"/>
  <c r="U59" i="22"/>
  <c r="I15" i="22"/>
  <c r="I31" i="22"/>
  <c r="X59" i="22"/>
  <c r="AN59" i="22"/>
  <c r="AP7" i="22"/>
  <c r="AR7" i="22" s="1"/>
  <c r="AP9" i="22"/>
  <c r="AR9" i="22" s="1"/>
  <c r="AP11" i="22"/>
  <c r="AR11" i="22" s="1"/>
  <c r="AP13" i="22"/>
  <c r="AR13" i="22" s="1"/>
  <c r="AP15" i="22"/>
  <c r="AR15" i="22" s="1"/>
  <c r="AP17" i="22"/>
  <c r="AR17" i="22" s="1"/>
  <c r="AP19" i="22"/>
  <c r="AR19" i="22" s="1"/>
  <c r="AP23" i="22"/>
  <c r="AR23" i="22" s="1"/>
  <c r="AP25" i="22"/>
  <c r="AR25" i="22" s="1"/>
  <c r="AP27" i="22"/>
  <c r="AR27" i="22" s="1"/>
  <c r="AP31" i="22"/>
  <c r="AR31" i="22" s="1"/>
  <c r="AP33" i="22"/>
  <c r="AR33" i="22" s="1"/>
  <c r="AP35" i="22"/>
  <c r="AR35" i="22" s="1"/>
  <c r="AP39" i="22"/>
  <c r="AR39" i="22" s="1"/>
  <c r="V59" i="22"/>
  <c r="I27" i="22"/>
  <c r="I43" i="22"/>
  <c r="AM59" i="22"/>
  <c r="AP24" i="22"/>
  <c r="AR24" i="22" s="1"/>
  <c r="I23" i="22"/>
  <c r="AP28" i="22"/>
  <c r="AR28" i="22" s="1"/>
  <c r="I11" i="22"/>
  <c r="I22" i="22"/>
  <c r="I28" i="22"/>
  <c r="AP44" i="22"/>
  <c r="AR44" i="22" s="1"/>
  <c r="AP18" i="22"/>
  <c r="AR18" i="22" s="1"/>
  <c r="I20" i="22"/>
  <c r="AP37" i="22"/>
  <c r="AR37" i="22" s="1"/>
  <c r="AP41" i="22"/>
  <c r="AR41" i="22" s="1"/>
  <c r="AP43" i="22"/>
  <c r="AR43" i="22" s="1"/>
  <c r="AK59" i="22"/>
  <c r="I14" i="22"/>
  <c r="AL59" i="22"/>
  <c r="I26" i="22"/>
  <c r="I32" i="22"/>
  <c r="I38" i="22"/>
  <c r="I7" i="22"/>
  <c r="I9" i="22"/>
  <c r="I30" i="22"/>
  <c r="I36" i="22"/>
  <c r="AP16" i="22"/>
  <c r="AR16" i="22" s="1"/>
  <c r="AP20" i="22"/>
  <c r="AR20" i="22" s="1"/>
  <c r="AP22" i="22"/>
  <c r="AR22" i="22" s="1"/>
  <c r="AP26" i="22"/>
  <c r="AR26" i="22" s="1"/>
  <c r="AP30" i="22"/>
  <c r="AR30" i="22" s="1"/>
  <c r="AQ56" i="22"/>
  <c r="I19" i="22"/>
  <c r="I25" i="22"/>
  <c r="AP32" i="22"/>
  <c r="AR32" i="22" s="1"/>
  <c r="AP36" i="22"/>
  <c r="AR36" i="22" s="1"/>
  <c r="AP38" i="22"/>
  <c r="AR38" i="22" s="1"/>
  <c r="I40" i="22"/>
  <c r="AR56" i="22"/>
  <c r="AP5" i="22"/>
  <c r="AR5" i="22" s="1"/>
  <c r="I17" i="22"/>
  <c r="AP34" i="22"/>
  <c r="AR34" i="22" s="1"/>
  <c r="AD59" i="22"/>
  <c r="I35" i="22"/>
  <c r="AP40" i="22"/>
  <c r="AR40" i="22" s="1"/>
  <c r="I6" i="22"/>
  <c r="I41" i="22"/>
  <c r="I4" i="22"/>
  <c r="I10" i="22"/>
  <c r="I33" i="22"/>
  <c r="I12" i="22"/>
  <c r="AP21" i="22"/>
  <c r="AR21" i="22" s="1"/>
  <c r="AP29" i="22"/>
  <c r="AR29" i="22" s="1"/>
  <c r="I39" i="22"/>
  <c r="I24" i="22"/>
  <c r="I37" i="22"/>
  <c r="I8" i="22"/>
  <c r="I42" i="22"/>
  <c r="I21" i="22"/>
  <c r="I34" i="22"/>
  <c r="I5" i="22"/>
  <c r="I18" i="22"/>
  <c r="O59" i="22"/>
  <c r="AE59" i="22"/>
  <c r="P59" i="22"/>
  <c r="AF59" i="22"/>
  <c r="Q59" i="22"/>
  <c r="AG59" i="22"/>
  <c r="R59" i="22"/>
  <c r="AH59" i="22"/>
  <c r="I16" i="22"/>
  <c r="I29" i="22"/>
  <c r="S59" i="22"/>
  <c r="AI59" i="22"/>
  <c r="T59" i="22"/>
  <c r="AJ59" i="22"/>
  <c r="I13" i="22"/>
  <c r="AH54" i="21"/>
  <c r="AF54" i="21"/>
  <c r="R54" i="21"/>
  <c r="AN54" i="21"/>
  <c r="AM54" i="21"/>
  <c r="W54" i="21"/>
  <c r="AE54" i="21"/>
  <c r="AL54" i="21"/>
  <c r="AI54" i="21"/>
  <c r="AK54" i="21"/>
  <c r="T54" i="21"/>
  <c r="AO54" i="21"/>
  <c r="Z54" i="21"/>
  <c r="AG54" i="21"/>
  <c r="O54" i="21"/>
  <c r="V54" i="21"/>
  <c r="S54" i="21"/>
  <c r="AJ54" i="21"/>
  <c r="X54" i="21"/>
  <c r="U54" i="21"/>
  <c r="Q54" i="21"/>
  <c r="P54" i="21"/>
  <c r="AA54" i="21"/>
  <c r="Y54" i="21"/>
  <c r="AD54" i="21"/>
  <c r="N54" i="21"/>
  <c r="M54" i="21"/>
  <c r="AC54" i="21"/>
  <c r="AB54" i="21"/>
  <c r="L54" i="21"/>
  <c r="K54" i="21"/>
  <c r="L1" i="24" l="1"/>
  <c r="K1" i="22"/>
  <c r="AW18" i="21" a="1"/>
  <c r="AW18" i="21" s="1"/>
  <c r="AY18" i="21" s="1"/>
  <c r="AW17" i="21" a="1"/>
  <c r="AW17" i="21" s="1"/>
  <c r="AY17" i="21" s="1"/>
  <c r="AW16" i="21" a="1"/>
  <c r="AW16" i="21" s="1"/>
  <c r="AY16" i="21" s="1"/>
  <c r="AW15" i="21" a="1"/>
  <c r="AW15" i="21" s="1"/>
  <c r="AY15" i="21" s="1"/>
  <c r="AW13" i="21" a="1"/>
  <c r="AW13" i="21" s="1"/>
  <c r="AY13" i="21" s="1"/>
  <c r="AW12" i="21" a="1"/>
  <c r="AW12" i="21" s="1"/>
  <c r="AY12" i="21" s="1"/>
  <c r="AW11" i="21" a="1"/>
  <c r="AW11" i="21" s="1"/>
  <c r="AY11" i="21" s="1"/>
  <c r="AW10" i="21" a="1"/>
  <c r="AW10" i="21" s="1"/>
  <c r="AY10" i="21" s="1"/>
  <c r="AW9" i="21" a="1"/>
  <c r="AW9" i="21" s="1"/>
  <c r="AY9" i="21" s="1"/>
  <c r="AW7" i="21" a="1"/>
  <c r="AW7" i="21" s="1"/>
  <c r="AY7" i="21" s="1"/>
  <c r="AW6" i="21" a="1"/>
  <c r="AW6" i="21" s="1"/>
  <c r="AY6" i="21" s="1"/>
  <c r="AW4" i="21" a="1"/>
  <c r="AW4" i="21" s="1"/>
  <c r="AY4" i="21" s="1"/>
  <c r="A29" i="21"/>
  <c r="B29" i="21"/>
  <c r="C29" i="21"/>
  <c r="D29" i="21"/>
  <c r="E29" i="21"/>
  <c r="F29" i="21"/>
  <c r="G29" i="21"/>
  <c r="H29" i="21"/>
  <c r="A45" i="21"/>
  <c r="B45" i="21"/>
  <c r="C45" i="21"/>
  <c r="D45" i="21"/>
  <c r="E45" i="21"/>
  <c r="F45" i="21"/>
  <c r="G45" i="21"/>
  <c r="H45" i="21"/>
  <c r="AO63" i="21" a="1"/>
  <c r="AO63" i="21" s="1"/>
  <c r="AN63" i="21" a="1"/>
  <c r="AN63" i="21" s="1"/>
  <c r="AM63" i="21" a="1"/>
  <c r="AM63" i="21" s="1"/>
  <c r="AL63" i="21" a="1"/>
  <c r="AL63" i="21" s="1"/>
  <c r="AK63" i="21" a="1"/>
  <c r="AK63" i="21" s="1"/>
  <c r="AJ63" i="21" a="1"/>
  <c r="AJ63" i="21" s="1"/>
  <c r="AI63" i="21" a="1"/>
  <c r="AI63" i="21" s="1"/>
  <c r="AH63" i="21" a="1"/>
  <c r="AH63" i="21" s="1"/>
  <c r="AG63" i="21" a="1"/>
  <c r="AG63" i="21" s="1"/>
  <c r="AF63" i="21" a="1"/>
  <c r="AF63" i="21" s="1"/>
  <c r="AE63" i="21" a="1"/>
  <c r="AE63" i="21" s="1"/>
  <c r="AD63" i="21" a="1"/>
  <c r="AD63" i="21" s="1"/>
  <c r="AC63" i="21" a="1"/>
  <c r="AC63" i="21" s="1"/>
  <c r="AB63" i="21" a="1"/>
  <c r="AB63" i="21" s="1"/>
  <c r="AA63" i="21" a="1"/>
  <c r="AA63" i="21" s="1"/>
  <c r="Z63" i="21" a="1"/>
  <c r="Z63" i="21" s="1"/>
  <c r="Y63" i="21" a="1"/>
  <c r="Y63" i="21" s="1"/>
  <c r="X63" i="21" a="1"/>
  <c r="X63" i="21" s="1"/>
  <c r="W63" i="21" a="1"/>
  <c r="W63" i="21" s="1"/>
  <c r="V63" i="21" a="1"/>
  <c r="V63" i="21" s="1"/>
  <c r="U63" i="21" a="1"/>
  <c r="U63" i="21" s="1"/>
  <c r="T63" i="21" a="1"/>
  <c r="T63" i="21" s="1"/>
  <c r="S63" i="21" a="1"/>
  <c r="S63" i="21" s="1"/>
  <c r="R63" i="21" a="1"/>
  <c r="R63" i="21" s="1"/>
  <c r="Q63" i="21" a="1"/>
  <c r="Q63" i="21" s="1"/>
  <c r="P63" i="21" a="1"/>
  <c r="P63" i="21" s="1"/>
  <c r="O63" i="21" a="1"/>
  <c r="O63" i="21" s="1"/>
  <c r="N63" i="21" a="1"/>
  <c r="N63" i="21" s="1"/>
  <c r="M63" i="21" a="1"/>
  <c r="M63" i="21" s="1"/>
  <c r="L63" i="21" a="1"/>
  <c r="L63" i="21" s="1"/>
  <c r="K63" i="21" a="1"/>
  <c r="K63" i="21" s="1"/>
  <c r="AO58" i="21"/>
  <c r="AN58" i="21"/>
  <c r="AM58" i="21"/>
  <c r="AL58" i="21"/>
  <c r="AK58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AO57" i="21"/>
  <c r="AN57" i="21"/>
  <c r="AM57" i="21"/>
  <c r="AL57" i="21"/>
  <c r="AK57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AO56" i="21"/>
  <c r="AN56" i="21"/>
  <c r="AM56" i="21"/>
  <c r="AL56" i="21"/>
  <c r="AK56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AO55" i="21"/>
  <c r="AN55" i="21"/>
  <c r="AM55" i="21"/>
  <c r="AL55" i="21"/>
  <c r="AK55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AS53" i="21"/>
  <c r="AR53" i="21"/>
  <c r="AS52" i="21" a="1"/>
  <c r="AS52" i="21" s="1"/>
  <c r="AR52" i="21" a="1"/>
  <c r="AR52" i="21" s="1"/>
  <c r="AS51" i="21"/>
  <c r="AR51" i="21"/>
  <c r="AS50" i="21"/>
  <c r="AR50" i="21"/>
  <c r="AS49" i="21"/>
  <c r="AR49" i="21"/>
  <c r="AS48" i="21"/>
  <c r="AR48" i="21"/>
  <c r="H44" i="21"/>
  <c r="G44" i="21"/>
  <c r="F44" i="21"/>
  <c r="E44" i="21"/>
  <c r="D44" i="21"/>
  <c r="C44" i="21"/>
  <c r="B44" i="21"/>
  <c r="A44" i="21"/>
  <c r="H43" i="21"/>
  <c r="G43" i="21"/>
  <c r="F43" i="21"/>
  <c r="E43" i="21"/>
  <c r="D43" i="21"/>
  <c r="C43" i="21"/>
  <c r="B43" i="21"/>
  <c r="A43" i="21"/>
  <c r="H42" i="21"/>
  <c r="G42" i="21"/>
  <c r="F42" i="21"/>
  <c r="E42" i="21"/>
  <c r="D42" i="21"/>
  <c r="C42" i="21"/>
  <c r="B42" i="21"/>
  <c r="A42" i="21"/>
  <c r="H41" i="21"/>
  <c r="G41" i="21"/>
  <c r="F41" i="21"/>
  <c r="E41" i="21"/>
  <c r="D41" i="21"/>
  <c r="C41" i="21"/>
  <c r="B41" i="21"/>
  <c r="A41" i="21"/>
  <c r="H40" i="21"/>
  <c r="G40" i="21"/>
  <c r="F40" i="21"/>
  <c r="E40" i="21"/>
  <c r="D40" i="21"/>
  <c r="C40" i="21"/>
  <c r="B40" i="21"/>
  <c r="A40" i="21"/>
  <c r="H39" i="21"/>
  <c r="G39" i="21"/>
  <c r="F39" i="21"/>
  <c r="E39" i="21"/>
  <c r="D39" i="21"/>
  <c r="C39" i="21"/>
  <c r="B39" i="21"/>
  <c r="A39" i="21"/>
  <c r="H38" i="21"/>
  <c r="G38" i="21"/>
  <c r="F38" i="21"/>
  <c r="E38" i="21"/>
  <c r="D38" i="21"/>
  <c r="C38" i="21"/>
  <c r="B38" i="21"/>
  <c r="A38" i="21"/>
  <c r="H37" i="21"/>
  <c r="G37" i="21"/>
  <c r="F37" i="21"/>
  <c r="E37" i="21"/>
  <c r="D37" i="21"/>
  <c r="C37" i="21"/>
  <c r="B37" i="21"/>
  <c r="A37" i="21"/>
  <c r="H36" i="21"/>
  <c r="G36" i="21"/>
  <c r="F36" i="21"/>
  <c r="E36" i="21"/>
  <c r="D36" i="21"/>
  <c r="C36" i="21"/>
  <c r="B36" i="21"/>
  <c r="A36" i="21"/>
  <c r="H35" i="21"/>
  <c r="G35" i="21"/>
  <c r="F35" i="21"/>
  <c r="E35" i="21"/>
  <c r="D35" i="21"/>
  <c r="C35" i="21"/>
  <c r="B35" i="21"/>
  <c r="A35" i="21"/>
  <c r="H34" i="21"/>
  <c r="G34" i="21"/>
  <c r="F34" i="21"/>
  <c r="E34" i="21"/>
  <c r="D34" i="21"/>
  <c r="C34" i="21"/>
  <c r="B34" i="21"/>
  <c r="A34" i="21"/>
  <c r="H33" i="21"/>
  <c r="G33" i="21"/>
  <c r="F33" i="21"/>
  <c r="E33" i="21"/>
  <c r="D33" i="21"/>
  <c r="C33" i="21"/>
  <c r="B33" i="21"/>
  <c r="A33" i="21"/>
  <c r="H32" i="21"/>
  <c r="G32" i="21"/>
  <c r="F32" i="21"/>
  <c r="E32" i="21"/>
  <c r="D32" i="21"/>
  <c r="C32" i="21"/>
  <c r="B32" i="21"/>
  <c r="A32" i="21"/>
  <c r="H31" i="21"/>
  <c r="G31" i="21"/>
  <c r="F31" i="21"/>
  <c r="E31" i="21"/>
  <c r="D31" i="21"/>
  <c r="C31" i="21"/>
  <c r="B31" i="21"/>
  <c r="A31" i="21"/>
  <c r="H30" i="21"/>
  <c r="G30" i="21"/>
  <c r="F30" i="21"/>
  <c r="E30" i="21"/>
  <c r="D30" i="21"/>
  <c r="C30" i="21"/>
  <c r="B30" i="21"/>
  <c r="A30" i="21"/>
  <c r="H28" i="21"/>
  <c r="G28" i="21"/>
  <c r="F28" i="21"/>
  <c r="E28" i="21"/>
  <c r="D28" i="21"/>
  <c r="C28" i="21"/>
  <c r="B28" i="21"/>
  <c r="A28" i="21"/>
  <c r="H27" i="21"/>
  <c r="G27" i="21"/>
  <c r="F27" i="21"/>
  <c r="E27" i="21"/>
  <c r="D27" i="21"/>
  <c r="C27" i="21"/>
  <c r="B27" i="21"/>
  <c r="A27" i="21"/>
  <c r="H26" i="21"/>
  <c r="G26" i="21"/>
  <c r="F26" i="21"/>
  <c r="E26" i="21"/>
  <c r="D26" i="21"/>
  <c r="C26" i="21"/>
  <c r="B26" i="21"/>
  <c r="A26" i="21"/>
  <c r="H25" i="21"/>
  <c r="G25" i="21"/>
  <c r="F25" i="21"/>
  <c r="E25" i="21"/>
  <c r="D25" i="21"/>
  <c r="C25" i="21"/>
  <c r="B25" i="21"/>
  <c r="A25" i="21"/>
  <c r="H24" i="21"/>
  <c r="G24" i="21"/>
  <c r="F24" i="21"/>
  <c r="E24" i="21"/>
  <c r="D24" i="21"/>
  <c r="C24" i="21"/>
  <c r="B24" i="21"/>
  <c r="A24" i="21"/>
  <c r="H23" i="21"/>
  <c r="G23" i="21"/>
  <c r="F23" i="21"/>
  <c r="E23" i="21"/>
  <c r="D23" i="21"/>
  <c r="C23" i="21"/>
  <c r="B23" i="21"/>
  <c r="A23" i="21"/>
  <c r="H22" i="21"/>
  <c r="G22" i="21"/>
  <c r="F22" i="21"/>
  <c r="E22" i="21"/>
  <c r="D22" i="21"/>
  <c r="C22" i="21"/>
  <c r="B22" i="21"/>
  <c r="A22" i="21"/>
  <c r="H21" i="21"/>
  <c r="G21" i="21"/>
  <c r="F21" i="21"/>
  <c r="E21" i="21"/>
  <c r="D21" i="21"/>
  <c r="C21" i="21"/>
  <c r="B21" i="21"/>
  <c r="A21" i="21"/>
  <c r="H20" i="21"/>
  <c r="G20" i="21"/>
  <c r="F20" i="21"/>
  <c r="E20" i="21"/>
  <c r="D20" i="21"/>
  <c r="C20" i="21"/>
  <c r="B20" i="21"/>
  <c r="A20" i="21"/>
  <c r="H19" i="21"/>
  <c r="G19" i="21"/>
  <c r="F19" i="21"/>
  <c r="E19" i="21"/>
  <c r="D19" i="21"/>
  <c r="C19" i="21"/>
  <c r="B19" i="21"/>
  <c r="A19" i="21"/>
  <c r="H18" i="21"/>
  <c r="G18" i="21"/>
  <c r="F18" i="21"/>
  <c r="E18" i="21"/>
  <c r="D18" i="21"/>
  <c r="C18" i="21"/>
  <c r="B18" i="21"/>
  <c r="A18" i="21"/>
  <c r="H17" i="21"/>
  <c r="G17" i="21"/>
  <c r="F17" i="21"/>
  <c r="E17" i="21"/>
  <c r="D17" i="21"/>
  <c r="C17" i="21"/>
  <c r="B17" i="21"/>
  <c r="A17" i="21"/>
  <c r="H16" i="21"/>
  <c r="G16" i="21"/>
  <c r="F16" i="21"/>
  <c r="E16" i="21"/>
  <c r="D16" i="21"/>
  <c r="C16" i="21"/>
  <c r="B16" i="21"/>
  <c r="A16" i="21"/>
  <c r="H15" i="21"/>
  <c r="G15" i="21"/>
  <c r="F15" i="21"/>
  <c r="E15" i="21"/>
  <c r="D15" i="21"/>
  <c r="C15" i="21"/>
  <c r="B15" i="21"/>
  <c r="A15" i="21"/>
  <c r="H14" i="21"/>
  <c r="G14" i="21"/>
  <c r="F14" i="21"/>
  <c r="E14" i="21"/>
  <c r="D14" i="21"/>
  <c r="C14" i="21"/>
  <c r="B14" i="21"/>
  <c r="A14" i="21"/>
  <c r="H13" i="21"/>
  <c r="G13" i="21"/>
  <c r="F13" i="21"/>
  <c r="E13" i="21"/>
  <c r="D13" i="21"/>
  <c r="C13" i="21"/>
  <c r="B13" i="21"/>
  <c r="A13" i="21"/>
  <c r="H12" i="21"/>
  <c r="G12" i="21"/>
  <c r="F12" i="21"/>
  <c r="E12" i="21"/>
  <c r="D12" i="21"/>
  <c r="C12" i="21"/>
  <c r="B12" i="21"/>
  <c r="A12" i="21"/>
  <c r="H11" i="21"/>
  <c r="G11" i="21"/>
  <c r="F11" i="21"/>
  <c r="E11" i="21"/>
  <c r="D11" i="21"/>
  <c r="C11" i="21"/>
  <c r="B11" i="21"/>
  <c r="A11" i="21"/>
  <c r="H10" i="21"/>
  <c r="G10" i="21"/>
  <c r="F10" i="21"/>
  <c r="E10" i="21"/>
  <c r="D10" i="21"/>
  <c r="C10" i="21"/>
  <c r="B10" i="21"/>
  <c r="A10" i="21"/>
  <c r="H9" i="21"/>
  <c r="G9" i="21"/>
  <c r="F9" i="21"/>
  <c r="E9" i="21"/>
  <c r="D9" i="21"/>
  <c r="C9" i="21"/>
  <c r="B9" i="21"/>
  <c r="A9" i="21"/>
  <c r="H8" i="21"/>
  <c r="G8" i="21"/>
  <c r="F8" i="21"/>
  <c r="E8" i="21"/>
  <c r="D8" i="21"/>
  <c r="C8" i="21"/>
  <c r="B8" i="21"/>
  <c r="A8" i="21"/>
  <c r="H7" i="21"/>
  <c r="G7" i="21"/>
  <c r="F7" i="21"/>
  <c r="E7" i="21"/>
  <c r="D7" i="21"/>
  <c r="C7" i="21"/>
  <c r="B7" i="21"/>
  <c r="A7" i="21"/>
  <c r="H6" i="21"/>
  <c r="G6" i="21"/>
  <c r="F6" i="21"/>
  <c r="E6" i="21"/>
  <c r="D6" i="21"/>
  <c r="C6" i="21"/>
  <c r="B6" i="21"/>
  <c r="A6" i="21"/>
  <c r="H5" i="21"/>
  <c r="G5" i="21"/>
  <c r="F5" i="21"/>
  <c r="E5" i="21"/>
  <c r="D5" i="21"/>
  <c r="C5" i="21"/>
  <c r="B5" i="21"/>
  <c r="A5" i="21"/>
  <c r="H4" i="21"/>
  <c r="G4" i="21"/>
  <c r="F4" i="21"/>
  <c r="E4" i="21"/>
  <c r="D4" i="21"/>
  <c r="C4" i="21"/>
  <c r="B4" i="21"/>
  <c r="A4" i="21"/>
  <c r="AU6" i="20" a="1"/>
  <c r="AU6" i="20" s="1"/>
  <c r="AW6" i="20" s="1"/>
  <c r="AU7" i="20" a="1"/>
  <c r="AU7" i="20" s="1"/>
  <c r="AW7" i="20" s="1"/>
  <c r="AU9" i="20" a="1"/>
  <c r="AU9" i="20" s="1"/>
  <c r="AW9" i="20" s="1"/>
  <c r="AU10" i="20" a="1"/>
  <c r="AU10" i="20" s="1"/>
  <c r="AW10" i="20" s="1"/>
  <c r="AU11" i="20" a="1"/>
  <c r="AU11" i="20" s="1"/>
  <c r="AW11" i="20" s="1"/>
  <c r="AU12" i="20" a="1"/>
  <c r="AU12" i="20" s="1"/>
  <c r="AW12" i="20" s="1"/>
  <c r="AU13" i="20" a="1"/>
  <c r="AU13" i="20" s="1"/>
  <c r="AW13" i="20" s="1"/>
  <c r="AU15" i="20" a="1"/>
  <c r="AU15" i="20" s="1"/>
  <c r="AW15" i="20" s="1"/>
  <c r="AU16" i="20" a="1"/>
  <c r="AU16" i="20" s="1"/>
  <c r="AW16" i="20" s="1"/>
  <c r="AU17" i="20" a="1"/>
  <c r="AU17" i="20" s="1"/>
  <c r="AW17" i="20" s="1"/>
  <c r="AU18" i="20" a="1"/>
  <c r="AU18" i="20" s="1"/>
  <c r="AW18" i="20" s="1"/>
  <c r="AU4" i="20" a="1"/>
  <c r="AU4" i="20" s="1"/>
  <c r="AW4" i="20" s="1"/>
  <c r="A46" i="20"/>
  <c r="B46" i="20"/>
  <c r="C46" i="20"/>
  <c r="D46" i="20"/>
  <c r="E46" i="20"/>
  <c r="F46" i="20"/>
  <c r="G46" i="20"/>
  <c r="H46" i="20"/>
  <c r="K47" i="20" a="1"/>
  <c r="K47" i="20" s="1"/>
  <c r="L47" i="20" a="1"/>
  <c r="L47" i="20" s="1"/>
  <c r="M47" i="20" a="1"/>
  <c r="M47" i="20" s="1"/>
  <c r="N47" i="20" a="1"/>
  <c r="N47" i="20" s="1"/>
  <c r="O47" i="20" a="1"/>
  <c r="O47" i="20" s="1"/>
  <c r="P47" i="20" a="1"/>
  <c r="P47" i="20" s="1"/>
  <c r="Q47" i="20" a="1"/>
  <c r="Q47" i="20" s="1"/>
  <c r="R47" i="20" a="1"/>
  <c r="R47" i="20" s="1"/>
  <c r="S47" i="20" a="1"/>
  <c r="S47" i="20" s="1"/>
  <c r="T47" i="20" a="1"/>
  <c r="T47" i="20" s="1"/>
  <c r="U47" i="20" a="1"/>
  <c r="U47" i="20" s="1"/>
  <c r="V47" i="20" a="1"/>
  <c r="V47" i="20" s="1"/>
  <c r="W47" i="20" a="1"/>
  <c r="W47" i="20" s="1"/>
  <c r="X47" i="20" a="1"/>
  <c r="X47" i="20" s="1"/>
  <c r="Y47" i="20" a="1"/>
  <c r="Y47" i="20" s="1"/>
  <c r="Z47" i="20" a="1"/>
  <c r="Z47" i="20" s="1"/>
  <c r="AA47" i="20" a="1"/>
  <c r="AA47" i="20" s="1"/>
  <c r="AB47" i="20" a="1"/>
  <c r="AB47" i="20" s="1"/>
  <c r="AC47" i="20" a="1"/>
  <c r="AC47" i="20" s="1"/>
  <c r="AD47" i="20" a="1"/>
  <c r="AD47" i="20" s="1"/>
  <c r="AE47" i="20" a="1"/>
  <c r="AE47" i="20" s="1"/>
  <c r="AF47" i="20" a="1"/>
  <c r="AF47" i="20" s="1"/>
  <c r="AG47" i="20" a="1"/>
  <c r="AG47" i="20" s="1"/>
  <c r="AH47" i="20" a="1"/>
  <c r="AH47" i="20" s="1"/>
  <c r="AI47" i="20" a="1"/>
  <c r="AI47" i="20" s="1"/>
  <c r="AJ47" i="20" a="1"/>
  <c r="AJ47" i="20" s="1"/>
  <c r="AK47" i="20" a="1"/>
  <c r="AK47" i="20" s="1"/>
  <c r="AL47" i="20" a="1"/>
  <c r="AL47" i="20" s="1"/>
  <c r="AM47" i="20" a="1"/>
  <c r="AM47" i="20" s="1"/>
  <c r="AN47" i="20" a="1"/>
  <c r="AN47" i="20" s="1"/>
  <c r="K48" i="20" a="1"/>
  <c r="K48" i="20" s="1"/>
  <c r="L48" i="20" a="1"/>
  <c r="L48" i="20" s="1"/>
  <c r="M48" i="20" a="1"/>
  <c r="M48" i="20" s="1"/>
  <c r="N48" i="20" a="1"/>
  <c r="N48" i="20" s="1"/>
  <c r="O48" i="20" a="1"/>
  <c r="O48" i="20" s="1"/>
  <c r="P48" i="20" a="1"/>
  <c r="P48" i="20" s="1"/>
  <c r="Q48" i="20" a="1"/>
  <c r="Q48" i="20" s="1"/>
  <c r="R48" i="20" a="1"/>
  <c r="R48" i="20" s="1"/>
  <c r="S48" i="20" a="1"/>
  <c r="S48" i="20" s="1"/>
  <c r="T48" i="20" a="1"/>
  <c r="T48" i="20" s="1"/>
  <c r="U48" i="20" a="1"/>
  <c r="U48" i="20" s="1"/>
  <c r="V48" i="20" a="1"/>
  <c r="V48" i="20" s="1"/>
  <c r="W48" i="20" a="1"/>
  <c r="W48" i="20" s="1"/>
  <c r="X48" i="20" a="1"/>
  <c r="X48" i="20" s="1"/>
  <c r="Y48" i="20" a="1"/>
  <c r="Y48" i="20" s="1"/>
  <c r="Z48" i="20" a="1"/>
  <c r="Z48" i="20" s="1"/>
  <c r="AA48" i="20" a="1"/>
  <c r="AA48" i="20" s="1"/>
  <c r="AB48" i="20" a="1"/>
  <c r="AB48" i="20" s="1"/>
  <c r="AC48" i="20" a="1"/>
  <c r="AC48" i="20" s="1"/>
  <c r="AD48" i="20" a="1"/>
  <c r="AD48" i="20" s="1"/>
  <c r="AE48" i="20" a="1"/>
  <c r="AE48" i="20" s="1"/>
  <c r="AF48" i="20" a="1"/>
  <c r="AF48" i="20" s="1"/>
  <c r="AG48" i="20" a="1"/>
  <c r="AG48" i="20" s="1"/>
  <c r="AH48" i="20" a="1"/>
  <c r="AH48" i="20" s="1"/>
  <c r="AI48" i="20" a="1"/>
  <c r="AI48" i="20" s="1"/>
  <c r="AJ48" i="20" a="1"/>
  <c r="AJ48" i="20" s="1"/>
  <c r="AK48" i="20" a="1"/>
  <c r="AK48" i="20" s="1"/>
  <c r="AL48" i="20" a="1"/>
  <c r="AL48" i="20" s="1"/>
  <c r="AM48" i="20" a="1"/>
  <c r="AM48" i="20" s="1"/>
  <c r="AN48" i="20" a="1"/>
  <c r="AN48" i="20" s="1"/>
  <c r="K49" i="20"/>
  <c r="L49" i="20"/>
  <c r="M49" i="20"/>
  <c r="N49" i="20"/>
  <c r="O49" i="20"/>
  <c r="P49" i="20"/>
  <c r="Q49" i="20"/>
  <c r="R49" i="20"/>
  <c r="S49" i="20"/>
  <c r="T49" i="20"/>
  <c r="U49" i="20"/>
  <c r="V49" i="20"/>
  <c r="W49" i="20"/>
  <c r="X49" i="20"/>
  <c r="Y49" i="20"/>
  <c r="Z49" i="20"/>
  <c r="AA49" i="20"/>
  <c r="AB49" i="20"/>
  <c r="AC49" i="20"/>
  <c r="AD49" i="20"/>
  <c r="AE49" i="20"/>
  <c r="AF49" i="20"/>
  <c r="AG49" i="20"/>
  <c r="AH49" i="20"/>
  <c r="AI49" i="20"/>
  <c r="AJ49" i="20"/>
  <c r="AK49" i="20"/>
  <c r="AL49" i="20"/>
  <c r="AM49" i="20"/>
  <c r="AN49" i="20"/>
  <c r="K50" i="20" a="1"/>
  <c r="K50" i="20" s="1"/>
  <c r="L50" i="20" a="1"/>
  <c r="L50" i="20" s="1"/>
  <c r="M50" i="20" a="1"/>
  <c r="M50" i="20" s="1"/>
  <c r="N50" i="20" a="1"/>
  <c r="N50" i="20" s="1"/>
  <c r="O50" i="20" a="1"/>
  <c r="O50" i="20" s="1"/>
  <c r="P50" i="20" a="1"/>
  <c r="P50" i="20" s="1"/>
  <c r="Q50" i="20" a="1"/>
  <c r="Q50" i="20" s="1"/>
  <c r="R50" i="20" a="1"/>
  <c r="R50" i="20" s="1"/>
  <c r="S50" i="20" a="1"/>
  <c r="S50" i="20" s="1"/>
  <c r="T50" i="20" a="1"/>
  <c r="T50" i="20" s="1"/>
  <c r="U50" i="20" a="1"/>
  <c r="U50" i="20" s="1"/>
  <c r="V50" i="20" a="1"/>
  <c r="V50" i="20" s="1"/>
  <c r="W50" i="20" a="1"/>
  <c r="W50" i="20" s="1"/>
  <c r="X50" i="20" a="1"/>
  <c r="X50" i="20" s="1"/>
  <c r="Y50" i="20" a="1"/>
  <c r="Y50" i="20" s="1"/>
  <c r="Z50" i="20" a="1"/>
  <c r="Z50" i="20" s="1"/>
  <c r="AA50" i="20" a="1"/>
  <c r="AA50" i="20" s="1"/>
  <c r="AB50" i="20" a="1"/>
  <c r="AB50" i="20" s="1"/>
  <c r="AC50" i="20" a="1"/>
  <c r="AC50" i="20" s="1"/>
  <c r="AD50" i="20" a="1"/>
  <c r="AD50" i="20" s="1"/>
  <c r="AE50" i="20" a="1"/>
  <c r="AE50" i="20" s="1"/>
  <c r="AF50" i="20" a="1"/>
  <c r="AF50" i="20" s="1"/>
  <c r="AG50" i="20" a="1"/>
  <c r="AG50" i="20" s="1"/>
  <c r="AH50" i="20" a="1"/>
  <c r="AH50" i="20" s="1"/>
  <c r="AI50" i="20" a="1"/>
  <c r="AI50" i="20" s="1"/>
  <c r="AJ50" i="20" a="1"/>
  <c r="AJ50" i="20" s="1"/>
  <c r="AK50" i="20" a="1"/>
  <c r="AK50" i="20" s="1"/>
  <c r="AL50" i="20" a="1"/>
  <c r="AL50" i="20" s="1"/>
  <c r="AM50" i="20" a="1"/>
  <c r="AM50" i="20" s="1"/>
  <c r="AN50" i="20" a="1"/>
  <c r="AN50" i="20" s="1"/>
  <c r="K51" i="20" a="1"/>
  <c r="K51" i="20" s="1"/>
  <c r="L51" i="20" a="1"/>
  <c r="L51" i="20" s="1"/>
  <c r="M51" i="20" a="1"/>
  <c r="M51" i="20" s="1"/>
  <c r="N51" i="20" a="1"/>
  <c r="N51" i="20" s="1"/>
  <c r="O51" i="20" a="1"/>
  <c r="O51" i="20" s="1"/>
  <c r="P51" i="20" a="1"/>
  <c r="P51" i="20" s="1"/>
  <c r="Q51" i="20" a="1"/>
  <c r="Q51" i="20" s="1"/>
  <c r="R51" i="20" a="1"/>
  <c r="R51" i="20" s="1"/>
  <c r="S51" i="20" a="1"/>
  <c r="S51" i="20" s="1"/>
  <c r="T51" i="20" a="1"/>
  <c r="T51" i="20" s="1"/>
  <c r="U51" i="20" a="1"/>
  <c r="U51" i="20" s="1"/>
  <c r="V51" i="20" a="1"/>
  <c r="V51" i="20" s="1"/>
  <c r="W51" i="20" a="1"/>
  <c r="W51" i="20" s="1"/>
  <c r="X51" i="20" a="1"/>
  <c r="X51" i="20" s="1"/>
  <c r="Y51" i="20" a="1"/>
  <c r="Y51" i="20" s="1"/>
  <c r="Z51" i="20" a="1"/>
  <c r="Z51" i="20" s="1"/>
  <c r="AA51" i="20" a="1"/>
  <c r="AA51" i="20" s="1"/>
  <c r="AB51" i="20" a="1"/>
  <c r="AB51" i="20" s="1"/>
  <c r="AC51" i="20" a="1"/>
  <c r="AC51" i="20" s="1"/>
  <c r="AD51" i="20" a="1"/>
  <c r="AD51" i="20" s="1"/>
  <c r="AE51" i="20" a="1"/>
  <c r="AE51" i="20" s="1"/>
  <c r="AF51" i="20" a="1"/>
  <c r="AF51" i="20" s="1"/>
  <c r="AG51" i="20" a="1"/>
  <c r="AG51" i="20" s="1"/>
  <c r="AH51" i="20" a="1"/>
  <c r="AH51" i="20" s="1"/>
  <c r="AI51" i="20" a="1"/>
  <c r="AI51" i="20" s="1"/>
  <c r="AJ51" i="20" a="1"/>
  <c r="AJ51" i="20" s="1"/>
  <c r="AK51" i="20" a="1"/>
  <c r="AK51" i="20" s="1"/>
  <c r="AL51" i="20" a="1"/>
  <c r="AL51" i="20" s="1"/>
  <c r="AM51" i="20" a="1"/>
  <c r="AM51" i="20" s="1"/>
  <c r="AN51" i="20" a="1"/>
  <c r="AN51" i="20" s="1"/>
  <c r="K52" i="20"/>
  <c r="L52" i="20"/>
  <c r="M52" i="20"/>
  <c r="N52" i="20"/>
  <c r="O52" i="20"/>
  <c r="P52" i="20"/>
  <c r="Q52" i="20"/>
  <c r="R52" i="20"/>
  <c r="S52" i="20"/>
  <c r="T52" i="20"/>
  <c r="U52" i="20"/>
  <c r="V52" i="20"/>
  <c r="W52" i="20"/>
  <c r="X52" i="20"/>
  <c r="Y52" i="20"/>
  <c r="Z52" i="20"/>
  <c r="AA52" i="20"/>
  <c r="AB52" i="20"/>
  <c r="AC52" i="20"/>
  <c r="AD52" i="20"/>
  <c r="AE52" i="20"/>
  <c r="AF52" i="20"/>
  <c r="AG52" i="20"/>
  <c r="AH52" i="20"/>
  <c r="AI52" i="20"/>
  <c r="AJ52" i="20"/>
  <c r="AK52" i="20"/>
  <c r="AL52" i="20"/>
  <c r="AM52" i="20"/>
  <c r="AN52" i="20"/>
  <c r="K53" i="20"/>
  <c r="L53" i="20"/>
  <c r="M53" i="20"/>
  <c r="N53" i="20"/>
  <c r="O53" i="20"/>
  <c r="P53" i="20"/>
  <c r="Q53" i="20"/>
  <c r="R53" i="20"/>
  <c r="S53" i="20"/>
  <c r="T53" i="20"/>
  <c r="U53" i="20"/>
  <c r="V53" i="20"/>
  <c r="W53" i="20"/>
  <c r="X53" i="20"/>
  <c r="Y53" i="20"/>
  <c r="Z53" i="20"/>
  <c r="AA53" i="20"/>
  <c r="AB53" i="20"/>
  <c r="AC53" i="20"/>
  <c r="AD53" i="20"/>
  <c r="AE53" i="20"/>
  <c r="AF53" i="20"/>
  <c r="AG53" i="20"/>
  <c r="AH53" i="20"/>
  <c r="AI53" i="20"/>
  <c r="AJ53" i="20"/>
  <c r="AK53" i="20"/>
  <c r="AL53" i="20"/>
  <c r="AM53" i="20"/>
  <c r="AN53" i="20"/>
  <c r="K54" i="20"/>
  <c r="L54" i="20"/>
  <c r="M54" i="20"/>
  <c r="N54" i="20"/>
  <c r="O54" i="20"/>
  <c r="P54" i="20"/>
  <c r="Q54" i="20"/>
  <c r="R54" i="20"/>
  <c r="S54" i="20"/>
  <c r="T54" i="20"/>
  <c r="U54" i="20"/>
  <c r="V54" i="20"/>
  <c r="W54" i="20"/>
  <c r="X54" i="20"/>
  <c r="Y54" i="20"/>
  <c r="Z54" i="20"/>
  <c r="AA54" i="20"/>
  <c r="AB54" i="20"/>
  <c r="AC54" i="20"/>
  <c r="AD54" i="20"/>
  <c r="AE54" i="20"/>
  <c r="AF54" i="20"/>
  <c r="AG54" i="20"/>
  <c r="AH54" i="20"/>
  <c r="AI54" i="20"/>
  <c r="AJ54" i="20"/>
  <c r="AK54" i="20"/>
  <c r="AL54" i="20"/>
  <c r="AM54" i="20"/>
  <c r="AN54" i="20"/>
  <c r="A30" i="20"/>
  <c r="B30" i="20"/>
  <c r="C30" i="20"/>
  <c r="D30" i="20"/>
  <c r="E30" i="20"/>
  <c r="F30" i="20"/>
  <c r="G30" i="20"/>
  <c r="H30" i="20"/>
  <c r="AN64" i="20" a="1"/>
  <c r="AN64" i="20" s="1"/>
  <c r="AM64" i="20" a="1"/>
  <c r="AM64" i="20" s="1"/>
  <c r="AL64" i="20" a="1"/>
  <c r="AL64" i="20" s="1"/>
  <c r="AK64" i="20" a="1"/>
  <c r="AK64" i="20" s="1"/>
  <c r="AJ64" i="20" a="1"/>
  <c r="AJ64" i="20" s="1"/>
  <c r="AI64" i="20" a="1"/>
  <c r="AI64" i="20" s="1"/>
  <c r="AH64" i="20" a="1"/>
  <c r="AH64" i="20" s="1"/>
  <c r="AG64" i="20" a="1"/>
  <c r="AG64" i="20" s="1"/>
  <c r="AF64" i="20" a="1"/>
  <c r="AF64" i="20" s="1"/>
  <c r="AE64" i="20" a="1"/>
  <c r="AE64" i="20" s="1"/>
  <c r="AD64" i="20" a="1"/>
  <c r="AD64" i="20" s="1"/>
  <c r="AC64" i="20" a="1"/>
  <c r="AC64" i="20" s="1"/>
  <c r="AB64" i="20" a="1"/>
  <c r="AB64" i="20" s="1"/>
  <c r="AA64" i="20" a="1"/>
  <c r="AA64" i="20" s="1"/>
  <c r="Z64" i="20" a="1"/>
  <c r="Z64" i="20" s="1"/>
  <c r="Y64" i="20" a="1"/>
  <c r="Y64" i="20" s="1"/>
  <c r="X64" i="20" a="1"/>
  <c r="X64" i="20" s="1"/>
  <c r="W64" i="20" a="1"/>
  <c r="W64" i="20" s="1"/>
  <c r="V64" i="20" a="1"/>
  <c r="V64" i="20" s="1"/>
  <c r="U64" i="20" a="1"/>
  <c r="U64" i="20" s="1"/>
  <c r="T64" i="20" a="1"/>
  <c r="T64" i="20" s="1"/>
  <c r="S64" i="20" a="1"/>
  <c r="S64" i="20" s="1"/>
  <c r="R64" i="20" a="1"/>
  <c r="R64" i="20" s="1"/>
  <c r="Q64" i="20" a="1"/>
  <c r="Q64" i="20" s="1"/>
  <c r="P64" i="20" a="1"/>
  <c r="P64" i="20" s="1"/>
  <c r="O64" i="20" a="1"/>
  <c r="O64" i="20" s="1"/>
  <c r="N64" i="20" a="1"/>
  <c r="N64" i="20" s="1"/>
  <c r="M64" i="20" a="1"/>
  <c r="M64" i="20" s="1"/>
  <c r="L64" i="20" a="1"/>
  <c r="L64" i="20" s="1"/>
  <c r="K64" i="20" a="1"/>
  <c r="K64" i="20" s="1"/>
  <c r="AN59" i="20"/>
  <c r="AM59" i="20"/>
  <c r="AL59" i="20"/>
  <c r="AK59" i="20"/>
  <c r="AJ59" i="20"/>
  <c r="AI59" i="20"/>
  <c r="AH59" i="20"/>
  <c r="AG59" i="20"/>
  <c r="AF59" i="20"/>
  <c r="AE59" i="20"/>
  <c r="AD59" i="20"/>
  <c r="AC59" i="20"/>
  <c r="AB59" i="20"/>
  <c r="AA59" i="20"/>
  <c r="Z59" i="20"/>
  <c r="Y59" i="20"/>
  <c r="X59" i="20"/>
  <c r="W59" i="20"/>
  <c r="V59" i="20"/>
  <c r="U59" i="20"/>
  <c r="T59" i="20"/>
  <c r="S59" i="20"/>
  <c r="R59" i="20"/>
  <c r="Q59" i="20"/>
  <c r="P59" i="20"/>
  <c r="O59" i="20"/>
  <c r="N59" i="20"/>
  <c r="M59" i="20"/>
  <c r="L59" i="20"/>
  <c r="K59" i="20"/>
  <c r="AN58" i="20"/>
  <c r="AM58" i="20"/>
  <c r="AL58" i="20"/>
  <c r="AK58" i="20"/>
  <c r="AJ58" i="20"/>
  <c r="AI58" i="20"/>
  <c r="AH58" i="20"/>
  <c r="AG58" i="20"/>
  <c r="AF58" i="20"/>
  <c r="AE58" i="20"/>
  <c r="AD58" i="20"/>
  <c r="AC58" i="20"/>
  <c r="AB58" i="20"/>
  <c r="AA58" i="20"/>
  <c r="Z58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AN57" i="20"/>
  <c r="AM57" i="20"/>
  <c r="AL57" i="20"/>
  <c r="AK57" i="20"/>
  <c r="AJ57" i="20"/>
  <c r="AI57" i="20"/>
  <c r="AH57" i="20"/>
  <c r="AG57" i="20"/>
  <c r="AF57" i="20"/>
  <c r="AE57" i="20"/>
  <c r="AD57" i="20"/>
  <c r="AC57" i="20"/>
  <c r="AB57" i="20"/>
  <c r="AA57" i="20"/>
  <c r="Z57" i="20"/>
  <c r="Y57" i="20"/>
  <c r="X57" i="20"/>
  <c r="W57" i="20"/>
  <c r="V57" i="20"/>
  <c r="U57" i="20"/>
  <c r="T57" i="20"/>
  <c r="S57" i="20"/>
  <c r="R57" i="20"/>
  <c r="Q57" i="20"/>
  <c r="P57" i="20"/>
  <c r="O57" i="20"/>
  <c r="N57" i="20"/>
  <c r="M57" i="20"/>
  <c r="L57" i="20"/>
  <c r="K57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AR54" i="20"/>
  <c r="AQ54" i="20"/>
  <c r="AR53" i="20" a="1"/>
  <c r="AR53" i="20" s="1"/>
  <c r="AQ53" i="20" a="1"/>
  <c r="AQ53" i="20" s="1"/>
  <c r="AR52" i="20"/>
  <c r="AQ52" i="20"/>
  <c r="AR51" i="20"/>
  <c r="AQ51" i="20"/>
  <c r="AR50" i="20"/>
  <c r="AQ50" i="20"/>
  <c r="AR49" i="20"/>
  <c r="AQ49" i="20"/>
  <c r="H45" i="20"/>
  <c r="G45" i="20"/>
  <c r="F45" i="20"/>
  <c r="E45" i="20"/>
  <c r="D45" i="20"/>
  <c r="C45" i="20"/>
  <c r="B45" i="20"/>
  <c r="A45" i="20"/>
  <c r="H44" i="20"/>
  <c r="G44" i="20"/>
  <c r="F44" i="20"/>
  <c r="E44" i="20"/>
  <c r="D44" i="20"/>
  <c r="C44" i="20"/>
  <c r="B44" i="20"/>
  <c r="A44" i="20"/>
  <c r="H43" i="20"/>
  <c r="G43" i="20"/>
  <c r="F43" i="20"/>
  <c r="E43" i="20"/>
  <c r="D43" i="20"/>
  <c r="C43" i="20"/>
  <c r="B43" i="20"/>
  <c r="A43" i="20"/>
  <c r="H42" i="20"/>
  <c r="G42" i="20"/>
  <c r="F42" i="20"/>
  <c r="E42" i="20"/>
  <c r="D42" i="20"/>
  <c r="C42" i="20"/>
  <c r="B42" i="20"/>
  <c r="A42" i="20"/>
  <c r="H41" i="20"/>
  <c r="G41" i="20"/>
  <c r="F41" i="20"/>
  <c r="E41" i="20"/>
  <c r="D41" i="20"/>
  <c r="C41" i="20"/>
  <c r="B41" i="20"/>
  <c r="A41" i="20"/>
  <c r="H40" i="20"/>
  <c r="G40" i="20"/>
  <c r="F40" i="20"/>
  <c r="E40" i="20"/>
  <c r="D40" i="20"/>
  <c r="C40" i="20"/>
  <c r="B40" i="20"/>
  <c r="A40" i="20"/>
  <c r="H39" i="20"/>
  <c r="G39" i="20"/>
  <c r="F39" i="20"/>
  <c r="E39" i="20"/>
  <c r="D39" i="20"/>
  <c r="C39" i="20"/>
  <c r="B39" i="20"/>
  <c r="A39" i="20"/>
  <c r="H38" i="20"/>
  <c r="G38" i="20"/>
  <c r="F38" i="20"/>
  <c r="E38" i="20"/>
  <c r="D38" i="20"/>
  <c r="C38" i="20"/>
  <c r="B38" i="20"/>
  <c r="A38" i="20"/>
  <c r="H37" i="20"/>
  <c r="G37" i="20"/>
  <c r="F37" i="20"/>
  <c r="E37" i="20"/>
  <c r="D37" i="20"/>
  <c r="C37" i="20"/>
  <c r="B37" i="20"/>
  <c r="A37" i="20"/>
  <c r="H36" i="20"/>
  <c r="G36" i="20"/>
  <c r="F36" i="20"/>
  <c r="E36" i="20"/>
  <c r="D36" i="20"/>
  <c r="C36" i="20"/>
  <c r="B36" i="20"/>
  <c r="A36" i="20"/>
  <c r="H35" i="20"/>
  <c r="G35" i="20"/>
  <c r="F35" i="20"/>
  <c r="E35" i="20"/>
  <c r="D35" i="20"/>
  <c r="C35" i="20"/>
  <c r="B35" i="20"/>
  <c r="A35" i="20"/>
  <c r="H34" i="20"/>
  <c r="G34" i="20"/>
  <c r="F34" i="20"/>
  <c r="E34" i="20"/>
  <c r="D34" i="20"/>
  <c r="C34" i="20"/>
  <c r="B34" i="20"/>
  <c r="A34" i="20"/>
  <c r="H33" i="20"/>
  <c r="G33" i="20"/>
  <c r="F33" i="20"/>
  <c r="E33" i="20"/>
  <c r="D33" i="20"/>
  <c r="C33" i="20"/>
  <c r="B33" i="20"/>
  <c r="A33" i="20"/>
  <c r="H32" i="20"/>
  <c r="G32" i="20"/>
  <c r="F32" i="20"/>
  <c r="E32" i="20"/>
  <c r="D32" i="20"/>
  <c r="C32" i="20"/>
  <c r="B32" i="20"/>
  <c r="A32" i="20"/>
  <c r="H31" i="20"/>
  <c r="G31" i="20"/>
  <c r="F31" i="20"/>
  <c r="E31" i="20"/>
  <c r="D31" i="20"/>
  <c r="C31" i="20"/>
  <c r="B31" i="20"/>
  <c r="A31" i="20"/>
  <c r="H29" i="20"/>
  <c r="G29" i="20"/>
  <c r="F29" i="20"/>
  <c r="E29" i="20"/>
  <c r="D29" i="20"/>
  <c r="C29" i="20"/>
  <c r="B29" i="20"/>
  <c r="A29" i="20"/>
  <c r="H28" i="20"/>
  <c r="G28" i="20"/>
  <c r="F28" i="20"/>
  <c r="E28" i="20"/>
  <c r="D28" i="20"/>
  <c r="C28" i="20"/>
  <c r="B28" i="20"/>
  <c r="A28" i="20"/>
  <c r="H27" i="20"/>
  <c r="G27" i="20"/>
  <c r="F27" i="20"/>
  <c r="E27" i="20"/>
  <c r="D27" i="20"/>
  <c r="C27" i="20"/>
  <c r="B27" i="20"/>
  <c r="A27" i="20"/>
  <c r="H26" i="20"/>
  <c r="G26" i="20"/>
  <c r="F26" i="20"/>
  <c r="E26" i="20"/>
  <c r="D26" i="20"/>
  <c r="C26" i="20"/>
  <c r="B26" i="20"/>
  <c r="A26" i="20"/>
  <c r="H25" i="20"/>
  <c r="G25" i="20"/>
  <c r="F25" i="20"/>
  <c r="E25" i="20"/>
  <c r="D25" i="20"/>
  <c r="C25" i="20"/>
  <c r="B25" i="20"/>
  <c r="A25" i="20"/>
  <c r="H24" i="20"/>
  <c r="G24" i="20"/>
  <c r="F24" i="20"/>
  <c r="E24" i="20"/>
  <c r="D24" i="20"/>
  <c r="C24" i="20"/>
  <c r="B24" i="20"/>
  <c r="A24" i="20"/>
  <c r="H23" i="20"/>
  <c r="G23" i="20"/>
  <c r="F23" i="20"/>
  <c r="E23" i="20"/>
  <c r="D23" i="20"/>
  <c r="C23" i="20"/>
  <c r="B23" i="20"/>
  <c r="A23" i="20"/>
  <c r="H22" i="20"/>
  <c r="G22" i="20"/>
  <c r="F22" i="20"/>
  <c r="E22" i="20"/>
  <c r="D22" i="20"/>
  <c r="C22" i="20"/>
  <c r="B22" i="20"/>
  <c r="A22" i="20"/>
  <c r="H21" i="20"/>
  <c r="G21" i="20"/>
  <c r="F21" i="20"/>
  <c r="E21" i="20"/>
  <c r="D21" i="20"/>
  <c r="C21" i="20"/>
  <c r="B21" i="20"/>
  <c r="A21" i="20"/>
  <c r="H20" i="20"/>
  <c r="G20" i="20"/>
  <c r="F20" i="20"/>
  <c r="E20" i="20"/>
  <c r="D20" i="20"/>
  <c r="C20" i="20"/>
  <c r="B20" i="20"/>
  <c r="A20" i="20"/>
  <c r="H19" i="20"/>
  <c r="G19" i="20"/>
  <c r="F19" i="20"/>
  <c r="E19" i="20"/>
  <c r="D19" i="20"/>
  <c r="C19" i="20"/>
  <c r="B19" i="20"/>
  <c r="A19" i="20"/>
  <c r="H18" i="20"/>
  <c r="G18" i="20"/>
  <c r="F18" i="20"/>
  <c r="E18" i="20"/>
  <c r="D18" i="20"/>
  <c r="C18" i="20"/>
  <c r="B18" i="20"/>
  <c r="A18" i="20"/>
  <c r="H17" i="20"/>
  <c r="G17" i="20"/>
  <c r="F17" i="20"/>
  <c r="E17" i="20"/>
  <c r="D17" i="20"/>
  <c r="C17" i="20"/>
  <c r="B17" i="20"/>
  <c r="A17" i="20"/>
  <c r="H16" i="20"/>
  <c r="G16" i="20"/>
  <c r="F16" i="20"/>
  <c r="E16" i="20"/>
  <c r="D16" i="20"/>
  <c r="C16" i="20"/>
  <c r="B16" i="20"/>
  <c r="A16" i="20"/>
  <c r="H15" i="20"/>
  <c r="G15" i="20"/>
  <c r="F15" i="20"/>
  <c r="E15" i="20"/>
  <c r="D15" i="20"/>
  <c r="C15" i="20"/>
  <c r="B15" i="20"/>
  <c r="A15" i="20"/>
  <c r="H14" i="20"/>
  <c r="G14" i="20"/>
  <c r="F14" i="20"/>
  <c r="E14" i="20"/>
  <c r="D14" i="20"/>
  <c r="C14" i="20"/>
  <c r="B14" i="20"/>
  <c r="A14" i="20"/>
  <c r="H13" i="20"/>
  <c r="G13" i="20"/>
  <c r="F13" i="20"/>
  <c r="E13" i="20"/>
  <c r="D13" i="20"/>
  <c r="C13" i="20"/>
  <c r="B13" i="20"/>
  <c r="A13" i="20"/>
  <c r="H12" i="20"/>
  <c r="G12" i="20"/>
  <c r="F12" i="20"/>
  <c r="E12" i="20"/>
  <c r="D12" i="20"/>
  <c r="C12" i="20"/>
  <c r="B12" i="20"/>
  <c r="A12" i="20"/>
  <c r="H11" i="20"/>
  <c r="G11" i="20"/>
  <c r="F11" i="20"/>
  <c r="E11" i="20"/>
  <c r="D11" i="20"/>
  <c r="C11" i="20"/>
  <c r="B11" i="20"/>
  <c r="A11" i="20"/>
  <c r="H10" i="20"/>
  <c r="G10" i="20"/>
  <c r="F10" i="20"/>
  <c r="E10" i="20"/>
  <c r="D10" i="20"/>
  <c r="C10" i="20"/>
  <c r="B10" i="20"/>
  <c r="A10" i="20"/>
  <c r="H9" i="20"/>
  <c r="G9" i="20"/>
  <c r="F9" i="20"/>
  <c r="E9" i="20"/>
  <c r="D9" i="20"/>
  <c r="C9" i="20"/>
  <c r="B9" i="20"/>
  <c r="A9" i="20"/>
  <c r="H8" i="20"/>
  <c r="G8" i="20"/>
  <c r="F8" i="20"/>
  <c r="E8" i="20"/>
  <c r="D8" i="20"/>
  <c r="C8" i="20"/>
  <c r="B8" i="20"/>
  <c r="A8" i="20"/>
  <c r="H7" i="20"/>
  <c r="G7" i="20"/>
  <c r="F7" i="20"/>
  <c r="E7" i="20"/>
  <c r="D7" i="20"/>
  <c r="C7" i="20"/>
  <c r="B7" i="20"/>
  <c r="A7" i="20"/>
  <c r="H6" i="20"/>
  <c r="G6" i="20"/>
  <c r="F6" i="20"/>
  <c r="E6" i="20"/>
  <c r="D6" i="20"/>
  <c r="C6" i="20"/>
  <c r="B6" i="20"/>
  <c r="A6" i="20"/>
  <c r="H5" i="20"/>
  <c r="G5" i="20"/>
  <c r="F5" i="20"/>
  <c r="E5" i="20"/>
  <c r="D5" i="20"/>
  <c r="C5" i="20"/>
  <c r="B5" i="20"/>
  <c r="A5" i="20"/>
  <c r="H4" i="20"/>
  <c r="G4" i="20"/>
  <c r="F4" i="20"/>
  <c r="E4" i="20"/>
  <c r="D4" i="20"/>
  <c r="C4" i="20"/>
  <c r="B4" i="20"/>
  <c r="A4" i="20"/>
  <c r="AR56" i="19"/>
  <c r="T60" i="21" l="1"/>
  <c r="Z60" i="21"/>
  <c r="O60" i="21"/>
  <c r="AO60" i="21"/>
  <c r="Q60" i="21"/>
  <c r="R60" i="21"/>
  <c r="AH60" i="21"/>
  <c r="AA60" i="21"/>
  <c r="P60" i="21"/>
  <c r="AG60" i="21"/>
  <c r="S60" i="21"/>
  <c r="AN60" i="21"/>
  <c r="L60" i="21"/>
  <c r="N60" i="21"/>
  <c r="K60" i="21"/>
  <c r="M60" i="21"/>
  <c r="I29" i="21"/>
  <c r="M59" i="21"/>
  <c r="L59" i="21"/>
  <c r="K59" i="21"/>
  <c r="I45" i="21"/>
  <c r="V59" i="21"/>
  <c r="O59" i="21"/>
  <c r="AO59" i="21"/>
  <c r="AN59" i="21"/>
  <c r="AK59" i="21"/>
  <c r="AL59" i="21"/>
  <c r="Z59" i="21"/>
  <c r="Y59" i="21"/>
  <c r="X59" i="21"/>
  <c r="N59" i="21"/>
  <c r="Q59" i="21"/>
  <c r="P59" i="21"/>
  <c r="AJ59" i="21"/>
  <c r="AM59" i="21"/>
  <c r="U59" i="21"/>
  <c r="R59" i="21"/>
  <c r="AI59" i="21"/>
  <c r="AH59" i="21"/>
  <c r="AG59" i="21"/>
  <c r="AF59" i="21"/>
  <c r="AE59" i="21"/>
  <c r="AD59" i="21"/>
  <c r="AC59" i="21"/>
  <c r="AB59" i="21"/>
  <c r="W59" i="21"/>
  <c r="AA59" i="21"/>
  <c r="S59" i="21"/>
  <c r="T59" i="21"/>
  <c r="AQ17" i="21"/>
  <c r="AS17" i="21" s="1"/>
  <c r="AQ19" i="21"/>
  <c r="AS19" i="21" s="1"/>
  <c r="AQ23" i="21"/>
  <c r="AS23" i="21" s="1"/>
  <c r="AQ33" i="21"/>
  <c r="AS33" i="21" s="1"/>
  <c r="AQ35" i="21"/>
  <c r="AS35" i="21" s="1"/>
  <c r="AQ39" i="21"/>
  <c r="AS39" i="21" s="1"/>
  <c r="AC60" i="21"/>
  <c r="AQ28" i="21"/>
  <c r="AS28" i="21" s="1"/>
  <c r="AQ44" i="21"/>
  <c r="AS44" i="21" s="1"/>
  <c r="I15" i="21"/>
  <c r="I31" i="21"/>
  <c r="AF60" i="21"/>
  <c r="AI60" i="21"/>
  <c r="U60" i="21"/>
  <c r="AQ10" i="21"/>
  <c r="AS10" i="21" s="1"/>
  <c r="AQ12" i="21"/>
  <c r="AS12" i="21" s="1"/>
  <c r="AQ30" i="21"/>
  <c r="AS30" i="21" s="1"/>
  <c r="AE60" i="21"/>
  <c r="AQ31" i="21"/>
  <c r="AS31" i="21" s="1"/>
  <c r="V60" i="21"/>
  <c r="I32" i="21"/>
  <c r="I34" i="21"/>
  <c r="I38" i="21"/>
  <c r="AL60" i="21"/>
  <c r="AJ60" i="21"/>
  <c r="AD60" i="21"/>
  <c r="AB60" i="21"/>
  <c r="AQ14" i="21"/>
  <c r="AS14" i="21" s="1"/>
  <c r="I14" i="21"/>
  <c r="AM60" i="21"/>
  <c r="AK60" i="21"/>
  <c r="X60" i="21"/>
  <c r="W60" i="21"/>
  <c r="AQ4" i="21"/>
  <c r="AS4" i="21" s="1"/>
  <c r="I6" i="21"/>
  <c r="I12" i="21"/>
  <c r="AQ21" i="21"/>
  <c r="AS21" i="21" s="1"/>
  <c r="AQ25" i="21"/>
  <c r="AS25" i="21" s="1"/>
  <c r="AQ27" i="21"/>
  <c r="AS27" i="21" s="1"/>
  <c r="AQ29" i="21"/>
  <c r="AS29" i="21" s="1"/>
  <c r="I43" i="21"/>
  <c r="I4" i="21"/>
  <c r="I10" i="21"/>
  <c r="I16" i="21"/>
  <c r="I18" i="21"/>
  <c r="I22" i="21"/>
  <c r="I28" i="21"/>
  <c r="AQ37" i="21"/>
  <c r="AS37" i="21" s="1"/>
  <c r="AQ41" i="21"/>
  <c r="AS41" i="21" s="1"/>
  <c r="AQ43" i="21"/>
  <c r="AS43" i="21" s="1"/>
  <c r="AQ45" i="21"/>
  <c r="AS45" i="21" s="1"/>
  <c r="I20" i="21"/>
  <c r="I26" i="21"/>
  <c r="I44" i="21"/>
  <c r="I8" i="21"/>
  <c r="I36" i="21"/>
  <c r="I42" i="21"/>
  <c r="I30" i="21"/>
  <c r="Y60" i="21"/>
  <c r="AQ6" i="21"/>
  <c r="AS6" i="21" s="1"/>
  <c r="AQ16" i="21"/>
  <c r="AS16" i="21" s="1"/>
  <c r="AQ20" i="21"/>
  <c r="AS20" i="21" s="1"/>
  <c r="AQ24" i="21"/>
  <c r="AS24" i="21" s="1"/>
  <c r="AQ26" i="21"/>
  <c r="AS26" i="21" s="1"/>
  <c r="AS57" i="21"/>
  <c r="I7" i="21"/>
  <c r="I9" i="21"/>
  <c r="I13" i="21"/>
  <c r="AQ18" i="21"/>
  <c r="AS18" i="21" s="1"/>
  <c r="AQ22" i="21"/>
  <c r="AS22" i="21" s="1"/>
  <c r="AQ32" i="21"/>
  <c r="AS32" i="21" s="1"/>
  <c r="AQ36" i="21"/>
  <c r="AS36" i="21" s="1"/>
  <c r="AQ40" i="21"/>
  <c r="AS40" i="21" s="1"/>
  <c r="AQ42" i="21"/>
  <c r="AS42" i="21" s="1"/>
  <c r="I17" i="21"/>
  <c r="I19" i="21"/>
  <c r="I23" i="21"/>
  <c r="I25" i="21"/>
  <c r="AQ34" i="21"/>
  <c r="AS34" i="21" s="1"/>
  <c r="AQ38" i="21"/>
  <c r="AS38" i="21" s="1"/>
  <c r="I11" i="21"/>
  <c r="I33" i="21"/>
  <c r="I35" i="21"/>
  <c r="I39" i="21"/>
  <c r="AQ7" i="21"/>
  <c r="AS7" i="21" s="1"/>
  <c r="I41" i="21"/>
  <c r="AQ5" i="21"/>
  <c r="AS5" i="21" s="1"/>
  <c r="AQ9" i="21"/>
  <c r="AS9" i="21" s="1"/>
  <c r="AQ11" i="21"/>
  <c r="AS11" i="21" s="1"/>
  <c r="AQ13" i="21"/>
  <c r="AS13" i="21" s="1"/>
  <c r="AQ15" i="21"/>
  <c r="AS15" i="21" s="1"/>
  <c r="I27" i="21"/>
  <c r="AR57" i="21"/>
  <c r="I5" i="21"/>
  <c r="I24" i="21"/>
  <c r="AQ8" i="21"/>
  <c r="AS8" i="21" s="1"/>
  <c r="I21" i="21"/>
  <c r="I37" i="21"/>
  <c r="I40" i="21"/>
  <c r="I8" i="20"/>
  <c r="AP31" i="20"/>
  <c r="AR31" i="20" s="1"/>
  <c r="AP37" i="20"/>
  <c r="AR37" i="20" s="1"/>
  <c r="AP30" i="20"/>
  <c r="AR30" i="20" s="1"/>
  <c r="Q55" i="20"/>
  <c r="Q60" i="20" s="1"/>
  <c r="AE55" i="20"/>
  <c r="AE60" i="20" s="1"/>
  <c r="P55" i="20"/>
  <c r="P60" i="20" s="1"/>
  <c r="O55" i="20"/>
  <c r="O60" i="20" s="1"/>
  <c r="I46" i="20"/>
  <c r="I14" i="20"/>
  <c r="I26" i="20"/>
  <c r="I16" i="20"/>
  <c r="I24" i="20"/>
  <c r="AF55" i="20"/>
  <c r="AF60" i="20" s="1"/>
  <c r="N55" i="20"/>
  <c r="N60" i="20" s="1"/>
  <c r="K55" i="20"/>
  <c r="K60" i="20" s="1"/>
  <c r="AN55" i="20"/>
  <c r="AN60" i="20" s="1"/>
  <c r="AM55" i="20"/>
  <c r="AM60" i="20" s="1"/>
  <c r="AL55" i="20"/>
  <c r="AL60" i="20" s="1"/>
  <c r="AJ55" i="20"/>
  <c r="AJ60" i="20" s="1"/>
  <c r="AI55" i="20"/>
  <c r="AI60" i="20" s="1"/>
  <c r="AH55" i="20"/>
  <c r="AH60" i="20" s="1"/>
  <c r="AG55" i="20"/>
  <c r="AG60" i="20" s="1"/>
  <c r="AD55" i="20"/>
  <c r="AD60" i="20" s="1"/>
  <c r="AC55" i="20"/>
  <c r="AC60" i="20" s="1"/>
  <c r="AB55" i="20"/>
  <c r="AB60" i="20" s="1"/>
  <c r="M55" i="20"/>
  <c r="M60" i="20" s="1"/>
  <c r="AK55" i="20"/>
  <c r="AK60" i="20" s="1"/>
  <c r="L55" i="20"/>
  <c r="L60" i="20" s="1"/>
  <c r="AA55" i="20"/>
  <c r="AA60" i="20" s="1"/>
  <c r="Z55" i="20"/>
  <c r="Z60" i="20" s="1"/>
  <c r="Y55" i="20"/>
  <c r="Y60" i="20" s="1"/>
  <c r="X55" i="20"/>
  <c r="X60" i="20" s="1"/>
  <c r="W55" i="20"/>
  <c r="W60" i="20" s="1"/>
  <c r="T55" i="20"/>
  <c r="T60" i="20" s="1"/>
  <c r="S55" i="20"/>
  <c r="S60" i="20" s="1"/>
  <c r="R55" i="20"/>
  <c r="R60" i="20" s="1"/>
  <c r="U55" i="20"/>
  <c r="U60" i="20" s="1"/>
  <c r="V55" i="20"/>
  <c r="V60" i="20" s="1"/>
  <c r="AP42" i="20"/>
  <c r="AR42" i="20" s="1"/>
  <c r="I42" i="20"/>
  <c r="AG61" i="20"/>
  <c r="AP46" i="20"/>
  <c r="AR46" i="20" s="1"/>
  <c r="AP45" i="20"/>
  <c r="AR45" i="20" s="1"/>
  <c r="AP43" i="20"/>
  <c r="AR43" i="20" s="1"/>
  <c r="AP21" i="20"/>
  <c r="AR21" i="20" s="1"/>
  <c r="AP17" i="20"/>
  <c r="AR17" i="20" s="1"/>
  <c r="AP32" i="20"/>
  <c r="AR32" i="20" s="1"/>
  <c r="AP34" i="20"/>
  <c r="AR34" i="20" s="1"/>
  <c r="AP36" i="20"/>
  <c r="AR36" i="20" s="1"/>
  <c r="AE61" i="20"/>
  <c r="I37" i="20"/>
  <c r="AP4" i="20"/>
  <c r="AR4" i="20" s="1"/>
  <c r="AP8" i="20"/>
  <c r="AR8" i="20" s="1"/>
  <c r="AP10" i="20"/>
  <c r="AR10" i="20" s="1"/>
  <c r="AP12" i="20"/>
  <c r="AR12" i="20" s="1"/>
  <c r="AP14" i="20"/>
  <c r="AR14" i="20" s="1"/>
  <c r="AP16" i="20"/>
  <c r="AR16" i="20" s="1"/>
  <c r="AP18" i="20"/>
  <c r="AR18" i="20" s="1"/>
  <c r="AP20" i="20"/>
  <c r="AR20" i="20" s="1"/>
  <c r="AP24" i="20"/>
  <c r="AR24" i="20" s="1"/>
  <c r="AP26" i="20"/>
  <c r="AR26" i="20" s="1"/>
  <c r="I31" i="20"/>
  <c r="I30" i="20"/>
  <c r="I32" i="20"/>
  <c r="I36" i="20"/>
  <c r="M61" i="20"/>
  <c r="AR58" i="20"/>
  <c r="AP40" i="20"/>
  <c r="AR40" i="20" s="1"/>
  <c r="I40" i="20"/>
  <c r="R61" i="20"/>
  <c r="O61" i="20"/>
  <c r="AP33" i="20"/>
  <c r="AR33" i="20" s="1"/>
  <c r="AP28" i="20"/>
  <c r="AR28" i="20" s="1"/>
  <c r="P61" i="20"/>
  <c r="Q61" i="20"/>
  <c r="AC61" i="20"/>
  <c r="AP13" i="20"/>
  <c r="AR13" i="20" s="1"/>
  <c r="AH61" i="20"/>
  <c r="I10" i="20"/>
  <c r="AI61" i="20"/>
  <c r="I4" i="20"/>
  <c r="AD61" i="20"/>
  <c r="AP27" i="20"/>
  <c r="AR27" i="20" s="1"/>
  <c r="S61" i="20"/>
  <c r="AP29" i="20"/>
  <c r="AR29" i="20" s="1"/>
  <c r="AF61" i="20"/>
  <c r="I20" i="20"/>
  <c r="AK61" i="20"/>
  <c r="AL61" i="20"/>
  <c r="I12" i="20"/>
  <c r="AM61" i="20"/>
  <c r="X61" i="20"/>
  <c r="I6" i="20"/>
  <c r="Z61" i="20"/>
  <c r="I7" i="20"/>
  <c r="I34" i="20"/>
  <c r="AQ58" i="20"/>
  <c r="AP22" i="20"/>
  <c r="AR22" i="20" s="1"/>
  <c r="I23" i="20"/>
  <c r="I27" i="20"/>
  <c r="I15" i="20"/>
  <c r="I21" i="20"/>
  <c r="I38" i="20"/>
  <c r="I44" i="20"/>
  <c r="AP23" i="20"/>
  <c r="AR23" i="20" s="1"/>
  <c r="T61" i="20"/>
  <c r="AP19" i="20"/>
  <c r="AR19" i="20" s="1"/>
  <c r="U61" i="20"/>
  <c r="I41" i="20"/>
  <c r="AP39" i="20"/>
  <c r="AR39" i="20" s="1"/>
  <c r="W61" i="20"/>
  <c r="I35" i="20"/>
  <c r="AB61" i="20"/>
  <c r="I11" i="20"/>
  <c r="K61" i="20"/>
  <c r="I5" i="20"/>
  <c r="I17" i="20"/>
  <c r="N61" i="20"/>
  <c r="I9" i="20"/>
  <c r="I25" i="20"/>
  <c r="AJ61" i="20"/>
  <c r="V61" i="20"/>
  <c r="I18" i="20"/>
  <c r="AN61" i="20"/>
  <c r="Y61" i="20"/>
  <c r="I28" i="20"/>
  <c r="L61" i="20"/>
  <c r="I13" i="20"/>
  <c r="AA61" i="20"/>
  <c r="I29" i="20"/>
  <c r="AP5" i="20"/>
  <c r="AR5" i="20" s="1"/>
  <c r="AP11" i="20"/>
  <c r="AR11" i="20" s="1"/>
  <c r="AP44" i="20"/>
  <c r="AR44" i="20" s="1"/>
  <c r="AP7" i="20"/>
  <c r="AR7" i="20" s="1"/>
  <c r="AP15" i="20"/>
  <c r="AR15" i="20" s="1"/>
  <c r="I33" i="20"/>
  <c r="I39" i="20"/>
  <c r="I43" i="20"/>
  <c r="I45" i="20"/>
  <c r="I19" i="20"/>
  <c r="AP38" i="20"/>
  <c r="AR38" i="20" s="1"/>
  <c r="AP35" i="20"/>
  <c r="AR35" i="20" s="1"/>
  <c r="AP9" i="20"/>
  <c r="AR9" i="20" s="1"/>
  <c r="AP6" i="20"/>
  <c r="AR6" i="20" s="1"/>
  <c r="AP25" i="20"/>
  <c r="AR25" i="20" s="1"/>
  <c r="I22" i="20"/>
  <c r="AP41" i="20"/>
  <c r="AR41" i="20" s="1"/>
  <c r="M47" i="19" a="1"/>
  <c r="M47" i="19" s="1"/>
  <c r="N47" i="19" a="1"/>
  <c r="N47" i="19" s="1"/>
  <c r="O47" i="19" a="1"/>
  <c r="O47" i="19" s="1"/>
  <c r="P47" i="19" a="1"/>
  <c r="P47" i="19" s="1"/>
  <c r="Q47" i="19" a="1"/>
  <c r="Q47" i="19" s="1"/>
  <c r="R47" i="19" a="1"/>
  <c r="R47" i="19" s="1"/>
  <c r="S47" i="19" a="1"/>
  <c r="S47" i="19" s="1"/>
  <c r="T47" i="19" a="1"/>
  <c r="T47" i="19" s="1"/>
  <c r="U47" i="19" a="1"/>
  <c r="U47" i="19" s="1"/>
  <c r="M48" i="19" a="1"/>
  <c r="M48" i="19" s="1"/>
  <c r="N48" i="19" a="1"/>
  <c r="N48" i="19" s="1"/>
  <c r="O48" i="19" a="1"/>
  <c r="O48" i="19" s="1"/>
  <c r="P48" i="19" a="1"/>
  <c r="P48" i="19" s="1"/>
  <c r="Q48" i="19" a="1"/>
  <c r="Q48" i="19" s="1"/>
  <c r="R48" i="19" a="1"/>
  <c r="R48" i="19" s="1"/>
  <c r="S48" i="19" a="1"/>
  <c r="S48" i="19" s="1"/>
  <c r="T48" i="19" a="1"/>
  <c r="T48" i="19" s="1"/>
  <c r="U48" i="19" a="1"/>
  <c r="U48" i="19" s="1"/>
  <c r="M49" i="19"/>
  <c r="N49" i="19"/>
  <c r="O49" i="19"/>
  <c r="P49" i="19"/>
  <c r="Q49" i="19"/>
  <c r="R49" i="19"/>
  <c r="S49" i="19"/>
  <c r="T49" i="19"/>
  <c r="U49" i="19"/>
  <c r="M50" i="19" a="1"/>
  <c r="M50" i="19" s="1"/>
  <c r="N50" i="19" a="1"/>
  <c r="N50" i="19" s="1"/>
  <c r="O50" i="19" a="1"/>
  <c r="O50" i="19" s="1"/>
  <c r="P50" i="19" a="1"/>
  <c r="P50" i="19" s="1"/>
  <c r="Q50" i="19" a="1"/>
  <c r="Q50" i="19" s="1"/>
  <c r="R50" i="19" a="1"/>
  <c r="R50" i="19" s="1"/>
  <c r="S50" i="19" a="1"/>
  <c r="S50" i="19" s="1"/>
  <c r="T50" i="19" a="1"/>
  <c r="T50" i="19" s="1"/>
  <c r="U50" i="19" a="1"/>
  <c r="U50" i="19" s="1"/>
  <c r="M51" i="19" a="1"/>
  <c r="M51" i="19" s="1"/>
  <c r="N51" i="19" a="1"/>
  <c r="N51" i="19" s="1"/>
  <c r="O51" i="19" a="1"/>
  <c r="O51" i="19" s="1"/>
  <c r="P51" i="19" a="1"/>
  <c r="P51" i="19" s="1"/>
  <c r="Q51" i="19" a="1"/>
  <c r="Q51" i="19" s="1"/>
  <c r="R51" i="19" a="1"/>
  <c r="R51" i="19" s="1"/>
  <c r="S51" i="19" a="1"/>
  <c r="S51" i="19" s="1"/>
  <c r="T51" i="19" a="1"/>
  <c r="T51" i="19" s="1"/>
  <c r="U51" i="19" a="1"/>
  <c r="U51" i="19" s="1"/>
  <c r="M52" i="19"/>
  <c r="N52" i="19"/>
  <c r="O52" i="19"/>
  <c r="P52" i="19"/>
  <c r="Q52" i="19"/>
  <c r="R52" i="19"/>
  <c r="S52" i="19"/>
  <c r="T52" i="19"/>
  <c r="U52" i="19"/>
  <c r="M53" i="19"/>
  <c r="N53" i="19"/>
  <c r="O53" i="19"/>
  <c r="P53" i="19"/>
  <c r="Q53" i="19"/>
  <c r="R53" i="19"/>
  <c r="S53" i="19"/>
  <c r="T53" i="19"/>
  <c r="U53" i="19"/>
  <c r="M54" i="19"/>
  <c r="N54" i="19"/>
  <c r="O54" i="19"/>
  <c r="P54" i="19"/>
  <c r="Q54" i="19"/>
  <c r="R54" i="19"/>
  <c r="S54" i="19"/>
  <c r="T54" i="19"/>
  <c r="U54" i="19"/>
  <c r="M56" i="19"/>
  <c r="N56" i="19"/>
  <c r="O56" i="19"/>
  <c r="P56" i="19"/>
  <c r="Q56" i="19"/>
  <c r="R56" i="19"/>
  <c r="S56" i="19"/>
  <c r="T56" i="19"/>
  <c r="U56" i="19"/>
  <c r="M57" i="19"/>
  <c r="N57" i="19"/>
  <c r="O57" i="19"/>
  <c r="P57" i="19"/>
  <c r="Q57" i="19"/>
  <c r="R57" i="19"/>
  <c r="S57" i="19"/>
  <c r="T57" i="19"/>
  <c r="U57" i="19"/>
  <c r="M58" i="19"/>
  <c r="N58" i="19"/>
  <c r="O58" i="19"/>
  <c r="P58" i="19"/>
  <c r="Q58" i="19"/>
  <c r="R58" i="19"/>
  <c r="S58" i="19"/>
  <c r="T58" i="19"/>
  <c r="U58" i="19"/>
  <c r="M59" i="19"/>
  <c r="N59" i="19"/>
  <c r="O59" i="19"/>
  <c r="P59" i="19"/>
  <c r="Q59" i="19"/>
  <c r="R59" i="19"/>
  <c r="S59" i="19"/>
  <c r="T59" i="19"/>
  <c r="U59" i="19"/>
  <c r="AR50" i="19"/>
  <c r="A30" i="19"/>
  <c r="B30" i="19"/>
  <c r="C30" i="19"/>
  <c r="D30" i="19"/>
  <c r="E30" i="19"/>
  <c r="F30" i="19"/>
  <c r="G30" i="19"/>
  <c r="H30" i="19"/>
  <c r="AV6" i="19" a="1"/>
  <c r="AV6" i="19" s="1"/>
  <c r="AX6" i="19" s="1"/>
  <c r="AV7" i="19" a="1"/>
  <c r="AV7" i="19" s="1"/>
  <c r="AX7" i="19" s="1"/>
  <c r="AV9" i="19" a="1"/>
  <c r="AV9" i="19" s="1"/>
  <c r="AX9" i="19" s="1"/>
  <c r="AV10" i="19" a="1"/>
  <c r="AV10" i="19" s="1"/>
  <c r="AX10" i="19" s="1"/>
  <c r="AV11" i="19" a="1"/>
  <c r="AV11" i="19" s="1"/>
  <c r="AX11" i="19" s="1"/>
  <c r="AV12" i="19" a="1"/>
  <c r="AV12" i="19" s="1"/>
  <c r="AX12" i="19" s="1"/>
  <c r="AV13" i="19" a="1"/>
  <c r="AV13" i="19" s="1"/>
  <c r="AX13" i="19" s="1"/>
  <c r="AV15" i="19" a="1"/>
  <c r="AV15" i="19" s="1"/>
  <c r="AX15" i="19" s="1"/>
  <c r="AV16" i="19" a="1"/>
  <c r="AV16" i="19" s="1"/>
  <c r="AX16" i="19" s="1"/>
  <c r="AV17" i="19" a="1"/>
  <c r="AV17" i="19" s="1"/>
  <c r="AX17" i="19" s="1"/>
  <c r="AV18" i="19" a="1"/>
  <c r="AV18" i="19" s="1"/>
  <c r="AX18" i="19" s="1"/>
  <c r="AV4" i="19" a="1"/>
  <c r="AV4" i="19" s="1"/>
  <c r="AX4" i="19" s="1"/>
  <c r="A46" i="19"/>
  <c r="B46" i="19"/>
  <c r="C46" i="19"/>
  <c r="D46" i="19"/>
  <c r="E46" i="19"/>
  <c r="F46" i="19"/>
  <c r="G46" i="19"/>
  <c r="H46" i="19"/>
  <c r="K47" i="19" a="1"/>
  <c r="K47" i="19" s="1"/>
  <c r="L47" i="19" a="1"/>
  <c r="L47" i="19" s="1"/>
  <c r="V47" i="19" a="1"/>
  <c r="V47" i="19" s="1"/>
  <c r="W47" i="19" a="1"/>
  <c r="W47" i="19" s="1"/>
  <c r="X47" i="19" a="1"/>
  <c r="X47" i="19" s="1"/>
  <c r="Y47" i="19" a="1"/>
  <c r="Y47" i="19" s="1"/>
  <c r="Z47" i="19" a="1"/>
  <c r="Z47" i="19" s="1"/>
  <c r="AA47" i="19" a="1"/>
  <c r="AA47" i="19" s="1"/>
  <c r="AB47" i="19" a="1"/>
  <c r="AB47" i="19" s="1"/>
  <c r="AC47" i="19" a="1"/>
  <c r="AC47" i="19" s="1"/>
  <c r="AD47" i="19" a="1"/>
  <c r="AD47" i="19" s="1"/>
  <c r="AE47" i="19" a="1"/>
  <c r="AE47" i="19" s="1"/>
  <c r="AF47" i="19" a="1"/>
  <c r="AF47" i="19" s="1"/>
  <c r="AG47" i="19" a="1"/>
  <c r="AG47" i="19" s="1"/>
  <c r="AH47" i="19" a="1"/>
  <c r="AH47" i="19" s="1"/>
  <c r="AI47" i="19" a="1"/>
  <c r="AI47" i="19" s="1"/>
  <c r="AJ47" i="19" a="1"/>
  <c r="AJ47" i="19" s="1"/>
  <c r="AK47" i="19" a="1"/>
  <c r="AK47" i="19" s="1"/>
  <c r="AL47" i="19" a="1"/>
  <c r="AL47" i="19" s="1"/>
  <c r="AM47" i="19" a="1"/>
  <c r="AM47" i="19" s="1"/>
  <c r="AN47" i="19" a="1"/>
  <c r="AN47" i="19" s="1"/>
  <c r="AO47" i="19" a="1"/>
  <c r="AO47" i="19" s="1"/>
  <c r="K48" i="19" a="1"/>
  <c r="K48" i="19" s="1"/>
  <c r="L48" i="19" a="1"/>
  <c r="L48" i="19" s="1"/>
  <c r="V48" i="19" a="1"/>
  <c r="V48" i="19" s="1"/>
  <c r="W48" i="19" a="1"/>
  <c r="W48" i="19" s="1"/>
  <c r="X48" i="19" a="1"/>
  <c r="X48" i="19" s="1"/>
  <c r="Y48" i="19" a="1"/>
  <c r="Y48" i="19" s="1"/>
  <c r="Z48" i="19" a="1"/>
  <c r="Z48" i="19" s="1"/>
  <c r="AA48" i="19" a="1"/>
  <c r="AA48" i="19" s="1"/>
  <c r="AB48" i="19" a="1"/>
  <c r="AB48" i="19" s="1"/>
  <c r="AC48" i="19" a="1"/>
  <c r="AC48" i="19" s="1"/>
  <c r="AD48" i="19" a="1"/>
  <c r="AD48" i="19" s="1"/>
  <c r="AE48" i="19" a="1"/>
  <c r="AE48" i="19" s="1"/>
  <c r="AF48" i="19" a="1"/>
  <c r="AF48" i="19" s="1"/>
  <c r="AG48" i="19" a="1"/>
  <c r="AG48" i="19" s="1"/>
  <c r="AH48" i="19" a="1"/>
  <c r="AH48" i="19" s="1"/>
  <c r="AI48" i="19" a="1"/>
  <c r="AI48" i="19" s="1"/>
  <c r="AJ48" i="19" a="1"/>
  <c r="AJ48" i="19" s="1"/>
  <c r="AK48" i="19" a="1"/>
  <c r="AK48" i="19" s="1"/>
  <c r="AL48" i="19" a="1"/>
  <c r="AL48" i="19" s="1"/>
  <c r="AM48" i="19" a="1"/>
  <c r="AM48" i="19" s="1"/>
  <c r="AN48" i="19" a="1"/>
  <c r="AN48" i="19" s="1"/>
  <c r="AO48" i="19" a="1"/>
  <c r="AO48" i="19" s="1"/>
  <c r="K49" i="19"/>
  <c r="L49" i="19"/>
  <c r="V49" i="19"/>
  <c r="W49" i="19"/>
  <c r="X49" i="19"/>
  <c r="Y49" i="19"/>
  <c r="Z49" i="19"/>
  <c r="AA49" i="19"/>
  <c r="AB49" i="19"/>
  <c r="AC49" i="19"/>
  <c r="AD49" i="19"/>
  <c r="AE49" i="19"/>
  <c r="AF49" i="19"/>
  <c r="AG49" i="19"/>
  <c r="AH49" i="19"/>
  <c r="AI49" i="19"/>
  <c r="AJ49" i="19"/>
  <c r="AK49" i="19"/>
  <c r="AL49" i="19"/>
  <c r="AM49" i="19"/>
  <c r="AN49" i="19"/>
  <c r="AO49" i="19"/>
  <c r="K50" i="19" a="1"/>
  <c r="K50" i="19" s="1"/>
  <c r="L50" i="19" a="1"/>
  <c r="L50" i="19" s="1"/>
  <c r="V50" i="19" a="1"/>
  <c r="V50" i="19" s="1"/>
  <c r="W50" i="19" a="1"/>
  <c r="W50" i="19" s="1"/>
  <c r="X50" i="19" a="1"/>
  <c r="X50" i="19" s="1"/>
  <c r="Y50" i="19" a="1"/>
  <c r="Y50" i="19" s="1"/>
  <c r="Z50" i="19" a="1"/>
  <c r="Z50" i="19" s="1"/>
  <c r="AA50" i="19" a="1"/>
  <c r="AA50" i="19" s="1"/>
  <c r="AB50" i="19" a="1"/>
  <c r="AB50" i="19" s="1"/>
  <c r="AC50" i="19" a="1"/>
  <c r="AC50" i="19" s="1"/>
  <c r="AD50" i="19" a="1"/>
  <c r="AD50" i="19" s="1"/>
  <c r="AE50" i="19" a="1"/>
  <c r="AE50" i="19" s="1"/>
  <c r="AF50" i="19" a="1"/>
  <c r="AF50" i="19" s="1"/>
  <c r="AG50" i="19" a="1"/>
  <c r="AG50" i="19" s="1"/>
  <c r="AH50" i="19" a="1"/>
  <c r="AH50" i="19" s="1"/>
  <c r="AI50" i="19" a="1"/>
  <c r="AI50" i="19" s="1"/>
  <c r="AJ50" i="19" a="1"/>
  <c r="AJ50" i="19" s="1"/>
  <c r="AK50" i="19" a="1"/>
  <c r="AK50" i="19" s="1"/>
  <c r="AL50" i="19" a="1"/>
  <c r="AL50" i="19" s="1"/>
  <c r="AM50" i="19" a="1"/>
  <c r="AM50" i="19" s="1"/>
  <c r="AN50" i="19" a="1"/>
  <c r="AN50" i="19" s="1"/>
  <c r="AO50" i="19" a="1"/>
  <c r="AO50" i="19" s="1"/>
  <c r="K51" i="19" a="1"/>
  <c r="K51" i="19" s="1"/>
  <c r="L51" i="19" a="1"/>
  <c r="L51" i="19" s="1"/>
  <c r="V51" i="19" a="1"/>
  <c r="V51" i="19" s="1"/>
  <c r="W51" i="19" a="1"/>
  <c r="W51" i="19" s="1"/>
  <c r="X51" i="19" a="1"/>
  <c r="X51" i="19" s="1"/>
  <c r="Y51" i="19" a="1"/>
  <c r="Y51" i="19" s="1"/>
  <c r="Z51" i="19" a="1"/>
  <c r="Z51" i="19" s="1"/>
  <c r="AA51" i="19" a="1"/>
  <c r="AA51" i="19" s="1"/>
  <c r="AB51" i="19" a="1"/>
  <c r="AB51" i="19" s="1"/>
  <c r="AC51" i="19" a="1"/>
  <c r="AC51" i="19" s="1"/>
  <c r="AD51" i="19" a="1"/>
  <c r="AD51" i="19" s="1"/>
  <c r="AE51" i="19" a="1"/>
  <c r="AE51" i="19" s="1"/>
  <c r="AF51" i="19" a="1"/>
  <c r="AF51" i="19" s="1"/>
  <c r="AG51" i="19" a="1"/>
  <c r="AG51" i="19" s="1"/>
  <c r="AH51" i="19" a="1"/>
  <c r="AH51" i="19" s="1"/>
  <c r="AI51" i="19" a="1"/>
  <c r="AI51" i="19" s="1"/>
  <c r="AJ51" i="19" a="1"/>
  <c r="AJ51" i="19" s="1"/>
  <c r="AK51" i="19" a="1"/>
  <c r="AK51" i="19" s="1"/>
  <c r="AL51" i="19" a="1"/>
  <c r="AL51" i="19" s="1"/>
  <c r="AM51" i="19" a="1"/>
  <c r="AM51" i="19" s="1"/>
  <c r="AN51" i="19" a="1"/>
  <c r="AN51" i="19" s="1"/>
  <c r="AO51" i="19" a="1"/>
  <c r="AO51" i="19" s="1"/>
  <c r="K52" i="19"/>
  <c r="L52" i="19"/>
  <c r="V52" i="19"/>
  <c r="W52" i="19"/>
  <c r="X52" i="19"/>
  <c r="Y52" i="19"/>
  <c r="Z52" i="19"/>
  <c r="AA52" i="19"/>
  <c r="AB52" i="19"/>
  <c r="AC52" i="19"/>
  <c r="AD52" i="19"/>
  <c r="AE52" i="19"/>
  <c r="AF52" i="19"/>
  <c r="AG52" i="19"/>
  <c r="AH52" i="19"/>
  <c r="AI52" i="19"/>
  <c r="AJ52" i="19"/>
  <c r="AK52" i="19"/>
  <c r="AL52" i="19"/>
  <c r="AM52" i="19"/>
  <c r="AN52" i="19"/>
  <c r="AO52" i="19"/>
  <c r="K53" i="19"/>
  <c r="L53" i="19"/>
  <c r="V53" i="19"/>
  <c r="W53" i="19"/>
  <c r="X53" i="19"/>
  <c r="Y53" i="19"/>
  <c r="Z53" i="19"/>
  <c r="AA53" i="19"/>
  <c r="AB53" i="19"/>
  <c r="AC53" i="19"/>
  <c r="AD53" i="19"/>
  <c r="AE53" i="19"/>
  <c r="AF53" i="19"/>
  <c r="AG53" i="19"/>
  <c r="AH53" i="19"/>
  <c r="AI53" i="19"/>
  <c r="AJ53" i="19"/>
  <c r="AK53" i="19"/>
  <c r="AL53" i="19"/>
  <c r="AM53" i="19"/>
  <c r="AN53" i="19"/>
  <c r="AO53" i="19"/>
  <c r="K54" i="19"/>
  <c r="L54" i="19"/>
  <c r="V54" i="19"/>
  <c r="W54" i="19"/>
  <c r="X54" i="19"/>
  <c r="Y54" i="19"/>
  <c r="Z54" i="19"/>
  <c r="AA54" i="19"/>
  <c r="AB54" i="19"/>
  <c r="AC54" i="19"/>
  <c r="AD54" i="19"/>
  <c r="AE54" i="19"/>
  <c r="AF54" i="19"/>
  <c r="AG54" i="19"/>
  <c r="AH54" i="19"/>
  <c r="AI54" i="19"/>
  <c r="AJ54" i="19"/>
  <c r="AK54" i="19"/>
  <c r="AL54" i="19"/>
  <c r="AM54" i="19"/>
  <c r="AN54" i="19"/>
  <c r="AO54" i="19"/>
  <c r="AO64" i="19" a="1"/>
  <c r="AO64" i="19" s="1"/>
  <c r="AN64" i="19" a="1"/>
  <c r="AN64" i="19" s="1"/>
  <c r="AM64" i="19" a="1"/>
  <c r="AM64" i="19" s="1"/>
  <c r="AL64" i="19" a="1"/>
  <c r="AL64" i="19" s="1"/>
  <c r="AK64" i="19" a="1"/>
  <c r="AK64" i="19" s="1"/>
  <c r="AJ64" i="19" a="1"/>
  <c r="AJ64" i="19" s="1"/>
  <c r="AI64" i="19" a="1"/>
  <c r="AI64" i="19" s="1"/>
  <c r="AH64" i="19" a="1"/>
  <c r="AH64" i="19" s="1"/>
  <c r="AG64" i="19" a="1"/>
  <c r="AG64" i="19" s="1"/>
  <c r="AF64" i="19" a="1"/>
  <c r="AF64" i="19" s="1"/>
  <c r="AE64" i="19" a="1"/>
  <c r="AE64" i="19" s="1"/>
  <c r="AD64" i="19" a="1"/>
  <c r="AD64" i="19" s="1"/>
  <c r="AC64" i="19" a="1"/>
  <c r="AC64" i="19" s="1"/>
  <c r="AB64" i="19" a="1"/>
  <c r="AB64" i="19" s="1"/>
  <c r="AA64" i="19" a="1"/>
  <c r="AA64" i="19" s="1"/>
  <c r="Z64" i="19" a="1"/>
  <c r="Z64" i="19" s="1"/>
  <c r="Y64" i="19" a="1"/>
  <c r="Y64" i="19" s="1"/>
  <c r="X64" i="19" a="1"/>
  <c r="X64" i="19" s="1"/>
  <c r="W64" i="19" a="1"/>
  <c r="W64" i="19" s="1"/>
  <c r="V64" i="19" a="1"/>
  <c r="V64" i="19" s="1"/>
  <c r="U64" i="19" a="1"/>
  <c r="U64" i="19" s="1"/>
  <c r="T64" i="19" a="1"/>
  <c r="T64" i="19" s="1"/>
  <c r="S64" i="19" a="1"/>
  <c r="S64" i="19" s="1"/>
  <c r="R64" i="19" a="1"/>
  <c r="R64" i="19" s="1"/>
  <c r="Q64" i="19" a="1"/>
  <c r="Q64" i="19" s="1"/>
  <c r="P64" i="19" a="1"/>
  <c r="P64" i="19" s="1"/>
  <c r="O64" i="19" a="1"/>
  <c r="O64" i="19" s="1"/>
  <c r="N64" i="19" a="1"/>
  <c r="N64" i="19" s="1"/>
  <c r="M64" i="19" a="1"/>
  <c r="M64" i="19" s="1"/>
  <c r="L64" i="19" a="1"/>
  <c r="L64" i="19" s="1"/>
  <c r="K64" i="19" a="1"/>
  <c r="K64" i="19" s="1"/>
  <c r="AO59" i="19"/>
  <c r="AN59" i="19"/>
  <c r="AM59" i="19"/>
  <c r="AL59" i="19"/>
  <c r="AK59" i="19"/>
  <c r="AJ59" i="19"/>
  <c r="AI59" i="19"/>
  <c r="AH59" i="19"/>
  <c r="AG59" i="19"/>
  <c r="AF59" i="19"/>
  <c r="AE59" i="19"/>
  <c r="AD59" i="19"/>
  <c r="AC59" i="19"/>
  <c r="AB59" i="19"/>
  <c r="AA59" i="19"/>
  <c r="Z59" i="19"/>
  <c r="Y59" i="19"/>
  <c r="X59" i="19"/>
  <c r="W59" i="19"/>
  <c r="V59" i="19"/>
  <c r="L59" i="19"/>
  <c r="K59" i="19"/>
  <c r="AO58" i="19"/>
  <c r="AN58" i="19"/>
  <c r="AM58" i="19"/>
  <c r="AL58" i="19"/>
  <c r="AK58" i="19"/>
  <c r="AJ58" i="19"/>
  <c r="AI58" i="19"/>
  <c r="AH58" i="19"/>
  <c r="AG58" i="19"/>
  <c r="AF58" i="19"/>
  <c r="AE58" i="19"/>
  <c r="AD58" i="19"/>
  <c r="AC58" i="19"/>
  <c r="AB58" i="19"/>
  <c r="AA58" i="19"/>
  <c r="Z58" i="19"/>
  <c r="Y58" i="19"/>
  <c r="X58" i="19"/>
  <c r="W58" i="19"/>
  <c r="V58" i="19"/>
  <c r="L58" i="19"/>
  <c r="K58" i="19"/>
  <c r="AO57" i="19"/>
  <c r="AN57" i="19"/>
  <c r="AM57" i="19"/>
  <c r="AL57" i="19"/>
  <c r="AK57" i="19"/>
  <c r="AJ57" i="19"/>
  <c r="AI57" i="19"/>
  <c r="AH57" i="19"/>
  <c r="AG57" i="19"/>
  <c r="AF57" i="19"/>
  <c r="AE57" i="19"/>
  <c r="AD57" i="19"/>
  <c r="AC57" i="19"/>
  <c r="AB57" i="19"/>
  <c r="AA57" i="19"/>
  <c r="Z57" i="19"/>
  <c r="Y57" i="19"/>
  <c r="X57" i="19"/>
  <c r="W57" i="19"/>
  <c r="V57" i="19"/>
  <c r="L57" i="19"/>
  <c r="K57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L56" i="19"/>
  <c r="K56" i="19"/>
  <c r="AS54" i="19"/>
  <c r="AR54" i="19"/>
  <c r="AS53" i="19" a="1"/>
  <c r="AS53" i="19" s="1"/>
  <c r="AR53" i="19" a="1"/>
  <c r="AR53" i="19" s="1"/>
  <c r="AS52" i="19"/>
  <c r="AR52" i="19"/>
  <c r="AS51" i="19"/>
  <c r="AR51" i="19"/>
  <c r="AS50" i="19"/>
  <c r="AS49" i="19"/>
  <c r="AR49" i="19"/>
  <c r="H45" i="19"/>
  <c r="G45" i="19"/>
  <c r="F45" i="19"/>
  <c r="E45" i="19"/>
  <c r="D45" i="19"/>
  <c r="C45" i="19"/>
  <c r="B45" i="19"/>
  <c r="A45" i="19"/>
  <c r="H44" i="19"/>
  <c r="G44" i="19"/>
  <c r="F44" i="19"/>
  <c r="E44" i="19"/>
  <c r="D44" i="19"/>
  <c r="C44" i="19"/>
  <c r="B44" i="19"/>
  <c r="A44" i="19"/>
  <c r="H43" i="19"/>
  <c r="G43" i="19"/>
  <c r="F43" i="19"/>
  <c r="E43" i="19"/>
  <c r="D43" i="19"/>
  <c r="C43" i="19"/>
  <c r="B43" i="19"/>
  <c r="A43" i="19"/>
  <c r="H42" i="19"/>
  <c r="G42" i="19"/>
  <c r="F42" i="19"/>
  <c r="E42" i="19"/>
  <c r="D42" i="19"/>
  <c r="C42" i="19"/>
  <c r="B42" i="19"/>
  <c r="A42" i="19"/>
  <c r="H41" i="19"/>
  <c r="G41" i="19"/>
  <c r="F41" i="19"/>
  <c r="E41" i="19"/>
  <c r="D41" i="19"/>
  <c r="C41" i="19"/>
  <c r="B41" i="19"/>
  <c r="A41" i="19"/>
  <c r="H40" i="19"/>
  <c r="G40" i="19"/>
  <c r="F40" i="19"/>
  <c r="E40" i="19"/>
  <c r="D40" i="19"/>
  <c r="C40" i="19"/>
  <c r="B40" i="19"/>
  <c r="A40" i="19"/>
  <c r="H39" i="19"/>
  <c r="G39" i="19"/>
  <c r="F39" i="19"/>
  <c r="E39" i="19"/>
  <c r="D39" i="19"/>
  <c r="C39" i="19"/>
  <c r="B39" i="19"/>
  <c r="A39" i="19"/>
  <c r="H38" i="19"/>
  <c r="G38" i="19"/>
  <c r="F38" i="19"/>
  <c r="E38" i="19"/>
  <c r="D38" i="19"/>
  <c r="C38" i="19"/>
  <c r="B38" i="19"/>
  <c r="A38" i="19"/>
  <c r="H37" i="19"/>
  <c r="G37" i="19"/>
  <c r="F37" i="19"/>
  <c r="E37" i="19"/>
  <c r="D37" i="19"/>
  <c r="C37" i="19"/>
  <c r="B37" i="19"/>
  <c r="A37" i="19"/>
  <c r="H36" i="19"/>
  <c r="G36" i="19"/>
  <c r="F36" i="19"/>
  <c r="E36" i="19"/>
  <c r="D36" i="19"/>
  <c r="C36" i="19"/>
  <c r="B36" i="19"/>
  <c r="A36" i="19"/>
  <c r="H35" i="19"/>
  <c r="G35" i="19"/>
  <c r="F35" i="19"/>
  <c r="E35" i="19"/>
  <c r="D35" i="19"/>
  <c r="C35" i="19"/>
  <c r="B35" i="19"/>
  <c r="A35" i="19"/>
  <c r="H34" i="19"/>
  <c r="G34" i="19"/>
  <c r="F34" i="19"/>
  <c r="E34" i="19"/>
  <c r="D34" i="19"/>
  <c r="C34" i="19"/>
  <c r="B34" i="19"/>
  <c r="A34" i="19"/>
  <c r="H33" i="19"/>
  <c r="G33" i="19"/>
  <c r="F33" i="19"/>
  <c r="E33" i="19"/>
  <c r="D33" i="19"/>
  <c r="C33" i="19"/>
  <c r="B33" i="19"/>
  <c r="A33" i="19"/>
  <c r="H32" i="19"/>
  <c r="G32" i="19"/>
  <c r="F32" i="19"/>
  <c r="E32" i="19"/>
  <c r="D32" i="19"/>
  <c r="C32" i="19"/>
  <c r="B32" i="19"/>
  <c r="A32" i="19"/>
  <c r="H31" i="19"/>
  <c r="G31" i="19"/>
  <c r="F31" i="19"/>
  <c r="E31" i="19"/>
  <c r="D31" i="19"/>
  <c r="C31" i="19"/>
  <c r="B31" i="19"/>
  <c r="A31" i="19"/>
  <c r="H29" i="19"/>
  <c r="G29" i="19"/>
  <c r="F29" i="19"/>
  <c r="E29" i="19"/>
  <c r="D29" i="19"/>
  <c r="C29" i="19"/>
  <c r="B29" i="19"/>
  <c r="A29" i="19"/>
  <c r="H28" i="19"/>
  <c r="G28" i="19"/>
  <c r="F28" i="19"/>
  <c r="E28" i="19"/>
  <c r="D28" i="19"/>
  <c r="C28" i="19"/>
  <c r="B28" i="19"/>
  <c r="A28" i="19"/>
  <c r="H27" i="19"/>
  <c r="G27" i="19"/>
  <c r="F27" i="19"/>
  <c r="E27" i="19"/>
  <c r="D27" i="19"/>
  <c r="C27" i="19"/>
  <c r="B27" i="19"/>
  <c r="A27" i="19"/>
  <c r="H26" i="19"/>
  <c r="G26" i="19"/>
  <c r="F26" i="19"/>
  <c r="E26" i="19"/>
  <c r="D26" i="19"/>
  <c r="C26" i="19"/>
  <c r="B26" i="19"/>
  <c r="A26" i="19"/>
  <c r="H25" i="19"/>
  <c r="G25" i="19"/>
  <c r="F25" i="19"/>
  <c r="E25" i="19"/>
  <c r="D25" i="19"/>
  <c r="C25" i="19"/>
  <c r="B25" i="19"/>
  <c r="A25" i="19"/>
  <c r="H24" i="19"/>
  <c r="G24" i="19"/>
  <c r="F24" i="19"/>
  <c r="E24" i="19"/>
  <c r="D24" i="19"/>
  <c r="C24" i="19"/>
  <c r="B24" i="19"/>
  <c r="A24" i="19"/>
  <c r="H23" i="19"/>
  <c r="G23" i="19"/>
  <c r="F23" i="19"/>
  <c r="E23" i="19"/>
  <c r="D23" i="19"/>
  <c r="C23" i="19"/>
  <c r="B23" i="19"/>
  <c r="A23" i="19"/>
  <c r="H22" i="19"/>
  <c r="G22" i="19"/>
  <c r="F22" i="19"/>
  <c r="E22" i="19"/>
  <c r="D22" i="19"/>
  <c r="C22" i="19"/>
  <c r="B22" i="19"/>
  <c r="A22" i="19"/>
  <c r="H21" i="19"/>
  <c r="G21" i="19"/>
  <c r="F21" i="19"/>
  <c r="E21" i="19"/>
  <c r="D21" i="19"/>
  <c r="C21" i="19"/>
  <c r="B21" i="19"/>
  <c r="A21" i="19"/>
  <c r="H20" i="19"/>
  <c r="G20" i="19"/>
  <c r="F20" i="19"/>
  <c r="E20" i="19"/>
  <c r="D20" i="19"/>
  <c r="C20" i="19"/>
  <c r="B20" i="19"/>
  <c r="A20" i="19"/>
  <c r="H19" i="19"/>
  <c r="G19" i="19"/>
  <c r="F19" i="19"/>
  <c r="E19" i="19"/>
  <c r="D19" i="19"/>
  <c r="C19" i="19"/>
  <c r="B19" i="19"/>
  <c r="A19" i="19"/>
  <c r="H18" i="19"/>
  <c r="G18" i="19"/>
  <c r="F18" i="19"/>
  <c r="E18" i="19"/>
  <c r="D18" i="19"/>
  <c r="C18" i="19"/>
  <c r="B18" i="19"/>
  <c r="A18" i="19"/>
  <c r="H17" i="19"/>
  <c r="G17" i="19"/>
  <c r="F17" i="19"/>
  <c r="E17" i="19"/>
  <c r="D17" i="19"/>
  <c r="C17" i="19"/>
  <c r="B17" i="19"/>
  <c r="A17" i="19"/>
  <c r="H16" i="19"/>
  <c r="G16" i="19"/>
  <c r="F16" i="19"/>
  <c r="E16" i="19"/>
  <c r="D16" i="19"/>
  <c r="C16" i="19"/>
  <c r="B16" i="19"/>
  <c r="A16" i="19"/>
  <c r="H15" i="19"/>
  <c r="G15" i="19"/>
  <c r="F15" i="19"/>
  <c r="E15" i="19"/>
  <c r="D15" i="19"/>
  <c r="C15" i="19"/>
  <c r="B15" i="19"/>
  <c r="A15" i="19"/>
  <c r="H14" i="19"/>
  <c r="G14" i="19"/>
  <c r="F14" i="19"/>
  <c r="E14" i="19"/>
  <c r="D14" i="19"/>
  <c r="C14" i="19"/>
  <c r="B14" i="19"/>
  <c r="A14" i="19"/>
  <c r="H13" i="19"/>
  <c r="G13" i="19"/>
  <c r="F13" i="19"/>
  <c r="E13" i="19"/>
  <c r="D13" i="19"/>
  <c r="C13" i="19"/>
  <c r="B13" i="19"/>
  <c r="A13" i="19"/>
  <c r="H12" i="19"/>
  <c r="G12" i="19"/>
  <c r="F12" i="19"/>
  <c r="E12" i="19"/>
  <c r="D12" i="19"/>
  <c r="C12" i="19"/>
  <c r="B12" i="19"/>
  <c r="A12" i="19"/>
  <c r="H11" i="19"/>
  <c r="G11" i="19"/>
  <c r="F11" i="19"/>
  <c r="E11" i="19"/>
  <c r="D11" i="19"/>
  <c r="C11" i="19"/>
  <c r="B11" i="19"/>
  <c r="A11" i="19"/>
  <c r="H10" i="19"/>
  <c r="G10" i="19"/>
  <c r="F10" i="19"/>
  <c r="E10" i="19"/>
  <c r="D10" i="19"/>
  <c r="C10" i="19"/>
  <c r="B10" i="19"/>
  <c r="A10" i="19"/>
  <c r="H9" i="19"/>
  <c r="G9" i="19"/>
  <c r="F9" i="19"/>
  <c r="E9" i="19"/>
  <c r="D9" i="19"/>
  <c r="C9" i="19"/>
  <c r="B9" i="19"/>
  <c r="A9" i="19"/>
  <c r="H8" i="19"/>
  <c r="G8" i="19"/>
  <c r="F8" i="19"/>
  <c r="E8" i="19"/>
  <c r="D8" i="19"/>
  <c r="C8" i="19"/>
  <c r="B8" i="19"/>
  <c r="A8" i="19"/>
  <c r="H7" i="19"/>
  <c r="G7" i="19"/>
  <c r="F7" i="19"/>
  <c r="E7" i="19"/>
  <c r="D7" i="19"/>
  <c r="C7" i="19"/>
  <c r="B7" i="19"/>
  <c r="A7" i="19"/>
  <c r="H6" i="19"/>
  <c r="G6" i="19"/>
  <c r="F6" i="19"/>
  <c r="E6" i="19"/>
  <c r="D6" i="19"/>
  <c r="C6" i="19"/>
  <c r="B6" i="19"/>
  <c r="A6" i="19"/>
  <c r="H5" i="19"/>
  <c r="G5" i="19"/>
  <c r="F5" i="19"/>
  <c r="E5" i="19"/>
  <c r="D5" i="19"/>
  <c r="C5" i="19"/>
  <c r="B5" i="19"/>
  <c r="A5" i="19"/>
  <c r="H4" i="19"/>
  <c r="G4" i="19"/>
  <c r="F4" i="19"/>
  <c r="E4" i="19"/>
  <c r="D4" i="19"/>
  <c r="C4" i="19"/>
  <c r="B4" i="19"/>
  <c r="A4" i="19"/>
  <c r="A46" i="18"/>
  <c r="B46" i="18"/>
  <c r="C46" i="18"/>
  <c r="D46" i="18"/>
  <c r="E46" i="18"/>
  <c r="F46" i="18"/>
  <c r="G46" i="18"/>
  <c r="H46" i="18"/>
  <c r="K64" i="18" a="1"/>
  <c r="K64" i="18" s="1"/>
  <c r="L64" i="18" a="1"/>
  <c r="L64" i="18" s="1"/>
  <c r="M64" i="18" a="1"/>
  <c r="M64" i="18" s="1"/>
  <c r="N64" i="18" a="1"/>
  <c r="N64" i="18" s="1"/>
  <c r="O64" i="18" a="1"/>
  <c r="O64" i="18" s="1"/>
  <c r="P64" i="18" a="1"/>
  <c r="P64" i="18" s="1"/>
  <c r="Q64" i="18" a="1"/>
  <c r="Q64" i="18" s="1"/>
  <c r="R64" i="18" a="1"/>
  <c r="R64" i="18" s="1"/>
  <c r="S64" i="18" a="1"/>
  <c r="S64" i="18" s="1"/>
  <c r="T64" i="18" a="1"/>
  <c r="T64" i="18" s="1"/>
  <c r="U64" i="18" a="1"/>
  <c r="U64" i="18" s="1"/>
  <c r="V64" i="18" a="1"/>
  <c r="V64" i="18" s="1"/>
  <c r="W64" i="18" a="1"/>
  <c r="W64" i="18" s="1"/>
  <c r="X64" i="18" a="1"/>
  <c r="X64" i="18" s="1"/>
  <c r="Y64" i="18" a="1"/>
  <c r="Y64" i="18" s="1"/>
  <c r="Z64" i="18" a="1"/>
  <c r="Z64" i="18" s="1"/>
  <c r="AA64" i="18" a="1"/>
  <c r="AA64" i="18" s="1"/>
  <c r="AB64" i="18" a="1"/>
  <c r="AB64" i="18" s="1"/>
  <c r="AC64" i="18" a="1"/>
  <c r="AC64" i="18" s="1"/>
  <c r="AD64" i="18" a="1"/>
  <c r="AD64" i="18" s="1"/>
  <c r="AE64" i="18" a="1"/>
  <c r="AE64" i="18" s="1"/>
  <c r="AF64" i="18" a="1"/>
  <c r="AF64" i="18" s="1"/>
  <c r="AG64" i="18" a="1"/>
  <c r="AG64" i="18" s="1"/>
  <c r="AH64" i="18" a="1"/>
  <c r="AH64" i="18" s="1"/>
  <c r="AI64" i="18" a="1"/>
  <c r="AI64" i="18" s="1"/>
  <c r="AJ64" i="18" a="1"/>
  <c r="AJ64" i="18" s="1"/>
  <c r="AK64" i="18" a="1"/>
  <c r="AK64" i="18" s="1"/>
  <c r="AL64" i="18" a="1"/>
  <c r="AL64" i="18" s="1"/>
  <c r="AS16" i="18" a="1"/>
  <c r="AS16" i="18" s="1"/>
  <c r="AU16" i="18" s="1"/>
  <c r="AS17" i="18" a="1"/>
  <c r="AS17" i="18" s="1"/>
  <c r="AU17" i="18" s="1"/>
  <c r="AS18" i="18" a="1"/>
  <c r="AS18" i="18" s="1"/>
  <c r="AU18" i="18" s="1"/>
  <c r="AP52" i="18"/>
  <c r="AO52" i="18"/>
  <c r="AP51" i="18"/>
  <c r="AO51" i="18"/>
  <c r="K47" i="18" a="1"/>
  <c r="K47" i="18" s="1"/>
  <c r="L47" i="18" a="1"/>
  <c r="L47" i="18" s="1"/>
  <c r="M47" i="18" a="1"/>
  <c r="M47" i="18" s="1"/>
  <c r="N47" i="18" a="1"/>
  <c r="N47" i="18" s="1"/>
  <c r="O47" i="18" a="1"/>
  <c r="O47" i="18" s="1"/>
  <c r="P47" i="18" a="1"/>
  <c r="P47" i="18" s="1"/>
  <c r="Q47" i="18" a="1"/>
  <c r="Q47" i="18" s="1"/>
  <c r="R47" i="18" a="1"/>
  <c r="R47" i="18" s="1"/>
  <c r="S47" i="18" a="1"/>
  <c r="S47" i="18" s="1"/>
  <c r="T47" i="18" a="1"/>
  <c r="T47" i="18" s="1"/>
  <c r="U47" i="18" a="1"/>
  <c r="U47" i="18" s="1"/>
  <c r="V47" i="18" a="1"/>
  <c r="V47" i="18" s="1"/>
  <c r="W47" i="18" a="1"/>
  <c r="W47" i="18" s="1"/>
  <c r="X47" i="18" a="1"/>
  <c r="X47" i="18" s="1"/>
  <c r="Y47" i="18" a="1"/>
  <c r="Y47" i="18" s="1"/>
  <c r="Z47" i="18" a="1"/>
  <c r="Z47" i="18" s="1"/>
  <c r="AA47" i="18" a="1"/>
  <c r="AA47" i="18" s="1"/>
  <c r="AB47" i="18" a="1"/>
  <c r="AB47" i="18" s="1"/>
  <c r="AC47" i="18" a="1"/>
  <c r="AC47" i="18" s="1"/>
  <c r="AD47" i="18" a="1"/>
  <c r="AD47" i="18" s="1"/>
  <c r="AE47" i="18" a="1"/>
  <c r="AE47" i="18" s="1"/>
  <c r="AF47" i="18" a="1"/>
  <c r="AF47" i="18" s="1"/>
  <c r="AG47" i="18" a="1"/>
  <c r="AG47" i="18" s="1"/>
  <c r="AH47" i="18" a="1"/>
  <c r="AH47" i="18" s="1"/>
  <c r="AI47" i="18" a="1"/>
  <c r="AI47" i="18" s="1"/>
  <c r="AJ47" i="18" a="1"/>
  <c r="AJ47" i="18" s="1"/>
  <c r="AK47" i="18" a="1"/>
  <c r="AK47" i="18" s="1"/>
  <c r="AL47" i="18" a="1"/>
  <c r="AL47" i="18" s="1"/>
  <c r="K48" i="18" a="1"/>
  <c r="K48" i="18" s="1"/>
  <c r="L48" i="18" a="1"/>
  <c r="L48" i="18" s="1"/>
  <c r="M48" i="18" a="1"/>
  <c r="M48" i="18" s="1"/>
  <c r="N48" i="18" a="1"/>
  <c r="N48" i="18" s="1"/>
  <c r="O48" i="18" a="1"/>
  <c r="O48" i="18" s="1"/>
  <c r="P48" i="18" a="1"/>
  <c r="P48" i="18" s="1"/>
  <c r="Q48" i="18" a="1"/>
  <c r="Q48" i="18" s="1"/>
  <c r="R48" i="18" a="1"/>
  <c r="R48" i="18" s="1"/>
  <c r="S48" i="18" a="1"/>
  <c r="S48" i="18" s="1"/>
  <c r="T48" i="18" a="1"/>
  <c r="T48" i="18" s="1"/>
  <c r="U48" i="18" a="1"/>
  <c r="U48" i="18" s="1"/>
  <c r="V48" i="18" a="1"/>
  <c r="V48" i="18" s="1"/>
  <c r="W48" i="18" a="1"/>
  <c r="W48" i="18" s="1"/>
  <c r="X48" i="18" a="1"/>
  <c r="X48" i="18" s="1"/>
  <c r="Y48" i="18" a="1"/>
  <c r="Y48" i="18" s="1"/>
  <c r="Z48" i="18" a="1"/>
  <c r="Z48" i="18" s="1"/>
  <c r="AA48" i="18" a="1"/>
  <c r="AA48" i="18" s="1"/>
  <c r="AB48" i="18" a="1"/>
  <c r="AB48" i="18" s="1"/>
  <c r="AC48" i="18" a="1"/>
  <c r="AC48" i="18" s="1"/>
  <c r="AD48" i="18" a="1"/>
  <c r="AD48" i="18" s="1"/>
  <c r="AE48" i="18" a="1"/>
  <c r="AE48" i="18" s="1"/>
  <c r="AF48" i="18" a="1"/>
  <c r="AF48" i="18" s="1"/>
  <c r="AG48" i="18" a="1"/>
  <c r="AG48" i="18" s="1"/>
  <c r="AH48" i="18" a="1"/>
  <c r="AH48" i="18" s="1"/>
  <c r="AI48" i="18" a="1"/>
  <c r="AI48" i="18" s="1"/>
  <c r="AJ48" i="18" a="1"/>
  <c r="AJ48" i="18" s="1"/>
  <c r="AK48" i="18" a="1"/>
  <c r="AK48" i="18" s="1"/>
  <c r="AL48" i="18" a="1"/>
  <c r="AL48" i="18" s="1"/>
  <c r="K49" i="18"/>
  <c r="L49" i="18"/>
  <c r="M49" i="18"/>
  <c r="N49" i="18"/>
  <c r="O49" i="18"/>
  <c r="P49" i="18"/>
  <c r="Q49" i="18"/>
  <c r="R49" i="18"/>
  <c r="S49" i="18"/>
  <c r="T49" i="18"/>
  <c r="U49" i="18"/>
  <c r="V49" i="18"/>
  <c r="W49" i="18"/>
  <c r="X49" i="18"/>
  <c r="Y49" i="18"/>
  <c r="Z49" i="18"/>
  <c r="AA49" i="18"/>
  <c r="AB49" i="18"/>
  <c r="AC49" i="18"/>
  <c r="AD49" i="18"/>
  <c r="AE49" i="18"/>
  <c r="AF49" i="18"/>
  <c r="AG49" i="18"/>
  <c r="AH49" i="18"/>
  <c r="AI49" i="18"/>
  <c r="AJ49" i="18"/>
  <c r="AK49" i="18"/>
  <c r="AL49" i="18"/>
  <c r="K50" i="18" a="1"/>
  <c r="K50" i="18" s="1"/>
  <c r="L50" i="18" a="1"/>
  <c r="L50" i="18" s="1"/>
  <c r="M50" i="18" a="1"/>
  <c r="M50" i="18" s="1"/>
  <c r="N50" i="18" a="1"/>
  <c r="N50" i="18" s="1"/>
  <c r="O50" i="18" a="1"/>
  <c r="O50" i="18" s="1"/>
  <c r="P50" i="18" a="1"/>
  <c r="P50" i="18" s="1"/>
  <c r="Q50" i="18" a="1"/>
  <c r="Q50" i="18" s="1"/>
  <c r="R50" i="18" a="1"/>
  <c r="R50" i="18" s="1"/>
  <c r="S50" i="18" a="1"/>
  <c r="S50" i="18" s="1"/>
  <c r="T50" i="18" a="1"/>
  <c r="T50" i="18" s="1"/>
  <c r="U50" i="18" a="1"/>
  <c r="U50" i="18" s="1"/>
  <c r="V50" i="18" a="1"/>
  <c r="V50" i="18" s="1"/>
  <c r="W50" i="18" a="1"/>
  <c r="W50" i="18" s="1"/>
  <c r="X50" i="18" a="1"/>
  <c r="X50" i="18" s="1"/>
  <c r="Y50" i="18" a="1"/>
  <c r="Y50" i="18" s="1"/>
  <c r="Z50" i="18" a="1"/>
  <c r="Z50" i="18" s="1"/>
  <c r="AA50" i="18" a="1"/>
  <c r="AA50" i="18" s="1"/>
  <c r="AB50" i="18" a="1"/>
  <c r="AB50" i="18" s="1"/>
  <c r="AC50" i="18" a="1"/>
  <c r="AC50" i="18" s="1"/>
  <c r="AD50" i="18" a="1"/>
  <c r="AD50" i="18" s="1"/>
  <c r="AE50" i="18" a="1"/>
  <c r="AE50" i="18" s="1"/>
  <c r="AF50" i="18" a="1"/>
  <c r="AF50" i="18" s="1"/>
  <c r="AG50" i="18" a="1"/>
  <c r="AG50" i="18" s="1"/>
  <c r="AH50" i="18" a="1"/>
  <c r="AH50" i="18" s="1"/>
  <c r="AI50" i="18" a="1"/>
  <c r="AI50" i="18" s="1"/>
  <c r="AJ50" i="18" a="1"/>
  <c r="AJ50" i="18" s="1"/>
  <c r="AK50" i="18" a="1"/>
  <c r="AK50" i="18" s="1"/>
  <c r="AL50" i="18" a="1"/>
  <c r="AL50" i="18" s="1"/>
  <c r="K51" i="18" a="1"/>
  <c r="K51" i="18" s="1"/>
  <c r="L51" i="18" a="1"/>
  <c r="L51" i="18" s="1"/>
  <c r="M51" i="18" a="1"/>
  <c r="M51" i="18" s="1"/>
  <c r="N51" i="18" a="1"/>
  <c r="N51" i="18" s="1"/>
  <c r="O51" i="18" a="1"/>
  <c r="O51" i="18" s="1"/>
  <c r="P51" i="18" a="1"/>
  <c r="P51" i="18" s="1"/>
  <c r="Q51" i="18" a="1"/>
  <c r="Q51" i="18" s="1"/>
  <c r="R51" i="18" a="1"/>
  <c r="R51" i="18" s="1"/>
  <c r="S51" i="18" a="1"/>
  <c r="S51" i="18" s="1"/>
  <c r="T51" i="18" a="1"/>
  <c r="T51" i="18" s="1"/>
  <c r="U51" i="18" a="1"/>
  <c r="U51" i="18" s="1"/>
  <c r="V51" i="18" a="1"/>
  <c r="V51" i="18" s="1"/>
  <c r="W51" i="18" a="1"/>
  <c r="W51" i="18" s="1"/>
  <c r="X51" i="18" a="1"/>
  <c r="X51" i="18" s="1"/>
  <c r="Y51" i="18" a="1"/>
  <c r="Y51" i="18" s="1"/>
  <c r="Z51" i="18" a="1"/>
  <c r="Z51" i="18" s="1"/>
  <c r="AA51" i="18" a="1"/>
  <c r="AA51" i="18" s="1"/>
  <c r="AB51" i="18" a="1"/>
  <c r="AB51" i="18" s="1"/>
  <c r="AC51" i="18" a="1"/>
  <c r="AC51" i="18" s="1"/>
  <c r="AD51" i="18" a="1"/>
  <c r="AD51" i="18" s="1"/>
  <c r="AE51" i="18" a="1"/>
  <c r="AE51" i="18" s="1"/>
  <c r="AF51" i="18" a="1"/>
  <c r="AF51" i="18" s="1"/>
  <c r="AG51" i="18" a="1"/>
  <c r="AG51" i="18" s="1"/>
  <c r="AH51" i="18" a="1"/>
  <c r="AH51" i="18" s="1"/>
  <c r="AI51" i="18" a="1"/>
  <c r="AI51" i="18" s="1"/>
  <c r="AJ51" i="18" a="1"/>
  <c r="AJ51" i="18" s="1"/>
  <c r="AK51" i="18" a="1"/>
  <c r="AK51" i="18" s="1"/>
  <c r="AL51" i="18" a="1"/>
  <c r="AL51" i="18" s="1"/>
  <c r="K52" i="18"/>
  <c r="L52" i="18"/>
  <c r="M52" i="18"/>
  <c r="N52" i="18"/>
  <c r="O52" i="18"/>
  <c r="P52" i="18"/>
  <c r="Q52" i="18"/>
  <c r="R52" i="18"/>
  <c r="S52" i="18"/>
  <c r="T52" i="18"/>
  <c r="U52" i="18"/>
  <c r="V52" i="18"/>
  <c r="W52" i="18"/>
  <c r="X52" i="18"/>
  <c r="Y52" i="18"/>
  <c r="Z52" i="18"/>
  <c r="AA52" i="18"/>
  <c r="AB52" i="18"/>
  <c r="AC52" i="18"/>
  <c r="AD52" i="18"/>
  <c r="AE52" i="18"/>
  <c r="AF52" i="18"/>
  <c r="AG52" i="18"/>
  <c r="AH52" i="18"/>
  <c r="AI52" i="18"/>
  <c r="AJ52" i="18"/>
  <c r="AK52" i="18"/>
  <c r="AL52" i="18"/>
  <c r="K53" i="18"/>
  <c r="L53" i="18"/>
  <c r="M53" i="18"/>
  <c r="N53" i="18"/>
  <c r="O53" i="18"/>
  <c r="P53" i="18"/>
  <c r="Q53" i="18"/>
  <c r="R53" i="18"/>
  <c r="S53" i="18"/>
  <c r="T53" i="18"/>
  <c r="U53" i="18"/>
  <c r="V53" i="18"/>
  <c r="W53" i="18"/>
  <c r="X53" i="18"/>
  <c r="Y53" i="18"/>
  <c r="Z53" i="18"/>
  <c r="AA53" i="18"/>
  <c r="AB53" i="18"/>
  <c r="AC53" i="18"/>
  <c r="AD53" i="18"/>
  <c r="AE53" i="18"/>
  <c r="AF53" i="18"/>
  <c r="AG53" i="18"/>
  <c r="AH53" i="18"/>
  <c r="AI53" i="18"/>
  <c r="AJ53" i="18"/>
  <c r="AK53" i="18"/>
  <c r="AL53" i="18"/>
  <c r="K54" i="18"/>
  <c r="L54" i="18"/>
  <c r="M54" i="18"/>
  <c r="N54" i="18"/>
  <c r="O54" i="18"/>
  <c r="P54" i="18"/>
  <c r="Q54" i="18"/>
  <c r="R54" i="18"/>
  <c r="S54" i="18"/>
  <c r="T54" i="18"/>
  <c r="U54" i="18"/>
  <c r="V54" i="18"/>
  <c r="W54" i="18"/>
  <c r="X54" i="18"/>
  <c r="Y54" i="18"/>
  <c r="Z54" i="18"/>
  <c r="AA54" i="18"/>
  <c r="AB54" i="18"/>
  <c r="AC54" i="18"/>
  <c r="AD54" i="18"/>
  <c r="AE54" i="18"/>
  <c r="AF54" i="18"/>
  <c r="AG54" i="18"/>
  <c r="AH54" i="18"/>
  <c r="AI54" i="18"/>
  <c r="AJ54" i="18"/>
  <c r="AK54" i="18"/>
  <c r="AL54" i="18"/>
  <c r="K56" i="18"/>
  <c r="L56" i="18"/>
  <c r="M56" i="18"/>
  <c r="N56" i="18"/>
  <c r="O56" i="18"/>
  <c r="P56" i="18"/>
  <c r="Q56" i="18"/>
  <c r="R56" i="18"/>
  <c r="S56" i="18"/>
  <c r="T56" i="18"/>
  <c r="U56" i="18"/>
  <c r="V56" i="18"/>
  <c r="W56" i="18"/>
  <c r="X56" i="18"/>
  <c r="Y56" i="18"/>
  <c r="Z56" i="18"/>
  <c r="AA56" i="18"/>
  <c r="AB56" i="18"/>
  <c r="AC56" i="18"/>
  <c r="AD56" i="18"/>
  <c r="AE56" i="18"/>
  <c r="AF56" i="18"/>
  <c r="AG56" i="18"/>
  <c r="AH56" i="18"/>
  <c r="AI56" i="18"/>
  <c r="AJ56" i="18"/>
  <c r="AK56" i="18"/>
  <c r="AL56" i="18"/>
  <c r="K57" i="18"/>
  <c r="L57" i="18"/>
  <c r="M57" i="18"/>
  <c r="N57" i="18"/>
  <c r="O57" i="18"/>
  <c r="P57" i="18"/>
  <c r="Q57" i="18"/>
  <c r="R57" i="18"/>
  <c r="S57" i="18"/>
  <c r="T57" i="18"/>
  <c r="U57" i="18"/>
  <c r="V57" i="18"/>
  <c r="W57" i="18"/>
  <c r="X57" i="18"/>
  <c r="Y57" i="18"/>
  <c r="Z57" i="18"/>
  <c r="AA57" i="18"/>
  <c r="AB57" i="18"/>
  <c r="AC57" i="18"/>
  <c r="AD57" i="18"/>
  <c r="AE57" i="18"/>
  <c r="AF57" i="18"/>
  <c r="AG57" i="18"/>
  <c r="AH57" i="18"/>
  <c r="AI57" i="18"/>
  <c r="AJ57" i="18"/>
  <c r="AK57" i="18"/>
  <c r="AL57" i="18"/>
  <c r="K58" i="18"/>
  <c r="L58" i="18"/>
  <c r="M58" i="18"/>
  <c r="N58" i="18"/>
  <c r="O58" i="18"/>
  <c r="P58" i="18"/>
  <c r="Q58" i="18"/>
  <c r="R58" i="18"/>
  <c r="S58" i="18"/>
  <c r="T58" i="18"/>
  <c r="U58" i="18"/>
  <c r="V58" i="18"/>
  <c r="W58" i="18"/>
  <c r="X58" i="18"/>
  <c r="Y58" i="18"/>
  <c r="Z58" i="18"/>
  <c r="AA58" i="18"/>
  <c r="AB58" i="18"/>
  <c r="AC58" i="18"/>
  <c r="AD58" i="18"/>
  <c r="AE58" i="18"/>
  <c r="AF58" i="18"/>
  <c r="AG58" i="18"/>
  <c r="AH58" i="18"/>
  <c r="AI58" i="18"/>
  <c r="AJ58" i="18"/>
  <c r="AK58" i="18"/>
  <c r="AL58" i="18"/>
  <c r="K59" i="18"/>
  <c r="L59" i="18"/>
  <c r="M59" i="18"/>
  <c r="N59" i="18"/>
  <c r="O59" i="18"/>
  <c r="P59" i="18"/>
  <c r="Q59" i="18"/>
  <c r="R59" i="18"/>
  <c r="S59" i="18"/>
  <c r="T59" i="18"/>
  <c r="U59" i="18"/>
  <c r="V59" i="18"/>
  <c r="W59" i="18"/>
  <c r="X59" i="18"/>
  <c r="Y59" i="18"/>
  <c r="Z59" i="18"/>
  <c r="AA59" i="18"/>
  <c r="AB59" i="18"/>
  <c r="AC59" i="18"/>
  <c r="AD59" i="18"/>
  <c r="AE59" i="18"/>
  <c r="AF59" i="18"/>
  <c r="AG59" i="18"/>
  <c r="AH59" i="18"/>
  <c r="AI59" i="18"/>
  <c r="AJ59" i="18"/>
  <c r="AK59" i="18"/>
  <c r="AL59" i="18"/>
  <c r="AO53" i="18"/>
  <c r="AO54" i="18" a="1"/>
  <c r="AO54" i="18" s="1"/>
  <c r="AO55" i="18" a="1"/>
  <c r="AO55" i="18" s="1"/>
  <c r="AP50" i="18"/>
  <c r="AO50" i="18"/>
  <c r="AP53" i="18"/>
  <c r="AS6" i="18" a="1"/>
  <c r="AS6" i="18" s="1"/>
  <c r="AU6" i="18" s="1"/>
  <c r="AS7" i="18" a="1"/>
  <c r="AS7" i="18" s="1"/>
  <c r="AU7" i="18" s="1"/>
  <c r="AS9" i="18" a="1"/>
  <c r="AS9" i="18" s="1"/>
  <c r="AU9" i="18" s="1"/>
  <c r="AS10" i="18" a="1"/>
  <c r="AS10" i="18" s="1"/>
  <c r="AU10" i="18" s="1"/>
  <c r="AS11" i="18" a="1"/>
  <c r="AS11" i="18" s="1"/>
  <c r="AU11" i="18" s="1"/>
  <c r="AS12" i="18" a="1"/>
  <c r="AS12" i="18" s="1"/>
  <c r="AU12" i="18" s="1"/>
  <c r="AS13" i="18" a="1"/>
  <c r="AS13" i="18" s="1"/>
  <c r="AU13" i="18" s="1"/>
  <c r="AS15" i="18" a="1"/>
  <c r="AS15" i="18" s="1"/>
  <c r="AU15" i="18" s="1"/>
  <c r="AS4" i="18" a="1"/>
  <c r="AS4" i="18" s="1"/>
  <c r="AU4" i="18" s="1"/>
  <c r="AO57" i="18"/>
  <c r="AP55" i="18"/>
  <c r="AP54" i="18" a="1"/>
  <c r="AP54" i="18" s="1"/>
  <c r="AP49" i="18"/>
  <c r="AO49" i="18"/>
  <c r="H45" i="18"/>
  <c r="G45" i="18"/>
  <c r="F45" i="18"/>
  <c r="E45" i="18"/>
  <c r="D45" i="18"/>
  <c r="C45" i="18"/>
  <c r="B45" i="18"/>
  <c r="A45" i="18"/>
  <c r="H44" i="18"/>
  <c r="G44" i="18"/>
  <c r="F44" i="18"/>
  <c r="E44" i="18"/>
  <c r="D44" i="18"/>
  <c r="C44" i="18"/>
  <c r="B44" i="18"/>
  <c r="A44" i="18"/>
  <c r="H43" i="18"/>
  <c r="G43" i="18"/>
  <c r="F43" i="18"/>
  <c r="E43" i="18"/>
  <c r="D43" i="18"/>
  <c r="C43" i="18"/>
  <c r="B43" i="18"/>
  <c r="A43" i="18"/>
  <c r="H42" i="18"/>
  <c r="G42" i="18"/>
  <c r="F42" i="18"/>
  <c r="E42" i="18"/>
  <c r="D42" i="18"/>
  <c r="C42" i="18"/>
  <c r="B42" i="18"/>
  <c r="A42" i="18"/>
  <c r="H41" i="18"/>
  <c r="G41" i="18"/>
  <c r="F41" i="18"/>
  <c r="E41" i="18"/>
  <c r="D41" i="18"/>
  <c r="C41" i="18"/>
  <c r="B41" i="18"/>
  <c r="A41" i="18"/>
  <c r="H40" i="18"/>
  <c r="G40" i="18"/>
  <c r="F40" i="18"/>
  <c r="E40" i="18"/>
  <c r="D40" i="18"/>
  <c r="C40" i="18"/>
  <c r="B40" i="18"/>
  <c r="A40" i="18"/>
  <c r="H39" i="18"/>
  <c r="G39" i="18"/>
  <c r="F39" i="18"/>
  <c r="E39" i="18"/>
  <c r="D39" i="18"/>
  <c r="C39" i="18"/>
  <c r="B39" i="18"/>
  <c r="A39" i="18"/>
  <c r="H38" i="18"/>
  <c r="G38" i="18"/>
  <c r="F38" i="18"/>
  <c r="E38" i="18"/>
  <c r="D38" i="18"/>
  <c r="C38" i="18"/>
  <c r="B38" i="18"/>
  <c r="A38" i="18"/>
  <c r="H37" i="18"/>
  <c r="G37" i="18"/>
  <c r="F37" i="18"/>
  <c r="E37" i="18"/>
  <c r="D37" i="18"/>
  <c r="C37" i="18"/>
  <c r="B37" i="18"/>
  <c r="A37" i="18"/>
  <c r="H36" i="18"/>
  <c r="G36" i="18"/>
  <c r="F36" i="18"/>
  <c r="E36" i="18"/>
  <c r="D36" i="18"/>
  <c r="C36" i="18"/>
  <c r="B36" i="18"/>
  <c r="A36" i="18"/>
  <c r="H35" i="18"/>
  <c r="G35" i="18"/>
  <c r="F35" i="18"/>
  <c r="E35" i="18"/>
  <c r="D35" i="18"/>
  <c r="C35" i="18"/>
  <c r="B35" i="18"/>
  <c r="A35" i="18"/>
  <c r="H34" i="18"/>
  <c r="G34" i="18"/>
  <c r="F34" i="18"/>
  <c r="E34" i="18"/>
  <c r="D34" i="18"/>
  <c r="C34" i="18"/>
  <c r="B34" i="18"/>
  <c r="A34" i="18"/>
  <c r="H33" i="18"/>
  <c r="G33" i="18"/>
  <c r="F33" i="18"/>
  <c r="E33" i="18"/>
  <c r="D33" i="18"/>
  <c r="C33" i="18"/>
  <c r="B33" i="18"/>
  <c r="A33" i="18"/>
  <c r="H32" i="18"/>
  <c r="G32" i="18"/>
  <c r="F32" i="18"/>
  <c r="E32" i="18"/>
  <c r="D32" i="18"/>
  <c r="C32" i="18"/>
  <c r="B32" i="18"/>
  <c r="A32" i="18"/>
  <c r="H31" i="18"/>
  <c r="G31" i="18"/>
  <c r="F31" i="18"/>
  <c r="E31" i="18"/>
  <c r="D31" i="18"/>
  <c r="C31" i="18"/>
  <c r="B31" i="18"/>
  <c r="A31" i="18"/>
  <c r="H30" i="18"/>
  <c r="G30" i="18"/>
  <c r="F30" i="18"/>
  <c r="E30" i="18"/>
  <c r="D30" i="18"/>
  <c r="C30" i="18"/>
  <c r="B30" i="18"/>
  <c r="A30" i="18"/>
  <c r="H29" i="18"/>
  <c r="G29" i="18"/>
  <c r="F29" i="18"/>
  <c r="E29" i="18"/>
  <c r="D29" i="18"/>
  <c r="C29" i="18"/>
  <c r="B29" i="18"/>
  <c r="A29" i="18"/>
  <c r="H28" i="18"/>
  <c r="G28" i="18"/>
  <c r="F28" i="18"/>
  <c r="E28" i="18"/>
  <c r="D28" i="18"/>
  <c r="C28" i="18"/>
  <c r="B28" i="18"/>
  <c r="A28" i="18"/>
  <c r="H27" i="18"/>
  <c r="G27" i="18"/>
  <c r="F27" i="18"/>
  <c r="E27" i="18"/>
  <c r="D27" i="18"/>
  <c r="C27" i="18"/>
  <c r="B27" i="18"/>
  <c r="A27" i="18"/>
  <c r="H26" i="18"/>
  <c r="G26" i="18"/>
  <c r="F26" i="18"/>
  <c r="E26" i="18"/>
  <c r="D26" i="18"/>
  <c r="C26" i="18"/>
  <c r="B26" i="18"/>
  <c r="A26" i="18"/>
  <c r="H25" i="18"/>
  <c r="G25" i="18"/>
  <c r="F25" i="18"/>
  <c r="E25" i="18"/>
  <c r="D25" i="18"/>
  <c r="C25" i="18"/>
  <c r="B25" i="18"/>
  <c r="A25" i="18"/>
  <c r="H24" i="18"/>
  <c r="G24" i="18"/>
  <c r="F24" i="18"/>
  <c r="E24" i="18"/>
  <c r="D24" i="18"/>
  <c r="C24" i="18"/>
  <c r="B24" i="18"/>
  <c r="A24" i="18"/>
  <c r="H23" i="18"/>
  <c r="G23" i="18"/>
  <c r="F23" i="18"/>
  <c r="E23" i="18"/>
  <c r="D23" i="18"/>
  <c r="C23" i="18"/>
  <c r="B23" i="18"/>
  <c r="A23" i="18"/>
  <c r="H22" i="18"/>
  <c r="G22" i="18"/>
  <c r="F22" i="18"/>
  <c r="E22" i="18"/>
  <c r="D22" i="18"/>
  <c r="C22" i="18"/>
  <c r="B22" i="18"/>
  <c r="A22" i="18"/>
  <c r="H21" i="18"/>
  <c r="G21" i="18"/>
  <c r="F21" i="18"/>
  <c r="E21" i="18"/>
  <c r="D21" i="18"/>
  <c r="C21" i="18"/>
  <c r="B21" i="18"/>
  <c r="A21" i="18"/>
  <c r="H20" i="18"/>
  <c r="G20" i="18"/>
  <c r="F20" i="18"/>
  <c r="E20" i="18"/>
  <c r="D20" i="18"/>
  <c r="C20" i="18"/>
  <c r="B20" i="18"/>
  <c r="A20" i="18"/>
  <c r="H19" i="18"/>
  <c r="G19" i="18"/>
  <c r="F19" i="18"/>
  <c r="E19" i="18"/>
  <c r="D19" i="18"/>
  <c r="C19" i="18"/>
  <c r="B19" i="18"/>
  <c r="A19" i="18"/>
  <c r="H18" i="18"/>
  <c r="G18" i="18"/>
  <c r="F18" i="18"/>
  <c r="E18" i="18"/>
  <c r="D18" i="18"/>
  <c r="C18" i="18"/>
  <c r="B18" i="18"/>
  <c r="A18" i="18"/>
  <c r="H17" i="18"/>
  <c r="G17" i="18"/>
  <c r="F17" i="18"/>
  <c r="E17" i="18"/>
  <c r="D17" i="18"/>
  <c r="C17" i="18"/>
  <c r="B17" i="18"/>
  <c r="A17" i="18"/>
  <c r="H16" i="18"/>
  <c r="G16" i="18"/>
  <c r="F16" i="18"/>
  <c r="E16" i="18"/>
  <c r="D16" i="18"/>
  <c r="C16" i="18"/>
  <c r="B16" i="18"/>
  <c r="A16" i="18"/>
  <c r="H15" i="18"/>
  <c r="G15" i="18"/>
  <c r="F15" i="18"/>
  <c r="E15" i="18"/>
  <c r="D15" i="18"/>
  <c r="C15" i="18"/>
  <c r="B15" i="18"/>
  <c r="A15" i="18"/>
  <c r="H14" i="18"/>
  <c r="G14" i="18"/>
  <c r="F14" i="18"/>
  <c r="E14" i="18"/>
  <c r="D14" i="18"/>
  <c r="C14" i="18"/>
  <c r="B14" i="18"/>
  <c r="A14" i="18"/>
  <c r="H13" i="18"/>
  <c r="G13" i="18"/>
  <c r="F13" i="18"/>
  <c r="E13" i="18"/>
  <c r="D13" i="18"/>
  <c r="C13" i="18"/>
  <c r="B13" i="18"/>
  <c r="A13" i="18"/>
  <c r="H12" i="18"/>
  <c r="G12" i="18"/>
  <c r="F12" i="18"/>
  <c r="E12" i="18"/>
  <c r="D12" i="18"/>
  <c r="C12" i="18"/>
  <c r="B12" i="18"/>
  <c r="A12" i="18"/>
  <c r="H11" i="18"/>
  <c r="G11" i="18"/>
  <c r="F11" i="18"/>
  <c r="E11" i="18"/>
  <c r="D11" i="18"/>
  <c r="C11" i="18"/>
  <c r="B11" i="18"/>
  <c r="A11" i="18"/>
  <c r="H10" i="18"/>
  <c r="G10" i="18"/>
  <c r="F10" i="18"/>
  <c r="E10" i="18"/>
  <c r="D10" i="18"/>
  <c r="C10" i="18"/>
  <c r="B10" i="18"/>
  <c r="A10" i="18"/>
  <c r="H9" i="18"/>
  <c r="G9" i="18"/>
  <c r="F9" i="18"/>
  <c r="E9" i="18"/>
  <c r="D9" i="18"/>
  <c r="C9" i="18"/>
  <c r="B9" i="18"/>
  <c r="A9" i="18"/>
  <c r="H8" i="18"/>
  <c r="G8" i="18"/>
  <c r="F8" i="18"/>
  <c r="E8" i="18"/>
  <c r="D8" i="18"/>
  <c r="C8" i="18"/>
  <c r="B8" i="18"/>
  <c r="A8" i="18"/>
  <c r="H7" i="18"/>
  <c r="G7" i="18"/>
  <c r="F7" i="18"/>
  <c r="E7" i="18"/>
  <c r="D7" i="18"/>
  <c r="C7" i="18"/>
  <c r="B7" i="18"/>
  <c r="A7" i="18"/>
  <c r="H6" i="18"/>
  <c r="G6" i="18"/>
  <c r="F6" i="18"/>
  <c r="E6" i="18"/>
  <c r="D6" i="18"/>
  <c r="C6" i="18"/>
  <c r="B6" i="18"/>
  <c r="A6" i="18"/>
  <c r="H5" i="18"/>
  <c r="G5" i="18"/>
  <c r="F5" i="18"/>
  <c r="E5" i="18"/>
  <c r="D5" i="18"/>
  <c r="C5" i="18"/>
  <c r="B5" i="18"/>
  <c r="A5" i="18"/>
  <c r="H4" i="18"/>
  <c r="G4" i="18"/>
  <c r="F4" i="18"/>
  <c r="E4" i="18"/>
  <c r="D4" i="18"/>
  <c r="C4" i="18"/>
  <c r="B4" i="18"/>
  <c r="A4" i="18"/>
  <c r="AV17" i="15" a="1"/>
  <c r="AV17" i="15" s="1"/>
  <c r="AX17" i="15" s="1"/>
  <c r="AV18" i="15" a="1"/>
  <c r="AV18" i="15" s="1"/>
  <c r="AX18" i="15" s="1"/>
  <c r="AV16" i="15" a="1"/>
  <c r="AV16" i="15" s="1"/>
  <c r="AX16" i="15" s="1"/>
  <c r="A30" i="15"/>
  <c r="B30" i="15"/>
  <c r="C30" i="15"/>
  <c r="D30" i="15"/>
  <c r="E30" i="15"/>
  <c r="F30" i="15"/>
  <c r="G30" i="15"/>
  <c r="H30" i="15"/>
  <c r="A31" i="15"/>
  <c r="B31" i="15"/>
  <c r="C31" i="15"/>
  <c r="D31" i="15"/>
  <c r="E31" i="15"/>
  <c r="F31" i="15"/>
  <c r="G31" i="15"/>
  <c r="H31" i="15"/>
  <c r="H18" i="15"/>
  <c r="G18" i="15"/>
  <c r="F18" i="15"/>
  <c r="E18" i="15"/>
  <c r="D18" i="15"/>
  <c r="C18" i="15"/>
  <c r="B18" i="15"/>
  <c r="A18" i="15"/>
  <c r="AS54" i="15" a="1"/>
  <c r="AS54" i="15" s="1"/>
  <c r="AS53" i="15" a="1"/>
  <c r="AS53" i="15" s="1"/>
  <c r="A46" i="15"/>
  <c r="B46" i="15"/>
  <c r="C46" i="15"/>
  <c r="D46" i="15"/>
  <c r="E46" i="15"/>
  <c r="F46" i="15"/>
  <c r="G46" i="15"/>
  <c r="H46" i="15"/>
  <c r="K47" i="15" a="1"/>
  <c r="K47" i="15" s="1"/>
  <c r="L47" i="15" a="1"/>
  <c r="L47" i="15" s="1"/>
  <c r="M47" i="15" a="1"/>
  <c r="M47" i="15" s="1"/>
  <c r="N47" i="15" a="1"/>
  <c r="N47" i="15" s="1"/>
  <c r="O47" i="15" a="1"/>
  <c r="O47" i="15" s="1"/>
  <c r="P47" i="15" a="1"/>
  <c r="P47" i="15" s="1"/>
  <c r="Q47" i="15" a="1"/>
  <c r="Q47" i="15" s="1"/>
  <c r="R47" i="15" a="1"/>
  <c r="R47" i="15" s="1"/>
  <c r="S47" i="15" a="1"/>
  <c r="S47" i="15" s="1"/>
  <c r="T47" i="15" a="1"/>
  <c r="T47" i="15" s="1"/>
  <c r="U47" i="15" a="1"/>
  <c r="U47" i="15" s="1"/>
  <c r="V47" i="15" a="1"/>
  <c r="V47" i="15" s="1"/>
  <c r="W47" i="15" a="1"/>
  <c r="W47" i="15" s="1"/>
  <c r="X47" i="15" a="1"/>
  <c r="X47" i="15" s="1"/>
  <c r="Y47" i="15" a="1"/>
  <c r="Y47" i="15" s="1"/>
  <c r="Z47" i="15" a="1"/>
  <c r="Z47" i="15" s="1"/>
  <c r="AA47" i="15" a="1"/>
  <c r="AA47" i="15" s="1"/>
  <c r="AB47" i="15" a="1"/>
  <c r="AB47" i="15" s="1"/>
  <c r="AC47" i="15" a="1"/>
  <c r="AC47" i="15" s="1"/>
  <c r="AD47" i="15" a="1"/>
  <c r="AD47" i="15" s="1"/>
  <c r="AE47" i="15" a="1"/>
  <c r="AE47" i="15" s="1"/>
  <c r="AF47" i="15" a="1"/>
  <c r="AF47" i="15" s="1"/>
  <c r="AG47" i="15" a="1"/>
  <c r="AG47" i="15" s="1"/>
  <c r="AH47" i="15" a="1"/>
  <c r="AH47" i="15" s="1"/>
  <c r="AI47" i="15" a="1"/>
  <c r="AI47" i="15" s="1"/>
  <c r="AJ47" i="15" a="1"/>
  <c r="AJ47" i="15" s="1"/>
  <c r="AK47" i="15" a="1"/>
  <c r="AK47" i="15" s="1"/>
  <c r="AL47" i="15" a="1"/>
  <c r="AL47" i="15" s="1"/>
  <c r="AM47" i="15" a="1"/>
  <c r="AM47" i="15" s="1"/>
  <c r="AN47" i="15" a="1"/>
  <c r="AN47" i="15" s="1"/>
  <c r="AO47" i="15" a="1"/>
  <c r="AO47" i="15" s="1"/>
  <c r="K48" i="15" a="1"/>
  <c r="K48" i="15" s="1"/>
  <c r="L48" i="15" a="1"/>
  <c r="L48" i="15" s="1"/>
  <c r="M48" i="15" a="1"/>
  <c r="M48" i="15" s="1"/>
  <c r="N48" i="15" a="1"/>
  <c r="N48" i="15" s="1"/>
  <c r="O48" i="15" a="1"/>
  <c r="O48" i="15" s="1"/>
  <c r="P48" i="15" a="1"/>
  <c r="P48" i="15" s="1"/>
  <c r="Q48" i="15" a="1"/>
  <c r="Q48" i="15" s="1"/>
  <c r="R48" i="15" a="1"/>
  <c r="R48" i="15" s="1"/>
  <c r="S48" i="15" a="1"/>
  <c r="S48" i="15" s="1"/>
  <c r="T48" i="15" a="1"/>
  <c r="T48" i="15" s="1"/>
  <c r="U48" i="15" a="1"/>
  <c r="U48" i="15" s="1"/>
  <c r="V48" i="15" a="1"/>
  <c r="V48" i="15" s="1"/>
  <c r="W48" i="15" a="1"/>
  <c r="W48" i="15" s="1"/>
  <c r="X48" i="15" a="1"/>
  <c r="X48" i="15" s="1"/>
  <c r="Y48" i="15" a="1"/>
  <c r="Y48" i="15" s="1"/>
  <c r="Z48" i="15" a="1"/>
  <c r="Z48" i="15" s="1"/>
  <c r="AA48" i="15" a="1"/>
  <c r="AA48" i="15" s="1"/>
  <c r="AB48" i="15" a="1"/>
  <c r="AB48" i="15" s="1"/>
  <c r="AC48" i="15" a="1"/>
  <c r="AC48" i="15" s="1"/>
  <c r="AD48" i="15" a="1"/>
  <c r="AD48" i="15" s="1"/>
  <c r="AE48" i="15" a="1"/>
  <c r="AE48" i="15" s="1"/>
  <c r="AF48" i="15" a="1"/>
  <c r="AF48" i="15" s="1"/>
  <c r="AG48" i="15" a="1"/>
  <c r="AG48" i="15" s="1"/>
  <c r="AH48" i="15" a="1"/>
  <c r="AH48" i="15" s="1"/>
  <c r="AI48" i="15" a="1"/>
  <c r="AI48" i="15" s="1"/>
  <c r="AJ48" i="15" a="1"/>
  <c r="AJ48" i="15" s="1"/>
  <c r="AK48" i="15" a="1"/>
  <c r="AK48" i="15" s="1"/>
  <c r="AL48" i="15" a="1"/>
  <c r="AL48" i="15" s="1"/>
  <c r="AM48" i="15" a="1"/>
  <c r="AM48" i="15" s="1"/>
  <c r="AN48" i="15" a="1"/>
  <c r="AN48" i="15" s="1"/>
  <c r="AO48" i="15" a="1"/>
  <c r="AO48" i="15" s="1"/>
  <c r="K49" i="15"/>
  <c r="L49" i="15"/>
  <c r="M49" i="15"/>
  <c r="N49" i="15"/>
  <c r="O49" i="15"/>
  <c r="P49" i="15"/>
  <c r="Q49" i="15"/>
  <c r="R49" i="15"/>
  <c r="S49" i="15"/>
  <c r="T49" i="15"/>
  <c r="U49" i="15"/>
  <c r="V49" i="15"/>
  <c r="W49" i="15"/>
  <c r="X49" i="15"/>
  <c r="Y49" i="15"/>
  <c r="Z49" i="15"/>
  <c r="AA49" i="15"/>
  <c r="AB49" i="15"/>
  <c r="AC49" i="15"/>
  <c r="AD49" i="15"/>
  <c r="AE49" i="15"/>
  <c r="AF49" i="15"/>
  <c r="AG49" i="15"/>
  <c r="AH49" i="15"/>
  <c r="AI49" i="15"/>
  <c r="AJ49" i="15"/>
  <c r="AK49" i="15"/>
  <c r="AL49" i="15"/>
  <c r="AM49" i="15"/>
  <c r="AN49" i="15"/>
  <c r="AO49" i="15"/>
  <c r="K50" i="15" a="1"/>
  <c r="K50" i="15" s="1"/>
  <c r="L50" i="15" a="1"/>
  <c r="L50" i="15" s="1"/>
  <c r="M50" i="15" a="1"/>
  <c r="M50" i="15" s="1"/>
  <c r="N50" i="15" a="1"/>
  <c r="N50" i="15" s="1"/>
  <c r="O50" i="15" a="1"/>
  <c r="O50" i="15" s="1"/>
  <c r="P50" i="15" a="1"/>
  <c r="P50" i="15" s="1"/>
  <c r="Q50" i="15" a="1"/>
  <c r="Q50" i="15" s="1"/>
  <c r="R50" i="15" a="1"/>
  <c r="R50" i="15" s="1"/>
  <c r="S50" i="15" a="1"/>
  <c r="S50" i="15" s="1"/>
  <c r="T50" i="15" a="1"/>
  <c r="T50" i="15" s="1"/>
  <c r="U50" i="15" a="1"/>
  <c r="U50" i="15" s="1"/>
  <c r="V50" i="15" a="1"/>
  <c r="V50" i="15" s="1"/>
  <c r="W50" i="15" a="1"/>
  <c r="W50" i="15" s="1"/>
  <c r="X50" i="15" a="1"/>
  <c r="X50" i="15" s="1"/>
  <c r="Y50" i="15" a="1"/>
  <c r="Y50" i="15" s="1"/>
  <c r="Z50" i="15" a="1"/>
  <c r="Z50" i="15" s="1"/>
  <c r="AA50" i="15" a="1"/>
  <c r="AA50" i="15" s="1"/>
  <c r="AB50" i="15" a="1"/>
  <c r="AB50" i="15" s="1"/>
  <c r="AC50" i="15" a="1"/>
  <c r="AC50" i="15" s="1"/>
  <c r="AD50" i="15" a="1"/>
  <c r="AD50" i="15" s="1"/>
  <c r="AE50" i="15" a="1"/>
  <c r="AE50" i="15" s="1"/>
  <c r="AF50" i="15" a="1"/>
  <c r="AF50" i="15" s="1"/>
  <c r="AG50" i="15" a="1"/>
  <c r="AG50" i="15" s="1"/>
  <c r="AH50" i="15" a="1"/>
  <c r="AH50" i="15" s="1"/>
  <c r="AI50" i="15" a="1"/>
  <c r="AI50" i="15" s="1"/>
  <c r="AJ50" i="15" a="1"/>
  <c r="AJ50" i="15" s="1"/>
  <c r="AK50" i="15" a="1"/>
  <c r="AK50" i="15" s="1"/>
  <c r="AL50" i="15" a="1"/>
  <c r="AL50" i="15" s="1"/>
  <c r="AM50" i="15" a="1"/>
  <c r="AM50" i="15" s="1"/>
  <c r="AN50" i="15" a="1"/>
  <c r="AN50" i="15" s="1"/>
  <c r="AO50" i="15" a="1"/>
  <c r="AO50" i="15" s="1"/>
  <c r="K51" i="15" a="1"/>
  <c r="K51" i="15" s="1"/>
  <c r="L51" i="15" a="1"/>
  <c r="L51" i="15" s="1"/>
  <c r="M51" i="15" a="1"/>
  <c r="M51" i="15" s="1"/>
  <c r="N51" i="15" a="1"/>
  <c r="N51" i="15" s="1"/>
  <c r="O51" i="15" a="1"/>
  <c r="O51" i="15" s="1"/>
  <c r="P51" i="15" a="1"/>
  <c r="P51" i="15" s="1"/>
  <c r="Q51" i="15" a="1"/>
  <c r="Q51" i="15" s="1"/>
  <c r="R51" i="15" a="1"/>
  <c r="R51" i="15" s="1"/>
  <c r="S51" i="15" a="1"/>
  <c r="S51" i="15" s="1"/>
  <c r="T51" i="15" a="1"/>
  <c r="T51" i="15" s="1"/>
  <c r="U51" i="15" a="1"/>
  <c r="U51" i="15" s="1"/>
  <c r="V51" i="15" a="1"/>
  <c r="V51" i="15" s="1"/>
  <c r="W51" i="15" a="1"/>
  <c r="W51" i="15" s="1"/>
  <c r="X51" i="15" a="1"/>
  <c r="X51" i="15" s="1"/>
  <c r="Y51" i="15" a="1"/>
  <c r="Y51" i="15" s="1"/>
  <c r="Z51" i="15" a="1"/>
  <c r="Z51" i="15" s="1"/>
  <c r="AA51" i="15" a="1"/>
  <c r="AA51" i="15" s="1"/>
  <c r="AB51" i="15" a="1"/>
  <c r="AB51" i="15" s="1"/>
  <c r="AC51" i="15" a="1"/>
  <c r="AC51" i="15" s="1"/>
  <c r="AD51" i="15" a="1"/>
  <c r="AD51" i="15" s="1"/>
  <c r="AE51" i="15" a="1"/>
  <c r="AE51" i="15" s="1"/>
  <c r="AF51" i="15" a="1"/>
  <c r="AF51" i="15" s="1"/>
  <c r="AG51" i="15" a="1"/>
  <c r="AG51" i="15" s="1"/>
  <c r="AH51" i="15" a="1"/>
  <c r="AH51" i="15" s="1"/>
  <c r="AI51" i="15" a="1"/>
  <c r="AI51" i="15" s="1"/>
  <c r="AJ51" i="15" a="1"/>
  <c r="AJ51" i="15" s="1"/>
  <c r="AK51" i="15" a="1"/>
  <c r="AK51" i="15" s="1"/>
  <c r="AL51" i="15" a="1"/>
  <c r="AL51" i="15" s="1"/>
  <c r="AM51" i="15" a="1"/>
  <c r="AM51" i="15" s="1"/>
  <c r="AN51" i="15" a="1"/>
  <c r="AN51" i="15" s="1"/>
  <c r="AO51" i="15" a="1"/>
  <c r="AO51" i="15" s="1"/>
  <c r="K52" i="15"/>
  <c r="L52" i="15"/>
  <c r="M52" i="15"/>
  <c r="N52" i="15"/>
  <c r="O52" i="15"/>
  <c r="P52" i="15"/>
  <c r="Q52" i="15"/>
  <c r="R52" i="15"/>
  <c r="S52" i="15"/>
  <c r="T52" i="15"/>
  <c r="U52" i="15"/>
  <c r="V52" i="15"/>
  <c r="W52" i="15"/>
  <c r="X52" i="15"/>
  <c r="Y52" i="15"/>
  <c r="Z52" i="15"/>
  <c r="AA52" i="15"/>
  <c r="AB52" i="15"/>
  <c r="AC52" i="15"/>
  <c r="AD52" i="15"/>
  <c r="AE52" i="15"/>
  <c r="AF52" i="15"/>
  <c r="AG52" i="15"/>
  <c r="AH52" i="15"/>
  <c r="AI52" i="15"/>
  <c r="AJ52" i="15"/>
  <c r="AK52" i="15"/>
  <c r="AL52" i="15"/>
  <c r="AM52" i="15"/>
  <c r="AN52" i="15"/>
  <c r="AO52" i="15"/>
  <c r="K53" i="15"/>
  <c r="L53" i="15"/>
  <c r="M53" i="15"/>
  <c r="N53" i="15"/>
  <c r="O53" i="15"/>
  <c r="P53" i="15"/>
  <c r="Q53" i="15"/>
  <c r="R53" i="15"/>
  <c r="S53" i="15"/>
  <c r="T53" i="15"/>
  <c r="U53" i="15"/>
  <c r="V53" i="15"/>
  <c r="W53" i="15"/>
  <c r="X53" i="15"/>
  <c r="Y53" i="15"/>
  <c r="Z53" i="15"/>
  <c r="AA53" i="15"/>
  <c r="AB53" i="15"/>
  <c r="AC53" i="15"/>
  <c r="AD53" i="15"/>
  <c r="AE53" i="15"/>
  <c r="AF53" i="15"/>
  <c r="AG53" i="15"/>
  <c r="AH53" i="15"/>
  <c r="AI53" i="15"/>
  <c r="AJ53" i="15"/>
  <c r="AK53" i="15"/>
  <c r="AL53" i="15"/>
  <c r="AM53" i="15"/>
  <c r="AN53" i="15"/>
  <c r="AO53" i="15"/>
  <c r="K54" i="15"/>
  <c r="L54" i="15"/>
  <c r="M54" i="15"/>
  <c r="N54" i="15"/>
  <c r="O54" i="15"/>
  <c r="P54" i="15"/>
  <c r="Q54" i="15"/>
  <c r="R54" i="15"/>
  <c r="S54" i="15"/>
  <c r="T54" i="15"/>
  <c r="U54" i="15"/>
  <c r="V54" i="15"/>
  <c r="W54" i="15"/>
  <c r="X54" i="15"/>
  <c r="Y54" i="15"/>
  <c r="Z54" i="15"/>
  <c r="AA54" i="15"/>
  <c r="AB54" i="15"/>
  <c r="AC54" i="15"/>
  <c r="AD54" i="15"/>
  <c r="AE54" i="15"/>
  <c r="AF54" i="15"/>
  <c r="AG54" i="15"/>
  <c r="AH54" i="15"/>
  <c r="AI54" i="15"/>
  <c r="AJ54" i="15"/>
  <c r="AK54" i="15"/>
  <c r="AL54" i="15"/>
  <c r="AM54" i="15"/>
  <c r="AN54" i="15"/>
  <c r="AO54" i="15"/>
  <c r="AV6" i="15" a="1"/>
  <c r="AV6" i="15" s="1"/>
  <c r="AX6" i="15" s="1"/>
  <c r="AV7" i="15" a="1"/>
  <c r="AV7" i="15" s="1"/>
  <c r="AX7" i="15" s="1"/>
  <c r="AV9" i="15" a="1"/>
  <c r="AV9" i="15" s="1"/>
  <c r="AX9" i="15" s="1"/>
  <c r="AV10" i="15" a="1"/>
  <c r="AV10" i="15" s="1"/>
  <c r="AX10" i="15" s="1"/>
  <c r="AV11" i="15" a="1"/>
  <c r="AV11" i="15" s="1"/>
  <c r="AX11" i="15" s="1"/>
  <c r="AV12" i="15" a="1"/>
  <c r="AV12" i="15" s="1"/>
  <c r="AX12" i="15" s="1"/>
  <c r="AV13" i="15" a="1"/>
  <c r="AV13" i="15" s="1"/>
  <c r="AX13" i="15" s="1"/>
  <c r="AV15" i="15" a="1"/>
  <c r="AV15" i="15" s="1"/>
  <c r="AX15" i="15" s="1"/>
  <c r="AV4" i="15" a="1"/>
  <c r="AV4" i="15" s="1"/>
  <c r="AX4" i="15" s="1"/>
  <c r="AO64" i="15" a="1"/>
  <c r="AO64" i="15" s="1"/>
  <c r="AN64" i="15" a="1"/>
  <c r="AN64" i="15" s="1"/>
  <c r="AM64" i="15" a="1"/>
  <c r="AM64" i="15" s="1"/>
  <c r="AL64" i="15" a="1"/>
  <c r="AL64" i="15" s="1"/>
  <c r="AK64" i="15" a="1"/>
  <c r="AK64" i="15" s="1"/>
  <c r="AJ64" i="15" a="1"/>
  <c r="AJ64" i="15" s="1"/>
  <c r="AI64" i="15" a="1"/>
  <c r="AI64" i="15" s="1"/>
  <c r="AH64" i="15" a="1"/>
  <c r="AH64" i="15" s="1"/>
  <c r="AG64" i="15" a="1"/>
  <c r="AG64" i="15" s="1"/>
  <c r="AF64" i="15" a="1"/>
  <c r="AF64" i="15" s="1"/>
  <c r="AE64" i="15" a="1"/>
  <c r="AE64" i="15" s="1"/>
  <c r="AD64" i="15" a="1"/>
  <c r="AD64" i="15" s="1"/>
  <c r="AC64" i="15" a="1"/>
  <c r="AC64" i="15" s="1"/>
  <c r="AB64" i="15" a="1"/>
  <c r="AB64" i="15" s="1"/>
  <c r="AA64" i="15" a="1"/>
  <c r="AA64" i="15" s="1"/>
  <c r="Z64" i="15" a="1"/>
  <c r="Z64" i="15" s="1"/>
  <c r="Y64" i="15" a="1"/>
  <c r="Y64" i="15" s="1"/>
  <c r="X64" i="15" a="1"/>
  <c r="X64" i="15" s="1"/>
  <c r="W64" i="15" a="1"/>
  <c r="W64" i="15" s="1"/>
  <c r="V64" i="15" a="1"/>
  <c r="V64" i="15" s="1"/>
  <c r="U64" i="15" a="1"/>
  <c r="U64" i="15" s="1"/>
  <c r="T64" i="15" a="1"/>
  <c r="T64" i="15" s="1"/>
  <c r="S64" i="15" a="1"/>
  <c r="S64" i="15" s="1"/>
  <c r="R64" i="15" a="1"/>
  <c r="R64" i="15" s="1"/>
  <c r="Q64" i="15" a="1"/>
  <c r="Q64" i="15" s="1"/>
  <c r="P64" i="15" a="1"/>
  <c r="P64" i="15" s="1"/>
  <c r="O64" i="15" a="1"/>
  <c r="O64" i="15" s="1"/>
  <c r="N64" i="15" a="1"/>
  <c r="N64" i="15" s="1"/>
  <c r="M64" i="15" a="1"/>
  <c r="M64" i="15" s="1"/>
  <c r="L64" i="15" a="1"/>
  <c r="L64" i="15" s="1"/>
  <c r="K64" i="15" a="1"/>
  <c r="K64" i="15" s="1"/>
  <c r="AO59" i="15"/>
  <c r="AN59" i="15"/>
  <c r="AM59" i="15"/>
  <c r="AL59" i="15"/>
  <c r="AK59" i="15"/>
  <c r="AJ59" i="15"/>
  <c r="AI59" i="15"/>
  <c r="AH59" i="15"/>
  <c r="AG59" i="15"/>
  <c r="AF59" i="15"/>
  <c r="AE59" i="15"/>
  <c r="AD59" i="15"/>
  <c r="AC59" i="15"/>
  <c r="AB59" i="15"/>
  <c r="AA59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AS58" i="15" a="1"/>
  <c r="AS58" i="15" s="1"/>
  <c r="AO58" i="15"/>
  <c r="AN58" i="15"/>
  <c r="AM58" i="15"/>
  <c r="AL58" i="15"/>
  <c r="AK58" i="15"/>
  <c r="AJ58" i="15"/>
  <c r="AI58" i="15"/>
  <c r="AH58" i="15"/>
  <c r="AG58" i="15"/>
  <c r="AF58" i="15"/>
  <c r="AE58" i="15"/>
  <c r="AD58" i="15"/>
  <c r="AC58" i="15"/>
  <c r="AB58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AO57" i="15"/>
  <c r="AN57" i="15"/>
  <c r="AM57" i="15"/>
  <c r="AL57" i="15"/>
  <c r="AK57" i="15"/>
  <c r="AJ57" i="15"/>
  <c r="AI57" i="15"/>
  <c r="AH57" i="15"/>
  <c r="AG57" i="15"/>
  <c r="AF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AR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AR54" i="15"/>
  <c r="AR53" i="15" a="1"/>
  <c r="AR53" i="15" s="1"/>
  <c r="AS52" i="15"/>
  <c r="AR52" i="15"/>
  <c r="AS51" i="15"/>
  <c r="AR51" i="15"/>
  <c r="AS50" i="15"/>
  <c r="AR50" i="15"/>
  <c r="AS49" i="15"/>
  <c r="AR49" i="15"/>
  <c r="H45" i="15"/>
  <c r="G45" i="15"/>
  <c r="F45" i="15"/>
  <c r="E45" i="15"/>
  <c r="D45" i="15"/>
  <c r="C45" i="15"/>
  <c r="B45" i="15"/>
  <c r="A45" i="15"/>
  <c r="H44" i="15"/>
  <c r="G44" i="15"/>
  <c r="F44" i="15"/>
  <c r="E44" i="15"/>
  <c r="D44" i="15"/>
  <c r="C44" i="15"/>
  <c r="B44" i="15"/>
  <c r="A44" i="15"/>
  <c r="H43" i="15"/>
  <c r="G43" i="15"/>
  <c r="F43" i="15"/>
  <c r="E43" i="15"/>
  <c r="D43" i="15"/>
  <c r="C43" i="15"/>
  <c r="B43" i="15"/>
  <c r="A43" i="15"/>
  <c r="H42" i="15"/>
  <c r="G42" i="15"/>
  <c r="F42" i="15"/>
  <c r="E42" i="15"/>
  <c r="D42" i="15"/>
  <c r="C42" i="15"/>
  <c r="B42" i="15"/>
  <c r="A42" i="15"/>
  <c r="H41" i="15"/>
  <c r="G41" i="15"/>
  <c r="F41" i="15"/>
  <c r="E41" i="15"/>
  <c r="D41" i="15"/>
  <c r="C41" i="15"/>
  <c r="B41" i="15"/>
  <c r="A41" i="15"/>
  <c r="H40" i="15"/>
  <c r="G40" i="15"/>
  <c r="F40" i="15"/>
  <c r="E40" i="15"/>
  <c r="D40" i="15"/>
  <c r="C40" i="15"/>
  <c r="B40" i="15"/>
  <c r="A40" i="15"/>
  <c r="H39" i="15"/>
  <c r="G39" i="15"/>
  <c r="F39" i="15"/>
  <c r="E39" i="15"/>
  <c r="D39" i="15"/>
  <c r="C39" i="15"/>
  <c r="B39" i="15"/>
  <c r="A39" i="15"/>
  <c r="H38" i="15"/>
  <c r="G38" i="15"/>
  <c r="F38" i="15"/>
  <c r="E38" i="15"/>
  <c r="D38" i="15"/>
  <c r="C38" i="15"/>
  <c r="B38" i="15"/>
  <c r="A38" i="15"/>
  <c r="H37" i="15"/>
  <c r="G37" i="15"/>
  <c r="F37" i="15"/>
  <c r="E37" i="15"/>
  <c r="D37" i="15"/>
  <c r="C37" i="15"/>
  <c r="B37" i="15"/>
  <c r="A37" i="15"/>
  <c r="H36" i="15"/>
  <c r="G36" i="15"/>
  <c r="F36" i="15"/>
  <c r="E36" i="15"/>
  <c r="D36" i="15"/>
  <c r="C36" i="15"/>
  <c r="B36" i="15"/>
  <c r="A36" i="15"/>
  <c r="H35" i="15"/>
  <c r="G35" i="15"/>
  <c r="F35" i="15"/>
  <c r="E35" i="15"/>
  <c r="D35" i="15"/>
  <c r="C35" i="15"/>
  <c r="B35" i="15"/>
  <c r="A35" i="15"/>
  <c r="H34" i="15"/>
  <c r="G34" i="15"/>
  <c r="F34" i="15"/>
  <c r="E34" i="15"/>
  <c r="D34" i="15"/>
  <c r="C34" i="15"/>
  <c r="B34" i="15"/>
  <c r="A34" i="15"/>
  <c r="H33" i="15"/>
  <c r="G33" i="15"/>
  <c r="F33" i="15"/>
  <c r="E33" i="15"/>
  <c r="D33" i="15"/>
  <c r="C33" i="15"/>
  <c r="B33" i="15"/>
  <c r="A33" i="15"/>
  <c r="H32" i="15"/>
  <c r="G32" i="15"/>
  <c r="F32" i="15"/>
  <c r="E32" i="15"/>
  <c r="D32" i="15"/>
  <c r="C32" i="15"/>
  <c r="B32" i="15"/>
  <c r="A32" i="15"/>
  <c r="H29" i="15"/>
  <c r="G29" i="15"/>
  <c r="F29" i="15"/>
  <c r="E29" i="15"/>
  <c r="D29" i="15"/>
  <c r="C29" i="15"/>
  <c r="B29" i="15"/>
  <c r="A29" i="15"/>
  <c r="H28" i="15"/>
  <c r="G28" i="15"/>
  <c r="F28" i="15"/>
  <c r="E28" i="15"/>
  <c r="D28" i="15"/>
  <c r="C28" i="15"/>
  <c r="B28" i="15"/>
  <c r="A28" i="15"/>
  <c r="H27" i="15"/>
  <c r="G27" i="15"/>
  <c r="F27" i="15"/>
  <c r="E27" i="15"/>
  <c r="D27" i="15"/>
  <c r="C27" i="15"/>
  <c r="B27" i="15"/>
  <c r="A27" i="15"/>
  <c r="H26" i="15"/>
  <c r="G26" i="15"/>
  <c r="F26" i="15"/>
  <c r="E26" i="15"/>
  <c r="D26" i="15"/>
  <c r="C26" i="15"/>
  <c r="B26" i="15"/>
  <c r="A26" i="15"/>
  <c r="H25" i="15"/>
  <c r="G25" i="15"/>
  <c r="F25" i="15"/>
  <c r="E25" i="15"/>
  <c r="D25" i="15"/>
  <c r="C25" i="15"/>
  <c r="B25" i="15"/>
  <c r="A25" i="15"/>
  <c r="H24" i="15"/>
  <c r="G24" i="15"/>
  <c r="F24" i="15"/>
  <c r="E24" i="15"/>
  <c r="D24" i="15"/>
  <c r="C24" i="15"/>
  <c r="B24" i="15"/>
  <c r="A24" i="15"/>
  <c r="H23" i="15"/>
  <c r="G23" i="15"/>
  <c r="F23" i="15"/>
  <c r="E23" i="15"/>
  <c r="D23" i="15"/>
  <c r="C23" i="15"/>
  <c r="B23" i="15"/>
  <c r="A23" i="15"/>
  <c r="H22" i="15"/>
  <c r="G22" i="15"/>
  <c r="F22" i="15"/>
  <c r="E22" i="15"/>
  <c r="D22" i="15"/>
  <c r="C22" i="15"/>
  <c r="B22" i="15"/>
  <c r="A22" i="15"/>
  <c r="H21" i="15"/>
  <c r="G21" i="15"/>
  <c r="F21" i="15"/>
  <c r="E21" i="15"/>
  <c r="D21" i="15"/>
  <c r="C21" i="15"/>
  <c r="B21" i="15"/>
  <c r="A21" i="15"/>
  <c r="H20" i="15"/>
  <c r="G20" i="15"/>
  <c r="F20" i="15"/>
  <c r="E20" i="15"/>
  <c r="D20" i="15"/>
  <c r="C20" i="15"/>
  <c r="B20" i="15"/>
  <c r="A20" i="15"/>
  <c r="H19" i="15"/>
  <c r="G19" i="15"/>
  <c r="F19" i="15"/>
  <c r="E19" i="15"/>
  <c r="D19" i="15"/>
  <c r="C19" i="15"/>
  <c r="B19" i="15"/>
  <c r="A19" i="15"/>
  <c r="H17" i="15"/>
  <c r="G17" i="15"/>
  <c r="F17" i="15"/>
  <c r="E17" i="15"/>
  <c r="D17" i="15"/>
  <c r="C17" i="15"/>
  <c r="B17" i="15"/>
  <c r="A17" i="15"/>
  <c r="H16" i="15"/>
  <c r="G16" i="15"/>
  <c r="F16" i="15"/>
  <c r="E16" i="15"/>
  <c r="D16" i="15"/>
  <c r="C16" i="15"/>
  <c r="B16" i="15"/>
  <c r="A16" i="15"/>
  <c r="H15" i="15"/>
  <c r="G15" i="15"/>
  <c r="F15" i="15"/>
  <c r="E15" i="15"/>
  <c r="D15" i="15"/>
  <c r="C15" i="15"/>
  <c r="B15" i="15"/>
  <c r="A15" i="15"/>
  <c r="H14" i="15"/>
  <c r="G14" i="15"/>
  <c r="F14" i="15"/>
  <c r="E14" i="15"/>
  <c r="D14" i="15"/>
  <c r="C14" i="15"/>
  <c r="B14" i="15"/>
  <c r="A14" i="15"/>
  <c r="H13" i="15"/>
  <c r="G13" i="15"/>
  <c r="F13" i="15"/>
  <c r="E13" i="15"/>
  <c r="D13" i="15"/>
  <c r="C13" i="15"/>
  <c r="B13" i="15"/>
  <c r="A13" i="15"/>
  <c r="H12" i="15"/>
  <c r="G12" i="15"/>
  <c r="F12" i="15"/>
  <c r="E12" i="15"/>
  <c r="D12" i="15"/>
  <c r="C12" i="15"/>
  <c r="B12" i="15"/>
  <c r="A12" i="15"/>
  <c r="H11" i="15"/>
  <c r="G11" i="15"/>
  <c r="F11" i="15"/>
  <c r="E11" i="15"/>
  <c r="D11" i="15"/>
  <c r="C11" i="15"/>
  <c r="B11" i="15"/>
  <c r="A11" i="15"/>
  <c r="H10" i="15"/>
  <c r="G10" i="15"/>
  <c r="F10" i="15"/>
  <c r="E10" i="15"/>
  <c r="D10" i="15"/>
  <c r="C10" i="15"/>
  <c r="B10" i="15"/>
  <c r="A10" i="15"/>
  <c r="H9" i="15"/>
  <c r="G9" i="15"/>
  <c r="F9" i="15"/>
  <c r="E9" i="15"/>
  <c r="D9" i="15"/>
  <c r="C9" i="15"/>
  <c r="B9" i="15"/>
  <c r="A9" i="15"/>
  <c r="H8" i="15"/>
  <c r="G8" i="15"/>
  <c r="F8" i="15"/>
  <c r="E8" i="15"/>
  <c r="D8" i="15"/>
  <c r="C8" i="15"/>
  <c r="B8" i="15"/>
  <c r="A8" i="15"/>
  <c r="H7" i="15"/>
  <c r="G7" i="15"/>
  <c r="F7" i="15"/>
  <c r="E7" i="15"/>
  <c r="D7" i="15"/>
  <c r="C7" i="15"/>
  <c r="B7" i="15"/>
  <c r="A7" i="15"/>
  <c r="H6" i="15"/>
  <c r="G6" i="15"/>
  <c r="F6" i="15"/>
  <c r="E6" i="15"/>
  <c r="D6" i="15"/>
  <c r="C6" i="15"/>
  <c r="B6" i="15"/>
  <c r="A6" i="15"/>
  <c r="H5" i="15"/>
  <c r="G5" i="15"/>
  <c r="F5" i="15"/>
  <c r="E5" i="15"/>
  <c r="D5" i="15"/>
  <c r="C5" i="15"/>
  <c r="B5" i="15"/>
  <c r="A5" i="15"/>
  <c r="H4" i="15"/>
  <c r="G4" i="15"/>
  <c r="F4" i="15"/>
  <c r="E4" i="15"/>
  <c r="D4" i="15"/>
  <c r="C4" i="15"/>
  <c r="B4" i="15"/>
  <c r="A4" i="15"/>
  <c r="K1" i="21" l="1"/>
  <c r="K1" i="20"/>
  <c r="AN4" i="18"/>
  <c r="AP4" i="18" s="1"/>
  <c r="AN8" i="18"/>
  <c r="AP8" i="18" s="1"/>
  <c r="AN10" i="18"/>
  <c r="AP10" i="18" s="1"/>
  <c r="AN5" i="18"/>
  <c r="AP5" i="18" s="1"/>
  <c r="AN9" i="18"/>
  <c r="AP9" i="18" s="1"/>
  <c r="AN19" i="18"/>
  <c r="AP19" i="18" s="1"/>
  <c r="AQ14" i="19"/>
  <c r="AS14" i="19" s="1"/>
  <c r="AQ18" i="19"/>
  <c r="AS18" i="19" s="1"/>
  <c r="T55" i="19"/>
  <c r="T60" i="19" s="1"/>
  <c r="Q55" i="19"/>
  <c r="Q60" i="19" s="1"/>
  <c r="O55" i="19"/>
  <c r="O60" i="19" s="1"/>
  <c r="U55" i="19"/>
  <c r="U60" i="19" s="1"/>
  <c r="M55" i="19"/>
  <c r="M60" i="19" s="1"/>
  <c r="P55" i="19"/>
  <c r="P60" i="19" s="1"/>
  <c r="R55" i="19"/>
  <c r="R60" i="19" s="1"/>
  <c r="S55" i="19"/>
  <c r="S60" i="19" s="1"/>
  <c r="N55" i="19"/>
  <c r="N60" i="19" s="1"/>
  <c r="AB61" i="19"/>
  <c r="N61" i="19"/>
  <c r="S61" i="19"/>
  <c r="W61" i="19"/>
  <c r="AK61" i="19"/>
  <c r="AJ61" i="19"/>
  <c r="T61" i="19"/>
  <c r="AH61" i="19"/>
  <c r="AG61" i="19"/>
  <c r="AA61" i="19"/>
  <c r="O61" i="19"/>
  <c r="AN61" i="19"/>
  <c r="M61" i="19"/>
  <c r="AE61" i="19"/>
  <c r="Z61" i="19"/>
  <c r="I15" i="19"/>
  <c r="L61" i="19"/>
  <c r="AI61" i="19"/>
  <c r="AO61" i="19"/>
  <c r="AC61" i="19"/>
  <c r="AD61" i="19"/>
  <c r="P61" i="19"/>
  <c r="V61" i="19"/>
  <c r="U61" i="19"/>
  <c r="AQ34" i="19"/>
  <c r="AS34" i="19" s="1"/>
  <c r="AL61" i="19"/>
  <c r="AQ16" i="19"/>
  <c r="AS16" i="19" s="1"/>
  <c r="Q61" i="19"/>
  <c r="AQ19" i="19"/>
  <c r="AS19" i="19" s="1"/>
  <c r="Y61" i="19"/>
  <c r="R61" i="19"/>
  <c r="K61" i="19"/>
  <c r="AQ7" i="19"/>
  <c r="AS7" i="19" s="1"/>
  <c r="I10" i="19"/>
  <c r="X61" i="19"/>
  <c r="I37" i="19"/>
  <c r="AQ36" i="19"/>
  <c r="AS36" i="19" s="1"/>
  <c r="AQ37" i="19"/>
  <c r="AS37" i="19" s="1"/>
  <c r="AQ20" i="19"/>
  <c r="AS20" i="19" s="1"/>
  <c r="AN17" i="18"/>
  <c r="AP17" i="18" s="1"/>
  <c r="I30" i="19"/>
  <c r="I33" i="19"/>
  <c r="AQ25" i="19"/>
  <c r="AS25" i="19" s="1"/>
  <c r="AF61" i="19"/>
  <c r="AM61" i="19"/>
  <c r="AQ21" i="19"/>
  <c r="AS21" i="19" s="1"/>
  <c r="I21" i="19"/>
  <c r="AQ22" i="19"/>
  <c r="AS22" i="19" s="1"/>
  <c r="AQ6" i="19"/>
  <c r="AS6" i="19" s="1"/>
  <c r="I16" i="19"/>
  <c r="I18" i="19"/>
  <c r="AQ17" i="19"/>
  <c r="AS17" i="19" s="1"/>
  <c r="I36" i="19"/>
  <c r="AQ43" i="19"/>
  <c r="AS43" i="19" s="1"/>
  <c r="AQ35" i="19"/>
  <c r="AS35" i="19" s="1"/>
  <c r="AQ31" i="19"/>
  <c r="AS31" i="19" s="1"/>
  <c r="I17" i="19"/>
  <c r="AQ12" i="19"/>
  <c r="AS12" i="19" s="1"/>
  <c r="I6" i="19"/>
  <c r="AQ15" i="19"/>
  <c r="AS15" i="19" s="1"/>
  <c r="I46" i="19"/>
  <c r="W55" i="19"/>
  <c r="W60" i="19" s="1"/>
  <c r="AQ27" i="19"/>
  <c r="AS27" i="19" s="1"/>
  <c r="K55" i="19"/>
  <c r="K60" i="19" s="1"/>
  <c r="AQ13" i="19"/>
  <c r="AS13" i="19" s="1"/>
  <c r="AQ30" i="19"/>
  <c r="AS30" i="19" s="1"/>
  <c r="V55" i="19"/>
  <c r="V60" i="19" s="1"/>
  <c r="AD55" i="19"/>
  <c r="AD60" i="19" s="1"/>
  <c r="AN55" i="19"/>
  <c r="AN60" i="19" s="1"/>
  <c r="Y55" i="19"/>
  <c r="Y60" i="19" s="1"/>
  <c r="X55" i="19"/>
  <c r="X60" i="19" s="1"/>
  <c r="AQ42" i="19"/>
  <c r="AS42" i="19" s="1"/>
  <c r="L55" i="19"/>
  <c r="L60" i="19" s="1"/>
  <c r="Z55" i="19"/>
  <c r="Z60" i="19" s="1"/>
  <c r="AA55" i="19"/>
  <c r="AA60" i="19" s="1"/>
  <c r="AB55" i="19"/>
  <c r="AB60" i="19" s="1"/>
  <c r="AC55" i="19"/>
  <c r="AC60" i="19" s="1"/>
  <c r="AE55" i="19"/>
  <c r="AE60" i="19" s="1"/>
  <c r="AF55" i="19"/>
  <c r="AF60" i="19" s="1"/>
  <c r="AG55" i="19"/>
  <c r="AG60" i="19" s="1"/>
  <c r="AH55" i="19"/>
  <c r="AH60" i="19" s="1"/>
  <c r="AI55" i="19"/>
  <c r="AI60" i="19" s="1"/>
  <c r="AJ55" i="19"/>
  <c r="AJ60" i="19" s="1"/>
  <c r="AK55" i="19"/>
  <c r="AK60" i="19" s="1"/>
  <c r="AL55" i="19"/>
  <c r="AL60" i="19" s="1"/>
  <c r="AM55" i="19"/>
  <c r="AM60" i="19" s="1"/>
  <c r="AO55" i="19"/>
  <c r="AO60" i="19" s="1"/>
  <c r="AQ44" i="19"/>
  <c r="AS44" i="19" s="1"/>
  <c r="I44" i="19"/>
  <c r="AQ41" i="19"/>
  <c r="AS41" i="19" s="1"/>
  <c r="AQ32" i="19"/>
  <c r="AS32" i="19" s="1"/>
  <c r="I14" i="19"/>
  <c r="AQ5" i="19"/>
  <c r="AS5" i="19" s="1"/>
  <c r="I40" i="19"/>
  <c r="I34" i="19"/>
  <c r="I35" i="19"/>
  <c r="I11" i="19"/>
  <c r="AQ29" i="19"/>
  <c r="AS29" i="19" s="1"/>
  <c r="AQ10" i="19"/>
  <c r="AS10" i="19" s="1"/>
  <c r="I4" i="19"/>
  <c r="AQ45" i="19"/>
  <c r="AS45" i="19" s="1"/>
  <c r="I8" i="19"/>
  <c r="I19" i="19"/>
  <c r="I45" i="19"/>
  <c r="I42" i="19"/>
  <c r="AQ9" i="19"/>
  <c r="AS9" i="19" s="1"/>
  <c r="AQ4" i="19"/>
  <c r="AS4" i="19" s="1"/>
  <c r="I27" i="19"/>
  <c r="AQ26" i="19"/>
  <c r="AS26" i="19" s="1"/>
  <c r="I38" i="19"/>
  <c r="I20" i="19"/>
  <c r="AQ24" i="19"/>
  <c r="AS24" i="19" s="1"/>
  <c r="AQ23" i="19"/>
  <c r="AS23" i="19" s="1"/>
  <c r="AQ28" i="19"/>
  <c r="AS28" i="19" s="1"/>
  <c r="I28" i="19"/>
  <c r="I7" i="19"/>
  <c r="AQ39" i="19"/>
  <c r="AS39" i="19" s="1"/>
  <c r="AQ38" i="19"/>
  <c r="AS38" i="19" s="1"/>
  <c r="AQ33" i="19"/>
  <c r="AS33" i="19" s="1"/>
  <c r="I43" i="19"/>
  <c r="I39" i="19"/>
  <c r="I22" i="19"/>
  <c r="AQ46" i="19"/>
  <c r="AS46" i="19" s="1"/>
  <c r="I41" i="19"/>
  <c r="I32" i="19"/>
  <c r="I29" i="19"/>
  <c r="I25" i="19"/>
  <c r="AQ11" i="19"/>
  <c r="AS11" i="19" s="1"/>
  <c r="AQ8" i="19"/>
  <c r="AS8" i="19" s="1"/>
  <c r="I23" i="19"/>
  <c r="I24" i="19"/>
  <c r="I13" i="19"/>
  <c r="I9" i="19"/>
  <c r="I5" i="19"/>
  <c r="AQ40" i="19"/>
  <c r="AS40" i="19" s="1"/>
  <c r="I31" i="19"/>
  <c r="I26" i="19"/>
  <c r="I12" i="19"/>
  <c r="AS58" i="19"/>
  <c r="AR58" i="19"/>
  <c r="I46" i="18"/>
  <c r="AP59" i="18"/>
  <c r="AO59" i="18"/>
  <c r="AN6" i="18"/>
  <c r="AP6" i="18" s="1"/>
  <c r="AH61" i="18"/>
  <c r="AI61" i="18"/>
  <c r="AJ61" i="18"/>
  <c r="AG61" i="18"/>
  <c r="I5" i="18"/>
  <c r="AB61" i="18"/>
  <c r="Z61" i="18"/>
  <c r="AA61" i="18"/>
  <c r="AC61" i="18"/>
  <c r="AN36" i="18"/>
  <c r="AP36" i="18" s="1"/>
  <c r="AG55" i="18"/>
  <c r="AG60" i="18" s="1"/>
  <c r="AN32" i="18"/>
  <c r="AP32" i="18" s="1"/>
  <c r="Y55" i="18"/>
  <c r="Y60" i="18" s="1"/>
  <c r="Z55" i="18"/>
  <c r="Z60" i="18" s="1"/>
  <c r="AA55" i="18"/>
  <c r="AA60" i="18" s="1"/>
  <c r="AB55" i="18"/>
  <c r="AB60" i="18" s="1"/>
  <c r="AC55" i="18"/>
  <c r="AC60" i="18" s="1"/>
  <c r="AD55" i="18"/>
  <c r="AD60" i="18" s="1"/>
  <c r="AE55" i="18"/>
  <c r="AE60" i="18" s="1"/>
  <c r="AF55" i="18"/>
  <c r="AF60" i="18" s="1"/>
  <c r="AH55" i="18"/>
  <c r="AH60" i="18" s="1"/>
  <c r="AI55" i="18"/>
  <c r="AI60" i="18" s="1"/>
  <c r="AJ55" i="18"/>
  <c r="AJ60" i="18" s="1"/>
  <c r="U55" i="18"/>
  <c r="U60" i="18" s="1"/>
  <c r="X55" i="18"/>
  <c r="X60" i="18" s="1"/>
  <c r="V55" i="18"/>
  <c r="V60" i="18" s="1"/>
  <c r="W55" i="18"/>
  <c r="W60" i="18" s="1"/>
  <c r="Q55" i="18"/>
  <c r="Q60" i="18" s="1"/>
  <c r="R55" i="18"/>
  <c r="R60" i="18" s="1"/>
  <c r="S55" i="18"/>
  <c r="S60" i="18" s="1"/>
  <c r="O55" i="18"/>
  <c r="O60" i="18" s="1"/>
  <c r="P55" i="18"/>
  <c r="P60" i="18" s="1"/>
  <c r="N55" i="18"/>
  <c r="N60" i="18" s="1"/>
  <c r="AL55" i="18"/>
  <c r="AL60" i="18" s="1"/>
  <c r="AK55" i="18"/>
  <c r="AK60" i="18" s="1"/>
  <c r="T55" i="18"/>
  <c r="T60" i="18" s="1"/>
  <c r="M55" i="18"/>
  <c r="M60" i="18" s="1"/>
  <c r="L55" i="18"/>
  <c r="L60" i="18" s="1"/>
  <c r="K55" i="18"/>
  <c r="K60" i="18" s="1"/>
  <c r="AE61" i="18"/>
  <c r="AD61" i="18"/>
  <c r="I32" i="18"/>
  <c r="AN16" i="18"/>
  <c r="AP16" i="18" s="1"/>
  <c r="AN12" i="18"/>
  <c r="AP12" i="18" s="1"/>
  <c r="AN11" i="18"/>
  <c r="AP11" i="18" s="1"/>
  <c r="AN18" i="18"/>
  <c r="AP18" i="18" s="1"/>
  <c r="I9" i="18"/>
  <c r="AN7" i="18"/>
  <c r="AP7" i="18" s="1"/>
  <c r="I6" i="18"/>
  <c r="AN21" i="18"/>
  <c r="AP21" i="18" s="1"/>
  <c r="AN35" i="18"/>
  <c r="AP35" i="18" s="1"/>
  <c r="I43" i="18"/>
  <c r="U61" i="18"/>
  <c r="I18" i="18"/>
  <c r="AN20" i="18"/>
  <c r="AP20" i="18" s="1"/>
  <c r="I20" i="18"/>
  <c r="I21" i="18"/>
  <c r="AN45" i="18"/>
  <c r="AP45" i="18" s="1"/>
  <c r="I8" i="18"/>
  <c r="AN40" i="18"/>
  <c r="AP40" i="18" s="1"/>
  <c r="I36" i="18"/>
  <c r="I31" i="18"/>
  <c r="AN28" i="18"/>
  <c r="AP28" i="18" s="1"/>
  <c r="S61" i="18"/>
  <c r="I39" i="18"/>
  <c r="AN22" i="18"/>
  <c r="AP22" i="18" s="1"/>
  <c r="I22" i="18"/>
  <c r="I13" i="18"/>
  <c r="I11" i="18"/>
  <c r="I12" i="18"/>
  <c r="W61" i="18"/>
  <c r="V61" i="18"/>
  <c r="I4" i="18"/>
  <c r="I10" i="18"/>
  <c r="I14" i="18"/>
  <c r="X61" i="18"/>
  <c r="I17" i="18"/>
  <c r="I33" i="18"/>
  <c r="I26" i="18"/>
  <c r="AN38" i="18"/>
  <c r="AP38" i="18" s="1"/>
  <c r="I38" i="18"/>
  <c r="AN23" i="18"/>
  <c r="AP23" i="18" s="1"/>
  <c r="I23" i="18"/>
  <c r="I30" i="18"/>
  <c r="AN29" i="18"/>
  <c r="AP29" i="18" s="1"/>
  <c r="I25" i="18"/>
  <c r="AN25" i="18"/>
  <c r="AP25" i="18" s="1"/>
  <c r="I28" i="18"/>
  <c r="AK61" i="18"/>
  <c r="Y61" i="18"/>
  <c r="AN13" i="18"/>
  <c r="AP13" i="18" s="1"/>
  <c r="AL61" i="18"/>
  <c r="T61" i="18"/>
  <c r="AF61" i="18"/>
  <c r="I44" i="18"/>
  <c r="AN46" i="18"/>
  <c r="AP46" i="18" s="1"/>
  <c r="I45" i="18"/>
  <c r="I34" i="18"/>
  <c r="AN24" i="18"/>
  <c r="AP24" i="18" s="1"/>
  <c r="AN14" i="18"/>
  <c r="AP14" i="18" s="1"/>
  <c r="R61" i="18"/>
  <c r="Q61" i="18"/>
  <c r="P61" i="18"/>
  <c r="O61" i="18"/>
  <c r="N61" i="18"/>
  <c r="M61" i="18"/>
  <c r="L61" i="18"/>
  <c r="K61" i="18"/>
  <c r="I16" i="18"/>
  <c r="I24" i="18"/>
  <c r="AN42" i="18"/>
  <c r="AP42" i="18" s="1"/>
  <c r="I40" i="18"/>
  <c r="AN37" i="18"/>
  <c r="AP37" i="18" s="1"/>
  <c r="I29" i="18"/>
  <c r="AN26" i="18"/>
  <c r="AP26" i="18" s="1"/>
  <c r="I19" i="18"/>
  <c r="AN44" i="18"/>
  <c r="AP44" i="18" s="1"/>
  <c r="AN34" i="18"/>
  <c r="AP34" i="18" s="1"/>
  <c r="AN31" i="18"/>
  <c r="AP31" i="18" s="1"/>
  <c r="AN41" i="18"/>
  <c r="AP41" i="18" s="1"/>
  <c r="I41" i="18"/>
  <c r="I37" i="18"/>
  <c r="AN33" i="18"/>
  <c r="AP33" i="18" s="1"/>
  <c r="AN27" i="18"/>
  <c r="AP27" i="18" s="1"/>
  <c r="I7" i="18"/>
  <c r="I42" i="18"/>
  <c r="I35" i="18"/>
  <c r="AN43" i="18"/>
  <c r="AP43" i="18" s="1"/>
  <c r="AN39" i="18"/>
  <c r="AP39" i="18" s="1"/>
  <c r="AN30" i="18"/>
  <c r="AP30" i="18" s="1"/>
  <c r="I27" i="18"/>
  <c r="AN15" i="18"/>
  <c r="AP15" i="18" s="1"/>
  <c r="I15" i="18"/>
  <c r="AQ16" i="15"/>
  <c r="AS16" i="15" s="1"/>
  <c r="AQ25" i="15"/>
  <c r="AS25" i="15" s="1"/>
  <c r="I18" i="15"/>
  <c r="AQ18" i="15"/>
  <c r="AS18" i="15" s="1"/>
  <c r="AQ8" i="15"/>
  <c r="AS8" i="15" s="1"/>
  <c r="AQ17" i="15"/>
  <c r="AS17" i="15" s="1"/>
  <c r="I31" i="15"/>
  <c r="I30" i="15"/>
  <c r="AQ32" i="15"/>
  <c r="AS32" i="15" s="1"/>
  <c r="AQ29" i="15"/>
  <c r="AS29" i="15" s="1"/>
  <c r="AQ10" i="15"/>
  <c r="AS10" i="15" s="1"/>
  <c r="AQ9" i="15"/>
  <c r="AS9" i="15" s="1"/>
  <c r="AQ15" i="15"/>
  <c r="AS15" i="15" s="1"/>
  <c r="AQ26" i="15"/>
  <c r="AS26" i="15" s="1"/>
  <c r="AQ21" i="15"/>
  <c r="AS21" i="15" s="1"/>
  <c r="AQ23" i="15"/>
  <c r="AS23" i="15" s="1"/>
  <c r="AQ40" i="15"/>
  <c r="AS40" i="15" s="1"/>
  <c r="AQ37" i="15"/>
  <c r="AS37" i="15" s="1"/>
  <c r="I20" i="15"/>
  <c r="AQ13" i="15"/>
  <c r="AS13" i="15" s="1"/>
  <c r="AQ6" i="15"/>
  <c r="AS6" i="15" s="1"/>
  <c r="AQ19" i="15"/>
  <c r="AS19" i="15" s="1"/>
  <c r="I29" i="15"/>
  <c r="AQ30" i="15"/>
  <c r="AS30" i="15" s="1"/>
  <c r="AQ20" i="15"/>
  <c r="AS20" i="15" s="1"/>
  <c r="AQ34" i="15"/>
  <c r="AS34" i="15" s="1"/>
  <c r="AQ35" i="15"/>
  <c r="AS35" i="15" s="1"/>
  <c r="I35" i="15"/>
  <c r="I46" i="15"/>
  <c r="I41" i="15"/>
  <c r="AF61" i="15"/>
  <c r="AA55" i="15"/>
  <c r="AA60" i="15" s="1"/>
  <c r="AB55" i="15"/>
  <c r="AB60" i="15" s="1"/>
  <c r="AJ55" i="15"/>
  <c r="AJ60" i="15" s="1"/>
  <c r="AO55" i="15"/>
  <c r="AO60" i="15" s="1"/>
  <c r="AC55" i="15"/>
  <c r="AC60" i="15" s="1"/>
  <c r="AE55" i="15"/>
  <c r="AE60" i="15" s="1"/>
  <c r="AF55" i="15"/>
  <c r="AF60" i="15" s="1"/>
  <c r="AG55" i="15"/>
  <c r="AG60" i="15" s="1"/>
  <c r="AD55" i="15"/>
  <c r="AD60" i="15" s="1"/>
  <c r="V55" i="15"/>
  <c r="V60" i="15" s="1"/>
  <c r="U55" i="15"/>
  <c r="U60" i="15" s="1"/>
  <c r="T55" i="15"/>
  <c r="T60" i="15" s="1"/>
  <c r="P55" i="15"/>
  <c r="P60" i="15" s="1"/>
  <c r="Q55" i="15"/>
  <c r="Q60" i="15" s="1"/>
  <c r="R55" i="15"/>
  <c r="R60" i="15" s="1"/>
  <c r="S55" i="15"/>
  <c r="S60" i="15" s="1"/>
  <c r="AN55" i="15"/>
  <c r="AN60" i="15" s="1"/>
  <c r="AM55" i="15"/>
  <c r="AM60" i="15" s="1"/>
  <c r="AL55" i="15"/>
  <c r="AL60" i="15" s="1"/>
  <c r="AK55" i="15"/>
  <c r="AK60" i="15" s="1"/>
  <c r="W55" i="15"/>
  <c r="W60" i="15" s="1"/>
  <c r="X55" i="15"/>
  <c r="X60" i="15" s="1"/>
  <c r="Y55" i="15"/>
  <c r="Y60" i="15" s="1"/>
  <c r="Z55" i="15"/>
  <c r="Z60" i="15" s="1"/>
  <c r="AI55" i="15"/>
  <c r="AI60" i="15" s="1"/>
  <c r="K55" i="15"/>
  <c r="K60" i="15" s="1"/>
  <c r="L55" i="15"/>
  <c r="L60" i="15" s="1"/>
  <c r="M55" i="15"/>
  <c r="M60" i="15" s="1"/>
  <c r="N55" i="15"/>
  <c r="N60" i="15" s="1"/>
  <c r="O55" i="15"/>
  <c r="O60" i="15" s="1"/>
  <c r="AH55" i="15"/>
  <c r="AH60" i="15" s="1"/>
  <c r="AQ44" i="15"/>
  <c r="AS44" i="15" s="1"/>
  <c r="AQ46" i="15"/>
  <c r="AS46" i="15" s="1"/>
  <c r="AN61" i="15"/>
  <c r="AM61" i="15"/>
  <c r="AL61" i="15"/>
  <c r="AJ61" i="15"/>
  <c r="I26" i="15"/>
  <c r="I25" i="15"/>
  <c r="I45" i="15"/>
  <c r="AQ41" i="15"/>
  <c r="AS41" i="15" s="1"/>
  <c r="Z61" i="15"/>
  <c r="I40" i="15"/>
  <c r="I34" i="15"/>
  <c r="AQ33" i="15"/>
  <c r="AS33" i="15" s="1"/>
  <c r="AQ31" i="15"/>
  <c r="AS31" i="15" s="1"/>
  <c r="AQ28" i="15"/>
  <c r="AS28" i="15" s="1"/>
  <c r="AQ27" i="15"/>
  <c r="AS27" i="15" s="1"/>
  <c r="AS59" i="15"/>
  <c r="I44" i="15"/>
  <c r="AQ38" i="15"/>
  <c r="AS38" i="15" s="1"/>
  <c r="I38" i="15"/>
  <c r="I32" i="15"/>
  <c r="AO61" i="15"/>
  <c r="AQ7" i="15"/>
  <c r="AS7" i="15" s="1"/>
  <c r="I7" i="15"/>
  <c r="AI61" i="15"/>
  <c r="AA61" i="15"/>
  <c r="I13" i="15"/>
  <c r="I12" i="15"/>
  <c r="I10" i="15"/>
  <c r="AG61" i="15"/>
  <c r="AQ5" i="15"/>
  <c r="AS5" i="15" s="1"/>
  <c r="AK61" i="15"/>
  <c r="AC61" i="15"/>
  <c r="AD61" i="15"/>
  <c r="Y61" i="15"/>
  <c r="I4" i="15"/>
  <c r="I5" i="15"/>
  <c r="AQ4" i="15"/>
  <c r="AS4" i="15" s="1"/>
  <c r="I11" i="15"/>
  <c r="AB61" i="15"/>
  <c r="AQ11" i="15"/>
  <c r="AS11" i="15" s="1"/>
  <c r="AH61" i="15"/>
  <c r="AE61" i="15"/>
  <c r="AQ36" i="15"/>
  <c r="AS36" i="15" s="1"/>
  <c r="I36" i="15"/>
  <c r="I24" i="15"/>
  <c r="AR59" i="15"/>
  <c r="AQ12" i="15"/>
  <c r="AS12" i="15" s="1"/>
  <c r="AQ42" i="15"/>
  <c r="AS42" i="15" s="1"/>
  <c r="I42" i="15"/>
  <c r="I37" i="15"/>
  <c r="AQ14" i="15"/>
  <c r="AS14" i="15" s="1"/>
  <c r="I23" i="15"/>
  <c r="I19" i="15"/>
  <c r="I6" i="15"/>
  <c r="AQ22" i="15"/>
  <c r="AS22" i="15" s="1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I16" i="15"/>
  <c r="I39" i="15"/>
  <c r="I33" i="15"/>
  <c r="I28" i="15"/>
  <c r="I27" i="15"/>
  <c r="I22" i="15"/>
  <c r="I21" i="15"/>
  <c r="I15" i="15"/>
  <c r="I14" i="15"/>
  <c r="AQ45" i="15"/>
  <c r="AS45" i="15" s="1"/>
  <c r="AQ43" i="15"/>
  <c r="AS43" i="15" s="1"/>
  <c r="I17" i="15"/>
  <c r="I9" i="15"/>
  <c r="I8" i="15"/>
  <c r="I43" i="15"/>
  <c r="AQ39" i="15"/>
  <c r="AS39" i="15" s="1"/>
  <c r="AQ24" i="15"/>
  <c r="AS24" i="15" s="1"/>
  <c r="K1" i="18" l="1"/>
  <c r="K1" i="19"/>
  <c r="K1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admin</author>
    <author>Jason Hsu</author>
    <author>Admin</author>
    <author>User</author>
  </authors>
  <commentList>
    <comment ref="F2" authorId="0" shapeId="0" xr:uid="{68B74F09-7607-4913-AB36-E81F2CD8E1F2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F42DCCAB-8FC1-4764-8A0B-F54C7346B57B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M4" authorId="1" shapeId="0" xr:uid="{D94BE827-3EC7-4911-B17A-50E595A3109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J4" authorId="1" shapeId="0" xr:uid="{54BCFAB0-1A77-4951-8B1A-D2F0A8C40813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特休</t>
        </r>
        <r>
          <rPr>
            <b/>
            <sz val="16"/>
            <color indexed="81"/>
            <rFont val="Tahoma"/>
            <family val="2"/>
          </rPr>
          <t>1/23</t>
        </r>
        <r>
          <rPr>
            <b/>
            <sz val="16"/>
            <color indexed="81"/>
            <rFont val="細明體"/>
            <family val="3"/>
            <charset val="136"/>
          </rPr>
          <t xml:space="preserve">前要休完
</t>
        </r>
      </text>
    </comment>
    <comment ref="N5" authorId="1" shapeId="0" xr:uid="{32BD04BF-3996-4A42-82CE-8C403733767E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S5" authorId="1" shapeId="0" xr:uid="{6884983E-EE4B-400C-8276-0142118CD129}">
      <text>
        <r>
          <rPr>
            <b/>
            <sz val="16"/>
            <color indexed="81"/>
            <rFont val="Tahoma"/>
            <family val="2"/>
          </rPr>
          <t>CR Dashboard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開發討論
</t>
        </r>
      </text>
    </comment>
    <comment ref="AB5" authorId="1" shapeId="0" xr:uid="{9A9DEB2D-C33F-423E-A8BA-7A2F63FF80C9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H5" authorId="1" shapeId="0" xr:uid="{F525A31B-9494-4616-A796-89D6C47BAC2E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請排</t>
        </r>
        <r>
          <rPr>
            <b/>
            <sz val="14"/>
            <color indexed="10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>或</t>
        </r>
        <r>
          <rPr>
            <b/>
            <sz val="14"/>
            <color indexed="10"/>
            <rFont val="細明體"/>
            <family val="3"/>
            <charset val="136"/>
          </rPr>
          <t>大夜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I5" authorId="1" shapeId="0" xr:uid="{C3E181CA-ED54-4630-A13D-52C994574172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請排</t>
        </r>
        <r>
          <rPr>
            <b/>
            <sz val="14"/>
            <color indexed="10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>或</t>
        </r>
        <r>
          <rPr>
            <b/>
            <sz val="14"/>
            <color indexed="10"/>
            <rFont val="細明體"/>
            <family val="3"/>
            <charset val="136"/>
          </rPr>
          <t>大夜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L6" authorId="1" shapeId="0" xr:uid="{EFDAECED-056A-41E1-AE82-7423F38F4E27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>請排早班或</t>
        </r>
        <r>
          <rPr>
            <b/>
            <sz val="14"/>
            <color indexed="81"/>
            <rFont val="Tahoma"/>
            <family val="2"/>
          </rPr>
          <t>N</t>
        </r>
        <r>
          <rPr>
            <b/>
            <sz val="14"/>
            <color indexed="81"/>
            <rFont val="細明體"/>
            <family val="3"/>
            <charset val="136"/>
          </rPr>
          <t xml:space="preserve">，謝謝
</t>
        </r>
      </text>
    </comment>
    <comment ref="S6" authorId="1" shapeId="0" xr:uid="{950A83DC-8AAC-4528-93FE-60CAA7612E22}">
      <text>
        <r>
          <rPr>
            <b/>
            <sz val="16"/>
            <color indexed="81"/>
            <rFont val="Tahoma"/>
            <family val="2"/>
          </rPr>
          <t>CR Dashboard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開發討論
</t>
        </r>
      </text>
    </comment>
    <comment ref="Y6" authorId="1" shapeId="0" xr:uid="{0E120019-6895-4E77-87C2-83E71F251323}">
      <text>
        <r>
          <rPr>
            <b/>
            <sz val="16"/>
            <color indexed="81"/>
            <rFont val="Tahoma"/>
            <family val="2"/>
          </rPr>
          <t>Hi NOC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開發討論
</t>
        </r>
      </text>
    </comment>
    <comment ref="AC6" authorId="1" shapeId="0" xr:uid="{ABE0CB2B-1C3B-4134-9FA0-3761A2FD4768}">
      <text>
        <r>
          <rPr>
            <b/>
            <sz val="14"/>
            <color indexed="81"/>
            <rFont val="細明體"/>
            <family val="3"/>
            <charset val="136"/>
          </rPr>
          <t xml:space="preserve">Mobile Training 講師
</t>
        </r>
      </text>
    </comment>
    <comment ref="AD6" authorId="1" shapeId="0" xr:uid="{438F789B-4CBA-4B4F-B57E-436A3F820D92}">
      <text>
        <r>
          <rPr>
            <b/>
            <sz val="14"/>
            <color indexed="81"/>
            <rFont val="細明體"/>
            <family val="3"/>
            <charset val="136"/>
          </rPr>
          <t xml:space="preserve">Mobile Training 講師
</t>
        </r>
      </text>
    </comment>
    <comment ref="AE6" authorId="1" shapeId="0" xr:uid="{D5C9ECC8-D4C8-4095-9B70-EB52B4EEB811}">
      <text>
        <r>
          <rPr>
            <b/>
            <sz val="14"/>
            <color indexed="81"/>
            <rFont val="細明體"/>
            <family val="3"/>
            <charset val="136"/>
          </rPr>
          <t xml:space="preserve">Mobile Training 講師
</t>
        </r>
      </text>
    </comment>
    <comment ref="AK6" authorId="1" shapeId="0" xr:uid="{CF61F54D-4372-4FFC-9958-0F3F08126504}">
      <text>
        <r>
          <rPr>
            <b/>
            <sz val="14"/>
            <color indexed="81"/>
            <rFont val="細明體"/>
            <family val="3"/>
            <charset val="136"/>
          </rPr>
          <t xml:space="preserve">Mobile Training 講師
</t>
        </r>
      </text>
    </comment>
    <comment ref="J7" authorId="1" shapeId="0" xr:uid="{091801D0-4DFE-4222-A500-350D0F832867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AD7" authorId="1" shapeId="0" xr:uid="{64922AD5-215F-4E84-B828-367B176FE842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特休</t>
        </r>
        <r>
          <rPr>
            <b/>
            <sz val="16"/>
            <color indexed="81"/>
            <rFont val="Tahoma"/>
            <family val="2"/>
          </rPr>
          <t>1/23</t>
        </r>
        <r>
          <rPr>
            <b/>
            <sz val="16"/>
            <color indexed="81"/>
            <rFont val="細明體"/>
            <family val="3"/>
            <charset val="136"/>
          </rPr>
          <t xml:space="preserve">前要休完
</t>
        </r>
      </text>
    </comment>
    <comment ref="Y8" authorId="1" shapeId="0" xr:uid="{72CB218F-967A-4260-B685-61963DF17F21}">
      <text>
        <r>
          <rPr>
            <b/>
            <sz val="16"/>
            <color indexed="81"/>
            <rFont val="Tahoma"/>
            <family val="2"/>
          </rPr>
          <t>Hi NOC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開發討論
</t>
        </r>
      </text>
    </comment>
    <comment ref="J10" authorId="1" shapeId="0" xr:uid="{2C59187C-56DF-445D-93C0-0E0F3380F2CE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Jason,
支援小夜大夜，但合計請勿超過" 3 "天，假日可以的話也請幫忙排早、1，謝謝。
</t>
        </r>
      </text>
    </comment>
    <comment ref="M11" authorId="1" shapeId="0" xr:uid="{BCF76791-DEF6-445E-A194-32AF8C96228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
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1" authorId="1" shapeId="0" xr:uid="{27D9A4AD-82DF-47CE-BDA4-A74DEC596A4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
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1" authorId="1" shapeId="0" xr:uid="{A8A0F2C1-B959-41C2-A718-7E7DE06BA9A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sir:如果排班方便請幫我排"X"
</t>
        </r>
      </text>
    </comment>
    <comment ref="M13" authorId="1" shapeId="0" xr:uid="{12AB26D8-5915-4504-96DA-D4660D5E5DD9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.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請排早或中班
</t>
        </r>
      </text>
    </comment>
    <comment ref="N13" authorId="1" shapeId="0" xr:uid="{3671538F-B78D-45E1-85DC-E1EBAC4DD4E6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.</t>
        </r>
        <r>
          <rPr>
            <b/>
            <sz val="14"/>
            <color indexed="81"/>
            <rFont val="細明體"/>
            <family val="3"/>
            <charset val="136"/>
          </rPr>
          <t xml:space="preserve">可否排休假乙天
</t>
        </r>
      </text>
    </comment>
    <comment ref="AA13" authorId="1" shapeId="0" xr:uid="{B5A53F76-2C16-4A68-9910-B7BE36E05362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.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請排早或中或休假
</t>
        </r>
      </text>
    </comment>
    <comment ref="AB13" authorId="1" shapeId="0" xr:uid="{E92C63BA-283B-4624-99BB-2D2F7E18528A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.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請排早或中或休假
</t>
        </r>
      </text>
    </comment>
    <comment ref="AO13" authorId="1" shapeId="0" xr:uid="{C908073F-EF2F-4102-A5D5-C7EFCB2F4EBE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.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請排早或中或休假
</t>
        </r>
      </text>
    </comment>
    <comment ref="J14" authorId="1" shapeId="0" xr:uid="{1F08FA9D-E099-4DF5-94A5-F7C5D48F8DFD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>或"中"，每個禮拜三小孩亞東上課須上小夜或休假，每個禮拜五小孩診所上課須休假，謝謝</t>
        </r>
        <r>
          <rPr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K14" authorId="1" shapeId="0" xr:uid="{DA7724AB-7D67-4EDC-B701-E3DFD287661C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特休</t>
        </r>
        <r>
          <rPr>
            <b/>
            <sz val="16"/>
            <color indexed="81"/>
            <rFont val="Tahoma"/>
            <family val="2"/>
          </rPr>
          <t>1/23</t>
        </r>
        <r>
          <rPr>
            <b/>
            <sz val="16"/>
            <color indexed="81"/>
            <rFont val="細明體"/>
            <family val="3"/>
            <charset val="136"/>
          </rPr>
          <t xml:space="preserve">前要休完
</t>
        </r>
      </text>
    </comment>
    <comment ref="M14" authorId="1" shapeId="0" xr:uid="{152CF494-C104-4892-B160-90008AC2939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N14" authorId="1" shapeId="0" xr:uid="{FB06A40D-4CFC-4B3B-B075-5CAD052F887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O14" authorId="1" shapeId="0" xr:uid="{625D50CA-F926-43E7-A8CA-8D8AB2F02F3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4" authorId="1" shapeId="0" xr:uid="{82D30898-B40B-4C46-810C-AC10BA405ED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4" authorId="1" shapeId="0" xr:uid="{080CECAB-4B99-452E-B5BB-77A158C6A188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特休</t>
        </r>
        <r>
          <rPr>
            <b/>
            <sz val="16"/>
            <color indexed="81"/>
            <rFont val="Tahoma"/>
            <family val="2"/>
          </rPr>
          <t>1/23</t>
        </r>
        <r>
          <rPr>
            <b/>
            <sz val="16"/>
            <color indexed="81"/>
            <rFont val="細明體"/>
            <family val="3"/>
            <charset val="136"/>
          </rPr>
          <t xml:space="preserve">前要休完
</t>
        </r>
      </text>
    </comment>
    <comment ref="T14" authorId="1" shapeId="0" xr:uid="{E783B87A-12BA-4875-9847-15EBD0AA5CC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U14" authorId="1" shapeId="0" xr:uid="{82452BFC-A2F2-4748-A0EA-B54D9ED6260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V14" authorId="1" shapeId="0" xr:uid="{A0E4BFA6-CB79-48F1-804C-2CDB6546D8C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4" authorId="2" shapeId="0" xr:uid="{E0438367-3575-4972-B7D3-FAFFC914F4A0}">
      <text>
        <r>
          <rPr>
            <sz val="14"/>
            <color indexed="81"/>
            <rFont val="Tahoma"/>
            <family val="2"/>
          </rPr>
          <t>病假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4" authorId="1" shapeId="0" xr:uid="{03799A35-4B75-4D98-95B7-AAB202041A75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特休</t>
        </r>
        <r>
          <rPr>
            <b/>
            <sz val="16"/>
            <color indexed="81"/>
            <rFont val="Tahoma"/>
            <family val="2"/>
          </rPr>
          <t>1/23</t>
        </r>
        <r>
          <rPr>
            <b/>
            <sz val="16"/>
            <color indexed="81"/>
            <rFont val="細明體"/>
            <family val="3"/>
            <charset val="136"/>
          </rPr>
          <t xml:space="preserve">前要休完
</t>
        </r>
      </text>
    </comment>
    <comment ref="AA14" authorId="1" shapeId="0" xr:uid="{CEAC4251-DA68-4342-8BAE-80711181BB8D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特休</t>
        </r>
        <r>
          <rPr>
            <b/>
            <sz val="16"/>
            <color indexed="81"/>
            <rFont val="Tahoma"/>
            <family val="2"/>
          </rPr>
          <t>1/23</t>
        </r>
        <r>
          <rPr>
            <b/>
            <sz val="16"/>
            <color indexed="81"/>
            <rFont val="細明體"/>
            <family val="3"/>
            <charset val="136"/>
          </rPr>
          <t xml:space="preserve">前要休完
</t>
        </r>
      </text>
    </comment>
    <comment ref="AC14" authorId="1" shapeId="0" xr:uid="{E3383723-7817-4616-9195-76001F942DB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14" authorId="1" shapeId="0" xr:uid="{099E0833-05E3-4F04-A91A-E409A8F1884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4" authorId="1" shapeId="0" xr:uid="{71C163F2-D0B0-4F64-9C09-6D6E1379A02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I14" authorId="1" shapeId="0" xr:uid="{BBA98CC8-2B08-4062-B786-5CED0E73902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J14" authorId="1" shapeId="0" xr:uid="{6AFE7DAA-8446-4F50-B9FC-12E206FA32A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14" authorId="1" shapeId="0" xr:uid="{B02655B7-9EE4-4FC3-A9CF-58AE9916B8F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5" authorId="1" shapeId="0" xr:uid="{5019D0DF-4B0B-4C26-9CC3-DFE3DFB36D0E}">
      <text>
        <r>
          <rPr>
            <b/>
            <sz val="16"/>
            <color indexed="81"/>
            <rFont val="細明體"/>
            <family val="3"/>
            <charset val="136"/>
          </rPr>
          <t xml:space="preserve">配合簡訊平台新功能上線，重大工具將做調整。 
</t>
        </r>
      </text>
    </comment>
    <comment ref="P15" authorId="1" shapeId="0" xr:uid="{4EA32237-DB88-4116-8D9C-6C1CC64FC817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特休</t>
        </r>
        <r>
          <rPr>
            <b/>
            <sz val="16"/>
            <color indexed="81"/>
            <rFont val="Tahoma"/>
            <family val="2"/>
          </rPr>
          <t>1/23</t>
        </r>
        <r>
          <rPr>
            <b/>
            <sz val="16"/>
            <color indexed="81"/>
            <rFont val="細明體"/>
            <family val="3"/>
            <charset val="136"/>
          </rPr>
          <t xml:space="preserve">前要休完
</t>
        </r>
      </text>
    </comment>
    <comment ref="S15" authorId="1" shapeId="0" xr:uid="{93B0EDB1-ADCE-418E-AAFA-BF7FFB98540A}">
      <text>
        <r>
          <rPr>
            <b/>
            <sz val="16"/>
            <color indexed="81"/>
            <rFont val="Tahoma"/>
            <family val="2"/>
          </rPr>
          <t xml:space="preserve">TX Auto TT Phase Two 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
</t>
        </r>
      </text>
    </comment>
    <comment ref="AG15" authorId="1" shapeId="0" xr:uid="{3E546218-3BBA-462A-9361-E2D076410823}">
      <text>
        <r>
          <rPr>
            <b/>
            <sz val="16"/>
            <color indexed="81"/>
            <rFont val="Tahoma"/>
            <family val="2"/>
          </rPr>
          <t xml:space="preserve">TX Auto TT Phase Two 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
</t>
        </r>
      </text>
    </comment>
    <comment ref="J16" authorId="3" shapeId="0" xr:uid="{BADCEB10-DC05-43E8-8308-EFE46CEE7C9F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如果排班方便的話請多早或1，支援大夜與小夜，請各別排在同一周或假日，不要超過3天，謝謝
admin:
如果人力許可，請多排一個N
</t>
        </r>
      </text>
    </comment>
    <comment ref="Y16" authorId="1" shapeId="0" xr:uid="{8EEDCD8A-D7CA-4712-A0F4-96DBC849027C}">
      <text>
        <r>
          <rPr>
            <b/>
            <sz val="16"/>
            <color indexed="81"/>
            <rFont val="Tahoma"/>
            <family val="2"/>
          </rPr>
          <t>Hi NOC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開發討論
</t>
        </r>
      </text>
    </comment>
    <comment ref="Z16" authorId="1" shapeId="0" xr:uid="{E5C8835F-C69C-4EFD-A12A-35CB08516064}">
      <text>
        <r>
          <rPr>
            <b/>
            <sz val="14"/>
            <color indexed="81"/>
            <rFont val="細明體"/>
            <family val="3"/>
            <charset val="136"/>
          </rPr>
          <t xml:space="preserve">預計孩子長庚複檢，但還沒決定，故可能會改變
</t>
        </r>
      </text>
    </comment>
    <comment ref="K17" authorId="1" shapeId="0" xr:uid="{9764205F-47CA-4544-AB0E-C513B86233BA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特休</t>
        </r>
        <r>
          <rPr>
            <b/>
            <sz val="16"/>
            <color indexed="81"/>
            <rFont val="Tahoma"/>
            <family val="2"/>
          </rPr>
          <t>1/23</t>
        </r>
        <r>
          <rPr>
            <b/>
            <sz val="16"/>
            <color indexed="81"/>
            <rFont val="細明體"/>
            <family val="3"/>
            <charset val="136"/>
          </rPr>
          <t xml:space="preserve">前要休完
</t>
        </r>
      </text>
    </comment>
    <comment ref="S17" authorId="1" shapeId="0" xr:uid="{8505E85E-E19A-4B96-A375-C33A9A4831D1}">
      <text>
        <r>
          <rPr>
            <b/>
            <sz val="16"/>
            <color indexed="81"/>
            <rFont val="Tahoma"/>
            <family val="2"/>
          </rPr>
          <t>CR Dashboard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開發討論
</t>
        </r>
      </text>
    </comment>
    <comment ref="J19" authorId="1" shapeId="0" xr:uid="{EC001624-04E9-4A6F-B981-9FEE04A3F5C0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排班如果許可的話，請幫我多排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 xml:space="preserve">，謝謝。
</t>
        </r>
      </text>
    </comment>
    <comment ref="J22" authorId="1" shapeId="0" xr:uid="{2AE16448-3B3D-4294-B355-482A47F6F2AD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2" authorId="1" shapeId="0" xr:uid="{6B770440-06BE-4F84-965C-9F902128835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T22" authorId="1" shapeId="0" xr:uid="{83321D74-B101-4573-9424-8CCAFFD83B83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Z22" authorId="1" shapeId="0" xr:uid="{6141C608-3901-4B57-88D8-BB0837D332A8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M23" authorId="1" shapeId="0" xr:uid="{24B914A0-E903-4FA7-9225-17B981AC346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
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3" authorId="1" shapeId="0" xr:uid="{C687B003-BC42-44C7-B0C0-F96F6B1E6DA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
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3" authorId="1" shapeId="0" xr:uid="{901BD1FF-14E0-4E94-A11B-76CDDE98D54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
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23" authorId="1" shapeId="0" xr:uid="{8ABF7330-C237-4C25-B0D3-CDB19A0C2E0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
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3" authorId="1" shapeId="0" xr:uid="{056621B4-A2DE-452C-8A11-73FE387B2AA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
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4" authorId="1" shapeId="0" xr:uid="{F9053BC6-CC87-47AF-9736-2A80731A5468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P24" authorId="1" shapeId="0" xr:uid="{5721FB75-5973-41E4-961D-F01D5333DED8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S24" authorId="1" shapeId="0" xr:uid="{9CD03728-4E40-4446-A444-091D001C6A74}">
      <text>
        <r>
          <rPr>
            <b/>
            <sz val="16"/>
            <color indexed="81"/>
            <rFont val="Tahoma"/>
            <family val="2"/>
          </rPr>
          <t>CR Dashboard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開發討論
</t>
        </r>
      </text>
    </comment>
    <comment ref="W24" authorId="1" shapeId="0" xr:uid="{700F9790-811B-49C0-BE54-99ABCE724CF1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E24" authorId="1" shapeId="0" xr:uid="{FFCB42C7-6D03-420D-82B1-62EE6567F44D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K24" authorId="1" shapeId="0" xr:uid="{E56C3DD3-39C3-4347-83EC-4F2AB1B13554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L24" authorId="1" shapeId="0" xr:uid="{17236C98-827D-4207-B855-417DD379E4BF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M24" authorId="1" shapeId="0" xr:uid="{333129F4-0F4E-438D-A343-CDA8F884BCA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N24" authorId="1" shapeId="0" xr:uid="{D8F1ACF5-356B-4D3D-843A-3E6ABCF86D9A}">
      <text>
        <r>
          <rPr>
            <b/>
            <sz val="14"/>
            <color indexed="81"/>
            <rFont val="標楷體"/>
            <family val="4"/>
            <charset val="136"/>
          </rPr>
          <t>Dear Jason:請幫我排"N8"or"1"or"早"or"X"，感謝~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6" authorId="1" shapeId="0" xr:uid="{E2B1A224-E1BB-4AE3-9132-3BD33164615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
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7" authorId="1" shapeId="0" xr:uid="{421BEF4A-A2EC-44C7-AB32-E8F8D0E458A9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請都幫我排 "1"
謝謝！！
</t>
        </r>
      </text>
    </comment>
    <comment ref="L27" authorId="1" shapeId="0" xr:uid="{2BBE34A6-9528-49DA-BC0A-78B43E6A5028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O27" authorId="1" shapeId="0" xr:uid="{1818DDB0-8544-4130-AAD5-5EA5E5D8FE19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R27" authorId="1" shapeId="0" xr:uid="{49D1D829-1D87-4F2E-B9BE-4C8BC1C961AD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V27" authorId="1" shapeId="0" xr:uid="{74F92876-EAC6-4A61-81D9-33F6702B966D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Y27" authorId="1" shapeId="0" xr:uid="{8E71D48B-3C48-4E5B-8B61-F2AB15C03121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C27" authorId="1" shapeId="0" xr:uid="{EC4EF6AB-32C2-4F71-8BCA-AF6864E895F9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F27" authorId="1" shapeId="0" xr:uid="{948E2A1B-95A2-4005-A23F-792DBEC7452C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J27" authorId="1" shapeId="0" xr:uid="{40644921-C3C9-434F-8843-2C1AE6D8E93A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M27" authorId="1" shapeId="0" xr:uid="{6F74073A-D366-4E7C-9940-3EEF296161CC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L28" authorId="1" shapeId="0" xr:uid="{784A4AC7-829E-4923-9155-3B1E1F6787BD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"3</t>
        </r>
        <r>
          <rPr>
            <b/>
            <sz val="11"/>
            <color indexed="81"/>
            <rFont val="細明體"/>
            <family val="3"/>
            <charset val="136"/>
          </rPr>
          <t>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8" authorId="1" shapeId="0" xr:uid="{D5C74122-1BB3-4DD2-AECD-49565D3A02E2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"3</t>
        </r>
        <r>
          <rPr>
            <b/>
            <sz val="11"/>
            <color indexed="81"/>
            <rFont val="細明體"/>
            <family val="3"/>
            <charset val="136"/>
          </rPr>
          <t>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8" authorId="1" shapeId="0" xr:uid="{2DFD1BE8-9D11-4729-8302-C257A123D085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"3</t>
        </r>
        <r>
          <rPr>
            <b/>
            <sz val="11"/>
            <color indexed="81"/>
            <rFont val="細明體"/>
            <family val="3"/>
            <charset val="136"/>
          </rPr>
          <t>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28" authorId="1" shapeId="0" xr:uid="{E0E5206B-7DDD-4A45-8514-040204E92F5D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"3</t>
        </r>
        <r>
          <rPr>
            <b/>
            <sz val="11"/>
            <color indexed="81"/>
            <rFont val="細明體"/>
            <family val="3"/>
            <charset val="136"/>
          </rPr>
          <t>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8" authorId="1" shapeId="0" xr:uid="{8933641A-6B7E-4BF2-8A4B-68598D5F9770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"3</t>
        </r>
        <r>
          <rPr>
            <b/>
            <sz val="11"/>
            <color indexed="81"/>
            <rFont val="細明體"/>
            <family val="3"/>
            <charset val="136"/>
          </rPr>
          <t>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28" authorId="1" shapeId="0" xr:uid="{15E246DE-4ABF-4CB8-8DE7-8D4C8BA662B4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"3</t>
        </r>
        <r>
          <rPr>
            <b/>
            <sz val="11"/>
            <color indexed="81"/>
            <rFont val="細明體"/>
            <family val="3"/>
            <charset val="136"/>
          </rPr>
          <t>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9" authorId="1" shapeId="0" xr:uid="{BC065773-6407-488A-90A1-4F9749A78524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P29" authorId="1" shapeId="0" xr:uid="{832BD01F-ED2F-4769-BB3A-09AA961A92F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S29" authorId="1" shapeId="0" xr:uid="{C9F1C9C2-0795-486F-80B9-A6968EB4B4AB}">
      <text>
        <r>
          <rPr>
            <b/>
            <sz val="16"/>
            <color indexed="81"/>
            <rFont val="Tahoma"/>
            <family val="2"/>
          </rPr>
          <t>CR Dashboard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開發討論
</t>
        </r>
      </text>
    </comment>
    <comment ref="W29" authorId="1" shapeId="0" xr:uid="{EAB1A808-8B5F-46BE-ACBA-DF0B6DBE742E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E29" authorId="1" shapeId="0" xr:uid="{940419CA-0CAE-4F0E-BA18-E665AECA32A2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F29" authorId="1" shapeId="0" xr:uid="{0A738869-60A7-422A-9C63-5D7CB0DF243D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已送假單，故不改為S
</t>
        </r>
      </text>
    </comment>
    <comment ref="AK29" authorId="1" shapeId="0" xr:uid="{D722AA15-7B35-4E21-B15B-2F7E29A17D90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L29" authorId="1" shapeId="0" xr:uid="{296548BA-5924-40F8-A511-47C7C32410C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M29" authorId="1" shapeId="0" xr:uid="{FED29816-15C1-49DB-A83C-53561782E34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J30" authorId="1" shapeId="0" xr:uid="{12B172DB-D5EA-456B-A3D0-50AE843C0482}">
      <text>
        <r>
          <rPr>
            <b/>
            <sz val="13"/>
            <color indexed="81"/>
            <rFont val="Tahoma"/>
            <family val="2"/>
          </rPr>
          <t xml:space="preserve">Dear sir: 
</t>
        </r>
        <r>
          <rPr>
            <b/>
            <sz val="13"/>
            <color indexed="81"/>
            <rFont val="細明體"/>
            <family val="3"/>
            <charset val="136"/>
          </rPr>
          <t>如排班允許請多排</t>
        </r>
        <r>
          <rPr>
            <b/>
            <sz val="13"/>
            <color indexed="81"/>
            <rFont val="Tahoma"/>
            <family val="2"/>
          </rPr>
          <t>3</t>
        </r>
        <r>
          <rPr>
            <b/>
            <sz val="13"/>
            <color indexed="81"/>
            <rFont val="細明體"/>
            <family val="3"/>
            <charset val="136"/>
          </rPr>
          <t xml:space="preserve">，謝謝。
</t>
        </r>
      </text>
    </comment>
    <comment ref="T30" authorId="1" shapeId="0" xr:uid="{123520DE-E027-4CAB-838B-95681611C335}">
      <text>
        <r>
          <rPr>
            <sz val="14"/>
            <color indexed="81"/>
            <rFont val="Tahoma"/>
            <family val="2"/>
          </rPr>
          <t xml:space="preserve">Daer sir:
</t>
        </r>
        <r>
          <rPr>
            <sz val="14"/>
            <color indexed="81"/>
            <rFont val="細明體"/>
            <family val="3"/>
            <charset val="136"/>
          </rPr>
          <t>和</t>
        </r>
        <r>
          <rPr>
            <sz val="14"/>
            <color indexed="81"/>
            <rFont val="Tahoma"/>
            <family val="2"/>
          </rPr>
          <t xml:space="preserve"> key </t>
        </r>
        <r>
          <rPr>
            <sz val="14"/>
            <color indexed="81"/>
            <rFont val="細明體"/>
            <family val="3"/>
            <charset val="136"/>
          </rPr>
          <t xml:space="preserve">換
</t>
        </r>
      </text>
    </comment>
    <comment ref="J31" authorId="1" shapeId="0" xr:uid="{B663A1F3-66F0-4373-B978-D1329A54E7B1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若排班方便，麻煩請多排</t>
        </r>
        <r>
          <rPr>
            <b/>
            <sz val="9"/>
            <color indexed="81"/>
            <rFont val="Tahoma"/>
            <family val="2"/>
          </rPr>
          <t>"2"</t>
        </r>
        <r>
          <rPr>
            <b/>
            <sz val="9"/>
            <color indexed="81"/>
            <rFont val="細明體"/>
            <family val="3"/>
            <charset val="136"/>
          </rPr>
          <t>或</t>
        </r>
        <r>
          <rPr>
            <b/>
            <sz val="9"/>
            <color indexed="81"/>
            <rFont val="Tahoma"/>
            <family val="2"/>
          </rPr>
          <t>"3"</t>
        </r>
        <r>
          <rPr>
            <b/>
            <sz val="9"/>
            <color indexed="81"/>
            <rFont val="細明體"/>
            <family val="3"/>
            <charset val="136"/>
          </rPr>
          <t xml:space="preserve">，謝協。
</t>
        </r>
      </text>
    </comment>
    <comment ref="K31" authorId="1" shapeId="0" xr:uid="{024F61DC-530F-4ECA-A6F3-67AAC8687881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M31" authorId="1" shapeId="0" xr:uid="{6B6DD3E0-B4E6-4025-A484-BBAAFBBA42DC}">
      <text>
        <r>
          <rPr>
            <sz val="16"/>
            <color indexed="81"/>
            <rFont val="微軟正黑體"/>
            <family val="2"/>
            <charset val="136"/>
          </rPr>
          <t xml:space="preserve">與David Ke 換週
</t>
        </r>
      </text>
    </comment>
    <comment ref="O31" authorId="1" shapeId="0" xr:uid="{26F10660-A5D6-4562-844F-D1AAB7258AE0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U31" authorId="1" shapeId="0" xr:uid="{2808E71E-8E02-472C-8638-3DF4E742FB0C}">
      <text>
        <r>
          <rPr>
            <sz val="16"/>
            <color indexed="81"/>
            <rFont val="微軟正黑體"/>
            <family val="2"/>
            <charset val="136"/>
          </rPr>
          <t xml:space="preserve">與David Ke 換週
</t>
        </r>
      </text>
    </comment>
    <comment ref="AK31" authorId="1" shapeId="0" xr:uid="{5341A8C2-232F-468C-B551-06B5AF5AB2BA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O32" authorId="1" shapeId="0" xr:uid="{F013AD9E-FA72-4D27-8684-DB41C439ED6F}">
      <text>
        <r>
          <rPr>
            <b/>
            <sz val="12"/>
            <color indexed="81"/>
            <rFont val="微軟正黑體"/>
            <family val="2"/>
            <charset val="136"/>
          </rPr>
          <t>Dear Jason:
若排班許可幫我排 2 或 X, 謝謝!!</t>
        </r>
      </text>
    </comment>
    <comment ref="K33" authorId="1" shapeId="0" xr:uid="{0231362B-0530-467E-B259-DF3C986F93C5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Sir
若排班許可，請幫我排"2"，謝謝。
</t>
        </r>
      </text>
    </comment>
    <comment ref="N33" authorId="1" shapeId="0" xr:uid="{D7D74AC9-E7F2-488E-A68B-2E79C9A587C1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與Howard換週
</t>
        </r>
      </text>
    </comment>
    <comment ref="T33" authorId="1" shapeId="0" xr:uid="{6030B9BA-C5DD-44D5-88C7-7FC963868A39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與Howard換週
</t>
        </r>
      </text>
    </comment>
    <comment ref="AH33" authorId="1" shapeId="0" xr:uid="{AE24226C-DD1F-4F95-9D29-48FEB1B4ACB5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Sir
請幫我排"1"，謝謝。
</t>
        </r>
      </text>
    </comment>
    <comment ref="AI33" authorId="1" shapeId="0" xr:uid="{468C1AF5-5ACB-4CFE-A69F-B6EA4A4E0AB2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Sir
請幫我排"1"，謝謝。
</t>
        </r>
      </text>
    </comment>
    <comment ref="AL33" authorId="1" shapeId="0" xr:uid="{04598427-6AA7-4CAF-8DDC-5036BFEAB771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Sir
請幫我排"1"or"2"，
謝謝。
</t>
        </r>
      </text>
    </comment>
    <comment ref="K34" authorId="1" shapeId="0" xr:uid="{03ED8A04-3489-4C1C-986A-C7FD6F89125A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4" authorId="1" shapeId="0" xr:uid="{4A7AB992-E651-4536-BF37-6EE30A307FC1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4" authorId="1" shapeId="0" xr:uid="{62F0C481-12E5-4183-BB9E-B912A6BBFF63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4" authorId="1" shapeId="0" xr:uid="{F02A6D1C-F060-4714-8216-FEFD1D664085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34" authorId="1" shapeId="0" xr:uid="{916E17DC-33C6-4AE4-A6E3-B06C0BE3ECE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34" authorId="1" shapeId="0" xr:uid="{78F30CF0-05D2-402D-B4A7-115C8C773F27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34" authorId="1" shapeId="0" xr:uid="{C223CD5C-B838-4FB6-A3AA-D3EC65EF4566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6" authorId="1" shapeId="0" xr:uid="{078BC0CE-B155-45E2-AD4D-4982C3144171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1.如果排班方便，因為接送小孩，請多排中班或2，謝謝。
2.如果排班方便，因為接送小孩，如有大夜請排在例假日沒有上課時，謝謝。</t>
        </r>
        <r>
          <rPr>
            <sz val="14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R36" authorId="1" shapeId="0" xr:uid="{2653F5FF-663A-45E2-8B72-51E0CBC99662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Dear Sir,
如果排班方便，請排中班，謝謝。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36" authorId="1" shapeId="0" xr:uid="{68D26525-0E34-41D0-B579-01FE620AE7BE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Sir,
如果排班方便，請排休一天。
</t>
        </r>
      </text>
    </comment>
    <comment ref="J37" authorId="4" shapeId="0" xr:uid="{B54C28B0-2504-4760-BC2B-0BF09A339C47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admin:
admin:
</t>
        </r>
      </text>
    </comment>
    <comment ref="Y38" authorId="1" shapeId="0" xr:uid="{54BC4369-F89C-4F94-A37C-94B35E194E6C}">
      <text>
        <r>
          <rPr>
            <b/>
            <sz val="16"/>
            <color indexed="81"/>
            <rFont val="Tahoma"/>
            <family val="2"/>
          </rPr>
          <t>Hi NOC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開發討論
</t>
        </r>
      </text>
    </comment>
    <comment ref="M39" authorId="1" shapeId="0" xr:uid="{A9B23FA8-EED6-48F5-8663-319B4F212D0E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N39" authorId="1" shapeId="0" xr:uid="{F81B1F6D-5CCD-43E8-9BB0-CD7C087619E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O39" authorId="1" shapeId="0" xr:uid="{FF10AD18-0FDB-44EA-83AC-5A61FBBE0478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R39" authorId="1" shapeId="0" xr:uid="{4F4FEAAE-E91B-45E6-A83E-52449FB6757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S39" authorId="1" shapeId="0" xr:uid="{1D0F25C3-3427-45D9-8E07-65E348057A9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T39" authorId="1" shapeId="0" xr:uid="{E78BBCEE-9F22-4208-9556-7D859AE9B9AE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V39" authorId="1" shapeId="0" xr:uid="{5C4409B2-0C27-4073-818B-4C3307917FB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W39" authorId="1" shapeId="0" xr:uid="{D96B6EF5-168A-49E2-B62F-AE9C205BC5F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Z39" authorId="1" shapeId="0" xr:uid="{63A4F30C-B5B0-411F-99FC-42C17DEFD721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A39" authorId="1" shapeId="0" xr:uid="{12C6E3BF-D5ED-41D1-ADF2-33D4BBE66AA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B39" authorId="1" shapeId="0" xr:uid="{F9ED2C54-BDBC-4ECD-9622-17C5F8A1ADE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E39" authorId="1" shapeId="0" xr:uid="{64982858-06BE-412E-A291-2E710FE15A9A}">
      <text>
        <r>
          <rPr>
            <sz val="14"/>
            <color indexed="81"/>
            <rFont val="Tahoma"/>
            <family val="2"/>
          </rPr>
          <t xml:space="preserve">dear sir:
</t>
        </r>
        <r>
          <rPr>
            <sz val="14"/>
            <color indexed="81"/>
            <rFont val="細明體"/>
            <family val="3"/>
            <charset val="136"/>
          </rPr>
          <t>請幫忙排早或1，謝謝。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F39" authorId="1" shapeId="0" xr:uid="{1F427F77-6815-4944-95FE-5AFB7E1D36AD}">
      <text>
        <r>
          <rPr>
            <sz val="14"/>
            <color indexed="81"/>
            <rFont val="Tahoma"/>
            <family val="2"/>
          </rPr>
          <t xml:space="preserve">dear sir:
</t>
        </r>
        <r>
          <rPr>
            <sz val="14"/>
            <color indexed="81"/>
            <rFont val="細明體"/>
            <family val="3"/>
            <charset val="136"/>
          </rPr>
          <t>請幫忙排早或1，謝謝。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G39" authorId="1" shapeId="0" xr:uid="{EF72AAB1-321D-4D71-A0A4-D038830C88F0}">
      <text>
        <r>
          <rPr>
            <sz val="14"/>
            <color indexed="81"/>
            <rFont val="Tahoma"/>
            <family val="2"/>
          </rPr>
          <t xml:space="preserve">dear sir:
</t>
        </r>
        <r>
          <rPr>
            <sz val="14"/>
            <color indexed="81"/>
            <rFont val="細明體"/>
            <family val="3"/>
            <charset val="136"/>
          </rPr>
          <t>請幫忙排早或1，謝謝。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K39" authorId="1" shapeId="0" xr:uid="{DE0B8ECC-8BAD-46E1-B9FF-8D517C4F773E}">
      <text>
        <r>
          <rPr>
            <sz val="14"/>
            <color indexed="81"/>
            <rFont val="Tahoma"/>
            <family val="2"/>
          </rPr>
          <t>dear sir:
27-29</t>
        </r>
        <r>
          <rPr>
            <sz val="14"/>
            <color indexed="81"/>
            <rFont val="細明體"/>
            <family val="3"/>
            <charset val="136"/>
          </rPr>
          <t>請病假。物移動S，謝謝。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L39" authorId="1" shapeId="0" xr:uid="{7F5A7130-B299-4D16-A087-289FEBE391B0}">
      <text>
        <r>
          <rPr>
            <sz val="14"/>
            <color indexed="81"/>
            <rFont val="Tahoma"/>
            <family val="2"/>
          </rPr>
          <t>dear sir:
27-29</t>
        </r>
        <r>
          <rPr>
            <sz val="14"/>
            <color indexed="81"/>
            <rFont val="細明體"/>
            <family val="3"/>
            <charset val="136"/>
          </rPr>
          <t>請病假。物移動S，謝謝。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M39" authorId="1" shapeId="0" xr:uid="{C294D7FA-DC20-4BAD-BAC2-9BA0CF50B91B}">
      <text>
        <r>
          <rPr>
            <sz val="14"/>
            <color indexed="81"/>
            <rFont val="Tahoma"/>
            <family val="2"/>
          </rPr>
          <t>dear sir:
27-29</t>
        </r>
        <r>
          <rPr>
            <sz val="14"/>
            <color indexed="81"/>
            <rFont val="細明體"/>
            <family val="3"/>
            <charset val="136"/>
          </rPr>
          <t>請病假。物移動S，謝謝。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M40" authorId="1" shapeId="0" xr:uid="{C84951F1-00B8-4031-985C-1CCEC299F182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N40" authorId="1" shapeId="0" xr:uid="{E2114421-6A30-4AE8-8A8B-FD4FC79675C8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R40" authorId="1" shapeId="0" xr:uid="{52DE1B28-93AE-4DEC-AB08-B122AAE92856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早</t>
        </r>
        <r>
          <rPr>
            <b/>
            <sz val="12"/>
            <color indexed="81"/>
            <rFont val="Tahoma"/>
            <family val="2"/>
          </rPr>
          <t>"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AA40" authorId="1" shapeId="0" xr:uid="{302836BD-8134-4A5D-8EC6-742D005E3D78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AB40" authorId="1" shapeId="0" xr:uid="{C425B2D1-FF6B-43E8-A093-EC59102C087E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AD40" authorId="1" shapeId="0" xr:uid="{E78FA69E-73D8-4497-B245-3EF342497694}">
      <text>
        <r>
          <rPr>
            <b/>
            <sz val="14"/>
            <color indexed="81"/>
            <rFont val="細明體"/>
            <family val="3"/>
            <charset val="136"/>
          </rPr>
          <t xml:space="preserve">Mobile Training 
</t>
        </r>
      </text>
    </comment>
    <comment ref="AE40" authorId="1" shapeId="0" xr:uid="{E70E56B6-1A26-409E-B3EE-418581C62556}">
      <text>
        <r>
          <rPr>
            <b/>
            <sz val="14"/>
            <color indexed="81"/>
            <rFont val="細明體"/>
            <family val="3"/>
            <charset val="136"/>
          </rPr>
          <t xml:space="preserve">Mobile Training 
</t>
        </r>
      </text>
    </comment>
    <comment ref="AF40" authorId="1" shapeId="0" xr:uid="{260A1047-6FEC-404C-AF6F-07E0660B39EF}">
      <text>
        <r>
          <rPr>
            <b/>
            <sz val="14"/>
            <color indexed="81"/>
            <rFont val="細明體"/>
            <family val="3"/>
            <charset val="136"/>
          </rPr>
          <t xml:space="preserve">Mobile Training 
</t>
        </r>
      </text>
    </comment>
    <comment ref="AJ40" authorId="1" shapeId="0" xr:uid="{6D2A5DFC-6E65-4DB8-AACF-58CF89E5C365}">
      <text>
        <r>
          <rPr>
            <b/>
            <sz val="14"/>
            <color indexed="81"/>
            <rFont val="細明體"/>
            <family val="3"/>
            <charset val="136"/>
          </rPr>
          <t xml:space="preserve">Mobile Training 
</t>
        </r>
      </text>
    </comment>
    <comment ref="AK40" authorId="1" shapeId="0" xr:uid="{4D55A546-9F68-401B-8757-BA4D4094E8D2}">
      <text>
        <r>
          <rPr>
            <b/>
            <sz val="14"/>
            <color indexed="81"/>
            <rFont val="細明體"/>
            <family val="3"/>
            <charset val="136"/>
          </rPr>
          <t xml:space="preserve">Mobile Training 
</t>
        </r>
      </text>
    </comment>
    <comment ref="AO40" authorId="1" shapeId="0" xr:uid="{D1BA5D73-66CF-4149-8577-DE3B492661BA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M41" authorId="1" shapeId="0" xr:uid="{DF3FD7F2-CAAE-4E7B-8962-2A4D265D7D76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N41" authorId="1" shapeId="0" xr:uid="{A522A054-5E78-4810-9D13-E4C4FDD42A7E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Q41" authorId="1" shapeId="0" xr:uid="{5A2720D4-9029-4567-8152-ED96C60FCB07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X41" authorId="1" shapeId="0" xr:uid="{920898BC-F807-4366-8E83-9CE8BA8B67A5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E41" authorId="1" shapeId="0" xr:uid="{55F2D39B-C9B9-4FF0-A215-98FA31A02D97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H41" authorId="1" shapeId="0" xr:uid="{2E85073B-85DA-4BA4-BE43-FE227AC54289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AI41" authorId="1" shapeId="0" xr:uid="{21A41BB0-A3C2-4AF4-83DC-9373900BF613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AL41" authorId="1" shapeId="0" xr:uid="{9DC6D6C9-9B1A-4084-8EBD-54531A4A8ACA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J42" authorId="1" shapeId="0" xr:uid="{3272D593-3BBB-482A-B870-6AD2DE82872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多上小夜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不上大夜
</t>
        </r>
      </text>
    </comment>
    <comment ref="O43" authorId="1" shapeId="0" xr:uid="{2B2BF6FC-714C-41F8-AF97-C0CFCF8C68C1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V43" authorId="1" shapeId="0" xr:uid="{F87DE506-8524-4FAA-AF52-6C90C0057343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C43" authorId="1" shapeId="0" xr:uid="{06498D09-DF1C-417B-95BF-D1464A1EABDF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J43" authorId="1" shapeId="0" xr:uid="{0819E41C-B11E-47D5-9689-47632BC37446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K45" authorId="1" shapeId="0" xr:uid="{B65D86E6-0C48-4A1B-97FB-E2DFACCC9F2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12/31-1/4
</t>
        </r>
      </text>
    </comment>
    <comment ref="L45" authorId="1" shapeId="0" xr:uid="{C847286E-AD52-40AF-826C-0EEA2997896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12/31-1/4
</t>
        </r>
      </text>
    </comment>
    <comment ref="M45" authorId="1" shapeId="0" xr:uid="{D990D068-590C-4F57-84DD-9164630F09A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camby</t>
        </r>
        <r>
          <rPr>
            <sz val="9"/>
            <color indexed="81"/>
            <rFont val="細明體"/>
            <family val="3"/>
            <charset val="136"/>
          </rPr>
          <t xml:space="preserve">換
</t>
        </r>
      </text>
    </comment>
    <comment ref="T45" authorId="1" shapeId="0" xr:uid="{0424A5D3-7296-46BC-BB4F-88C5E0FCB93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假日早上有事，只能大夜
</t>
        </r>
      </text>
    </comment>
    <comment ref="U45" authorId="1" shapeId="0" xr:uid="{13297E1D-7A41-443A-B049-9E9ED2DDE19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假日早上有事，只能大夜
</t>
        </r>
      </text>
    </comment>
    <comment ref="AA45" authorId="1" shapeId="0" xr:uid="{66385BF5-38AA-4232-86FA-5CBD14A51BB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假日早上有事，只能大夜
</t>
        </r>
      </text>
    </comment>
    <comment ref="AB45" authorId="1" shapeId="0" xr:uid="{ED43FE15-C3F7-44B6-A8A2-E369913FDEC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假日早上有事，只能大夜
</t>
        </r>
      </text>
    </comment>
    <comment ref="AO45" authorId="1" shapeId="0" xr:uid="{C8F509F0-06DB-4B5F-9B3A-F3040B7CE43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假日早上有事，只能大夜
</t>
        </r>
      </text>
    </comment>
    <comment ref="J46" authorId="1" shapeId="0" xr:uid="{0B23D36E-596F-44E2-944C-D9716DE2BFB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請安排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細明體"/>
            <family val="3"/>
            <charset val="136"/>
          </rPr>
          <t>天特休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消化時數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N46" authorId="1" shapeId="0" xr:uid="{7C972365-8673-4A37-BCF7-F5105949DE7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小孩回診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只能上大夜班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或是放假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Admin</author>
    <author>Chang, Jason 張家銘 (598046)</author>
    <author>User</author>
    <author>Yang, Camby 楊世宏 (598796)</author>
  </authors>
  <commentList>
    <comment ref="F2" authorId="0" shapeId="0" xr:uid="{A6BD7780-9C4D-42A3-ADAE-B1DD84749042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D5CEFEC6-B2D7-4A32-BE52-C7D47F09A30F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Z2" authorId="1" shapeId="0" xr:uid="{DE3ADC5C-A091-4768-88C6-2320D09F1001}">
      <text>
        <r>
          <rPr>
            <sz val="9"/>
            <color indexed="81"/>
            <rFont val="Tahoma"/>
            <family val="2"/>
          </rPr>
          <t xml:space="preserve">除夕
</t>
        </r>
      </text>
    </comment>
    <comment ref="AA2" authorId="1" shapeId="0" xr:uid="{BF576320-102A-479A-99A6-5397D03EAC8D}">
      <text>
        <r>
          <rPr>
            <b/>
            <sz val="9"/>
            <color indexed="81"/>
            <rFont val="Tahoma"/>
            <family val="2"/>
          </rPr>
          <t>初一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2" authorId="1" shapeId="0" xr:uid="{7C16B3C8-A4B9-43FA-A6DE-42EFF65B371C}">
      <text>
        <r>
          <rPr>
            <b/>
            <sz val="9"/>
            <color indexed="81"/>
            <rFont val="Tahoma"/>
            <family val="2"/>
          </rPr>
          <t>初二</t>
        </r>
      </text>
    </comment>
    <comment ref="AC2" authorId="1" shapeId="0" xr:uid="{763E6DBE-F848-40C0-93A8-3FC98B020161}">
      <text>
        <r>
          <rPr>
            <b/>
            <sz val="9"/>
            <color indexed="81"/>
            <rFont val="Tahoma"/>
            <family val="2"/>
          </rPr>
          <t>初三</t>
        </r>
      </text>
    </comment>
    <comment ref="AD2" authorId="1" shapeId="0" xr:uid="{03890C31-0977-464E-BF97-CB3976DD492D}">
      <text>
        <r>
          <rPr>
            <b/>
            <sz val="9"/>
            <color indexed="81"/>
            <rFont val="Tahoma"/>
            <family val="2"/>
          </rPr>
          <t>初四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2" authorId="1" shapeId="0" xr:uid="{75793360-4D77-45F4-A7F4-C70CA9413D23}">
      <text>
        <r>
          <rPr>
            <b/>
            <sz val="9"/>
            <color indexed="81"/>
            <rFont val="Tahoma"/>
            <family val="2"/>
          </rPr>
          <t>初五</t>
        </r>
      </text>
    </comment>
    <comment ref="AK2" authorId="1" shapeId="0" xr:uid="{5899EF85-9252-447A-AEEE-90FACB2639F8}">
      <text>
        <r>
          <rPr>
            <b/>
            <sz val="10"/>
            <color indexed="81"/>
            <rFont val="Tahoma"/>
            <family val="2"/>
          </rPr>
          <t>228補假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4" authorId="2" shapeId="0" xr:uid="{EAEA2AFA-6621-4296-8908-4294BA0BC30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Y4" authorId="2" shapeId="0" xr:uid="{B2AAD996-B185-414A-9569-621701705FF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B4" authorId="1" shapeId="0" xr:uid="{CB657F87-8E7C-4C12-A3B2-B8D9ED0B57AA}">
      <text>
        <r>
          <rPr>
            <sz val="11"/>
            <color indexed="81"/>
            <rFont val="Tahoma"/>
            <family val="2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4" authorId="1" shapeId="0" xr:uid="{431601B6-8E33-44CB-86DE-87943329456D}">
      <text>
        <r>
          <rPr>
            <sz val="11"/>
            <color indexed="81"/>
            <rFont val="Tahoma"/>
            <family val="2"/>
          </rPr>
          <t xml:space="preserve">晚
</t>
        </r>
      </text>
    </comment>
    <comment ref="R5" authorId="2" shapeId="0" xr:uid="{1D3D7906-7345-40AA-8818-D7C8500C46CD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U5" authorId="2" shapeId="0" xr:uid="{B91FB017-BF38-4241-A636-7409206BC647}">
      <text>
        <r>
          <rPr>
            <b/>
            <sz val="16"/>
            <color indexed="81"/>
            <rFont val="Tahoma"/>
            <family val="2"/>
          </rPr>
          <t>CR Dashboard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開發討論
</t>
        </r>
      </text>
    </comment>
    <comment ref="X5" authorId="2" shapeId="0" xr:uid="{D109DC5B-DA95-4F86-B453-68D732AC1EB3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請排</t>
        </r>
        <r>
          <rPr>
            <b/>
            <sz val="14"/>
            <color indexed="10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>或</t>
        </r>
        <r>
          <rPr>
            <b/>
            <sz val="14"/>
            <color indexed="10"/>
            <rFont val="細明體"/>
            <family val="3"/>
            <charset val="136"/>
          </rPr>
          <t>大夜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Y5" authorId="2" shapeId="0" xr:uid="{D97006C2-7941-4619-8381-774DD3442F3F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請排</t>
        </r>
        <r>
          <rPr>
            <b/>
            <sz val="14"/>
            <color indexed="10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>或</t>
        </r>
        <r>
          <rPr>
            <b/>
            <sz val="14"/>
            <color indexed="10"/>
            <rFont val="細明體"/>
            <family val="3"/>
            <charset val="136"/>
          </rPr>
          <t>大夜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F5" authorId="2" shapeId="0" xr:uid="{D2F0305D-B551-43AB-AD5D-F82B0ECEBC1A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U6" authorId="2" shapeId="0" xr:uid="{A326C4C6-A032-441F-831D-AE875E48BA52}">
      <text>
        <r>
          <rPr>
            <b/>
            <sz val="16"/>
            <color indexed="81"/>
            <rFont val="Tahoma"/>
            <family val="2"/>
          </rPr>
          <t>CR Dashboard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開發討論
</t>
        </r>
      </text>
    </comment>
    <comment ref="J7" authorId="2" shapeId="0" xr:uid="{D713DA42-6E8A-42C7-A12E-DFAAD73F4375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AB7" authorId="2" shapeId="0" xr:uid="{6FAFF42B-FF10-48AC-9BFF-055ABA01F4F6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C7" authorId="2" shapeId="0" xr:uid="{61A04CD8-99A4-47D1-994F-08DB74D4ADE3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D7" authorId="2" shapeId="0" xr:uid="{F4C0C23D-43CF-4330-89EE-2916EDAFAE50}">
      <text>
        <r>
          <rPr>
            <b/>
            <sz val="14"/>
            <color indexed="81"/>
            <rFont val="Tahoma"/>
            <family val="2"/>
          </rPr>
          <t xml:space="preserve">2 </t>
        </r>
      </text>
    </comment>
    <comment ref="AE7" authorId="2" shapeId="0" xr:uid="{AEDE749C-3CC1-42D3-B24A-952489768394}">
      <text>
        <r>
          <rPr>
            <sz val="12"/>
            <color indexed="81"/>
            <rFont val="Tahoma"/>
            <family val="2"/>
          </rPr>
          <t xml:space="preserve">16
</t>
        </r>
      </text>
    </comment>
    <comment ref="X9" authorId="2" shapeId="0" xr:uid="{5054C57B-AA14-472B-835F-23193C808794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要回台中，如果排班方便請幫我排</t>
        </r>
        <r>
          <rPr>
            <b/>
            <sz val="16"/>
            <color indexed="81"/>
            <rFont val="Tahoma"/>
            <family val="2"/>
          </rPr>
          <t>"X"</t>
        </r>
        <r>
          <rPr>
            <b/>
            <sz val="16"/>
            <color indexed="81"/>
            <rFont val="細明體"/>
            <family val="3"/>
            <charset val="136"/>
          </rPr>
          <t>或</t>
        </r>
        <r>
          <rPr>
            <b/>
            <sz val="16"/>
            <color indexed="81"/>
            <rFont val="Tahoma"/>
            <family val="2"/>
          </rPr>
          <t>"3"</t>
        </r>
        <r>
          <rPr>
            <b/>
            <sz val="16"/>
            <color indexed="81"/>
            <rFont val="細明體"/>
            <family val="3"/>
            <charset val="136"/>
          </rPr>
          <t>或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晚</t>
        </r>
        <r>
          <rPr>
            <b/>
            <sz val="16"/>
            <color indexed="81"/>
            <rFont val="Tahoma"/>
            <family val="2"/>
          </rPr>
          <t>"...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感謝。
</t>
        </r>
      </text>
    </comment>
    <comment ref="Y9" authorId="2" shapeId="0" xr:uid="{F45D704A-096C-4D03-AD0C-DF98E48D7851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要回台中，如果排班方便請幫我排</t>
        </r>
        <r>
          <rPr>
            <b/>
            <sz val="16"/>
            <color indexed="81"/>
            <rFont val="Tahoma"/>
            <family val="2"/>
          </rPr>
          <t>"X"</t>
        </r>
        <r>
          <rPr>
            <b/>
            <sz val="16"/>
            <color indexed="81"/>
            <rFont val="細明體"/>
            <family val="3"/>
            <charset val="136"/>
          </rPr>
          <t>或</t>
        </r>
        <r>
          <rPr>
            <b/>
            <sz val="16"/>
            <color indexed="81"/>
            <rFont val="Tahoma"/>
            <family val="2"/>
          </rPr>
          <t>"3"</t>
        </r>
        <r>
          <rPr>
            <b/>
            <sz val="16"/>
            <color indexed="81"/>
            <rFont val="細明體"/>
            <family val="3"/>
            <charset val="136"/>
          </rPr>
          <t>或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晚</t>
        </r>
        <r>
          <rPr>
            <b/>
            <sz val="16"/>
            <color indexed="81"/>
            <rFont val="Tahoma"/>
            <family val="2"/>
          </rPr>
          <t>"...</t>
        </r>
        <r>
          <rPr>
            <b/>
            <sz val="16"/>
            <color indexed="81"/>
            <rFont val="細明體"/>
            <family val="3"/>
            <charset val="136"/>
          </rPr>
          <t>感謝。</t>
        </r>
      </text>
    </comment>
    <comment ref="AF9" authorId="2" shapeId="0" xr:uid="{642403B1-A6F6-43FF-BD98-AC2BB96846E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0" authorId="2" shapeId="0" xr:uid="{B3DE5B34-4827-410A-856C-75F50262D098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Jason,
支援小夜大夜，但合計請勿超過" 3 "天，假日可以的話也請幫忙排早、1，謝謝。
</t>
        </r>
      </text>
    </comment>
    <comment ref="L10" authorId="2" shapeId="0" xr:uid="{A001C361-4AF6-46AD-956E-977A9FB911C4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M10" authorId="2" shapeId="0" xr:uid="{8ABB3BD9-B141-47FF-B750-FAE9EBD9204A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N10" authorId="2" shapeId="0" xr:uid="{C78555CC-E2F8-4366-BE2E-6E3A10901AF4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Z10" authorId="2" shapeId="0" xr:uid="{0D176ECA-F22E-40B3-AFE8-E560EC9DE7CD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0" authorId="2" shapeId="0" xr:uid="{AC34FB33-4746-4A71-8CD0-DD8CFB7C4AC5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0" authorId="2" shapeId="0" xr:uid="{36B7B6B4-6E7A-48B2-A3B6-284B05D6282F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0" authorId="2" shapeId="0" xr:uid="{B3738A1D-1BA1-4E18-A71B-5F72207F02DB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AD10" authorId="2" shapeId="0" xr:uid="{2C330D9E-9667-4F62-B03A-5CD445EDF800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AE10" authorId="2" shapeId="0" xr:uid="{AEF23CFB-9A74-4F82-BD1D-9C4A9233FA5A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K11" authorId="2" shapeId="0" xr:uid="{11B5CA35-82CE-4127-B372-B4DCAF47F13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1" authorId="2" shapeId="0" xr:uid="{A8FDD305-2CEA-48F9-AF2C-DE846067214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1" authorId="2" shapeId="0" xr:uid="{C9A56BF4-0C80-409D-B6A7-182FBD34B348}">
      <text>
        <r>
          <rPr>
            <b/>
            <sz val="12"/>
            <color indexed="81"/>
            <rFont val="細明體"/>
            <family val="3"/>
            <charset val="136"/>
          </rPr>
          <t>特休</t>
        </r>
        <r>
          <rPr>
            <b/>
            <sz val="12"/>
            <color indexed="81"/>
            <rFont val="Tahoma"/>
            <family val="2"/>
          </rPr>
          <t>2/20</t>
        </r>
        <r>
          <rPr>
            <b/>
            <sz val="12"/>
            <color indexed="81"/>
            <rFont val="細明體"/>
            <family val="3"/>
            <charset val="136"/>
          </rPr>
          <t xml:space="preserve">前
</t>
        </r>
      </text>
    </comment>
    <comment ref="V11" authorId="2" shapeId="0" xr:uid="{FB3DAAA3-CDD4-457C-82F7-41E5C4D4F952}">
      <text>
        <r>
          <rPr>
            <b/>
            <sz val="12"/>
            <color indexed="81"/>
            <rFont val="細明體"/>
            <family val="3"/>
            <charset val="136"/>
          </rPr>
          <t>特休</t>
        </r>
        <r>
          <rPr>
            <b/>
            <sz val="12"/>
            <color indexed="81"/>
            <rFont val="Tahoma"/>
            <family val="2"/>
          </rPr>
          <t>2/20</t>
        </r>
        <r>
          <rPr>
            <b/>
            <sz val="12"/>
            <color indexed="81"/>
            <rFont val="細明體"/>
            <family val="3"/>
            <charset val="136"/>
          </rPr>
          <t xml:space="preserve">前
</t>
        </r>
      </text>
    </comment>
    <comment ref="AH11" authorId="2" shapeId="0" xr:uid="{73172A0C-BC59-456E-80CA-9DAC6348DBD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2" authorId="2" shapeId="0" xr:uid="{91E0A8A3-4439-440A-A293-321116788B7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2" authorId="2" shapeId="0" xr:uid="{D7837CB2-D2A5-4A72-8AE0-FAEB0C0B2E8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sir:請幫我排"1"或"早",謝謝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3" authorId="2" shapeId="0" xr:uid="{6F585DC0-C284-4E1C-9242-52437DF54EA2}">
      <text>
        <r>
          <rPr>
            <b/>
            <sz val="14"/>
            <color indexed="81"/>
            <rFont val="Tahoma"/>
            <family val="2"/>
          </rPr>
          <t>Hi Jason,</t>
        </r>
        <r>
          <rPr>
            <b/>
            <sz val="14"/>
            <color indexed="81"/>
            <rFont val="細明體"/>
            <family val="3"/>
            <charset val="136"/>
          </rPr>
          <t>因家庭需求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>請排</t>
        </r>
        <r>
          <rPr>
            <b/>
            <sz val="14"/>
            <color indexed="81"/>
            <rFont val="Tahoma"/>
            <family val="2"/>
          </rPr>
          <t>S</t>
        </r>
        <r>
          <rPr>
            <b/>
            <sz val="14"/>
            <color indexed="81"/>
            <rFont val="細明體"/>
            <family val="3"/>
            <charset val="136"/>
          </rPr>
          <t xml:space="preserve">或休假
</t>
        </r>
      </text>
    </comment>
    <comment ref="Z13" authorId="2" shapeId="0" xr:uid="{E178B92C-7C35-46F0-A7E8-CD5EC84B75C1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3" authorId="2" shapeId="0" xr:uid="{954F82C8-1021-4C0A-B82C-FFC8F3A82FD8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3" authorId="2" shapeId="0" xr:uid="{59CCC2BB-99C1-48A0-9C70-3E55287DC416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3" authorId="2" shapeId="0" xr:uid="{5B19CFFC-DE67-44C4-959B-6047BE1C411C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AD13" authorId="2" shapeId="0" xr:uid="{EB29AB04-B803-4D7D-AB07-7524DBB62F95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AE13" authorId="2" shapeId="0" xr:uid="{306F2A98-36FB-4465-80F8-0E14C86F253B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AK13" authorId="2" shapeId="0" xr:uid="{32B4153B-C6FF-477B-B089-A163FD6DD1C0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請排早或中
</t>
        </r>
      </text>
    </comment>
    <comment ref="AL13" authorId="2" shapeId="0" xr:uid="{6CA0A35D-85E8-4017-9606-C0682BC8A0D7}">
      <text>
        <r>
          <rPr>
            <b/>
            <sz val="14"/>
            <color indexed="81"/>
            <rFont val="Tahoma"/>
            <family val="2"/>
          </rPr>
          <t>Hi Jason,</t>
        </r>
        <r>
          <rPr>
            <b/>
            <sz val="14"/>
            <color indexed="81"/>
            <rFont val="細明體"/>
            <family val="3"/>
            <charset val="136"/>
          </rPr>
          <t>因家庭需求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>請排</t>
        </r>
        <r>
          <rPr>
            <b/>
            <sz val="14"/>
            <color indexed="81"/>
            <rFont val="Tahoma"/>
            <family val="2"/>
          </rPr>
          <t>S</t>
        </r>
        <r>
          <rPr>
            <b/>
            <sz val="14"/>
            <color indexed="81"/>
            <rFont val="細明體"/>
            <family val="3"/>
            <charset val="136"/>
          </rPr>
          <t xml:space="preserve">或休假
</t>
        </r>
      </text>
    </comment>
    <comment ref="J14" authorId="2" shapeId="0" xr:uid="{900CE504-FCA7-47A9-A5D3-25DDD7A0D4A9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>或"中"，每個禮拜三小孩亞東上課須上小夜或休假，每個禮拜五小孩診所上課須休假，謝謝</t>
        </r>
        <r>
          <rPr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K14" authorId="2" shapeId="0" xr:uid="{E6ED6D10-528E-4470-896D-7BA2449542F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L14" authorId="2" shapeId="0" xr:uid="{7AE80658-E3E8-4599-9AE0-FCDBC2CB328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4" authorId="2" shapeId="0" xr:uid="{B6EC3CCA-2C47-432A-8FB1-0C3A5C253ED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4" authorId="2" shapeId="0" xr:uid="{3EDFFD13-B43C-47B7-B11B-05BA6E23B84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S14" authorId="2" shapeId="0" xr:uid="{FFB5B7C0-7DCF-4CA0-93D4-6B71F633638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4" authorId="2" shapeId="0" xr:uid="{EC3A9BFE-18F2-4FB7-A463-FE67B25FC5E6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U14" authorId="2" shapeId="0" xr:uid="{A8F92585-B30F-4F12-8EA6-BEE4137398D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14" authorId="2" shapeId="0" xr:uid="{641CBCE0-BB5F-4CF4-8CFB-57391FA1F2E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14" authorId="2" shapeId="0" xr:uid="{841BEA35-0D8D-446E-8E0A-4396DD545DC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5" authorId="2" shapeId="0" xr:uid="{8F70DDAD-A327-43B9-8C77-8DC3F3ED28E7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Z15" authorId="2" shapeId="0" xr:uid="{91782A84-E816-4243-808E-FBF52B23A3BB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A15" authorId="2" shapeId="0" xr:uid="{DBD8AFE7-6A38-4B72-899A-5602E97FDE2D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C15" authorId="1" shapeId="0" xr:uid="{B6515513-3210-41B2-BE3D-A518FCC867A5}">
      <text>
        <r>
          <rPr>
            <b/>
            <sz val="9"/>
            <color indexed="81"/>
            <rFont val="Tahoma"/>
            <family val="2"/>
          </rPr>
          <t>16</t>
        </r>
      </text>
    </comment>
    <comment ref="AD15" authorId="2" shapeId="0" xr:uid="{A7DD33B1-79CA-44F2-8DFB-B0A4E8E46D1D}">
      <text>
        <r>
          <rPr>
            <sz val="12"/>
            <color indexed="81"/>
            <rFont val="Tahoma"/>
            <family val="2"/>
          </rPr>
          <t xml:space="preserve">1
</t>
        </r>
      </text>
    </comment>
    <comment ref="J16" authorId="3" shapeId="0" xr:uid="{E5B1C0BC-0D4C-4711-A96F-ACD85EDE7E60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如果排班方便的話請多早或1，支援大夜與小夜，請各別排在同一周但不要假日，不要超過3天，謝謝
如果人力許可，請多排一個N
</t>
        </r>
      </text>
    </comment>
    <comment ref="Q16" authorId="2" shapeId="0" xr:uid="{09172DCE-6695-4B90-A734-2A884768EE0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
孩子固定星期六上午，上游泳課，如果人力許可，請幫我排" X "，排不出來就排2。
</t>
        </r>
      </text>
    </comment>
    <comment ref="Z16" authorId="0" shapeId="0" xr:uid="{AD1525BB-E2FD-4EC4-9D84-36C1263AEDB1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A16" authorId="0" shapeId="0" xr:uid="{8D498662-5A46-4C19-9EA3-B9E6813D3FFD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B16" authorId="0" shapeId="0" xr:uid="{1669AF75-A1B1-4D41-B84D-5FB9E9714F40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C16" authorId="2" shapeId="0" xr:uid="{F7746FD5-E853-4A3E-8404-C0C294DB74E7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AD16" authorId="2" shapeId="0" xr:uid="{2C4C5823-7AD4-45CB-8464-37EBB8EB33F8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AE16" authorId="2" shapeId="0" xr:uid="{FA0FA50F-0380-43B3-92B6-9678C190571B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AL16" authorId="2" shapeId="0" xr:uid="{D88396FC-74B2-4203-B673-3B7C71915FC3}">
      <text>
        <r>
          <rPr>
            <b/>
            <sz val="14"/>
            <color indexed="81"/>
            <rFont val="Tahoma"/>
            <family val="2"/>
          </rPr>
          <t xml:space="preserve">Dear Jason sir:
</t>
        </r>
        <r>
          <rPr>
            <b/>
            <sz val="14"/>
            <color indexed="81"/>
            <rFont val="細明體"/>
            <family val="3"/>
            <charset val="136"/>
          </rPr>
          <t>孩子固定星期六上午，上游泳課，如果人力許可，請幫我排</t>
        </r>
        <r>
          <rPr>
            <b/>
            <sz val="14"/>
            <color indexed="81"/>
            <rFont val="Tahoma"/>
            <family val="2"/>
          </rPr>
          <t>" X "</t>
        </r>
        <r>
          <rPr>
            <b/>
            <sz val="14"/>
            <color indexed="81"/>
            <rFont val="細明體"/>
            <family val="3"/>
            <charset val="136"/>
          </rPr>
          <t>，排不出來就排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 xml:space="preserve">。
</t>
        </r>
      </text>
    </comment>
    <comment ref="U17" authorId="2" shapeId="0" xr:uid="{78F11CBE-979C-4296-A5A7-4C23EDD86E4F}">
      <text>
        <r>
          <rPr>
            <b/>
            <sz val="16"/>
            <color indexed="81"/>
            <rFont val="Tahoma"/>
            <family val="2"/>
          </rPr>
          <t>CR Dashboard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開發討論
</t>
        </r>
      </text>
    </comment>
    <comment ref="X18" authorId="2" shapeId="0" xr:uid="{45619B73-BEE0-49B7-86F9-BDA06511ADEC}">
      <text>
        <r>
          <rPr>
            <b/>
            <sz val="14"/>
            <color indexed="81"/>
            <rFont val="Tahoma"/>
            <family val="2"/>
          </rPr>
          <t>Dear Sir:</t>
        </r>
        <r>
          <rPr>
            <b/>
            <sz val="14"/>
            <color indexed="81"/>
            <rFont val="細明體"/>
            <family val="3"/>
            <charset val="136"/>
          </rPr>
          <t>回高雄，如排班允許煩請排"1/早"，謝謝您！</t>
        </r>
      </text>
    </comment>
    <comment ref="Y18" authorId="2" shapeId="0" xr:uid="{B308635A-BD40-4504-959C-FFF2DAF057E2}">
      <text>
        <r>
          <rPr>
            <b/>
            <sz val="14"/>
            <color indexed="81"/>
            <rFont val="Tahoma"/>
            <family val="2"/>
          </rPr>
          <t>Dear Sir:</t>
        </r>
        <r>
          <rPr>
            <b/>
            <sz val="14"/>
            <color indexed="81"/>
            <rFont val="細明體"/>
            <family val="3"/>
            <charset val="136"/>
          </rPr>
          <t xml:space="preserve">回高雄，如排班允許煩請排"1/早"，謝謝您！
</t>
        </r>
      </text>
    </comment>
    <comment ref="J19" authorId="2" shapeId="0" xr:uid="{04485C34-BD63-428E-84E5-50739841FE7E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若排班許可的話，請幫我多排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 xml:space="preserve">，謝謝。
</t>
        </r>
      </text>
    </comment>
    <comment ref="Z19" authorId="2" shapeId="0" xr:uid="{1E6A5BFC-B8CA-46D3-88E4-BF0FE2A6BCE7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9" authorId="2" shapeId="0" xr:uid="{770D5ABE-F77E-48BC-8F6E-AF343A8BEC05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9" authorId="2" shapeId="0" xr:uid="{5646626D-3BB1-44DF-8C79-D6A064BF4AA6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9" authorId="2" shapeId="0" xr:uid="{41F299ED-8859-46BF-896A-A5A836D26967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AD19" authorId="2" shapeId="0" xr:uid="{8D80192E-FF6D-451C-87CD-7AC5094FE1F0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AE19" authorId="2" shapeId="0" xr:uid="{598803C6-EAA5-4370-A6C6-D48E11E628D0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J22" authorId="2" shapeId="0" xr:uid="{4D78B2B4-DD93-49A3-835B-38B50790ED9E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2" authorId="2" shapeId="0" xr:uid="{D0766D1E-AC57-4904-B9FE-54A95335CA2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Y22" authorId="2" shapeId="0" xr:uid="{84442453-D9F7-4C0E-83EA-379383C8DFFE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P23" authorId="2" shapeId="0" xr:uid="{C397F157-52B6-4B61-AF0B-61B8ACAEA93A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請排</t>
        </r>
        <r>
          <rPr>
            <b/>
            <sz val="14"/>
            <color indexed="10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>或</t>
        </r>
        <r>
          <rPr>
            <b/>
            <sz val="14"/>
            <color indexed="10"/>
            <rFont val="細明體"/>
            <family val="3"/>
            <charset val="136"/>
          </rPr>
          <t>大夜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S23" authorId="2" shapeId="0" xr:uid="{568B63E0-4F18-4313-A07C-696F442CF13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3" authorId="2" shapeId="0" xr:uid="{D2170945-1B79-494B-9EE2-135591415DD3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請排</t>
        </r>
        <r>
          <rPr>
            <b/>
            <sz val="14"/>
            <color indexed="10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>或</t>
        </r>
        <r>
          <rPr>
            <b/>
            <sz val="14"/>
            <color indexed="10"/>
            <rFont val="細明體"/>
            <family val="3"/>
            <charset val="136"/>
          </rPr>
          <t>大夜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F23" authorId="2" shapeId="0" xr:uid="{091BA117-4300-4A24-B87B-DF3000252AB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4" authorId="2" shapeId="0" xr:uid="{EB139796-861E-44DA-B580-0F739789B131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N24" authorId="2" shapeId="0" xr:uid="{B3292884-CD05-4D4F-9386-4F3A670FFF10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Q24" authorId="2" shapeId="0" xr:uid="{2C9B66A5-835B-4C05-9937-6DA0396777DA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Jimmy Hong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R24" authorId="2" shapeId="0" xr:uid="{18479F9A-6112-4134-8A5E-ECB61B85751F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Jimmy Hong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T24" authorId="2" shapeId="0" xr:uid="{0432100B-115C-43A9-BEFC-07DCEC26F1C7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X24" authorId="2" shapeId="0" xr:uid="{1830379C-3FE2-43E2-91D1-6FD8A74B91EA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Jason：若排班允許的話，請幫我排"1"或"早"，感謝。
</t>
        </r>
      </text>
    </comment>
    <comment ref="Y24" authorId="4" shapeId="0" xr:uid="{D0FB7135-B3FF-4A1D-8DDF-D2AAE8431929}">
      <text>
        <r>
          <rPr>
            <b/>
            <sz val="12"/>
            <color indexed="81"/>
            <rFont val="微軟正黑體"/>
            <family val="2"/>
            <charset val="136"/>
          </rPr>
          <t>Dear Jason：若排班允許的話，請幫我排"1"或"早"，感謝。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4" authorId="2" shapeId="0" xr:uid="{9AE5CAEE-B14B-43D5-A370-78E4AC04FC52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Jimmy Hong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Q26" authorId="2" shapeId="0" xr:uid="{6B509783-21BD-4DE1-A6C9-9872E00362BF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Howard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R26" authorId="2" shapeId="0" xr:uid="{33F98745-4BC3-4265-9C16-46441BD15A44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Howard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AF26" authorId="2" shapeId="0" xr:uid="{1FB018A6-2268-416B-ABEB-EBED8DD38B6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26" authorId="2" shapeId="0" xr:uid="{0E538A0F-833A-4492-8B17-B63481CE092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6" authorId="2" shapeId="0" xr:uid="{8FDA8D4E-BAF2-4FB5-B808-23ED4FA3DF58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Howard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K27" authorId="2" shapeId="0" xr:uid="{BE3BE016-0380-4EC5-9661-1B79DAB625CB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N27" authorId="2" shapeId="0" xr:uid="{D1296AFD-E8A8-47E2-BDC4-6F7348EC4F8A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"休假"
謝謝！！
</t>
        </r>
      </text>
    </comment>
    <comment ref="S27" authorId="2" shapeId="0" xr:uid="{C51AED79-57C0-4662-8308-9AC4E662C6E9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U27" authorId="2" shapeId="0" xr:uid="{AA190DB3-CF5E-4721-A438-94EB13C9178A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"休假"
謝謝！！
</t>
        </r>
      </text>
    </comment>
    <comment ref="Z27" authorId="0" shapeId="0" xr:uid="{B7BDE580-283D-4E75-8FD5-6E67B67880FC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A27" authorId="0" shapeId="0" xr:uid="{7DEEFFCC-17C0-48B7-9F09-16BBFC4E06E6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B27" authorId="0" shapeId="0" xr:uid="{270B72A9-27D9-4569-8F40-A1B0ECBBA0BB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C27" authorId="2" shapeId="0" xr:uid="{AC489998-9CF0-40FB-B75E-84821793890F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AD27" authorId="2" shapeId="0" xr:uid="{03B550C7-21A3-4F07-BC66-72EEB026E438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AE27" authorId="2" shapeId="0" xr:uid="{018DC400-2073-41E0-B36F-5798BE2BA431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AI27" authorId="2" shapeId="0" xr:uid="{DD205DF2-C51F-46B1-B286-0F9A38C31600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"休假"
謝謝！！
</t>
        </r>
      </text>
    </comment>
    <comment ref="AJ27" authorId="2" shapeId="0" xr:uid="{DE4641F1-1DF2-4E35-9D29-CA6F33EF0EF1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L28" authorId="2" shapeId="0" xr:uid="{ADBDC537-2F62-4B03-B82B-2F7DF79D46BD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"3</t>
        </r>
        <r>
          <rPr>
            <b/>
            <sz val="11"/>
            <color indexed="81"/>
            <rFont val="細明體"/>
            <family val="3"/>
            <charset val="136"/>
          </rPr>
          <t>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8" authorId="2" shapeId="0" xr:uid="{C5952350-2898-45CD-B6B4-F520B44D216F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"3</t>
        </r>
        <r>
          <rPr>
            <b/>
            <sz val="11"/>
            <color indexed="81"/>
            <rFont val="細明體"/>
            <family val="3"/>
            <charset val="136"/>
          </rPr>
          <t>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8" authorId="2" shapeId="0" xr:uid="{4F0FAB7C-46E9-4ADB-A41E-C00C927AB3C0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與</t>
        </r>
        <r>
          <rPr>
            <b/>
            <sz val="11"/>
            <color indexed="81"/>
            <rFont val="Tahoma"/>
            <family val="2"/>
          </rPr>
          <t>Jason Chang</t>
        </r>
        <r>
          <rPr>
            <b/>
            <sz val="11"/>
            <color indexed="81"/>
            <rFont val="細明體"/>
            <family val="3"/>
            <charset val="136"/>
          </rPr>
          <t>換週。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8" authorId="2" shapeId="0" xr:uid="{0D64DFAF-227D-4DD6-ADBF-C50C9CD872BE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與</t>
        </r>
        <r>
          <rPr>
            <b/>
            <sz val="11"/>
            <color indexed="81"/>
            <rFont val="Tahoma"/>
            <family val="2"/>
          </rPr>
          <t>Jason Chang</t>
        </r>
        <r>
          <rPr>
            <b/>
            <sz val="11"/>
            <color indexed="81"/>
            <rFont val="細明體"/>
            <family val="3"/>
            <charset val="136"/>
          </rPr>
          <t>換週。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8" authorId="2" shapeId="0" xr:uid="{B8943000-1E47-47FF-B558-4E704076F8AD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"3</t>
        </r>
        <r>
          <rPr>
            <b/>
            <sz val="11"/>
            <color indexed="81"/>
            <rFont val="細明體"/>
            <family val="3"/>
            <charset val="136"/>
          </rPr>
          <t>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8" authorId="2" shapeId="0" xr:uid="{B47B68E3-3AA1-44DF-BBFF-BD0FD6AF81DE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"3</t>
        </r>
        <r>
          <rPr>
            <b/>
            <sz val="11"/>
            <color indexed="81"/>
            <rFont val="細明體"/>
            <family val="3"/>
            <charset val="136"/>
          </rPr>
          <t>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28" authorId="2" shapeId="0" xr:uid="{13F54B75-877E-4BA3-992F-BC8E707C8ECC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"3</t>
        </r>
        <r>
          <rPr>
            <b/>
            <sz val="11"/>
            <color indexed="81"/>
            <rFont val="細明體"/>
            <family val="3"/>
            <charset val="136"/>
          </rPr>
          <t>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8" authorId="2" shapeId="0" xr:uid="{0B90EF9E-5366-4BDA-A107-E24797FBDD5C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"3"or"X"</t>
        </r>
        <r>
          <rPr>
            <b/>
            <sz val="11"/>
            <color indexed="81"/>
            <rFont val="細明體"/>
            <family val="3"/>
            <charset val="136"/>
          </rPr>
          <t>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8" authorId="2" shapeId="0" xr:uid="{D9A17E52-35BB-4CE0-8610-4722F58E23B2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Jason Chang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M29" authorId="2" shapeId="0" xr:uid="{AB729D4A-A98A-4C6C-BC8C-A884FB3118D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N29" authorId="2" shapeId="0" xr:uid="{F7D384DC-C0A6-4AF5-9A80-4EA766C3E09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T29" authorId="2" shapeId="0" xr:uid="{092583CC-2BCC-4FAF-BB32-C0FC631587E0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U29" authorId="2" shapeId="0" xr:uid="{A2CA8FB8-4AD5-4D34-AE3C-7827A1FC1A33}">
      <text>
        <r>
          <rPr>
            <b/>
            <sz val="16"/>
            <color indexed="81"/>
            <rFont val="Tahoma"/>
            <family val="2"/>
          </rPr>
          <t>CR Dashboard</t>
        </r>
        <r>
          <rPr>
            <b/>
            <sz val="16"/>
            <color indexed="81"/>
            <rFont val="細明體"/>
            <family val="3"/>
            <charset val="136"/>
          </rPr>
          <t xml:space="preserve">開發討論
</t>
        </r>
      </text>
    </comment>
    <comment ref="J30" authorId="2" shapeId="0" xr:uid="{7310C7F0-2780-44A5-8AFD-639F4E8B65C2}">
      <text>
        <r>
          <rPr>
            <b/>
            <sz val="13"/>
            <color indexed="81"/>
            <rFont val="Tahoma"/>
            <family val="2"/>
          </rPr>
          <t xml:space="preserve">Dear sir: 
</t>
        </r>
        <r>
          <rPr>
            <b/>
            <sz val="13"/>
            <color indexed="81"/>
            <rFont val="細明體"/>
            <family val="3"/>
            <charset val="136"/>
          </rPr>
          <t>如排班允許請多排</t>
        </r>
        <r>
          <rPr>
            <b/>
            <sz val="13"/>
            <color indexed="81"/>
            <rFont val="Tahoma"/>
            <family val="2"/>
          </rPr>
          <t>3</t>
        </r>
        <r>
          <rPr>
            <b/>
            <sz val="13"/>
            <color indexed="81"/>
            <rFont val="細明體"/>
            <family val="3"/>
            <charset val="136"/>
          </rPr>
          <t xml:space="preserve">，謝謝。
</t>
        </r>
      </text>
    </comment>
    <comment ref="J31" authorId="2" shapeId="0" xr:uid="{CDBBBF78-1019-4DDD-AFDD-1C0F48CF532C}">
      <text>
        <r>
          <rPr>
            <b/>
            <sz val="12"/>
            <color indexed="81"/>
            <rFont val="Tahoma"/>
            <family val="2"/>
          </rPr>
          <t xml:space="preserve">Dear Sir: </t>
        </r>
        <r>
          <rPr>
            <b/>
            <sz val="12"/>
            <color indexed="81"/>
            <rFont val="細明體"/>
            <family val="3"/>
            <charset val="136"/>
          </rPr>
          <t xml:space="preserve">如排班方便，請多排"3"，謝謝。
</t>
        </r>
      </text>
    </comment>
    <comment ref="L31" authorId="2" shapeId="0" xr:uid="{5BA8CF84-8F69-495C-97CF-B819710DA53B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Q31" authorId="2" shapeId="0" xr:uid="{CF2C92FC-724D-46B4-97A4-53A1F15E0887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Sharon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R31" authorId="2" shapeId="0" xr:uid="{A49CAD82-C01C-4835-A9AE-2F56673FAFED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Sharon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S31" authorId="2" shapeId="0" xr:uid="{DC099B44-AF98-4699-AC67-1BE8F705EAB9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I31" authorId="2" shapeId="0" xr:uid="{41C63F8B-5CC1-4800-8FE1-61E9BAE216DD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L31" authorId="2" shapeId="0" xr:uid="{8520C347-A1C8-4192-BF23-80019D8AD1A5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Sharon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AG33" authorId="2" shapeId="0" xr:uid="{1E3E5C68-BB5A-47E2-A458-07E9D8522301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sir
若排班許可，請幫我排"2"or"X"，謝謝。
</t>
        </r>
      </text>
    </comment>
    <comment ref="R34" authorId="2" shapeId="0" xr:uid="{6661528D-876C-4F99-9C41-186E87D57C2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4" authorId="2" shapeId="0" xr:uid="{895C9381-43CE-4A82-A10A-27625C51733E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34" authorId="2" shapeId="0" xr:uid="{DBFD023D-CE64-415F-AEF8-9658F6E2C1A1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6" authorId="2" shapeId="0" xr:uid="{A9387D99-F1A0-4591-A90A-B10AC0C55E9D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1.如果排班方便，因為接送小孩，請多排中班或2，謝謝。
2.如果排班方便，因為接送小孩，如有大夜請排在例假日沒有上課時，謝謝。</t>
        </r>
        <r>
          <rPr>
            <sz val="14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K36" authorId="2" shapeId="0" xr:uid="{D93575FA-7B16-4EF4-A5B0-36D9CB182BB2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Dear Sir,
如果排班方便，請排中班，謝謝。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6" authorId="1" shapeId="0" xr:uid="{E40538ED-E2F3-48F1-ABFF-D0F1AE11248D}">
      <text>
        <r>
          <rPr>
            <b/>
            <sz val="11"/>
            <color indexed="81"/>
            <rFont val="Tahoma"/>
            <family val="2"/>
          </rPr>
          <t>請假</t>
        </r>
      </text>
    </comment>
    <comment ref="X36" authorId="2" shapeId="0" xr:uid="{74359573-1D4E-407B-8412-AB68A32350FF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Dear Sir,
如果排班方便，請排中班，謝謝。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6" authorId="2" shapeId="0" xr:uid="{3E56ECAF-5C87-4E9C-8575-7CCBF48725F0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Dear Sir,
如果排班方便，請排中班，謝謝。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7" authorId="5" shapeId="0" xr:uid="{614A1F4C-53C9-4498-82FC-12CD78FD3341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admin:
admin:
</t>
        </r>
      </text>
    </comment>
    <comment ref="Z37" authorId="0" shapeId="0" xr:uid="{76717974-5B51-4834-A37A-614E102DC1EA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A37" authorId="0" shapeId="0" xr:uid="{F99B1AD2-9C0A-4FD9-A39E-12EA4B4A1360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B37" authorId="0" shapeId="0" xr:uid="{E5954185-BF7F-430B-9F02-AB08C129320E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C37" authorId="2" shapeId="0" xr:uid="{9CBB82E7-D350-4082-883A-03781D4A1A2E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AD37" authorId="2" shapeId="0" xr:uid="{3A7AAF6B-39A3-4674-9F15-5DA7A005F6FD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AE37" authorId="2" shapeId="0" xr:uid="{E96BF4A9-7F96-4DCA-AA08-160FC26EAE3E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T38" authorId="2" shapeId="0" xr:uid="{1D1293FA-A91C-433B-B05F-19D2DDB9E21B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V38" authorId="2" shapeId="0" xr:uid="{41C77858-EB82-4912-B40D-BFB41486C64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請幫我排</t>
        </r>
        <r>
          <rPr>
            <b/>
            <sz val="12"/>
            <color indexed="81"/>
            <rFont val="Tahoma"/>
            <family val="2"/>
          </rPr>
          <t xml:space="preserve">X, </t>
        </r>
        <r>
          <rPr>
            <b/>
            <sz val="12"/>
            <color indexed="81"/>
            <rFont val="細明體"/>
            <family val="3"/>
            <charset val="136"/>
          </rPr>
          <t>早上要幫我媽去桃園地方法院調解</t>
        </r>
        <r>
          <rPr>
            <b/>
            <sz val="12"/>
            <color indexed="81"/>
            <rFont val="Tahoma"/>
            <family val="2"/>
          </rPr>
          <t xml:space="preserve">, </t>
        </r>
        <r>
          <rPr>
            <b/>
            <sz val="12"/>
            <color indexed="81"/>
            <rFont val="細明體"/>
            <family val="3"/>
            <charset val="136"/>
          </rPr>
          <t xml:space="preserve">之前被詐騙的案子
</t>
        </r>
      </text>
    </comment>
    <comment ref="Z38" authorId="0" shapeId="0" xr:uid="{14650669-845D-47C4-9B59-9EE67D93B49C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A38" authorId="0" shapeId="0" xr:uid="{0C4C0A16-69F6-45CA-8A7E-464CB7EE6E3A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B38" authorId="0" shapeId="0" xr:uid="{C355743A-AC7F-46B9-B44C-F8AA8070790D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C38" authorId="2" shapeId="0" xr:uid="{2946697F-D061-4EB9-B147-22337E7B33EE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AD38" authorId="2" shapeId="0" xr:uid="{E323D3CA-4BED-4C7E-8F33-C37BE8C135C8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AE38" authorId="2" shapeId="0" xr:uid="{CE90B8D7-01FA-41F0-9E73-26130E6BE51B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K39" authorId="2" shapeId="0" xr:uid="{B4471909-9F08-4187-8463-B1BD0CC0BBED}">
      <text>
        <r>
          <rPr>
            <sz val="14"/>
            <color indexed="81"/>
            <rFont val="Tahoma"/>
            <family val="2"/>
          </rPr>
          <t xml:space="preserve">dear sir:
</t>
        </r>
        <r>
          <rPr>
            <sz val="14"/>
            <color indexed="81"/>
            <rFont val="細明體"/>
            <family val="3"/>
            <charset val="136"/>
          </rPr>
          <t>開刀休養，請幫排X，謝謝。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M39" authorId="2" shapeId="0" xr:uid="{F509316B-1A6C-42FC-943D-BACE4D92F26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9" authorId="2" shapeId="0" xr:uid="{3AA9C17D-4002-49BB-921F-D309A3770ED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9" authorId="2" shapeId="0" xr:uid="{DD8062EB-19D1-47A6-851A-019B1E4C86C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T39" authorId="2" shapeId="0" xr:uid="{61DC384E-FDF0-48E3-A713-1836993CC712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B39" authorId="1" shapeId="0" xr:uid="{48972044-BC96-470B-BBBE-9A43D2D08B2D}">
      <text>
        <r>
          <rPr>
            <sz val="11"/>
            <color indexed="81"/>
            <rFont val="Tahoma"/>
            <family val="2"/>
          </rPr>
          <t xml:space="preserve">晚
</t>
        </r>
      </text>
    </comment>
    <comment ref="AE39" authorId="1" shapeId="0" xr:uid="{66711AC0-6EA3-41C8-B630-4E4BAFE63966}">
      <text>
        <r>
          <rPr>
            <sz val="11"/>
            <color indexed="81"/>
            <rFont val="Tahoma"/>
            <family val="2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9" authorId="2" shapeId="0" xr:uid="{11A60588-26DE-42ED-B9FD-693A29A3482B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39" authorId="2" shapeId="0" xr:uid="{B6800A19-695A-47F1-A767-53DF223882A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I39" authorId="2" shapeId="0" xr:uid="{011579B9-8C54-4024-B92D-405DECCBFE7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K40" authorId="2" shapeId="0" xr:uid="{96E710F6-5AE1-428D-93BF-E0B2F2AE83CC}">
      <text>
        <r>
          <rPr>
            <b/>
            <sz val="14"/>
            <color indexed="81"/>
            <rFont val="Tahoma"/>
            <family val="2"/>
          </rPr>
          <t xml:space="preserve">Dear Jason 
</t>
        </r>
        <r>
          <rPr>
            <b/>
            <sz val="14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O40" authorId="2" shapeId="0" xr:uid="{ABBFF62A-6D93-4F17-9DA9-6FFF944D7C98}">
      <text>
        <r>
          <rPr>
            <b/>
            <sz val="14"/>
            <color indexed="81"/>
            <rFont val="Tahoma"/>
            <family val="2"/>
          </rPr>
          <t xml:space="preserve">Dear Jason 
</t>
        </r>
        <r>
          <rPr>
            <b/>
            <sz val="14"/>
            <color indexed="81"/>
            <rFont val="細明體"/>
            <family val="3"/>
            <charset val="136"/>
          </rPr>
          <t xml:space="preserve">若班表允許請幫我排"早"
</t>
        </r>
      </text>
    </comment>
    <comment ref="X40" authorId="2" shapeId="0" xr:uid="{4A5DAEB5-95DC-45CD-8AC5-6EAE2ED00BE8}">
      <text>
        <r>
          <rPr>
            <b/>
            <sz val="14"/>
            <color indexed="81"/>
            <rFont val="Tahoma"/>
            <family val="2"/>
          </rPr>
          <t xml:space="preserve">Dear Jason 
</t>
        </r>
        <r>
          <rPr>
            <b/>
            <sz val="14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Y40" authorId="2" shapeId="0" xr:uid="{F7A69659-4F9D-4B5E-A983-627C0E9FE787}">
      <text>
        <r>
          <rPr>
            <b/>
            <sz val="14"/>
            <color indexed="81"/>
            <rFont val="Tahoma"/>
            <family val="2"/>
          </rPr>
          <t xml:space="preserve">Dear Jason 
</t>
        </r>
        <r>
          <rPr>
            <b/>
            <sz val="14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AF40" authorId="2" shapeId="0" xr:uid="{64FF71E4-1A64-4983-996E-8E70E79A35B6}">
      <text>
        <r>
          <rPr>
            <b/>
            <sz val="14"/>
            <color indexed="81"/>
            <rFont val="Tahoma"/>
            <family val="2"/>
          </rPr>
          <t xml:space="preserve">Dear Jason 
</t>
        </r>
        <r>
          <rPr>
            <b/>
            <sz val="14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AG40" authorId="2" shapeId="0" xr:uid="{46220A5C-3E27-433D-A751-D66A3876D390}">
      <text>
        <r>
          <rPr>
            <b/>
            <sz val="14"/>
            <color indexed="81"/>
            <rFont val="Tahoma"/>
            <family val="2"/>
          </rPr>
          <t xml:space="preserve">Dear Jason 
</t>
        </r>
        <r>
          <rPr>
            <b/>
            <sz val="14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AK40" authorId="2" shapeId="0" xr:uid="{155A21B0-4142-49AA-A504-A2534C842FAD}">
      <text>
        <r>
          <rPr>
            <b/>
            <sz val="14"/>
            <color indexed="81"/>
            <rFont val="Tahoma"/>
            <family val="2"/>
          </rPr>
          <t xml:space="preserve">Dear Jason 
</t>
        </r>
        <r>
          <rPr>
            <b/>
            <sz val="14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AL40" authorId="2" shapeId="0" xr:uid="{3F484D23-E417-42FF-85B6-C2B0143E1805}">
      <text>
        <r>
          <rPr>
            <b/>
            <sz val="14"/>
            <color indexed="81"/>
            <rFont val="Tahoma"/>
            <family val="2"/>
          </rPr>
          <t xml:space="preserve">Dear Jason 
</t>
        </r>
        <r>
          <rPr>
            <b/>
            <sz val="14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S41" authorId="2" shapeId="0" xr:uid="{4E06FBCC-7085-4BA5-9F23-0FFF1DBB2854}">
      <text>
        <r>
          <rPr>
            <b/>
            <sz val="9"/>
            <color indexed="81"/>
            <rFont val="細明體"/>
            <family val="3"/>
            <charset val="136"/>
          </rPr>
          <t xml:space="preserve">請排休
</t>
        </r>
      </text>
    </comment>
    <comment ref="T41" authorId="2" shapeId="0" xr:uid="{55A5791B-A5D8-41AB-AE16-A9A28B8424A8}">
      <text>
        <r>
          <rPr>
            <b/>
            <sz val="9"/>
            <color indexed="81"/>
            <rFont val="細明體"/>
            <family val="3"/>
            <charset val="136"/>
          </rPr>
          <t xml:space="preserve">請排休
</t>
        </r>
      </text>
    </comment>
    <comment ref="U41" authorId="2" shapeId="0" xr:uid="{A42E643B-B615-4FDE-BC12-AB9260DC6F56}">
      <text>
        <r>
          <rPr>
            <b/>
            <sz val="9"/>
            <color indexed="81"/>
            <rFont val="細明體"/>
            <family val="3"/>
            <charset val="136"/>
          </rPr>
          <t xml:space="preserve">請排休
</t>
        </r>
      </text>
    </comment>
    <comment ref="V41" authorId="2" shapeId="0" xr:uid="{F20955F6-41F0-44DE-96B7-53DD90CA13BF}">
      <text>
        <r>
          <rPr>
            <b/>
            <sz val="9"/>
            <color indexed="81"/>
            <rFont val="細明體"/>
            <family val="3"/>
            <charset val="136"/>
          </rPr>
          <t>兒子寒假要接送補習班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只能大夜
或排休
</t>
        </r>
      </text>
    </comment>
    <comment ref="W41" authorId="2" shapeId="0" xr:uid="{5C930C2C-5394-40D4-92B1-BC1C631A982B}">
      <text>
        <r>
          <rPr>
            <b/>
            <sz val="9"/>
            <color indexed="81"/>
            <rFont val="細明體"/>
            <family val="3"/>
            <charset val="136"/>
          </rPr>
          <t>兒子寒假要接送補習班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只能大夜
或排休
</t>
        </r>
      </text>
    </comment>
    <comment ref="J42" authorId="2" shapeId="0" xr:uid="{C9CAF3B7-F8BD-470C-8DBB-8F79F0305FB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多上小夜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不上大夜
</t>
        </r>
      </text>
    </comment>
    <comment ref="O42" authorId="6" shapeId="0" xr:uid="{71E7AA89-375B-4A03-92E5-D811D35DB74D}">
      <text>
        <r>
          <rPr>
            <b/>
            <sz val="9"/>
            <color indexed="81"/>
            <rFont val="Tahoma"/>
            <family val="2"/>
          </rPr>
          <t>2/6</t>
        </r>
        <r>
          <rPr>
            <b/>
            <sz val="9"/>
            <color indexed="81"/>
            <rFont val="細明體"/>
            <family val="3"/>
            <charset val="136"/>
          </rPr>
          <t>凌晨帶家人去機場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>請排早班班或休假</t>
        </r>
        <r>
          <rPr>
            <b/>
            <sz val="9"/>
            <color indexed="81"/>
            <rFont val="Tahoma"/>
            <family val="2"/>
          </rPr>
          <t xml:space="preserve">Yang, Camby </t>
        </r>
        <r>
          <rPr>
            <b/>
            <sz val="9"/>
            <color indexed="81"/>
            <rFont val="細明體"/>
            <family val="3"/>
            <charset val="136"/>
          </rPr>
          <t>楊世宏</t>
        </r>
        <r>
          <rPr>
            <b/>
            <sz val="9"/>
            <color indexed="81"/>
            <rFont val="Tahoma"/>
            <family val="2"/>
          </rPr>
          <t xml:space="preserve"> (598796):
</t>
        </r>
      </text>
    </comment>
    <comment ref="P42" authorId="6" shapeId="0" xr:uid="{CFE557BA-87FD-405C-8EBE-115D44B64238}">
      <text>
        <r>
          <rPr>
            <sz val="9"/>
            <color indexed="81"/>
            <rFont val="Tahoma"/>
            <family val="2"/>
          </rPr>
          <t>2/6</t>
        </r>
        <r>
          <rPr>
            <sz val="9"/>
            <color indexed="81"/>
            <rFont val="細明體"/>
            <family val="3"/>
            <charset val="136"/>
          </rPr>
          <t>凌晨帶家人去機場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請不要排早班
</t>
        </r>
      </text>
    </comment>
    <comment ref="V42" authorId="2" shapeId="0" xr:uid="{618A6BBE-A13E-4956-9F1A-993A5F3DC3E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晚上要去機場接家人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請排早班班或休假
</t>
        </r>
      </text>
    </comment>
    <comment ref="L43" authorId="2" shapeId="0" xr:uid="{619BCC66-1AF2-42C1-91B7-4B15081F9B83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S43" authorId="2" shapeId="0" xr:uid="{6AD3701B-AC8C-4795-855F-EAFE70F02DB5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G43" authorId="2" shapeId="0" xr:uid="{E9E1EF89-AF52-4536-9295-176A2BFB2BB6}">
      <text>
        <r>
          <rPr>
            <sz val="9"/>
            <color indexed="81"/>
            <rFont val="細明體"/>
            <family val="3"/>
            <charset val="136"/>
          </rPr>
          <t xml:space="preserve">有事只能大夜
</t>
        </r>
      </text>
    </comment>
    <comment ref="AH43" authorId="2" shapeId="0" xr:uid="{AC3A57DE-A8F5-4BEE-9542-99BC13E47F88}">
      <text>
        <r>
          <rPr>
            <sz val="9"/>
            <color indexed="81"/>
            <rFont val="細明體"/>
            <family val="3"/>
            <charset val="136"/>
          </rPr>
          <t xml:space="preserve">有事只能大夜
</t>
        </r>
      </text>
    </comment>
    <comment ref="AI43" authorId="2" shapeId="0" xr:uid="{68C218D6-756D-4519-93BC-947486C03156}">
      <text>
        <r>
          <rPr>
            <sz val="9"/>
            <color indexed="81"/>
            <rFont val="細明體"/>
            <family val="3"/>
            <charset val="136"/>
          </rPr>
          <t xml:space="preserve">有事只能大夜
</t>
        </r>
      </text>
    </comment>
    <comment ref="AJ43" authorId="2" shapeId="0" xr:uid="{EB7BE85A-3DAF-4E58-9C57-F229084FBB2E}">
      <text>
        <r>
          <rPr>
            <sz val="9"/>
            <color indexed="81"/>
            <rFont val="細明體"/>
            <family val="3"/>
            <charset val="136"/>
          </rPr>
          <t xml:space="preserve">有事只能大夜
</t>
        </r>
      </text>
    </comment>
    <comment ref="AK43" authorId="2" shapeId="0" xr:uid="{2726701B-1C4D-4F9C-85F2-6B25ABD79002}">
      <text>
        <r>
          <rPr>
            <sz val="9"/>
            <color indexed="81"/>
            <rFont val="細明體"/>
            <family val="3"/>
            <charset val="136"/>
          </rPr>
          <t xml:space="preserve">有事只能大夜
</t>
        </r>
      </text>
    </comment>
    <comment ref="K45" authorId="2" shapeId="0" xr:uid="{8E441FF0-6555-4003-9FEF-19FBF5F8B61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有事只能大夜
</t>
        </r>
      </text>
    </comment>
    <comment ref="L45" authorId="2" shapeId="0" xr:uid="{967FF1A6-C218-4864-80BC-D513E801F4D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有事只能大夜
</t>
        </r>
      </text>
    </comment>
    <comment ref="M45" authorId="2" shapeId="0" xr:uid="{B7EEE102-8F6F-47FC-92EB-14F8AB7067F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有事只能大夜
</t>
        </r>
      </text>
    </comment>
    <comment ref="Q45" authorId="2" shapeId="0" xr:uid="{4761A734-4E62-41E2-ABF6-47CB68779EF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跟小羊換假
</t>
        </r>
      </text>
    </comment>
    <comment ref="R45" authorId="2" shapeId="0" xr:uid="{2B53528F-F50A-4250-8735-F92AD2E192F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跟小羊換假
</t>
        </r>
      </text>
    </comment>
    <comment ref="J46" authorId="2" shapeId="0" xr:uid="{69B099BC-F36E-45F7-8F29-B91F17EE2D8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請安排兩天特休來消化時數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S46" authorId="2" shapeId="0" xr:uid="{B4A4853D-C742-49E6-A671-91CBFD87C817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>要帶小孩回診可以放假</t>
        </r>
        <r>
          <rPr>
            <sz val="14"/>
            <color indexed="81"/>
            <rFont val="Tahoma"/>
            <family val="2"/>
          </rPr>
          <t>,</t>
        </r>
        <r>
          <rPr>
            <sz val="14"/>
            <color indexed="81"/>
            <rFont val="細明體"/>
            <family val="3"/>
            <charset val="136"/>
          </rPr>
          <t>小夜班或大夜班</t>
        </r>
        <r>
          <rPr>
            <sz val="14"/>
            <color indexed="81"/>
            <rFont val="Tahoma"/>
            <family val="2"/>
          </rPr>
          <t>,</t>
        </r>
        <r>
          <rPr>
            <sz val="14"/>
            <color indexed="81"/>
            <rFont val="細明體"/>
            <family val="3"/>
            <charset val="136"/>
          </rPr>
          <t>謝謝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U46" authorId="2" shapeId="0" xr:uid="{2D300827-D837-45BB-B537-050EAA3D66BA}">
      <text>
        <r>
          <rPr>
            <b/>
            <sz val="11"/>
            <color indexed="81"/>
            <rFont val="Tahoma"/>
            <family val="2"/>
          </rPr>
          <t>admin: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家裡有事</t>
        </r>
        <r>
          <rPr>
            <sz val="11"/>
            <color indexed="81"/>
            <rFont val="Tahoma"/>
            <family val="2"/>
          </rPr>
          <t>,</t>
        </r>
        <r>
          <rPr>
            <sz val="11"/>
            <color indexed="81"/>
            <rFont val="細明體"/>
            <family val="3"/>
            <charset val="136"/>
          </rPr>
          <t>可以放假</t>
        </r>
        <r>
          <rPr>
            <sz val="11"/>
            <color indexed="81"/>
            <rFont val="Tahoma"/>
            <family val="2"/>
          </rPr>
          <t>,</t>
        </r>
        <r>
          <rPr>
            <sz val="11"/>
            <color indexed="81"/>
            <rFont val="細明體"/>
            <family val="3"/>
            <charset val="136"/>
          </rPr>
          <t>小夜班或大夜班</t>
        </r>
        <r>
          <rPr>
            <sz val="11"/>
            <color indexed="81"/>
            <rFont val="Tahoma"/>
            <family val="2"/>
          </rPr>
          <t>,</t>
        </r>
        <r>
          <rPr>
            <sz val="11"/>
            <color indexed="81"/>
            <rFont val="細明體"/>
            <family val="3"/>
            <charset val="136"/>
          </rPr>
          <t>謝謝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AH46" authorId="2" shapeId="0" xr:uid="{2E7A11DF-EE01-4EE8-BB61-3EAC039DD80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學校導護志工可以放假或是小夜班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Admin</author>
    <author>Tin, France 丁嘉威 (599510)</author>
    <author>Ke, David 柯鈺傑 (597437)</author>
    <author>User</author>
  </authors>
  <commentList>
    <comment ref="F2" authorId="0" shapeId="0" xr:uid="{22EC67FA-9C1D-456F-8E52-1287A3DBAE37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C564CDFE-3316-419B-96AC-94DC15BA042C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AD2" authorId="1" shapeId="0" xr:uid="{179233B2-E521-4420-B99B-093CCA56A137}">
      <text>
        <r>
          <rPr>
            <b/>
            <sz val="14"/>
            <color indexed="81"/>
            <rFont val="Tahoma"/>
            <family val="2"/>
          </rPr>
          <t xml:space="preserve">遠傳新春展望全競會
南港展覽館一館
10:00~16:30
</t>
        </r>
        <r>
          <rPr>
            <b/>
            <sz val="16"/>
            <color indexed="81"/>
            <rFont val="Tahoma"/>
            <family val="2"/>
          </rPr>
          <t xml:space="preserve">N班才需要參加
</t>
        </r>
      </text>
    </comment>
    <comment ref="J4" authorId="2" shapeId="0" xr:uid="{21713508-4B88-4650-87E7-FBD784875BF2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AD4" authorId="2" shapeId="0" xr:uid="{26C83BD4-9904-48D4-B03E-DC9D572653B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
</t>
        </r>
      </text>
    </comment>
    <comment ref="AE4" authorId="2" shapeId="0" xr:uid="{C1C44C51-A576-4E4E-B0EC-3C59138491F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
</t>
        </r>
      </text>
    </comment>
    <comment ref="AF4" authorId="2" shapeId="0" xr:uid="{767E566B-7016-45A0-B96A-9E05C7AA1E4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
</t>
        </r>
      </text>
    </comment>
    <comment ref="AG4" authorId="2" shapeId="0" xr:uid="{848A4464-8734-4CD7-8496-1EEB29A25B8F}">
      <text>
        <r>
          <rPr>
            <b/>
            <sz val="22"/>
            <color indexed="81"/>
            <rFont val="細明體"/>
            <family val="3"/>
            <charset val="136"/>
          </rPr>
          <t xml:space="preserve">病假
</t>
        </r>
      </text>
    </comment>
    <comment ref="Q5" authorId="2" shapeId="0" xr:uid="{F9DC38C6-CA02-433F-96FE-094E883BE907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R5" authorId="2" shapeId="0" xr:uid="{DEDB4122-BAC9-41FB-882E-0B791E9322B3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Y5" authorId="2" shapeId="0" xr:uid="{F80A4FA9-9B27-4280-9D6B-DCC04B022C04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F5" authorId="2" shapeId="0" xr:uid="{3C944C74-8E2A-4498-BF38-3192BBC0B6DF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R6" authorId="2" shapeId="0" xr:uid="{21DF065E-F892-46F9-A510-7214F997504D}">
      <text>
        <r>
          <rPr>
            <b/>
            <sz val="9"/>
            <color indexed="81"/>
            <rFont val="細明體"/>
            <family val="3"/>
            <charset val="136"/>
          </rPr>
          <t>跟</t>
        </r>
        <r>
          <rPr>
            <b/>
            <sz val="9"/>
            <color indexed="81"/>
            <rFont val="Tahoma"/>
            <family val="2"/>
          </rPr>
          <t>Arthur</t>
        </r>
        <r>
          <rPr>
            <b/>
            <sz val="9"/>
            <color indexed="81"/>
            <rFont val="細明體"/>
            <family val="3"/>
            <charset val="136"/>
          </rPr>
          <t>換班</t>
        </r>
      </text>
    </comment>
    <comment ref="S6" authorId="2" shapeId="0" xr:uid="{B06D48AB-255B-4E1D-B308-66AC64735983}">
      <text>
        <r>
          <rPr>
            <b/>
            <sz val="9"/>
            <color indexed="81"/>
            <rFont val="細明體"/>
            <family val="3"/>
            <charset val="136"/>
          </rPr>
          <t xml:space="preserve">下午有事要請假
</t>
        </r>
      </text>
    </comment>
    <comment ref="X6" authorId="2" shapeId="0" xr:uid="{0993B7FD-A35B-4A42-B2AB-F3B3479D5E4F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請排早班，謝謝
</t>
        </r>
      </text>
    </comment>
    <comment ref="AD6" authorId="2" shapeId="0" xr:uid="{14B7069C-881D-4DB0-B989-4D5B05F9D885}">
      <text>
        <r>
          <rPr>
            <b/>
            <sz val="14"/>
            <color indexed="81"/>
            <rFont val="細明體"/>
            <family val="3"/>
            <charset val="136"/>
          </rPr>
          <t xml:space="preserve">創新獎領獎
</t>
        </r>
      </text>
    </comment>
    <comment ref="AE6" authorId="2" shapeId="0" xr:uid="{F923D8E4-98B7-46E4-83F8-09D0D71502C3}">
      <text>
        <r>
          <rPr>
            <b/>
            <sz val="9"/>
            <color indexed="81"/>
            <rFont val="細明體"/>
            <family val="3"/>
            <charset val="136"/>
          </rPr>
          <t>跟</t>
        </r>
        <r>
          <rPr>
            <b/>
            <sz val="9"/>
            <color indexed="81"/>
            <rFont val="Tahoma"/>
            <family val="2"/>
          </rPr>
          <t>Arthur</t>
        </r>
        <r>
          <rPr>
            <b/>
            <sz val="9"/>
            <color indexed="81"/>
            <rFont val="細明體"/>
            <family val="3"/>
            <charset val="136"/>
          </rPr>
          <t xml:space="preserve">換班
</t>
        </r>
      </text>
    </comment>
    <comment ref="AF6" authorId="2" shapeId="0" xr:uid="{6B137B8E-9B4E-45EB-BB0C-4D95B75A398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sir:若可以請幫我排X，謝謝
</t>
        </r>
      </text>
    </comment>
    <comment ref="AK6" authorId="2" shapeId="0" xr:uid="{148B4D0C-A703-497B-904B-D8D2460BE3F2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請排早班，謝謝
</t>
        </r>
      </text>
    </comment>
    <comment ref="J7" authorId="2" shapeId="0" xr:uid="{ADE327B2-B93C-437B-B9DD-F0561C5EABB8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M7" authorId="2" shapeId="0" xr:uid="{23818A3D-347D-4E4D-8DE5-5BD41C69043E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AD7" authorId="2" shapeId="0" xr:uid="{BBBEAADD-D6D9-457C-B0A6-ED9F8CE3F95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8" authorId="2" shapeId="0" xr:uid="{EA630C50-5607-4D8F-832E-DD6F8D99E848}">
      <text>
        <r>
          <rPr>
            <b/>
            <sz val="14"/>
            <color indexed="81"/>
            <rFont val="細明體"/>
            <family val="3"/>
            <charset val="136"/>
          </rPr>
          <t xml:space="preserve">創新獎領獎
</t>
        </r>
      </text>
    </comment>
    <comment ref="AD8" authorId="2" shapeId="0" xr:uid="{5036D485-D7B0-46C1-9434-48BEB60E1ADA}">
      <text>
        <r>
          <rPr>
            <b/>
            <sz val="14"/>
            <color indexed="81"/>
            <rFont val="細明體"/>
            <family val="3"/>
            <charset val="136"/>
          </rPr>
          <t xml:space="preserve">創新獎領獎
</t>
        </r>
      </text>
    </comment>
    <comment ref="AG8" authorId="2" shapeId="0" xr:uid="{98E7F1FE-37CF-438A-AEF4-2C4DA1C0280B}">
      <text>
        <r>
          <rPr>
            <b/>
            <sz val="14"/>
            <color indexed="81"/>
            <rFont val="Tahoma"/>
            <family val="2"/>
          </rPr>
          <t>恆逸外訓</t>
        </r>
      </text>
    </comment>
    <comment ref="AH8" authorId="2" shapeId="0" xr:uid="{B40418E8-6D17-4849-B9A1-4393FA28751D}">
      <text>
        <r>
          <rPr>
            <b/>
            <sz val="14"/>
            <color indexed="81"/>
            <rFont val="Tahoma"/>
            <family val="2"/>
          </rPr>
          <t>恆逸外訓</t>
        </r>
      </text>
    </comment>
    <comment ref="AI8" authorId="2" shapeId="0" xr:uid="{9A830370-D393-4E21-B80E-844FFFAE6D18}">
      <text>
        <r>
          <rPr>
            <b/>
            <sz val="14"/>
            <color indexed="81"/>
            <rFont val="Tahoma"/>
            <family val="2"/>
          </rPr>
          <t>恆逸外訓</t>
        </r>
      </text>
    </comment>
    <comment ref="AJ8" authorId="2" shapeId="0" xr:uid="{59F63773-D773-4ECD-A0DB-4866DA101DE1}">
      <text>
        <r>
          <rPr>
            <b/>
            <sz val="14"/>
            <color indexed="81"/>
            <rFont val="Tahoma"/>
            <family val="2"/>
          </rPr>
          <t>恆逸外訓</t>
        </r>
      </text>
    </comment>
    <comment ref="AK8" authorId="2" shapeId="0" xr:uid="{860AC26E-7A59-4DC6-95A3-F29A38A1FD99}">
      <text>
        <r>
          <rPr>
            <b/>
            <sz val="14"/>
            <color indexed="81"/>
            <rFont val="Tahoma"/>
            <family val="2"/>
          </rPr>
          <t>恆逸外訓</t>
        </r>
      </text>
    </comment>
    <comment ref="J10" authorId="2" shapeId="0" xr:uid="{040105F4-B00B-4D2C-970C-E265C0635791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Jason,
支援小夜大夜，但合計請勿超過" 3 "天，假日可以的話也請幫忙排早、1，謝謝。
</t>
        </r>
      </text>
    </comment>
    <comment ref="Q10" authorId="2" shapeId="0" xr:uid="{07E8260B-BBA7-4434-9493-8FA01CD1D5AA}">
      <text>
        <r>
          <rPr>
            <b/>
            <sz val="18"/>
            <color indexed="81"/>
            <rFont val="Calibri"/>
            <family val="2"/>
          </rPr>
          <t>Stan</t>
        </r>
        <r>
          <rPr>
            <b/>
            <sz val="18"/>
            <color indexed="81"/>
            <rFont val="微軟正黑體"/>
            <family val="2"/>
            <charset val="136"/>
          </rPr>
          <t xml:space="preserve">互換
</t>
        </r>
      </text>
    </comment>
    <comment ref="R10" authorId="2" shapeId="0" xr:uid="{0518FF84-0210-49FF-B450-A53049A85401}">
      <text>
        <r>
          <rPr>
            <b/>
            <sz val="18"/>
            <color indexed="81"/>
            <rFont val="Calibri"/>
            <family val="2"/>
          </rPr>
          <t>Stan</t>
        </r>
        <r>
          <rPr>
            <b/>
            <sz val="18"/>
            <color indexed="81"/>
            <rFont val="微軟正黑體"/>
            <family val="2"/>
            <charset val="136"/>
          </rPr>
          <t xml:space="preserve">互換
</t>
        </r>
      </text>
    </comment>
    <comment ref="AD10" authorId="2" shapeId="0" xr:uid="{790EA1C5-643A-4B51-BD7B-24618ABB524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10" authorId="2" shapeId="0" xr:uid="{B4A8FE34-868E-40F5-89D0-4B35ACD45A30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H10" authorId="2" shapeId="0" xr:uid="{E50FC9B9-C1B6-4DB6-B03B-ED02B299BC59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I10" authorId="2" shapeId="0" xr:uid="{C7C72F7E-9DF2-4AF1-9277-E4DBBF7A4919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K11" authorId="2" shapeId="0" xr:uid="{050A0CC4-6F78-43B0-A887-6584AAE055B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1" authorId="2" shapeId="0" xr:uid="{2F5B4099-A6F6-4A03-8817-E38451CFAFCA}">
      <text>
        <r>
          <rPr>
            <b/>
            <sz val="14"/>
            <color indexed="81"/>
            <rFont val="細明體"/>
            <family val="3"/>
            <charset val="136"/>
          </rPr>
          <t>ISO27001 外稽 
TAF-FET 13:00~15:00</t>
        </r>
      </text>
    </comment>
    <comment ref="O11" authorId="2" shapeId="0" xr:uid="{DEDE33BF-8E8E-4396-8C1A-289D508F8835}">
      <text>
        <r>
          <rPr>
            <b/>
            <sz val="14"/>
            <color indexed="81"/>
            <rFont val="細明體"/>
            <family val="3"/>
            <charset val="136"/>
          </rPr>
          <t xml:space="preserve">ISO27001 外稽
TAF-NCIC 13:00~15:00
</t>
        </r>
      </text>
    </comment>
    <comment ref="Q11" authorId="2" shapeId="0" xr:uid="{24E4303B-2964-4609-9E85-B6D28715033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1" authorId="2" shapeId="0" xr:uid="{E5712AAC-EE20-4E67-BE24-0BF624D6C619}">
      <text>
        <r>
          <rPr>
            <b/>
            <sz val="14"/>
            <color indexed="81"/>
            <rFont val="細明體"/>
            <family val="3"/>
            <charset val="136"/>
          </rPr>
          <t xml:space="preserve">ISO27001 外稽 
non TAF 整天
</t>
        </r>
      </text>
    </comment>
    <comment ref="X11" authorId="2" shapeId="0" xr:uid="{36AB36EE-6DB6-446C-86AB-BB6D08C31BDC}">
      <text>
        <r>
          <rPr>
            <sz val="12"/>
            <color indexed="81"/>
            <rFont val="細明體"/>
            <family val="3"/>
            <charset val="136"/>
          </rPr>
          <t xml:space="preserve">與Shih-Hua換週
</t>
        </r>
      </text>
    </comment>
    <comment ref="AD11" authorId="2" shapeId="0" xr:uid="{363A4754-AAC1-49EB-A09E-FE593EE91B6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3" authorId="2" shapeId="0" xr:uid="{4DC88E88-B65D-4818-9B4F-315E16CAD276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請排早或中
</t>
        </r>
      </text>
    </comment>
    <comment ref="X13" authorId="2" shapeId="0" xr:uid="{B08C036C-E4FC-48B5-9441-CE1A1B1100B5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請排早或中
</t>
        </r>
      </text>
    </comment>
    <comment ref="Y13" authorId="2" shapeId="0" xr:uid="{AF36BEF6-9ABE-4CA3-BC26-631B7F54BA7E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請排早或中
</t>
        </r>
      </text>
    </comment>
    <comment ref="AA13" authorId="2" shapeId="0" xr:uid="{DAC48BBF-8BED-4F46-911D-77D3F2E4C342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L13" authorId="2" shapeId="0" xr:uid="{7F3E7EEA-AC16-435B-8A4E-EB078F3DEED1}">
      <text>
        <r>
          <rPr>
            <sz val="14"/>
            <color indexed="81"/>
            <rFont val="細明體"/>
            <family val="3"/>
            <charset val="136"/>
          </rPr>
          <t>若班表允許</t>
        </r>
        <r>
          <rPr>
            <sz val="14"/>
            <color indexed="81"/>
            <rFont val="Tahoma"/>
            <family val="2"/>
          </rPr>
          <t>,</t>
        </r>
        <r>
          <rPr>
            <sz val="14"/>
            <color indexed="81"/>
            <rFont val="細明體"/>
            <family val="3"/>
            <charset val="136"/>
          </rPr>
          <t>請排早或中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3" authorId="2" shapeId="0" xr:uid="{92C45738-5C68-44FC-9BA3-BEA30DEDD839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請排早或中
</t>
        </r>
      </text>
    </comment>
    <comment ref="J14" authorId="2" shapeId="0" xr:uid="{CD17F140-F4EF-4E83-890F-6A04CB98A8FD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>或"中"，每個禮拜五小孩診所上課須休假，謝謝</t>
        </r>
        <r>
          <rPr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L14" authorId="2" shapeId="0" xr:uid="{34D99162-68AC-4DDB-8C05-00BF15BA5F4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4" authorId="2" shapeId="0" xr:uid="{1FDE9095-BA05-4AB5-9B3F-D4178617ABA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4" authorId="2" shapeId="0" xr:uid="{6CB7CD42-C3FE-4CE8-9529-1ACFC18AC56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R14" authorId="2" shapeId="0" xr:uid="{26112DFA-4CBD-4836-B8F8-E63FA25801D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S14" authorId="2" shapeId="0" xr:uid="{FE4F40EA-E7D0-4583-9556-090A44CF024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4" authorId="2" shapeId="0" xr:uid="{8D552416-9554-43F1-A4ED-C1BCC873F55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Z14" authorId="2" shapeId="0" xr:uid="{25881DB3-1864-40B5-BD90-25DA9328341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4" authorId="2" shapeId="0" xr:uid="{2FCB93EE-FE97-4B37-BCC2-D045F64137D4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B14" authorId="2" shapeId="0" xr:uid="{1656F272-3C79-4A6D-A9E2-F6C9610CB36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14" authorId="2" shapeId="0" xr:uid="{4542E184-FBEF-4DDA-916E-4595ED1FD91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14" authorId="2" shapeId="0" xr:uid="{D7B6878B-4A78-43E1-A35E-7BA99479D5F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G14" authorId="2" shapeId="0" xr:uid="{D858BA26-AE4A-491A-AAB5-57E216C8678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4" authorId="2" shapeId="0" xr:uid="{388B3376-D5F1-4242-80EE-5E501F95209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N14" authorId="2" shapeId="0" xr:uid="{EF4F5814-520C-4084-8A63-97A5F0D4BF7C}">
      <text>
        <r>
          <rPr>
            <b/>
            <sz val="14"/>
            <color indexed="81"/>
            <rFont val="細明體"/>
            <family val="3"/>
            <charset val="136"/>
          </rPr>
          <t xml:space="preserve">孩子固定3個月長庚回診
</t>
        </r>
      </text>
    </comment>
    <comment ref="N15" authorId="1" shapeId="0" xr:uid="{69F88E44-D431-4BBB-9489-9BDE05409952}">
      <text>
        <r>
          <rPr>
            <b/>
            <sz val="9"/>
            <color indexed="81"/>
            <rFont val="Tahoma"/>
            <family val="2"/>
          </rPr>
          <t>排休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5" authorId="1" shapeId="0" xr:uid="{04439F79-E6BE-4751-BA0A-3DB74ECB227B}">
      <text>
        <r>
          <rPr>
            <sz val="9"/>
            <color indexed="81"/>
            <rFont val="Tahoma"/>
            <family val="2"/>
          </rPr>
          <t xml:space="preserve">N
</t>
        </r>
      </text>
    </comment>
    <comment ref="AA15" authorId="2" shapeId="0" xr:uid="{88E388E7-79DA-4E62-8435-8A990C71B2C4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K15" authorId="1" shapeId="0" xr:uid="{1CE21B0E-3A42-4F4B-ACC9-81C495B3614E}">
      <text>
        <r>
          <rPr>
            <b/>
            <sz val="9"/>
            <color indexed="81"/>
            <rFont val="Tahoma"/>
            <family val="2"/>
          </rPr>
          <t>N</t>
        </r>
      </text>
    </comment>
    <comment ref="AO15" authorId="1" shapeId="0" xr:uid="{A7F518C2-4182-440F-A5E6-D4DE7C35A795}">
      <text>
        <r>
          <rPr>
            <b/>
            <sz val="9"/>
            <color indexed="81"/>
            <rFont val="Tahoma"/>
            <family val="2"/>
          </rPr>
          <t>排休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6" authorId="3" shapeId="0" xr:uid="{C089D06C-A4F1-4BF3-90A6-B2A8530D26C4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如果排班方便的話請多早或1，支援大夜與小夜，請各別排在同一周但不要假日，不要超過3天，謝謝
如果人力許可，請多排一個N
</t>
        </r>
      </text>
    </comment>
    <comment ref="P16" authorId="2" shapeId="0" xr:uid="{BF7410B7-289F-4EDA-8C41-4E9D09E6AF2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
晚上6店點半，孩子學校家長會要參加，人力許可請排1</t>
        </r>
      </text>
    </comment>
    <comment ref="Q16" authorId="2" shapeId="0" xr:uid="{51F0D25D-18B8-408D-A1AF-75D517352B6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
孩子固定星期六上午，上游泳課，如果人力許可，請幫我排" X "，排不出來就排2。
</t>
        </r>
      </text>
    </comment>
    <comment ref="U16" authorId="2" shapeId="0" xr:uid="{9B123321-4752-4400-B6D3-2D9AA604FB6C}">
      <text>
        <r>
          <rPr>
            <b/>
            <sz val="14"/>
            <color indexed="81"/>
            <rFont val="細明體"/>
            <family val="3"/>
            <charset val="136"/>
          </rPr>
          <t xml:space="preserve">媽媽固定3個月回診
</t>
        </r>
      </text>
    </comment>
    <comment ref="W16" authorId="2" shapeId="0" xr:uid="{37BFE1C2-BEEC-4328-841C-A70B6941768E}">
      <text>
        <r>
          <rPr>
            <b/>
            <sz val="13"/>
            <color indexed="81"/>
            <rFont val="新細明體"/>
            <family val="1"/>
            <charset val="136"/>
            <scheme val="minor"/>
          </rPr>
          <t xml:space="preserve">Dear Sir:
線上會議 下午 2 點要得獎者行前說明會
</t>
        </r>
      </text>
    </comment>
    <comment ref="X16" authorId="4" shapeId="0" xr:uid="{1941F056-B00E-400C-9DF7-05791C0C2F1C}">
      <text>
        <r>
          <rPr>
            <b/>
            <sz val="14"/>
            <color indexed="81"/>
            <rFont val="Tahoma"/>
            <family val="2"/>
          </rPr>
          <t xml:space="preserve">Dear Jason sir:
</t>
        </r>
        <r>
          <rPr>
            <b/>
            <sz val="14"/>
            <color indexed="81"/>
            <rFont val="細明體"/>
            <family val="3"/>
            <charset val="136"/>
          </rPr>
          <t>孩子固定星期六上午，上游泳課，如果人力許可，請幫我排</t>
        </r>
        <r>
          <rPr>
            <b/>
            <sz val="14"/>
            <color indexed="81"/>
            <rFont val="Tahoma"/>
            <family val="2"/>
          </rPr>
          <t>" X "</t>
        </r>
        <r>
          <rPr>
            <b/>
            <sz val="14"/>
            <color indexed="81"/>
            <rFont val="細明體"/>
            <family val="3"/>
            <charset val="136"/>
          </rPr>
          <t>，排不出來就排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 xml:space="preserve">。
</t>
        </r>
      </text>
    </comment>
    <comment ref="AB16" authorId="2" shapeId="0" xr:uid="{7194780B-6A96-4F0B-B5F3-386F95A76C14}">
      <text>
        <r>
          <rPr>
            <b/>
            <sz val="14"/>
            <color indexed="81"/>
            <rFont val="細明體"/>
            <family val="3"/>
            <charset val="136"/>
          </rPr>
          <t xml:space="preserve">媽媽固定3個月看報告
</t>
        </r>
      </text>
    </comment>
    <comment ref="AC16" authorId="2" shapeId="0" xr:uid="{9972F983-E5C6-4AAF-9252-215916154225}">
      <text>
        <r>
          <rPr>
            <b/>
            <sz val="14"/>
            <color indexed="81"/>
            <rFont val="細明體"/>
            <family val="3"/>
            <charset val="136"/>
          </rPr>
          <t xml:space="preserve">創新獎代表領獎(彩排)
</t>
        </r>
      </text>
    </comment>
    <comment ref="AD16" authorId="2" shapeId="0" xr:uid="{D6529126-0DB2-4E96-9D91-1705A61F4710}">
      <text>
        <r>
          <rPr>
            <b/>
            <sz val="14"/>
            <color indexed="81"/>
            <rFont val="細明體"/>
            <family val="3"/>
            <charset val="136"/>
          </rPr>
          <t xml:space="preserve">創新獎代表領獎
</t>
        </r>
      </text>
    </comment>
    <comment ref="AE16" authorId="2" shapeId="0" xr:uid="{B14383D7-E8D0-4178-846B-70859E097CA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
孩子固定星期六上午，上游泳課，如果人力許可，請幫我排" X "，排不出來就排2。
</t>
        </r>
      </text>
    </comment>
    <comment ref="AK16" authorId="2" shapeId="0" xr:uid="{831567B5-7872-42C0-B2A4-50E9C43D0604}">
      <text>
        <r>
          <rPr>
            <b/>
            <sz val="14"/>
            <color indexed="81"/>
            <rFont val="細明體"/>
            <family val="3"/>
            <charset val="136"/>
          </rPr>
          <t xml:space="preserve">孩子固定3個月長庚回診
</t>
        </r>
      </text>
    </comment>
    <comment ref="AL16" authorId="4" shapeId="0" xr:uid="{21CBC8F3-4190-46C0-8F9C-25A67F921E84}">
      <text>
        <r>
          <rPr>
            <b/>
            <sz val="14"/>
            <color indexed="81"/>
            <rFont val="Tahoma"/>
            <family val="2"/>
          </rPr>
          <t xml:space="preserve">Dear Jason sir:
</t>
        </r>
        <r>
          <rPr>
            <b/>
            <sz val="14"/>
            <color indexed="81"/>
            <rFont val="細明體"/>
            <family val="3"/>
            <charset val="136"/>
          </rPr>
          <t>孩子固定星期六上午，上游泳課，如果人力許可，請幫我排</t>
        </r>
        <r>
          <rPr>
            <b/>
            <sz val="14"/>
            <color indexed="81"/>
            <rFont val="Tahoma"/>
            <family val="2"/>
          </rPr>
          <t>" X "</t>
        </r>
        <r>
          <rPr>
            <b/>
            <sz val="14"/>
            <color indexed="81"/>
            <rFont val="細明體"/>
            <family val="3"/>
            <charset val="136"/>
          </rPr>
          <t>，排不出來就排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 xml:space="preserve">。
</t>
        </r>
      </text>
    </comment>
    <comment ref="AD17" authorId="2" shapeId="0" xr:uid="{DD2E601F-D785-4922-9135-10872346ECC0}">
      <text>
        <r>
          <rPr>
            <sz val="20"/>
            <color indexed="81"/>
            <rFont val="Tahoma"/>
            <family val="2"/>
          </rPr>
          <t xml:space="preserve">Dear Jason 
</t>
        </r>
        <r>
          <rPr>
            <sz val="20"/>
            <color indexed="81"/>
            <rFont val="細明體"/>
            <family val="3"/>
            <charset val="136"/>
          </rPr>
          <t>如果方便請排我</t>
        </r>
        <r>
          <rPr>
            <sz val="20"/>
            <color indexed="81"/>
            <rFont val="Tahoma"/>
            <family val="2"/>
          </rPr>
          <t>2</t>
        </r>
        <r>
          <rPr>
            <sz val="20"/>
            <color indexed="81"/>
            <rFont val="細明體"/>
            <family val="3"/>
            <charset val="136"/>
          </rPr>
          <t xml:space="preserve">或中或晚或3，謝謝。
</t>
        </r>
      </text>
    </comment>
    <comment ref="AD18" authorId="2" shapeId="0" xr:uid="{90CC0E02-135D-434D-A1D3-E3F6C5D7705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9" authorId="2" shapeId="0" xr:uid="{84B46AD8-679D-494C-B587-E282AE0B2536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排班如果許可的話，請幫我多排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 xml:space="preserve">，謝謝。
</t>
        </r>
      </text>
    </comment>
    <comment ref="M19" authorId="2" shapeId="0" xr:uid="{A27ABE32-2B8D-40B0-AB79-85829019F598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17</t>
        </r>
        <r>
          <rPr>
            <b/>
            <sz val="14"/>
            <color indexed="81"/>
            <rFont val="細明體"/>
            <family val="3"/>
            <charset val="136"/>
          </rPr>
          <t xml:space="preserve">號到期
</t>
        </r>
      </text>
    </comment>
    <comment ref="N19" authorId="2" shapeId="0" xr:uid="{D4DA19BE-8CAB-475A-9F36-03B60C58CA6A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17</t>
        </r>
        <r>
          <rPr>
            <b/>
            <sz val="14"/>
            <color indexed="81"/>
            <rFont val="細明體"/>
            <family val="3"/>
            <charset val="136"/>
          </rPr>
          <t xml:space="preserve">號到期
</t>
        </r>
      </text>
    </comment>
    <comment ref="O19" authorId="2" shapeId="0" xr:uid="{C5CCBAE0-D787-472A-9998-1ACAB4CCF76B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17</t>
        </r>
        <r>
          <rPr>
            <b/>
            <sz val="14"/>
            <color indexed="81"/>
            <rFont val="細明體"/>
            <family val="3"/>
            <charset val="136"/>
          </rPr>
          <t xml:space="preserve">號到期
</t>
        </r>
      </text>
    </comment>
    <comment ref="W19" authorId="2" shapeId="0" xr:uid="{602290EC-88AE-47D8-AB01-A526E14E03E6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17</t>
        </r>
        <r>
          <rPr>
            <b/>
            <sz val="14"/>
            <color indexed="81"/>
            <rFont val="細明體"/>
            <family val="3"/>
            <charset val="136"/>
          </rPr>
          <t xml:space="preserve">號到期
</t>
        </r>
      </text>
    </comment>
    <comment ref="Z19" authorId="2" shapeId="0" xr:uid="{9475E471-B82C-4C88-890E-51C8A35207C6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17</t>
        </r>
        <r>
          <rPr>
            <b/>
            <sz val="14"/>
            <color indexed="81"/>
            <rFont val="細明體"/>
            <family val="3"/>
            <charset val="136"/>
          </rPr>
          <t xml:space="preserve">號到期
</t>
        </r>
      </text>
    </comment>
    <comment ref="AA19" authorId="2" shapeId="0" xr:uid="{08043940-3710-4F7E-8D26-50A9CEB8CF15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17</t>
        </r>
        <r>
          <rPr>
            <b/>
            <sz val="14"/>
            <color indexed="81"/>
            <rFont val="細明體"/>
            <family val="3"/>
            <charset val="136"/>
          </rPr>
          <t xml:space="preserve">號到期
</t>
        </r>
      </text>
    </comment>
    <comment ref="AD20" authorId="2" shapeId="0" xr:uid="{9A22E23E-DFFC-42DB-A07C-7FBEB265ECB9}">
      <text>
        <r>
          <rPr>
            <sz val="20"/>
            <color indexed="81"/>
            <rFont val="Tahoma"/>
            <family val="2"/>
          </rPr>
          <t xml:space="preserve">Dear Jason 
</t>
        </r>
        <r>
          <rPr>
            <sz val="20"/>
            <color indexed="81"/>
            <rFont val="細明體"/>
            <family val="3"/>
            <charset val="136"/>
          </rPr>
          <t>如果方便請排我</t>
        </r>
        <r>
          <rPr>
            <sz val="20"/>
            <color indexed="81"/>
            <rFont val="Tahoma"/>
            <family val="2"/>
          </rPr>
          <t>2</t>
        </r>
        <r>
          <rPr>
            <sz val="20"/>
            <color indexed="81"/>
            <rFont val="細明體"/>
            <family val="3"/>
            <charset val="136"/>
          </rPr>
          <t xml:space="preserve">或中，謝謝。
</t>
        </r>
      </text>
    </comment>
    <comment ref="AD21" authorId="2" shapeId="0" xr:uid="{69B69C16-0A65-4AD9-8E8E-167CD66D8DD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
</t>
        </r>
      </text>
    </comment>
    <comment ref="J22" authorId="2" shapeId="0" xr:uid="{CF309779-1D43-4ABA-9551-256BF4F4611E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2" authorId="2" shapeId="0" xr:uid="{3BE028AC-21B5-415C-AFB7-C677483D224F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D22" authorId="2" shapeId="0" xr:uid="{B4590F90-7580-4B7B-8FF9-CA8BC20EA42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B23" authorId="2" shapeId="0" xr:uid="{4FE83729-EBFA-4E81-8FAA-CB2AB2C1870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J23" authorId="2" shapeId="0" xr:uid="{B5BFB134-E6F7-48D4-A7B2-BC38F10B45A8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K23" authorId="2" shapeId="0" xr:uid="{3CE2FC30-4072-473A-801C-7EBB8676EAB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L23" authorId="2" shapeId="0" xr:uid="{9735CF3A-C3F0-4148-892F-61FB9381FBC9}">
      <text>
        <r>
          <rPr>
            <b/>
            <sz val="18"/>
            <color indexed="81"/>
            <rFont val="Calibri"/>
            <family val="2"/>
          </rPr>
          <t>Rain</t>
        </r>
        <r>
          <rPr>
            <b/>
            <sz val="18"/>
            <color indexed="81"/>
            <rFont val="微軟正黑體"/>
            <family val="2"/>
            <charset val="136"/>
          </rPr>
          <t xml:space="preserve">互換
</t>
        </r>
      </text>
    </comment>
    <comment ref="AM23" authorId="2" shapeId="0" xr:uid="{D733479D-9BFF-4044-AA2D-121982A2B946}">
      <text>
        <r>
          <rPr>
            <b/>
            <sz val="18"/>
            <color indexed="81"/>
            <rFont val="Calibri"/>
            <family val="2"/>
          </rPr>
          <t>Rain</t>
        </r>
        <r>
          <rPr>
            <b/>
            <sz val="18"/>
            <color indexed="81"/>
            <rFont val="微軟正黑體"/>
            <family val="2"/>
            <charset val="136"/>
          </rPr>
          <t xml:space="preserve">互換
</t>
        </r>
      </text>
    </comment>
    <comment ref="AN23" authorId="2" shapeId="0" xr:uid="{3D0FA4C7-58F7-462F-BD31-E73401204C74}">
      <text>
        <r>
          <rPr>
            <sz val="20"/>
            <color indexed="81"/>
            <rFont val="Tahoma"/>
            <family val="2"/>
          </rPr>
          <t xml:space="preserve">Dear Jason 
</t>
        </r>
        <r>
          <rPr>
            <sz val="20"/>
            <color indexed="81"/>
            <rFont val="細明體"/>
            <family val="3"/>
            <charset val="136"/>
          </rPr>
          <t>如果方便請排我</t>
        </r>
        <r>
          <rPr>
            <sz val="20"/>
            <color indexed="81"/>
            <rFont val="Tahoma"/>
            <family val="2"/>
          </rPr>
          <t>2</t>
        </r>
        <r>
          <rPr>
            <sz val="20"/>
            <color indexed="81"/>
            <rFont val="細明體"/>
            <family val="3"/>
            <charset val="136"/>
          </rPr>
          <t xml:space="preserve">或中，謝謝。
</t>
        </r>
      </text>
    </comment>
    <comment ref="L24" authorId="2" shapeId="0" xr:uid="{531683CD-0A7D-40A4-815B-3D55F3642EB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M24" authorId="2" shapeId="0" xr:uid="{7C3B63FE-A87C-42E0-93B1-7B0A6C7EFD0C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N24" authorId="2" shapeId="0" xr:uid="{F4CF43D3-1279-4385-B606-E94FEB983664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T24" authorId="2" shapeId="0" xr:uid="{7E3E03C1-8CC5-4E8E-87BF-2E71A120D05F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V24" authorId="2" shapeId="0" xr:uid="{C45D3DE2-B27E-4AE0-93B9-B4269A9A7CCB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A24" authorId="2" shapeId="0" xr:uid="{F8A881A8-E192-4A09-8FEB-791822D0DA77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B24" authorId="2" shapeId="0" xr:uid="{C9DF3880-A38F-41E0-B420-BD7797E1974F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H24" authorId="2" shapeId="0" xr:uid="{D0901121-5FFA-467E-A6EA-619335448C54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I24" authorId="2" shapeId="0" xr:uid="{5814A371-2999-4B36-82C5-08F6E00B83D0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N24" authorId="2" shapeId="0" xr:uid="{173B4F65-8B4C-4BF8-B932-B26DE5261D79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O24" authorId="2" shapeId="0" xr:uid="{B3FDEE1B-561A-4628-8BC7-62D8FA165C10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D25" authorId="1" shapeId="0" xr:uid="{E2C095AB-1D7C-4A0F-B246-5395C9D03729}">
      <text>
        <r>
          <rPr>
            <b/>
            <sz val="9"/>
            <color indexed="81"/>
            <rFont val="Tahoma"/>
            <family val="2"/>
          </rPr>
          <t>遠傳新春展望全競會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6" authorId="2" shapeId="0" xr:uid="{6EF33F2B-2F14-4B11-A6AA-D885FCBD8E0D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Howard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S26" authorId="2" shapeId="0" xr:uid="{51C01915-D2C4-4F0B-95E7-983C2A765B2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26" authorId="1" shapeId="0" xr:uid="{61A149D1-F603-4A3D-8A80-3E621C992E65}">
      <text>
        <r>
          <rPr>
            <b/>
            <sz val="9"/>
            <color indexed="81"/>
            <rFont val="Tahoma"/>
            <family val="2"/>
          </rPr>
          <t>遠傳新春展望全競會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7" authorId="2" shapeId="0" xr:uid="{A0E081BD-EC42-4128-BFFE-08898530922E}">
      <text>
        <r>
          <rPr>
            <b/>
            <sz val="9"/>
            <color indexed="81"/>
            <rFont val="細明體"/>
            <family val="3"/>
            <charset val="136"/>
          </rPr>
          <t>跟</t>
        </r>
        <r>
          <rPr>
            <b/>
            <sz val="9"/>
            <color indexed="81"/>
            <rFont val="Tahoma"/>
            <family val="2"/>
          </rPr>
          <t>Holmen</t>
        </r>
        <r>
          <rPr>
            <b/>
            <sz val="9"/>
            <color indexed="81"/>
            <rFont val="細明體"/>
            <family val="3"/>
            <charset val="136"/>
          </rPr>
          <t xml:space="preserve">對調
</t>
        </r>
      </text>
    </comment>
    <comment ref="Y27" authorId="2" shapeId="0" xr:uid="{772EB5D2-FD92-4161-9036-AAC539C6DD0E}">
      <text>
        <r>
          <rPr>
            <b/>
            <sz val="9"/>
            <color indexed="81"/>
            <rFont val="細明體"/>
            <family val="3"/>
            <charset val="136"/>
          </rPr>
          <t>跟</t>
        </r>
        <r>
          <rPr>
            <b/>
            <sz val="9"/>
            <color indexed="81"/>
            <rFont val="Tahoma"/>
            <family val="2"/>
          </rPr>
          <t>Holmen</t>
        </r>
        <r>
          <rPr>
            <b/>
            <sz val="9"/>
            <color indexed="81"/>
            <rFont val="細明體"/>
            <family val="3"/>
            <charset val="136"/>
          </rPr>
          <t xml:space="preserve">對調
</t>
        </r>
      </text>
    </comment>
    <comment ref="N28" authorId="2" shapeId="0" xr:uid="{F37508B6-DFE7-4EE7-9826-9EEB4E6C046D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Q28" authorId="2" shapeId="0" xr:uid="{5849212C-B5AD-4AFE-8251-84C18FF55D95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與</t>
        </r>
        <r>
          <rPr>
            <b/>
            <sz val="11"/>
            <color indexed="81"/>
            <rFont val="Tahoma"/>
            <family val="2"/>
          </rPr>
          <t>Glenn Lin</t>
        </r>
        <r>
          <rPr>
            <b/>
            <sz val="11"/>
            <color indexed="81"/>
            <rFont val="細明體"/>
            <family val="3"/>
            <charset val="136"/>
          </rPr>
          <t>換週。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8" authorId="2" shapeId="0" xr:uid="{C1768753-FD77-475B-8F45-5FC91A2AB650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與</t>
        </r>
        <r>
          <rPr>
            <b/>
            <sz val="11"/>
            <color indexed="81"/>
            <rFont val="Tahoma"/>
            <family val="2"/>
          </rPr>
          <t>Glenn Lin</t>
        </r>
        <r>
          <rPr>
            <b/>
            <sz val="11"/>
            <color indexed="81"/>
            <rFont val="細明體"/>
            <family val="3"/>
            <charset val="136"/>
          </rPr>
          <t>換週。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28" authorId="2" shapeId="0" xr:uid="{A1D7F3A2-B1C3-48DE-8285-7583D40C348B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A28" authorId="2" shapeId="0" xr:uid="{41B1F0A2-9993-4A3D-92A4-FF42CC541BC5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E28" authorId="2" shapeId="0" xr:uid="{C1D5F94A-EC0B-47D2-B5C8-F3CC622CBA19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Howard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AF28" authorId="2" shapeId="0" xr:uid="{28426538-1842-4B3C-A8B2-5D5D62CC1537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Howard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AH28" authorId="2" shapeId="0" xr:uid="{C3878B71-5C30-47C1-B13C-1729C15F81B0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I28" authorId="2" shapeId="0" xr:uid="{721D7920-FC55-490A-A684-667FBB495EDA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Howard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AM28" authorId="2" shapeId="0" xr:uid="{19E9DAEB-4F07-41F2-9B8A-A3E06AE5C60E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Howard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AN28" authorId="2" shapeId="0" xr:uid="{B259203B-4C3B-4FE3-B53A-63E61C0AF36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"2</t>
        </r>
        <r>
          <rPr>
            <b/>
            <sz val="11"/>
            <color indexed="81"/>
            <rFont val="細明體"/>
            <family val="3"/>
            <charset val="136"/>
          </rPr>
          <t>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9" authorId="2" shapeId="0" xr:uid="{541C4B72-0F97-4D71-A629-A9C439E52EEF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O29" authorId="2" shapeId="0" xr:uid="{05D11D58-A426-403D-8EE7-56EB6839E87A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P29" authorId="2" shapeId="0" xr:uid="{F0ED5DDE-FF60-4144-B059-CBD99A6719AF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S29" authorId="2" shapeId="0" xr:uid="{69259B85-4DB9-4EDD-8F35-646AB9ED578C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T29" authorId="2" shapeId="0" xr:uid="{0E1D109C-27FA-4EBC-873A-C6AE801D670C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A29" authorId="2" shapeId="0" xr:uid="{7ECF9F7A-374C-46E6-8DA6-E4FFA4F29ABB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B29" authorId="2" shapeId="0" xr:uid="{F6638EAE-E8C2-4F34-8A65-961B02DECD8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C29" authorId="2" shapeId="0" xr:uid="{1AECBD31-0EE3-4E76-A9E1-0383F06E3CC5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H29" authorId="2" shapeId="0" xr:uid="{84E3F0E3-094B-4938-A9D7-723AC1620BAE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I29" authorId="2" shapeId="0" xr:uid="{450FF349-60BB-400C-8110-B7701618BC40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N29" authorId="2" shapeId="0" xr:uid="{72EE556C-6A6D-445D-977F-660383BC5F3C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O29" authorId="2" shapeId="0" xr:uid="{D9B68E75-303C-4732-8330-AA730DC8D799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J30" authorId="2" shapeId="0" xr:uid="{B062261E-3565-497F-806C-8B3DBBBE09B1}">
      <text>
        <r>
          <rPr>
            <b/>
            <sz val="13"/>
            <color indexed="81"/>
            <rFont val="Tahoma"/>
            <family val="2"/>
          </rPr>
          <t xml:space="preserve">Dear sir: 
</t>
        </r>
        <r>
          <rPr>
            <b/>
            <sz val="13"/>
            <color indexed="81"/>
            <rFont val="細明體"/>
            <family val="3"/>
            <charset val="136"/>
          </rPr>
          <t>如排班允許請多排</t>
        </r>
        <r>
          <rPr>
            <b/>
            <sz val="13"/>
            <color indexed="81"/>
            <rFont val="Tahoma"/>
            <family val="2"/>
          </rPr>
          <t>3</t>
        </r>
        <r>
          <rPr>
            <b/>
            <sz val="13"/>
            <color indexed="81"/>
            <rFont val="細明體"/>
            <family val="3"/>
            <charset val="136"/>
          </rPr>
          <t xml:space="preserve">，謝謝。
</t>
        </r>
      </text>
    </comment>
    <comment ref="K30" authorId="2" shapeId="0" xr:uid="{BA3816DD-51EF-4262-A741-4F428CEB459F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與</t>
        </r>
        <r>
          <rPr>
            <b/>
            <sz val="11"/>
            <color indexed="81"/>
            <rFont val="Tahoma"/>
            <family val="2"/>
          </rPr>
          <t>JimmyHong</t>
        </r>
        <r>
          <rPr>
            <b/>
            <sz val="11"/>
            <color indexed="81"/>
            <rFont val="細明體"/>
            <family val="3"/>
            <charset val="136"/>
          </rPr>
          <t>換週。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30" authorId="2" shapeId="0" xr:uid="{A44C8DAF-8EE5-4477-9486-021DFCD92BBE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與David ke換週
</t>
        </r>
      </text>
    </comment>
    <comment ref="AM30" authorId="2" shapeId="0" xr:uid="{B98D568E-B5DB-4C38-A33F-5EBC04A90A37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大夜或3或X
</t>
        </r>
      </text>
    </comment>
    <comment ref="J31" authorId="2" shapeId="0" xr:uid="{17763C8D-FD29-432D-B02F-D46B9426F57D}">
      <text>
        <r>
          <rPr>
            <b/>
            <sz val="12"/>
            <color indexed="81"/>
            <rFont val="Tahoma"/>
            <family val="2"/>
          </rPr>
          <t xml:space="preserve">Dear Sir: </t>
        </r>
        <r>
          <rPr>
            <b/>
            <sz val="12"/>
            <color indexed="81"/>
            <rFont val="細明體"/>
            <family val="3"/>
            <charset val="136"/>
          </rPr>
          <t xml:space="preserve">如排班方便，請多排"3"，謝謝。
</t>
        </r>
      </text>
    </comment>
    <comment ref="K31" authorId="2" shapeId="0" xr:uid="{DBF165B8-7DB5-4AC2-BE77-3CA7D0AD3C8D}">
      <text>
        <r>
          <rPr>
            <sz val="9"/>
            <color indexed="81"/>
            <rFont val="Tahoma"/>
            <family val="2"/>
          </rPr>
          <t xml:space="preserve">Dear Jason Sir: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Sharon</t>
        </r>
        <r>
          <rPr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L31" authorId="1" shapeId="0" xr:uid="{BEADE5CF-8BFA-43F2-A782-4006C8992A06}">
      <text>
        <r>
          <rPr>
            <b/>
            <sz val="9"/>
            <color indexed="81"/>
            <rFont val="Tahoma"/>
            <family val="2"/>
          </rPr>
          <t>家中有事請假</t>
        </r>
      </text>
    </comment>
    <comment ref="P31" authorId="2" shapeId="0" xr:uid="{0A1AACFC-5DA1-4C0B-A790-DE8346D4E812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W31" authorId="2" shapeId="0" xr:uid="{ADD56162-1DF3-4F5A-9EF1-8BB5AD61894D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E31" authorId="2" shapeId="0" xr:uid="{602A9AB1-B839-46AB-B7A9-FC48C426387F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Jimmy Hong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AI31" authorId="2" shapeId="0" xr:uid="{7FCF7B16-2959-4B9F-B3CC-D87FB3695C2F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Jimmy Hong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AJ31" authorId="2" shapeId="0" xr:uid="{B2A9D318-32F2-411E-9344-A37E93AB40B6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L31" authorId="2" shapeId="0" xr:uid="{BD13F442-EBCF-4FA0-B1C1-E252176ABEF0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Jimmy Hong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AM31" authorId="2" shapeId="0" xr:uid="{4CA850AA-F733-4260-B075-ECAD4BFCE980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Jimmy Hong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換週。
</t>
        </r>
      </text>
    </comment>
    <comment ref="AD33" authorId="5" shapeId="0" xr:uid="{AC8E2820-72FD-4949-BCFA-AB72EA51A1F0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sir
若排班許可，請幫我排"2"，謝謝。
</t>
        </r>
      </text>
    </comment>
    <comment ref="AE33" authorId="2" shapeId="0" xr:uid="{4D03D13D-2741-482C-8FEE-E0A666CAC8C8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與Glenn換週
</t>
        </r>
      </text>
    </comment>
    <comment ref="AF33" authorId="2" shapeId="0" xr:uid="{A53D88A8-1774-4B9F-B39A-F37C1243189B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與Glenn換週
</t>
        </r>
      </text>
    </comment>
    <comment ref="Q34" authorId="2" shapeId="0" xr:uid="{053E3461-494F-4BCE-90C7-0495AE5B8AD9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4" authorId="2" shapeId="0" xr:uid="{5F65780F-3440-4063-92AF-DB8C9F543B5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4" authorId="2" shapeId="0" xr:uid="{FD9602AE-CFAA-4D2E-8099-DFAB8F32CAA7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34" authorId="2" shapeId="0" xr:uid="{5F1218C6-C03B-47B9-B8DE-8698074CFDB7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4" authorId="2" shapeId="0" xr:uid="{FF00F41C-9EDF-4121-9EA7-DAA15A5DEEA8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5" authorId="2" shapeId="0" xr:uid="{E57A8625-470A-4244-A708-350B13A6C953}">
      <text>
        <r>
          <rPr>
            <b/>
            <sz val="14"/>
            <color indexed="81"/>
            <rFont val="細明體"/>
            <family val="3"/>
            <charset val="136"/>
          </rPr>
          <t>ISO27001 外稽 
TAF-FET 13:00~15:00</t>
        </r>
      </text>
    </comment>
    <comment ref="O35" authorId="2" shapeId="0" xr:uid="{0FDC109F-074E-4B7F-975A-9AF24D7234FD}">
      <text>
        <r>
          <rPr>
            <b/>
            <sz val="14"/>
            <color indexed="81"/>
            <rFont val="細明體"/>
            <family val="3"/>
            <charset val="136"/>
          </rPr>
          <t xml:space="preserve">ISO27001 外稽
TAF-NCIC 13:00~15:00
</t>
        </r>
      </text>
    </comment>
    <comment ref="W35" authorId="2" shapeId="0" xr:uid="{C6F849C0-414B-4660-B804-47FD9A3186DF}">
      <text>
        <r>
          <rPr>
            <b/>
            <sz val="14"/>
            <color indexed="81"/>
            <rFont val="細明體"/>
            <family val="3"/>
            <charset val="136"/>
          </rPr>
          <t xml:space="preserve">ISO27001 外稽 
non TAF 整天
</t>
        </r>
      </text>
    </comment>
    <comment ref="AD35" authorId="2" shapeId="0" xr:uid="{7DB2CAB6-AD2A-4A25-BD5A-7833FC2B92CB}">
      <text>
        <r>
          <rPr>
            <sz val="20"/>
            <color indexed="81"/>
            <rFont val="Tahoma"/>
            <family val="2"/>
          </rPr>
          <t xml:space="preserve">Dear Jason
</t>
        </r>
        <r>
          <rPr>
            <sz val="20"/>
            <color indexed="81"/>
            <rFont val="細明體"/>
            <family val="3"/>
            <charset val="136"/>
          </rPr>
          <t xml:space="preserve">如果情況允許請排我中，謝謝。
</t>
        </r>
      </text>
    </comment>
    <comment ref="J36" authorId="2" shapeId="0" xr:uid="{81D07D43-2136-4C62-8ECE-97AA79F83A41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1.如果排班方便，因為接送小孩，請多排中班或2，謝謝。
2.如果排班方便，因為接送小孩，如有大夜請排在例假日沒有上課時，謝謝。</t>
        </r>
        <r>
          <rPr>
            <sz val="14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K36" authorId="2" shapeId="0" xr:uid="{01ACE199-3F24-4252-BAC8-392A8DBB9FB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Sir,
如果排班方便，請排中班，謝謝。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6" authorId="2" shapeId="0" xr:uid="{7EA925EE-6913-469A-AC09-DABE630AD8E9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AE36" authorId="2" shapeId="0" xr:uid="{0423BC4A-2CA9-40AD-AF24-4DBEDD38BFBE}">
      <text>
        <r>
          <rPr>
            <b/>
            <sz val="16"/>
            <color indexed="81"/>
            <rFont val="細明體"/>
            <family val="3"/>
            <charset val="136"/>
          </rPr>
          <t xml:space="preserve">Dear Sir,
請協助排休一天，要帶小孩，謝謝。
</t>
        </r>
      </text>
    </comment>
    <comment ref="AM36" authorId="2" shapeId="0" xr:uid="{E0450F7D-566E-47EC-B9CF-E93648A8C198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Dear Sir,
如果排班方便，請排中班，謝謝。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36" authorId="2" shapeId="0" xr:uid="{8827DAB7-CC4C-432D-B881-756157F6FABA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Dear Sir,
如果排班方便，請排中班，謝謝。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7" authorId="6" shapeId="0" xr:uid="{82FA59C7-4C9C-44AE-8AA0-046A65BB161B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admin:
admin:
</t>
        </r>
      </text>
    </comment>
    <comment ref="AD37" authorId="2" shapeId="0" xr:uid="{C054A206-809D-4AC4-8D65-A3B6D36BE1CF}">
      <text>
        <r>
          <rPr>
            <sz val="20"/>
            <color indexed="81"/>
            <rFont val="Tahoma"/>
            <family val="2"/>
          </rPr>
          <t xml:space="preserve">Dear SIR
</t>
        </r>
        <r>
          <rPr>
            <sz val="20"/>
            <color indexed="81"/>
            <rFont val="細明體"/>
            <family val="3"/>
            <charset val="136"/>
          </rPr>
          <t xml:space="preserve">如果情況允許請排我中，謝謝。
</t>
        </r>
        <r>
          <rPr>
            <b/>
            <sz val="20"/>
            <color indexed="81"/>
            <rFont val="細明體"/>
            <family val="3"/>
            <charset val="136"/>
          </rPr>
          <t>admin:</t>
        </r>
        <r>
          <rPr>
            <sz val="20"/>
            <color indexed="81"/>
            <rFont val="細明體"/>
            <family val="3"/>
            <charset val="136"/>
          </rPr>
          <t xml:space="preserve">
</t>
        </r>
      </text>
    </comment>
    <comment ref="AA38" authorId="2" shapeId="0" xr:uid="{5B0838EA-7991-44FA-895A-991912BF50A1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M39" authorId="2" shapeId="0" xr:uid="{75A311BF-7497-4F34-BF9D-9052641FF4AC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O39" authorId="2" shapeId="0" xr:uid="{C5BD7EF4-E654-4B4A-BA37-883E761B69B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P39" authorId="2" shapeId="0" xr:uid="{61DB88F8-C584-45E3-AD64-FA8C1C05E29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W39" authorId="2" shapeId="0" xr:uid="{BCF46D29-14C6-489B-9808-D4E4437D69C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X39" authorId="2" shapeId="0" xr:uid="{5DB561BE-FFEB-4C4C-BE1F-C60FA7F9513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Y39" authorId="2" shapeId="0" xr:uid="{4ED6E62F-9F1E-4E90-8F4A-7024B51FA98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39" authorId="2" shapeId="0" xr:uid="{C90CD177-693E-4FF5-87BF-6C81C431F41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D39" authorId="2" shapeId="0" xr:uid="{93F4C252-1435-44FA-BBD0-0DEA6EA0143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L39" authorId="2" shapeId="0" xr:uid="{48011834-2B43-44C8-92F3-0E85761C6BC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M39" authorId="2" shapeId="0" xr:uid="{A83E33F7-E806-4BA0-9F23-A7E3BF42F660}">
      <text>
        <r>
          <rPr>
            <b/>
            <sz val="16"/>
            <color indexed="81"/>
            <rFont val="新細明體"/>
            <family val="1"/>
            <charset val="136"/>
          </rPr>
          <t>大夜或3或X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M40" authorId="2" shapeId="0" xr:uid="{DD54C47C-E1BA-4DB0-9799-00F7A5671718}">
      <text>
        <r>
          <rPr>
            <b/>
            <sz val="14"/>
            <color indexed="81"/>
            <rFont val="細明體"/>
            <family val="3"/>
            <charset val="136"/>
          </rPr>
          <t xml:space="preserve">Mobile On Job
</t>
        </r>
      </text>
    </comment>
    <comment ref="N40" authorId="2" shapeId="0" xr:uid="{153CD12A-5211-47F3-B6C2-2176D67F3E3D}">
      <text>
        <r>
          <rPr>
            <b/>
            <sz val="14"/>
            <color indexed="81"/>
            <rFont val="細明體"/>
            <family val="3"/>
            <charset val="136"/>
          </rPr>
          <t xml:space="preserve">Mobile On Job
</t>
        </r>
      </text>
    </comment>
    <comment ref="P40" authorId="2" shapeId="0" xr:uid="{628C0FA1-C0A1-4A96-9535-558E889BD088}">
      <text>
        <r>
          <rPr>
            <b/>
            <sz val="14"/>
            <color indexed="81"/>
            <rFont val="細明體"/>
            <family val="3"/>
            <charset val="136"/>
          </rPr>
          <t xml:space="preserve">Mobile On Job
</t>
        </r>
      </text>
    </comment>
    <comment ref="T40" authorId="2" shapeId="0" xr:uid="{EA953E1C-A90B-4F10-90ED-5E66EF7F14F5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U40" authorId="2" shapeId="0" xr:uid="{5552FC4C-645B-4249-A4E8-54197CCE697A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X40" authorId="2" shapeId="0" xr:uid="{5E2C5C72-DA4A-47FC-8194-91554B8DEFF1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若班表允許請幫忙排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Y40" authorId="2" shapeId="0" xr:uid="{71D3A1B0-4277-4519-877A-74AEDBB7300A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若班表允許請幫忙排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B40" authorId="2" shapeId="0" xr:uid="{A2395749-2AAC-45C7-92CC-168591B96AA5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D40" authorId="2" shapeId="0" xr:uid="{BB3EB37D-3928-41FC-B5D3-25F88A56F1D1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若班表允許請幫忙排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早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H40" authorId="2" shapeId="0" xr:uid="{29BB0C12-E02F-4912-961F-FE2CDDD27CB1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I40" authorId="2" shapeId="0" xr:uid="{B2F8AB0F-4D79-4F70-A633-DB2A5A7A9CD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L40" authorId="2" shapeId="0" xr:uid="{0F5D617D-0A58-4C21-AACD-9F416A8D7041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若班表允許請幫忙排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M40" authorId="2" shapeId="0" xr:uid="{70754DED-E082-4A65-8FFD-B9CAFC4AAAD3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若班表允許請幫忙排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N41" authorId="2" shapeId="0" xr:uid="{B1D5721E-BEEA-4884-A9F3-CC2C36BDE652}">
      <text>
        <r>
          <rPr>
            <b/>
            <sz val="9"/>
            <color indexed="81"/>
            <rFont val="細明體"/>
            <family val="3"/>
            <charset val="136"/>
          </rPr>
          <t>請排休</t>
        </r>
      </text>
    </comment>
    <comment ref="O41" authorId="2" shapeId="0" xr:uid="{01B7FBC7-CB56-4A9B-BE26-1E1BE22620FA}">
      <text>
        <r>
          <rPr>
            <b/>
            <sz val="9"/>
            <color indexed="81"/>
            <rFont val="細明體"/>
            <family val="3"/>
            <charset val="136"/>
          </rPr>
          <t xml:space="preserve">只能早班或排休
</t>
        </r>
      </text>
    </comment>
    <comment ref="P41" authorId="2" shapeId="0" xr:uid="{E7B224C8-39AF-4F93-A068-C45EC5E202D1}">
      <text>
        <r>
          <rPr>
            <b/>
            <sz val="9"/>
            <color indexed="81"/>
            <rFont val="細明體"/>
            <family val="3"/>
            <charset val="136"/>
          </rPr>
          <t xml:space="preserve">只能早班或排休
</t>
        </r>
      </text>
    </comment>
    <comment ref="U41" authorId="2" shapeId="0" xr:uid="{2C6110A9-C8F6-4E60-B44D-7BC93290932B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X41" authorId="2" shapeId="0" xr:uid="{BD162944-3A0E-431B-814C-1C6E2398FEC9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AB41" authorId="2" shapeId="0" xr:uid="{4E67F3E4-7C7C-4A87-BBD8-7ADB3AD4C60D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E41" authorId="2" shapeId="0" xr:uid="{8E7A4EB8-0859-40DD-834D-DA606F22209E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AI41" authorId="2" shapeId="0" xr:uid="{78106801-58B3-4BB0-93CD-7CD9C7735085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N42" authorId="1" shapeId="0" xr:uid="{C64E5776-2AC0-46DE-8190-7DF0FB420F75}">
      <text>
        <r>
          <rPr>
            <sz val="9"/>
            <color indexed="81"/>
            <rFont val="Tahoma"/>
            <family val="2"/>
          </rPr>
          <t xml:space="preserve">回診
</t>
        </r>
      </text>
    </comment>
    <comment ref="Z42" authorId="1" shapeId="0" xr:uid="{2F421C8B-F33D-4ECC-BAE9-038AF1E69142}">
      <text>
        <r>
          <rPr>
            <sz val="9"/>
            <color indexed="81"/>
            <rFont val="Tahoma"/>
            <family val="2"/>
          </rPr>
          <t xml:space="preserve">回診
</t>
        </r>
      </text>
    </comment>
    <comment ref="L43" authorId="1" shapeId="0" xr:uid="{F74C34FF-191E-48AC-A1F2-0B1C358CB329}">
      <text>
        <r>
          <rPr>
            <b/>
            <sz val="9"/>
            <color indexed="81"/>
            <rFont val="Tahoma"/>
            <family val="2"/>
          </rPr>
          <t>小夜大夜或休假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3" authorId="1" shapeId="0" xr:uid="{06408A2D-45DF-407C-87E2-0A0B1A393DD0}">
      <text>
        <r>
          <rPr>
            <b/>
            <sz val="9"/>
            <color indexed="81"/>
            <rFont val="Tahoma"/>
            <family val="2"/>
          </rPr>
          <t>排休</t>
        </r>
      </text>
    </comment>
    <comment ref="Z43" authorId="1" shapeId="0" xr:uid="{7DCA600A-CD68-4C31-A1D3-C7C8C2B46FAE}">
      <text>
        <r>
          <rPr>
            <b/>
            <sz val="9"/>
            <color indexed="81"/>
            <rFont val="Tahoma"/>
            <family val="2"/>
          </rPr>
          <t>小夜大夜或休假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43" authorId="1" shapeId="0" xr:uid="{1C420C93-E593-4FE5-9C37-091F5B75832A}">
      <text>
        <r>
          <rPr>
            <b/>
            <sz val="9"/>
            <color indexed="81"/>
            <rFont val="Tahoma"/>
            <family val="2"/>
          </rPr>
          <t>小夜大夜或休假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43" authorId="1" shapeId="0" xr:uid="{605396EE-3E3E-41B5-8FE7-DF7A80526016}">
      <text>
        <r>
          <rPr>
            <b/>
            <sz val="9"/>
            <color indexed="81"/>
            <rFont val="Tahoma"/>
            <family val="2"/>
          </rPr>
          <t>小夜大夜或休假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44" authorId="1" shapeId="0" xr:uid="{DC8D601B-7E4E-47C0-A577-02824C50071E}">
      <text>
        <r>
          <rPr>
            <sz val="9"/>
            <color indexed="81"/>
            <rFont val="Tahoma"/>
            <family val="2"/>
          </rPr>
          <t xml:space="preserve">回診
</t>
        </r>
      </text>
    </comment>
    <comment ref="AB44" authorId="2" shapeId="0" xr:uid="{35DB35F0-C2DC-48CA-ADA5-B5C1D8D17EC4}">
      <text>
        <r>
          <rPr>
            <b/>
            <sz val="12"/>
            <color indexed="81"/>
            <rFont val="細明體"/>
            <family val="3"/>
            <charset val="136"/>
          </rPr>
          <t xml:space="preserve">帶父母回診，排休或請特休
</t>
        </r>
      </text>
    </comment>
    <comment ref="AJ44" authorId="1" shapeId="0" xr:uid="{A211B953-7DEA-42F9-8770-A04D724A89BB}">
      <text>
        <r>
          <rPr>
            <sz val="9"/>
            <color indexed="81"/>
            <rFont val="Tahoma"/>
            <family val="2"/>
          </rPr>
          <t xml:space="preserve">回診
</t>
        </r>
      </text>
    </comment>
    <comment ref="X45" authorId="2" shapeId="0" xr:uid="{7C19D61C-2540-4A5E-ADBA-CE9984BC2B0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有事與</t>
        </r>
        <r>
          <rPr>
            <sz val="9"/>
            <color indexed="81"/>
            <rFont val="Tahoma"/>
            <family val="2"/>
          </rPr>
          <t>Camby</t>
        </r>
        <r>
          <rPr>
            <sz val="9"/>
            <color indexed="81"/>
            <rFont val="細明體"/>
            <family val="3"/>
            <charset val="136"/>
          </rPr>
          <t xml:space="preserve">換周休
</t>
        </r>
      </text>
    </comment>
    <comment ref="J46" authorId="2" shapeId="0" xr:uid="{A1423225-5341-4140-968C-5B4C0248F98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請幫忙安排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>天特休消化時數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N46" authorId="2" shapeId="0" xr:uid="{47DB0D23-AFF5-4DA3-A1C7-73B8D7B274E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帶小孩回診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請幫忙排放假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Admin</author>
    <author>Tin, France 丁嘉威 (599510)</author>
    <author>Yang, K.K. 楊嘉祺 (599783)</author>
    <author>User</author>
    <author>Yang, Camby 楊世宏 (598796)</author>
  </authors>
  <commentList>
    <comment ref="F2" authorId="0" shapeId="0" xr:uid="{FDCB53D8-FCD1-4339-B77F-87670C5C81B9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45AE0149-778A-43A4-9B3F-733F3E11842A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M2" authorId="1" shapeId="0" xr:uid="{4CA9D093-E745-48A8-8C95-647CB6F5F854}">
      <text>
        <r>
          <rPr>
            <sz val="14"/>
            <color indexed="81"/>
            <rFont val="Tahoma"/>
            <family val="2"/>
          </rPr>
          <t>兒童節補假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" authorId="1" shapeId="0" xr:uid="{B4FC4FF3-3608-4D47-8D10-9803C0DCCDEE}">
      <text>
        <r>
          <rPr>
            <b/>
            <sz val="14"/>
            <color indexed="81"/>
            <rFont val="Tahoma"/>
            <family val="2"/>
          </rPr>
          <t>清明節補假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" authorId="2" shapeId="0" xr:uid="{99B4474C-A4F3-4301-8732-77265DBCC188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U4" authorId="2" shapeId="0" xr:uid="{5F43F2E0-3C9D-494E-94EF-1DE28E555D7A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O5" authorId="2" shapeId="0" xr:uid="{89E8ED73-04E6-4725-A6C1-38A95DDBAC3A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R5" authorId="2" shapeId="0" xr:uid="{2B4878BE-5CBE-4B12-95EF-8B30E49B30BF}">
      <text>
        <r>
          <rPr>
            <b/>
            <sz val="14"/>
            <color indexed="81"/>
            <rFont val="細明體"/>
            <family val="3"/>
            <charset val="136"/>
          </rPr>
          <t xml:space="preserve">CR Dashboard專案
</t>
        </r>
      </text>
    </comment>
    <comment ref="AC5" authorId="2" shapeId="0" xr:uid="{44EC4042-F2F7-4C3E-94F5-1E007CD1E709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G5" authorId="2" shapeId="0" xr:uid="{7E85AC92-8187-4F1D-AB85-AF63C8B82421}">
      <text>
        <r>
          <rPr>
            <b/>
            <sz val="14"/>
            <color indexed="81"/>
            <rFont val="細明體"/>
            <family val="3"/>
            <charset val="136"/>
          </rPr>
          <t xml:space="preserve">VAS discuss
</t>
        </r>
      </text>
    </comment>
    <comment ref="AJ5" authorId="2" shapeId="0" xr:uid="{B485C2DF-76EE-4049-A807-D78B235E851A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K6" authorId="2" shapeId="0" xr:uid="{61439368-299B-4852-8961-F154C6D226C0}">
      <text>
        <r>
          <rPr>
            <b/>
            <sz val="9"/>
            <color indexed="81"/>
            <rFont val="細明體"/>
            <family val="3"/>
            <charset val="136"/>
          </rPr>
          <t xml:space="preserve">早上有事請假
</t>
        </r>
      </text>
    </comment>
    <comment ref="R6" authorId="2" shapeId="0" xr:uid="{DE0AD17D-473F-46A7-8F9C-BA521629A407}">
      <text>
        <r>
          <rPr>
            <b/>
            <sz val="14"/>
            <color indexed="81"/>
            <rFont val="細明體"/>
            <family val="3"/>
            <charset val="136"/>
          </rPr>
          <t xml:space="preserve">CR Dashboard專案
</t>
        </r>
      </text>
    </comment>
    <comment ref="S6" authorId="2" shapeId="0" xr:uid="{51B51A81-64D9-458E-B5E9-5DB30C0D043C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Y6" authorId="2" shapeId="0" xr:uid="{CA01A9C3-A5DE-469D-9298-C7ADE68BB664}">
      <text>
        <r>
          <rPr>
            <b/>
            <sz val="14"/>
            <color indexed="81"/>
            <rFont val="細明體"/>
            <family val="3"/>
            <charset val="136"/>
          </rPr>
          <t xml:space="preserve">K1 課程準備
</t>
        </r>
      </text>
    </comment>
    <comment ref="AB6" authorId="2" shapeId="0" xr:uid="{F18B6F4E-DB2A-4F44-8C3D-C258C2C4F86D}">
      <text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Moby</t>
        </r>
        <r>
          <rPr>
            <sz val="12"/>
            <color indexed="81"/>
            <rFont val="細明體"/>
            <family val="3"/>
            <charset val="136"/>
          </rPr>
          <t xml:space="preserve">換周
</t>
        </r>
      </text>
    </comment>
    <comment ref="AC6" authorId="2" shapeId="0" xr:uid="{E52E6E53-971D-4D56-816B-40C145A8FB93}">
      <text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Moby</t>
        </r>
        <r>
          <rPr>
            <sz val="12"/>
            <color indexed="81"/>
            <rFont val="細明體"/>
            <family val="3"/>
            <charset val="136"/>
          </rPr>
          <t xml:space="preserve">換周
</t>
        </r>
      </text>
    </comment>
    <comment ref="J7" authorId="2" shapeId="0" xr:uid="{A8BD4175-6364-4D7B-A7E0-8AABD27B05AE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AL7" authorId="2" shapeId="0" xr:uid="{BA2638C0-FCF4-4E58-AEFF-5FCED80B2BFF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V9" authorId="2" shapeId="0" xr:uid="{5EE40434-3D72-4B3C-BD29-3CB37A12A5ED}">
      <text>
        <r>
          <rPr>
            <b/>
            <sz val="12"/>
            <color indexed="81"/>
            <rFont val="細明體"/>
            <family val="3"/>
            <charset val="136"/>
          </rPr>
          <t>若班表允許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 xml:space="preserve">請排休
</t>
        </r>
      </text>
    </comment>
    <comment ref="AB9" authorId="2" shapeId="0" xr:uid="{11495131-3BAA-4F4A-8751-BB2D7F8B4D4D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早上要參加小孩學校活動，請幫我排</t>
        </r>
        <r>
          <rPr>
            <b/>
            <sz val="16"/>
            <color indexed="81"/>
            <rFont val="Tahoma"/>
            <family val="2"/>
          </rPr>
          <t>"2"</t>
        </r>
        <r>
          <rPr>
            <b/>
            <sz val="16"/>
            <color indexed="81"/>
            <rFont val="細明體"/>
            <family val="3"/>
            <charset val="136"/>
          </rPr>
          <t>或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中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 xml:space="preserve">謝謝
</t>
        </r>
      </text>
    </comment>
    <comment ref="AI9" authorId="2" shapeId="0" xr:uid="{FF57B0AC-0EF0-47D9-B893-7C6F431C7235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早上要參加小孩學校活動，請幫我排</t>
        </r>
        <r>
          <rPr>
            <b/>
            <sz val="16"/>
            <color indexed="81"/>
            <rFont val="Tahoma"/>
            <family val="2"/>
          </rPr>
          <t>"2"</t>
        </r>
        <r>
          <rPr>
            <b/>
            <sz val="16"/>
            <color indexed="81"/>
            <rFont val="細明體"/>
            <family val="3"/>
            <charset val="136"/>
          </rPr>
          <t>或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中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 xml:space="preserve">謝謝
</t>
        </r>
      </text>
    </comment>
    <comment ref="J10" authorId="2" shapeId="0" xr:uid="{1FCC85A0-757A-4A17-9573-BD9ACC7DAB59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Jason,
支援小夜大夜，但合計請勿超過" 3 "天，假日可以的話也請幫忙排早、1，謝謝。
</t>
        </r>
      </text>
    </comment>
    <comment ref="AK10" authorId="2" shapeId="0" xr:uid="{16DDC7B5-E06D-4387-A2F1-7C185BF66370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L10" authorId="2" shapeId="0" xr:uid="{16361D0B-1E3B-47F5-B448-6CE8655D533D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M10" authorId="2" shapeId="0" xr:uid="{4E99639D-9B24-4426-AE89-4C5ABCF0EA89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I11" authorId="2" shapeId="0" xr:uid="{B79FF744-3994-4897-8452-1433E8AD77CC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Q13" authorId="2" shapeId="0" xr:uid="{4D256521-9BF8-46AD-A36D-29A612A72100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U13" authorId="2" shapeId="0" xr:uid="{E9725BB5-A809-4D5C-A617-396027F8B65D}">
      <text>
        <r>
          <rPr>
            <b/>
            <sz val="12"/>
            <color indexed="81"/>
            <rFont val="細明體"/>
            <family val="3"/>
            <charset val="136"/>
          </rPr>
          <t>若班表允許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 xml:space="preserve">請排早或中或休
</t>
        </r>
      </text>
    </comment>
    <comment ref="V13" authorId="2" shapeId="0" xr:uid="{6F37F8A8-507E-408E-92C7-305D20D903CF}">
      <text>
        <r>
          <rPr>
            <b/>
            <sz val="12"/>
            <color indexed="81"/>
            <rFont val="細明體"/>
            <family val="3"/>
            <charset val="136"/>
          </rPr>
          <t>若班表允許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 xml:space="preserve">請排早或中或休
</t>
        </r>
      </text>
    </comment>
    <comment ref="AE13" authorId="2" shapeId="0" xr:uid="{7A8816CF-5E85-43E9-945C-4F67DA20F107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H13" authorId="2" shapeId="0" xr:uid="{1C40C9A4-BF89-45D3-9717-F7E4F5EA3B6E}">
      <text>
        <r>
          <rPr>
            <b/>
            <sz val="12"/>
            <color indexed="81"/>
            <rFont val="細明體"/>
            <family val="3"/>
            <charset val="136"/>
          </rPr>
          <t>若班表允許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>請排</t>
        </r>
        <r>
          <rPr>
            <b/>
            <sz val="12"/>
            <color indexed="81"/>
            <rFont val="Tahoma"/>
            <family val="2"/>
          </rPr>
          <t>1</t>
        </r>
        <r>
          <rPr>
            <b/>
            <sz val="12"/>
            <color indexed="81"/>
            <rFont val="細明體"/>
            <family val="3"/>
            <charset val="136"/>
          </rPr>
          <t xml:space="preserve">或早班
</t>
        </r>
      </text>
    </comment>
    <comment ref="AI13" authorId="2" shapeId="0" xr:uid="{E8F23FD1-58AA-4E8F-8BBA-F78B8C35CA00}">
      <text>
        <r>
          <rPr>
            <b/>
            <sz val="12"/>
            <color indexed="81"/>
            <rFont val="細明體"/>
            <family val="3"/>
            <charset val="136"/>
          </rPr>
          <t>若班表允許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 xml:space="preserve">請排休
</t>
        </r>
      </text>
    </comment>
    <comment ref="AJ13" authorId="2" shapeId="0" xr:uid="{015385F4-0594-4BD7-AF1C-D536754D4996}">
      <text>
        <r>
          <rPr>
            <b/>
            <sz val="12"/>
            <color indexed="81"/>
            <rFont val="細明體"/>
            <family val="3"/>
            <charset val="136"/>
          </rPr>
          <t>若班表允許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 xml:space="preserve">請排早或中
</t>
        </r>
      </text>
    </comment>
    <comment ref="J14" authorId="2" shapeId="0" xr:uid="{D328207A-335A-4311-916A-4100CB813C2B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或"中"，謝謝
</t>
        </r>
      </text>
    </comment>
    <comment ref="K14" authorId="2" shapeId="0" xr:uid="{F11A8960-1A18-4154-A825-6DFEC837A44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4" authorId="2" shapeId="0" xr:uid="{E098AFFE-0FE6-4233-8D08-3F5694B37BA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4" authorId="2" shapeId="0" xr:uid="{8289D2F5-C27F-42CD-B25B-64CB4DB3138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4" authorId="2" shapeId="0" xr:uid="{C8668766-49F8-47EF-BFDE-426F4FBBC7A8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S14" authorId="2" shapeId="0" xr:uid="{6ABAF6C0-CDCF-4BB3-BA7F-9B6C71460E27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T14" authorId="2" shapeId="0" xr:uid="{E3424896-E048-4946-91DF-085DC92139B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4" authorId="2" shapeId="0" xr:uid="{8BAE5046-EA2C-4466-92E2-0F665559B98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W14" authorId="2" shapeId="0" xr:uid="{EF5322A9-5865-42CE-AA1B-B632E8A6F47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4" authorId="2" shapeId="0" xr:uid="{DA994D18-4FED-4D10-B4A8-9603331A762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4" authorId="2" shapeId="0" xr:uid="{96B5AD43-6820-4E9C-B31E-2822ADBE8FB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4" authorId="2" shapeId="0" xr:uid="{22E2980C-1C16-42B9-8D74-573FED2585F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C14" authorId="2" shapeId="0" xr:uid="{4E4ABBA1-493E-44FD-A4D3-8542F53672C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E14" authorId="2" shapeId="0" xr:uid="{801B518C-132F-4514-8F76-EFC89F20CD32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F14" authorId="2" shapeId="0" xr:uid="{75FC91FF-4864-429C-B312-D0C234B8033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14" authorId="2" shapeId="0" xr:uid="{52D27966-5A80-4F8C-ACDD-CA41C98C209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K14" authorId="2" shapeId="0" xr:uid="{4BB8BF46-652C-4C80-806D-72749647EA4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5" authorId="2" shapeId="0" xr:uid="{749146E2-C62F-4B1B-B605-6B895124C9A2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交接
</t>
        </r>
      </text>
    </comment>
    <comment ref="Q15" authorId="2" shapeId="0" xr:uid="{CE7291D4-CEE2-4C04-8EEA-10DE964C0B5D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T15" authorId="2" shapeId="0" xr:uid="{3E668D48-0484-47C7-80B3-63ADDC7E7E9C}">
      <text>
        <r>
          <rPr>
            <b/>
            <sz val="14"/>
            <color indexed="81"/>
            <rFont val="細明體"/>
            <family val="3"/>
            <charset val="136"/>
          </rPr>
          <t xml:space="preserve">Auto TT Programming
</t>
        </r>
      </text>
    </comment>
    <comment ref="AE15" authorId="2" shapeId="0" xr:uid="{40ADA247-B9D3-48B5-96A6-E14CB4CF2E4E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H15" authorId="2" shapeId="0" xr:uid="{6AE2A349-42E8-4C62-B614-0922E8BBE204}">
      <text>
        <r>
          <rPr>
            <b/>
            <sz val="14"/>
            <color indexed="81"/>
            <rFont val="細明體"/>
            <family val="3"/>
            <charset val="136"/>
          </rPr>
          <t xml:space="preserve">Auto TT Programming
</t>
        </r>
      </text>
    </comment>
    <comment ref="AM15" authorId="2" shapeId="0" xr:uid="{99A3CF75-5138-4B9E-BE3C-D30CD0D19B2C}">
      <text>
        <r>
          <rPr>
            <b/>
            <sz val="14"/>
            <color indexed="81"/>
            <rFont val="細明體"/>
            <family val="3"/>
            <charset val="136"/>
          </rPr>
          <t xml:space="preserve">Auto TT Programming
</t>
        </r>
      </text>
    </comment>
    <comment ref="J16" authorId="3" shapeId="0" xr:uid="{1F2F2BB7-BADC-40F2-9B5A-D314E3C11DF0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如果排班方便的話請多早或1，支援大夜與小夜，請各別排在同一周但不要假日，不要超過3天，謝謝
如果人力許可，請多排一個N
</t>
        </r>
      </text>
    </comment>
    <comment ref="K16" authorId="2" shapeId="0" xr:uid="{36877B65-0F8F-4157-A54B-98F5BE328CB4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交接
</t>
        </r>
      </text>
    </comment>
    <comment ref="O16" authorId="2" shapeId="0" xr:uid="{305DDD2C-E144-4413-94A2-24E22CCCC179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Jason:
與 Ming-lin 換單一週日
</t>
        </r>
      </text>
    </comment>
    <comment ref="S16" authorId="2" shapeId="0" xr:uid="{F5F90E35-2094-4FDE-AED2-C573F2BA42BA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U16" authorId="4" shapeId="0" xr:uid="{71BE0ECE-710C-414B-8B1B-E4C86BAFA3D7}">
      <text>
        <r>
          <rPr>
            <b/>
            <sz val="14"/>
            <color indexed="81"/>
            <rFont val="Tahoma"/>
            <family val="2"/>
          </rPr>
          <t xml:space="preserve">Dear Jason sir:
</t>
        </r>
        <r>
          <rPr>
            <b/>
            <sz val="14"/>
            <color indexed="81"/>
            <rFont val="細明體"/>
            <family val="3"/>
            <charset val="136"/>
          </rPr>
          <t>孩子固定星期六上午，上游泳課，如果人力許可，請幫我排</t>
        </r>
        <r>
          <rPr>
            <b/>
            <sz val="14"/>
            <color indexed="81"/>
            <rFont val="Tahoma"/>
            <family val="2"/>
          </rPr>
          <t>" X "</t>
        </r>
        <r>
          <rPr>
            <b/>
            <sz val="14"/>
            <color indexed="81"/>
            <rFont val="細明體"/>
            <family val="3"/>
            <charset val="136"/>
          </rPr>
          <t>，排不出來就排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 xml:space="preserve">。
</t>
        </r>
      </text>
    </comment>
    <comment ref="Z16" authorId="2" shapeId="0" xr:uid="{B0C7FDCB-4621-4879-B61C-44FBA8AB25C0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</t>
        </r>
      </text>
    </comment>
    <comment ref="AB16" authorId="2" shapeId="0" xr:uid="{B0C5C676-444A-44CE-B078-87A7499AF9C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
孩子固定星期六上午，上游泳課，如果人力許可，請幫我排" X "，排不出來就排2。
</t>
        </r>
      </text>
    </comment>
    <comment ref="AF16" authorId="2" shapeId="0" xr:uid="{933FE863-35A8-4EEB-A23F-B402F9CF4FF4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AG16" authorId="2" shapeId="0" xr:uid="{EAEEAC2A-DA02-4EBA-A2FB-A65B44BBA77F}">
      <text>
        <r>
          <rPr>
            <b/>
            <sz val="14"/>
            <color indexed="81"/>
            <rFont val="細明體"/>
            <family val="3"/>
            <charset val="136"/>
          </rPr>
          <t xml:space="preserve">VAS discuss
</t>
        </r>
      </text>
    </comment>
    <comment ref="AH16" authorId="2" shapeId="0" xr:uid="{CF2BA31A-635A-42A7-B1BC-C6304E19BBE1}">
      <text>
        <r>
          <rPr>
            <b/>
            <sz val="12"/>
            <color indexed="81"/>
            <rFont val="細明體"/>
            <family val="3"/>
            <charset val="136"/>
          </rPr>
          <t>若班表允許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>請排</t>
        </r>
        <r>
          <rPr>
            <b/>
            <sz val="12"/>
            <color indexed="81"/>
            <rFont val="Tahoma"/>
            <family val="2"/>
          </rPr>
          <t>1</t>
        </r>
        <r>
          <rPr>
            <b/>
            <sz val="12"/>
            <color indexed="81"/>
            <rFont val="細明體"/>
            <family val="3"/>
            <charset val="136"/>
          </rPr>
          <t xml:space="preserve">或早班
</t>
        </r>
      </text>
    </comment>
    <comment ref="AI16" authorId="4" shapeId="0" xr:uid="{07C1F3F2-7E23-4297-8627-4FA61AE948EE}">
      <text>
        <r>
          <rPr>
            <b/>
            <sz val="14"/>
            <color indexed="81"/>
            <rFont val="Tahoma"/>
            <family val="2"/>
          </rPr>
          <t xml:space="preserve">Dear Jason sir:
</t>
        </r>
        <r>
          <rPr>
            <b/>
            <sz val="14"/>
            <color indexed="81"/>
            <rFont val="細明體"/>
            <family val="3"/>
            <charset val="136"/>
          </rPr>
          <t>孩子固定星期六上午，上游泳課，如果人力許可，請幫我排</t>
        </r>
        <r>
          <rPr>
            <b/>
            <sz val="14"/>
            <color indexed="81"/>
            <rFont val="Tahoma"/>
            <family val="2"/>
          </rPr>
          <t>" X "</t>
        </r>
        <r>
          <rPr>
            <b/>
            <sz val="14"/>
            <color indexed="81"/>
            <rFont val="細明體"/>
            <family val="3"/>
            <charset val="136"/>
          </rPr>
          <t>，排不出來就排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 xml:space="preserve">。
</t>
        </r>
      </text>
    </comment>
    <comment ref="R17" authorId="2" shapeId="0" xr:uid="{6DEDBFD5-35B8-41AF-BB1A-426738AD9B87}">
      <text>
        <r>
          <rPr>
            <b/>
            <sz val="14"/>
            <color indexed="81"/>
            <rFont val="細明體"/>
            <family val="3"/>
            <charset val="136"/>
          </rPr>
          <t xml:space="preserve">CR Dashboard專案
</t>
        </r>
      </text>
    </comment>
    <comment ref="Y17" authorId="2" shapeId="0" xr:uid="{3B3A5463-5E41-4A2D-AEF2-374622689695}">
      <text>
        <r>
          <rPr>
            <b/>
            <sz val="14"/>
            <color indexed="81"/>
            <rFont val="細明體"/>
            <family val="3"/>
            <charset val="136"/>
          </rPr>
          <t xml:space="preserve">K1 課程準備
</t>
        </r>
      </text>
    </comment>
    <comment ref="AH17" authorId="2" shapeId="0" xr:uid="{194F3444-07F2-48F6-9EF8-B28C7BF2230C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Holmen</t>
        </r>
        <r>
          <rPr>
            <b/>
            <sz val="12"/>
            <color indexed="81"/>
            <rFont val="細明體"/>
            <family val="3"/>
            <charset val="136"/>
          </rPr>
          <t>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7" authorId="2" shapeId="0" xr:uid="{F09AB285-8499-4E87-881A-6DA82423A59C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Holmen</t>
        </r>
        <r>
          <rPr>
            <b/>
            <sz val="12"/>
            <color indexed="81"/>
            <rFont val="細明體"/>
            <family val="3"/>
            <charset val="136"/>
          </rPr>
          <t>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8" authorId="2" shapeId="0" xr:uid="{C88A8166-047C-4DBB-8B51-B83F28931991}">
      <text>
        <r>
          <rPr>
            <b/>
            <sz val="16"/>
            <color indexed="81"/>
            <rFont val="微軟正黑體"/>
            <family val="2"/>
            <charset val="136"/>
          </rPr>
          <t>Dear Sir:</t>
        </r>
        <r>
          <rPr>
            <sz val="16"/>
            <color indexed="81"/>
            <rFont val="微軟正黑體"/>
            <family val="2"/>
            <charset val="136"/>
          </rPr>
          <t xml:space="preserve">
跟Joy換週
</t>
        </r>
      </text>
    </comment>
    <comment ref="O18" authorId="2" shapeId="0" xr:uid="{5E038B03-2A0C-45A0-B89B-024AF05A9BD6}">
      <text>
        <r>
          <rPr>
            <b/>
            <sz val="16"/>
            <color indexed="81"/>
            <rFont val="微軟正黑體"/>
            <family val="2"/>
            <charset val="136"/>
          </rPr>
          <t>Dear Sir:</t>
        </r>
        <r>
          <rPr>
            <sz val="16"/>
            <color indexed="81"/>
            <rFont val="微軟正黑體"/>
            <family val="2"/>
            <charset val="136"/>
          </rPr>
          <t xml:space="preserve">
跟Joy換週
</t>
        </r>
      </text>
    </comment>
    <comment ref="AG18" authorId="2" shapeId="0" xr:uid="{3126E5B3-DEF8-4C2C-8B54-CC34B3134DC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9" authorId="5" shapeId="0" xr:uid="{D86F01C7-2C9A-4B37-A35D-999F720ACC66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排班如果許可的話，請幫我多排</t>
        </r>
        <r>
          <rPr>
            <b/>
            <sz val="14"/>
            <color indexed="81"/>
            <rFont val="Tahoma"/>
            <family val="2"/>
          </rPr>
          <t>"2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"3"</t>
        </r>
        <r>
          <rPr>
            <b/>
            <sz val="14"/>
            <color indexed="81"/>
            <rFont val="細明體"/>
            <family val="3"/>
            <charset val="136"/>
          </rPr>
          <t>，</t>
        </r>
        <r>
          <rPr>
            <b/>
            <sz val="14"/>
            <color indexed="81"/>
            <rFont val="Tahoma"/>
            <family val="2"/>
          </rPr>
          <t>"1"</t>
        </r>
        <r>
          <rPr>
            <b/>
            <sz val="14"/>
            <color indexed="81"/>
            <rFont val="細明體"/>
            <family val="3"/>
            <charset val="136"/>
          </rPr>
          <t>盡量不超過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 xml:space="preserve">天，感謝。
</t>
        </r>
      </text>
    </comment>
    <comment ref="K20" authorId="2" shapeId="0" xr:uid="{C2B677B2-E18B-4782-B4FF-A1B12B5CE64C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交接
</t>
        </r>
      </text>
    </comment>
    <comment ref="AB20" authorId="2" shapeId="0" xr:uid="{E20AA4B3-25D1-4A53-A030-A01C98E22948}">
      <text>
        <r>
          <rPr>
            <b/>
            <sz val="12"/>
            <color indexed="81"/>
            <rFont val="Microsoft YaHei"/>
            <family val="2"/>
          </rPr>
          <t xml:space="preserve">Dear Jason Sir,
與Arthur換週
</t>
        </r>
      </text>
    </comment>
    <comment ref="AC20" authorId="2" shapeId="0" xr:uid="{E29B95DC-EF5C-4FF4-94EB-3DD804437F4A}">
      <text>
        <r>
          <rPr>
            <b/>
            <sz val="12"/>
            <color indexed="81"/>
            <rFont val="Microsoft YaHei"/>
            <family val="2"/>
          </rPr>
          <t xml:space="preserve">Dear Jason Sir,
與Arthur換週
</t>
        </r>
      </text>
    </comment>
    <comment ref="AF20" authorId="2" shapeId="0" xr:uid="{9E10DEA0-C514-484D-8E0D-61F758B23E94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AI20" authorId="2" shapeId="0" xr:uid="{DBF1A06E-3F13-4C42-AA5F-2C1174AAC70A}">
      <text>
        <r>
          <rPr>
            <b/>
            <sz val="12"/>
            <color indexed="81"/>
            <rFont val="Microsoft YaHei"/>
            <family val="2"/>
          </rPr>
          <t xml:space="preserve">Dear Jason Sir,
與Arthur換週
</t>
        </r>
      </text>
    </comment>
    <comment ref="AJ20" authorId="2" shapeId="0" xr:uid="{0E6EF914-603D-4DCB-8647-D3412E07E918}">
      <text>
        <r>
          <rPr>
            <b/>
            <sz val="12"/>
            <color indexed="81"/>
            <rFont val="Microsoft YaHei"/>
            <family val="2"/>
          </rPr>
          <t xml:space="preserve">Dear Jason Sir,
與Arthur換週
</t>
        </r>
      </text>
    </comment>
    <comment ref="U21" authorId="2" shapeId="0" xr:uid="{6D7D92A6-B96A-41AB-ABF0-451A84C21DF6}">
      <text>
        <r>
          <rPr>
            <b/>
            <sz val="16"/>
            <color indexed="81"/>
            <rFont val="微軟正黑體"/>
            <family val="2"/>
            <charset val="136"/>
          </rPr>
          <t>Dear Sir:</t>
        </r>
        <r>
          <rPr>
            <sz val="16"/>
            <color indexed="81"/>
            <rFont val="微軟正黑體"/>
            <family val="2"/>
            <charset val="136"/>
          </rPr>
          <t xml:space="preserve">
跟Alan換週
</t>
        </r>
      </text>
    </comment>
    <comment ref="V21" authorId="2" shapeId="0" xr:uid="{0E4AFF41-D6EB-4795-A6DB-941E5407AF57}">
      <text>
        <r>
          <rPr>
            <b/>
            <sz val="16"/>
            <color indexed="81"/>
            <rFont val="微軟正黑體"/>
            <family val="2"/>
            <charset val="136"/>
          </rPr>
          <t>Dear Sir:</t>
        </r>
        <r>
          <rPr>
            <sz val="16"/>
            <color indexed="81"/>
            <rFont val="微軟正黑體"/>
            <family val="2"/>
            <charset val="136"/>
          </rPr>
          <t xml:space="preserve">
跟Alan換週
</t>
        </r>
      </text>
    </comment>
    <comment ref="Y21" authorId="2" shapeId="0" xr:uid="{6732624A-B9E4-4B18-A563-A4D46A071990}">
      <text>
        <r>
          <rPr>
            <b/>
            <sz val="14"/>
            <color indexed="81"/>
            <rFont val="細明體"/>
            <family val="3"/>
            <charset val="136"/>
          </rPr>
          <t xml:space="preserve">K1 課程準備
</t>
        </r>
      </text>
    </comment>
    <comment ref="Z21" authorId="2" shapeId="0" xr:uid="{A411BBDA-3066-4853-8CB6-91F29C87B047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</t>
        </r>
      </text>
    </comment>
    <comment ref="J22" authorId="2" shapeId="0" xr:uid="{A3417D94-A7C5-4E54-9325-C57207659ABF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Jason Hsu: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2" authorId="2" shapeId="0" xr:uid="{9F826C5C-A332-4A90-82BB-87FD79FEBABF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T22" authorId="2" shapeId="0" xr:uid="{32DC2AAB-76E6-4A1C-B5F7-BD9677FB2AEA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A22" authorId="2" shapeId="0" xr:uid="{DB098C14-83BA-4F4D-ACA9-A4C8EBEC9C2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B22" authorId="2" shapeId="0" xr:uid="{ADDB7B58-9449-431E-8E34-D766A2C881BA}">
      <text>
        <r>
          <rPr>
            <sz val="12"/>
            <color indexed="81"/>
            <rFont val="細明體"/>
            <family val="3"/>
            <charset val="136"/>
          </rPr>
          <t>跟</t>
        </r>
        <r>
          <rPr>
            <sz val="12"/>
            <color indexed="81"/>
            <rFont val="Tahoma"/>
            <family val="2"/>
          </rPr>
          <t>Key</t>
        </r>
        <r>
          <rPr>
            <sz val="12"/>
            <color indexed="81"/>
            <rFont val="細明體"/>
            <family val="3"/>
            <charset val="136"/>
          </rPr>
          <t>換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AC22" authorId="2" shapeId="0" xr:uid="{13CF392C-E7B0-4ED7-ABB9-26EADC55087B}">
      <text>
        <r>
          <rPr>
            <sz val="12"/>
            <color indexed="81"/>
            <rFont val="細明體"/>
            <family val="3"/>
            <charset val="136"/>
          </rPr>
          <t>跟</t>
        </r>
        <r>
          <rPr>
            <sz val="12"/>
            <color indexed="81"/>
            <rFont val="Tahoma"/>
            <family val="2"/>
          </rPr>
          <t>Key</t>
        </r>
        <r>
          <rPr>
            <sz val="12"/>
            <color indexed="81"/>
            <rFont val="細明體"/>
            <family val="3"/>
            <charset val="136"/>
          </rPr>
          <t>換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AN22" authorId="2" shapeId="0" xr:uid="{925BD259-024E-4DE4-BF7D-7EC880B5BB5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白天有事，麻煩請排"3"或"晚"
</t>
        </r>
      </text>
    </comment>
    <comment ref="L23" authorId="2" shapeId="0" xr:uid="{6978F5A3-C1A4-4700-86B9-D2AE7BC7953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Q23" authorId="2" shapeId="0" xr:uid="{25182038-1795-40AD-9161-70B041B71800}">
      <text>
        <r>
          <rPr>
            <sz val="20"/>
            <color indexed="81"/>
            <rFont val="Tahoma"/>
            <family val="2"/>
          </rPr>
          <t xml:space="preserve">Dear Jason 
</t>
        </r>
        <r>
          <rPr>
            <sz val="20"/>
            <color indexed="81"/>
            <rFont val="細明體"/>
            <family val="3"/>
            <charset val="136"/>
          </rPr>
          <t>如果方便請排我</t>
        </r>
        <r>
          <rPr>
            <sz val="20"/>
            <color indexed="81"/>
            <rFont val="Tahoma"/>
            <family val="2"/>
          </rPr>
          <t>2</t>
        </r>
        <r>
          <rPr>
            <sz val="20"/>
            <color indexed="81"/>
            <rFont val="細明體"/>
            <family val="3"/>
            <charset val="136"/>
          </rPr>
          <t xml:space="preserve">或中，謝謝。
</t>
        </r>
      </text>
    </comment>
    <comment ref="AA23" authorId="2" shapeId="0" xr:uid="{9AFD9615-5C55-4FFB-96EC-074597DBB5B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D23" authorId="2" shapeId="0" xr:uid="{6EB77301-43E5-4D53-94B7-19A6D0CF3BAB}">
      <text>
        <r>
          <rPr>
            <sz val="20"/>
            <color indexed="81"/>
            <rFont val="Tahoma"/>
            <family val="2"/>
          </rPr>
          <t xml:space="preserve">Dear Jason 
</t>
        </r>
        <r>
          <rPr>
            <sz val="20"/>
            <color indexed="81"/>
            <rFont val="細明體"/>
            <family val="3"/>
            <charset val="136"/>
          </rPr>
          <t>如果方便請排我</t>
        </r>
        <r>
          <rPr>
            <sz val="20"/>
            <color indexed="81"/>
            <rFont val="Tahoma"/>
            <family val="2"/>
          </rPr>
          <t>2</t>
        </r>
        <r>
          <rPr>
            <sz val="20"/>
            <color indexed="81"/>
            <rFont val="細明體"/>
            <family val="3"/>
            <charset val="136"/>
          </rPr>
          <t xml:space="preserve">或中，謝謝。
</t>
        </r>
      </text>
    </comment>
    <comment ref="L24" authorId="2" shapeId="0" xr:uid="{D236606A-D6B7-4053-8A5E-5491ACA4FB49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Q24" authorId="2" shapeId="0" xr:uid="{0BED885A-6887-493E-8C5D-488CFD92D16E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S24" authorId="2" shapeId="0" xr:uid="{70B9932F-9E83-4F18-8BBE-FB325538BB70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X24" authorId="2" shapeId="0" xr:uid="{81022D1F-3D17-45D0-A038-22D56CD69EE6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E24" authorId="2" shapeId="0" xr:uid="{1F1CC67D-1041-4DE5-92DF-BC18D43A4CAE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F25" authorId="2" shapeId="0" xr:uid="{4914C7FF-A781-4EF5-9BE4-B8F8E3E1A888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AH25" authorId="2" shapeId="0" xr:uid="{37038C15-1DC1-4274-B2E6-562F1346EAEA}">
      <text>
        <r>
          <rPr>
            <b/>
            <sz val="11"/>
            <color indexed="81"/>
            <rFont val="Tahoma"/>
            <family val="2"/>
          </rPr>
          <t xml:space="preserve">Dear Jason,
</t>
        </r>
        <r>
          <rPr>
            <b/>
            <sz val="11"/>
            <color indexed="81"/>
            <rFont val="細明體"/>
            <family val="3"/>
            <charset val="136"/>
          </rPr>
          <t xml:space="preserve">當日下午家務請假，如果可能請協助N班
</t>
        </r>
      </text>
    </comment>
    <comment ref="AM25" authorId="1" shapeId="0" xr:uid="{D28E87B8-A196-465E-9874-95ADBD588715}">
      <text>
        <r>
          <rPr>
            <b/>
            <sz val="14"/>
            <color indexed="81"/>
            <rFont val="細明體"/>
            <family val="3"/>
            <charset val="136"/>
          </rPr>
          <t>過年補假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J27" authorId="2" shapeId="0" xr:uid="{230D9CE3-B485-42DE-8409-1FD83046C51D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請都幫我排 "1"
謝謝！！
</t>
        </r>
      </text>
    </comment>
    <comment ref="P27" authorId="2" shapeId="0" xr:uid="{5A4B46E9-07EF-4C9F-9998-2C333D85D891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S27" authorId="2" shapeId="0" xr:uid="{8C56442C-0464-4345-BA40-E94F5A98BD68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U27" authorId="2" shapeId="0" xr:uid="{8BEFFCA1-E1BA-4D00-AEE4-05567B3C0259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W27" authorId="2" shapeId="0" xr:uid="{49174457-AF3D-44F9-A63C-24DD8474DDF1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Z27" authorId="2" shapeId="0" xr:uid="{DD4E578B-0D12-4532-BF2D-CEE85C304DB8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B27" authorId="2" shapeId="0" xr:uid="{A9450E2F-5634-4007-946E-0BA53E4DC44B}">
      <text>
        <r>
          <rPr>
            <b/>
            <sz val="12"/>
            <color indexed="81"/>
            <rFont val="Microsoft YaHei"/>
            <family val="2"/>
          </rPr>
          <t xml:space="preserve">Dear Jason Sir,
與Kevin換週
</t>
        </r>
      </text>
    </comment>
    <comment ref="AC27" authorId="2" shapeId="0" xr:uid="{A3CE4B95-A1B8-4E62-8CD9-CBF88C854378}">
      <text>
        <r>
          <rPr>
            <b/>
            <sz val="12"/>
            <color indexed="81"/>
            <rFont val="Microsoft YaHei"/>
            <family val="2"/>
          </rPr>
          <t xml:space="preserve">Dear Jason Sir,
與Kevin換週
</t>
        </r>
      </text>
    </comment>
    <comment ref="AD27" authorId="2" shapeId="0" xr:uid="{1AA665CF-17E0-47EF-B0DF-A0159903A20D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I27" authorId="2" shapeId="0" xr:uid="{D09703EB-B514-480B-923E-DD488E41C04A}">
      <text>
        <r>
          <rPr>
            <b/>
            <sz val="12"/>
            <color indexed="81"/>
            <rFont val="Microsoft YaHei"/>
            <family val="2"/>
          </rPr>
          <t xml:space="preserve">Dear Jason Sir,
與Kevin換週
</t>
        </r>
      </text>
    </comment>
    <comment ref="AJ27" authorId="2" shapeId="0" xr:uid="{830AEFF6-BA95-40F1-B40E-94875D121F8E}">
      <text>
        <r>
          <rPr>
            <b/>
            <sz val="12"/>
            <color indexed="81"/>
            <rFont val="Microsoft YaHei"/>
            <family val="2"/>
          </rPr>
          <t xml:space="preserve">Dear Jason Sir,
與Kevin換週
</t>
        </r>
      </text>
    </comment>
    <comment ref="AK27" authorId="2" shapeId="0" xr:uid="{DFDC3CC2-D022-424B-9F6F-D5A36079D842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N27" authorId="2" shapeId="0" xr:uid="{AEEDAFB5-B286-4FBD-99E4-B010C381E42A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J28" authorId="2" shapeId="0" xr:uid="{E1FE4712-2ED7-4F1D-B987-7F12C34024DC}">
      <text>
        <r>
          <rPr>
            <b/>
            <sz val="12"/>
            <color indexed="81"/>
            <rFont val="Tahoma"/>
            <family val="2"/>
          </rPr>
          <t xml:space="preserve">Dear sir: 
</t>
        </r>
        <r>
          <rPr>
            <b/>
            <sz val="12"/>
            <color indexed="81"/>
            <rFont val="細明體"/>
            <family val="3"/>
            <charset val="136"/>
          </rPr>
          <t>如排班允許請多排</t>
        </r>
        <r>
          <rPr>
            <b/>
            <sz val="12"/>
            <color indexed="81"/>
            <rFont val="Tahoma"/>
            <family val="2"/>
          </rPr>
          <t>3</t>
        </r>
        <r>
          <rPr>
            <b/>
            <sz val="12"/>
            <color indexed="81"/>
            <rFont val="細明體"/>
            <family val="3"/>
            <charset val="136"/>
          </rPr>
          <t xml:space="preserve">，謝謝。
若有早班請盡量安排在假日，謝謝。
admin:
</t>
        </r>
      </text>
    </comment>
    <comment ref="P28" authorId="2" shapeId="0" xr:uid="{C33D7C4F-7EB7-4877-8980-0DB307FD44ED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Z28" authorId="2" shapeId="0" xr:uid="{BB2689CF-8A99-4152-9995-70B1CC70791B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D28" authorId="2" shapeId="0" xr:uid="{A9DA7B5E-DF9E-4C24-B4C4-1CBE53B82DC7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G28" authorId="2" shapeId="0" xr:uid="{0E69E7C7-E529-41A5-A181-7D765C302534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L29" authorId="2" shapeId="0" xr:uid="{0E1D68AF-5E25-4AEC-A300-AC4241EB6D8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Q29" authorId="2" shapeId="0" xr:uid="{6CEEB211-2F4C-433B-9086-256FECA0A884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R29" authorId="2" shapeId="0" xr:uid="{F00160CE-2CF3-4661-86B0-4138E6979EEF}">
      <text>
        <r>
          <rPr>
            <b/>
            <sz val="14"/>
            <color indexed="81"/>
            <rFont val="細明體"/>
            <family val="3"/>
            <charset val="136"/>
          </rPr>
          <t xml:space="preserve">CR Dashboard專案
</t>
        </r>
      </text>
    </comment>
    <comment ref="S29" authorId="2" shapeId="0" xr:uid="{2E1AB17C-80D4-4144-98D8-7E497FDDDF3F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X29" authorId="2" shapeId="0" xr:uid="{FEEAB654-2A1F-4746-AFF8-85469B309766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J30" authorId="2" shapeId="0" xr:uid="{9F6756BB-03D9-468D-B3B2-BF0E782FE5E2}">
      <text>
        <r>
          <rPr>
            <b/>
            <sz val="13"/>
            <color indexed="81"/>
            <rFont val="Tahoma"/>
            <family val="2"/>
          </rPr>
          <t xml:space="preserve">Dear sir: 
</t>
        </r>
        <r>
          <rPr>
            <b/>
            <sz val="13"/>
            <color indexed="81"/>
            <rFont val="細明體"/>
            <family val="3"/>
            <charset val="136"/>
          </rPr>
          <t>如排班允許請多排</t>
        </r>
        <r>
          <rPr>
            <b/>
            <sz val="13"/>
            <color indexed="81"/>
            <rFont val="Tahoma"/>
            <family val="2"/>
          </rPr>
          <t>3</t>
        </r>
        <r>
          <rPr>
            <b/>
            <sz val="13"/>
            <color indexed="81"/>
            <rFont val="細明體"/>
            <family val="3"/>
            <charset val="136"/>
          </rPr>
          <t xml:space="preserve">，謝謝。
</t>
        </r>
      </text>
    </comment>
    <comment ref="U30" authorId="2" shapeId="0" xr:uid="{2A2F04FD-56F6-4AD7-9D13-55B148630364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與David Ke換週
</t>
        </r>
      </text>
    </comment>
    <comment ref="V30" authorId="2" shapeId="0" xr:uid="{54B3CAAE-3345-4989-BBD5-8E5EA193C3CD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與David Ke換週
</t>
        </r>
      </text>
    </comment>
    <comment ref="O32" authorId="2" shapeId="0" xr:uid="{397F2DE9-58BD-4DEB-B0D3-DD96BC44E3F2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 xml:space="preserve"> France </t>
        </r>
        <r>
          <rPr>
            <b/>
            <sz val="12"/>
            <color indexed="81"/>
            <rFont val="細明體"/>
            <family val="3"/>
            <charset val="136"/>
          </rPr>
          <t xml:space="preserve">換單一週日
</t>
        </r>
      </text>
    </comment>
    <comment ref="AJ32" authorId="2" shapeId="0" xr:uid="{E1B9B9E5-5A29-4A93-9BC2-5252387F331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 xml:space="preserve"> France </t>
        </r>
        <r>
          <rPr>
            <b/>
            <sz val="12"/>
            <color indexed="81"/>
            <rFont val="細明體"/>
            <family val="3"/>
            <charset val="136"/>
          </rPr>
          <t xml:space="preserve">換單一週日
</t>
        </r>
      </text>
    </comment>
    <comment ref="N33" authorId="2" shapeId="0" xr:uid="{48343B9E-8C4C-409C-9313-882E2B8A6A86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與Glenn換週
</t>
        </r>
      </text>
    </comment>
    <comment ref="O33" authorId="2" shapeId="0" xr:uid="{FEAA3BA1-5E98-484B-9D12-A2E631188FC9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與Glenn換週
</t>
        </r>
      </text>
    </comment>
    <comment ref="S33" authorId="2" shapeId="0" xr:uid="{EC8D98A7-7044-43CE-B680-4701313CC9B0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
請幫我排"1"or"2"謝謝。
</t>
        </r>
      </text>
    </comment>
    <comment ref="W33" authorId="2" shapeId="0" xr:uid="{9B15EDC4-BF8B-4709-ADF8-A88E15FE357E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
請幫我排"2"謝謝。
</t>
        </r>
      </text>
    </comment>
    <comment ref="AD33" authorId="2" shapeId="0" xr:uid="{0BA5B3CD-EAA4-4722-9E60-3F6944463D36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
若排班許可，請幫我排"2"，謝謝。
</t>
        </r>
      </text>
    </comment>
    <comment ref="N34" authorId="2" shapeId="0" xr:uid="{EBE1F270-103D-4595-BE29-231AAC602770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34" authorId="2" shapeId="0" xr:uid="{C61A7270-382F-4E99-8F42-006A3A91F8A6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34" authorId="2" shapeId="0" xr:uid="{40B1ABFB-AC5E-448A-8623-D57C43961D36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34" authorId="2" shapeId="0" xr:uid="{138B9629-0105-4323-BDAB-01174F897D1C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4" authorId="2" shapeId="0" xr:uid="{0D01324A-F48F-4277-89F4-E1DA6965D83E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35" authorId="2" shapeId="0" xr:uid="{F163ED00-B9B2-4B2C-A074-56E69F55DBB2}">
      <text>
        <r>
          <rPr>
            <b/>
            <sz val="12"/>
            <color indexed="81"/>
            <rFont val="細明體"/>
            <family val="3"/>
            <charset val="136"/>
          </rPr>
          <t>跟</t>
        </r>
        <r>
          <rPr>
            <b/>
            <sz val="12"/>
            <color indexed="81"/>
            <rFont val="Tahoma"/>
            <family val="2"/>
          </rPr>
          <t>Wayne</t>
        </r>
        <r>
          <rPr>
            <b/>
            <sz val="12"/>
            <color indexed="81"/>
            <rFont val="細明體"/>
            <family val="3"/>
            <charset val="136"/>
          </rPr>
          <t xml:space="preserve">換周
</t>
        </r>
      </text>
    </comment>
    <comment ref="AC35" authorId="2" shapeId="0" xr:uid="{EB2AEA5C-CD6F-48C3-A3E0-D2611BBBCDF3}">
      <text>
        <r>
          <rPr>
            <b/>
            <sz val="12"/>
            <color indexed="81"/>
            <rFont val="細明體"/>
            <family val="3"/>
            <charset val="136"/>
          </rPr>
          <t>跟</t>
        </r>
        <r>
          <rPr>
            <b/>
            <sz val="12"/>
            <color indexed="81"/>
            <rFont val="Tahoma"/>
            <family val="2"/>
          </rPr>
          <t>Wayne</t>
        </r>
        <r>
          <rPr>
            <b/>
            <sz val="12"/>
            <color indexed="81"/>
            <rFont val="細明體"/>
            <family val="3"/>
            <charset val="136"/>
          </rPr>
          <t xml:space="preserve">換周
</t>
        </r>
      </text>
    </comment>
    <comment ref="J36" authorId="2" shapeId="0" xr:uid="{0733133C-0018-43E5-BB5D-A36DE940A4E0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1.如果排班方便，因為接送小孩，請多排中班或2，謝謝。
2.如果排班方便，因為接送小孩，如有大夜請排在例假日沒有上課時，謝謝。</t>
        </r>
        <r>
          <rPr>
            <sz val="14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AL36" authorId="2" shapeId="0" xr:uid="{1B05A978-FCB6-4866-8092-C1A4A19AFF7F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J37" authorId="6" shapeId="0" xr:uid="{925257E3-B39E-43B8-B48A-78E76C27D821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admin:
admin:
</t>
        </r>
      </text>
    </comment>
    <comment ref="Q38" authorId="2" shapeId="0" xr:uid="{9A1EA96B-A6E1-4E7E-B0F4-288A9B29110D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R38" authorId="2" shapeId="0" xr:uid="{7905DF57-8B6F-4835-A745-CE079A739F70}">
      <text>
        <r>
          <rPr>
            <b/>
            <sz val="14"/>
            <color indexed="81"/>
            <rFont val="細明體"/>
            <family val="3"/>
            <charset val="136"/>
          </rPr>
          <t xml:space="preserve">CR Dashboard專案
</t>
        </r>
      </text>
    </comment>
    <comment ref="S38" authorId="2" shapeId="0" xr:uid="{95543C4A-AE77-4C5B-8135-F439D5540753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AE38" authorId="2" shapeId="0" xr:uid="{FA8AFA3A-12FC-422A-929B-9ABBEA107777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T39" authorId="2" shapeId="0" xr:uid="{673A971B-01B4-4C2E-88A8-03279D5CE7D2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U39" authorId="2" shapeId="0" xr:uid="{EF886558-A9F4-496E-8087-72604CC29A3E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V39" authorId="2" shapeId="0" xr:uid="{68F039F4-53AD-4481-B8D3-EF5BE0D88E02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A39" authorId="2" shapeId="0" xr:uid="{D205927F-F033-4940-95C2-E219B517796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B39" authorId="2" shapeId="0" xr:uid="{E7656DE4-6040-4D9C-BBDE-572DF32C0FD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39" authorId="2" shapeId="0" xr:uid="{D622F261-0743-463F-9271-D920A00C1B2B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D39" authorId="2" shapeId="0" xr:uid="{9ACB7B09-2CC5-4DA5-B296-A6B116DD8C2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39" authorId="2" shapeId="0" xr:uid="{583E15BB-3872-49D2-9AA5-B8287347A18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I39" authorId="2" shapeId="0" xr:uid="{C3AAAC9D-2A5C-4372-82B9-DB9AC9015289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 xml:space="preserve">William Chou 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AJ39" authorId="2" shapeId="0" xr:uid="{D9FAB8BF-BA15-424D-9A07-602DF1D641BA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 xml:space="preserve">William Chou 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AL39" authorId="2" shapeId="0" xr:uid="{AC2073ED-FF3B-4051-AC93-4FF90D9F9AF3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L40" authorId="2" shapeId="0" xr:uid="{F0F38DE9-E2AA-452A-9515-C37535B03532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P40" authorId="2" shapeId="0" xr:uid="{2965E501-B7EB-44DC-8429-061FC2BBC2CC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Q40" authorId="2" shapeId="0" xr:uid="{681BA074-FCEF-4A1A-BA74-3AB58FFA6679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S40" authorId="2" shapeId="0" xr:uid="{DC24D662-D539-4A41-9A1F-3608AEE2DF26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T40" authorId="2" shapeId="0" xr:uid="{939506A5-658E-4CC8-98A2-79C4930E0993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U40" authorId="2" shapeId="0" xr:uid="{24682764-E3BF-4605-9149-AD68C6386DC2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V40" authorId="2" shapeId="0" xr:uid="{068E1CB7-8F93-4A51-BE6E-04640A0C9931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X40" authorId="2" shapeId="0" xr:uid="{A3481E2D-E360-4B2E-81ED-978C4B7F282E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A40" authorId="2" shapeId="0" xr:uid="{773A2F90-AC5D-4365-A9E0-C3EFBD92A985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B40" authorId="2" shapeId="0" xr:uid="{4204E716-2FBD-4F8A-B23E-0D3D5FC253FC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C40" authorId="2" shapeId="0" xr:uid="{31E8B187-49D8-49B5-81A0-C1C114AD780D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D40" authorId="2" shapeId="0" xr:uid="{51E157C6-4A37-43B0-8DF8-070C3DEA8931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E40" authorId="2" shapeId="0" xr:uid="{BBC165A9-8CD6-41A1-9736-BC0F0853A763}">
      <text>
        <r>
          <rPr>
            <b/>
            <sz val="12"/>
            <color indexed="81"/>
            <rFont val="細明體"/>
            <family val="3"/>
            <charset val="136"/>
          </rPr>
          <t>跟</t>
        </r>
        <r>
          <rPr>
            <b/>
            <sz val="12"/>
            <color indexed="81"/>
            <rFont val="Tahoma"/>
            <family val="2"/>
          </rPr>
          <t>Shih-Hua</t>
        </r>
        <r>
          <rPr>
            <b/>
            <sz val="12"/>
            <color indexed="81"/>
            <rFont val="細明體"/>
            <family val="3"/>
            <charset val="136"/>
          </rPr>
          <t xml:space="preserve">換周
</t>
        </r>
      </text>
    </comment>
    <comment ref="AJ40" authorId="2" shapeId="0" xr:uid="{7E8022FF-9A5B-4EF7-BE95-8DB07B3E7A4A}">
      <text>
        <r>
          <rPr>
            <b/>
            <sz val="12"/>
            <color indexed="81"/>
            <rFont val="細明體"/>
            <family val="3"/>
            <charset val="136"/>
          </rPr>
          <t>跟</t>
        </r>
        <r>
          <rPr>
            <b/>
            <sz val="12"/>
            <color indexed="81"/>
            <rFont val="Tahoma"/>
            <family val="2"/>
          </rPr>
          <t>Shih-Hua</t>
        </r>
        <r>
          <rPr>
            <b/>
            <sz val="12"/>
            <color indexed="81"/>
            <rFont val="細明體"/>
            <family val="3"/>
            <charset val="136"/>
          </rPr>
          <t xml:space="preserve">換周
</t>
        </r>
      </text>
    </comment>
    <comment ref="K41" authorId="2" shapeId="0" xr:uid="{15EA7615-D88A-48FD-8516-F774BAF7DDD3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O41" authorId="2" shapeId="0" xr:uid="{34A853CF-E50F-48A4-A89D-BEEEB1E3A1D6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R41" authorId="2" shapeId="0" xr:uid="{70799573-697B-4BA3-92B7-08AD4A3AF7A1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Y41" authorId="2" shapeId="0" xr:uid="{2CF55DF0-6817-42FF-9017-BA595626F6E6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B41" authorId="2" shapeId="0" xr:uid="{86C732A5-A0AF-4623-836B-04A89E6990F4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AF41" authorId="2" shapeId="0" xr:uid="{B79B5252-D9CF-4990-BDFA-911B08BCE831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M41" authorId="2" shapeId="0" xr:uid="{06D770C1-B0A6-4077-8BAA-F76A0A71756B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J42" authorId="7" shapeId="0" xr:uid="{54DA07DB-E90C-4C4A-A65C-98276F88CD12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細明體"/>
            <family val="3"/>
            <charset val="136"/>
          </rPr>
          <t xml:space="preserve">多上小夜
2.不上大夜
</t>
        </r>
      </text>
    </comment>
    <comment ref="P43" authorId="2" shapeId="0" xr:uid="{63E39881-78BC-4D58-AF34-EE5B0C5401FE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W43" authorId="2" shapeId="0" xr:uid="{089382C4-28B6-451D-B13F-489DCC701DC3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D43" authorId="2" shapeId="0" xr:uid="{09264FBA-627E-444A-9557-EF86C6803904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F43" authorId="2" shapeId="0" xr:uid="{8D96F44C-27F4-4D72-8D5A-AC9BBA054CC8}">
      <text>
        <r>
          <rPr>
            <b/>
            <sz val="9"/>
            <color indexed="81"/>
            <rFont val="細明體"/>
            <family val="3"/>
            <charset val="136"/>
          </rPr>
          <t xml:space="preserve">晚上搭飛機不能排小夜
</t>
        </r>
      </text>
    </comment>
    <comment ref="Z45" authorId="2" shapeId="0" xr:uid="{82D6318E-7491-4E20-A490-7437F7F0FA0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>晚上看醫生，方便的話可以排早或</t>
        </r>
        <r>
          <rPr>
            <sz val="9"/>
            <color indexed="81"/>
            <rFont val="Tahoma"/>
            <family val="2"/>
          </rPr>
          <t xml:space="preserve">N
</t>
        </r>
      </text>
    </comment>
    <comment ref="J46" authorId="2" shapeId="0" xr:uid="{233D4063-1740-4FD1-8135-E19FEFBD449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請幫忙安排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>天特休來消化時數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L46" authorId="2" shapeId="0" xr:uid="{15C3CB3D-049E-4193-B46A-C3D29942F6C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安排回嘉義掃墓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請安排大夜班或是放假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M46" authorId="2" shapeId="0" xr:uid="{92622E30-D12B-42E8-8BD0-EC9CE20CE28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安排回嘉義掃墓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請安排放假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I46" authorId="2" shapeId="0" xr:uid="{D7BEE83C-D129-4752-B4FB-69BFD3AD509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小孩學校園遊會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已經跟</t>
        </r>
        <r>
          <rPr>
            <sz val="9"/>
            <color indexed="81"/>
            <rFont val="Tahoma"/>
            <family val="2"/>
          </rPr>
          <t>camby</t>
        </r>
        <r>
          <rPr>
            <sz val="9"/>
            <color indexed="81"/>
            <rFont val="細明體"/>
            <family val="3"/>
            <charset val="136"/>
          </rPr>
          <t xml:space="preserve">換假日
</t>
        </r>
      </text>
    </comment>
    <comment ref="AL46" authorId="2" shapeId="0" xr:uid="{D422588A-8BEA-45E3-AB83-A6F02AE73FD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小孩學校導護志工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請幫忙安排放假班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 xml:space="preserve">或小夜 或大夜
</t>
        </r>
      </text>
    </comment>
    <comment ref="AN46" authorId="2" shapeId="0" xr:uid="{1D440B17-3EA1-4844-ACA6-B0CC9B542B1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小孩學校放假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請幫忙安排休假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Huang, Simon 黃明達 (518538)</author>
    <author>Admin</author>
    <author>Tin, France 丁嘉威 (599510)</author>
    <author>User</author>
    <author>Shen, Wayne 沈暐軒 (598844)</author>
    <author>Yang, Camby 楊世宏 (598796)</author>
  </authors>
  <commentList>
    <comment ref="F2" authorId="0" shapeId="0" xr:uid="{EA7B5CCF-605B-41C6-9332-58CF4ECF7545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362556B6-0AD3-4440-AA6D-CCBEA5A910DC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K2" authorId="1" shapeId="0" xr:uid="{41FC268A-0D59-4007-BD67-40CE1BF99D08}">
      <text>
        <r>
          <rPr>
            <sz val="14"/>
            <color indexed="81"/>
            <rFont val="Tahoma"/>
            <family val="2"/>
          </rPr>
          <t>勞動節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" authorId="2" shapeId="0" xr:uid="{2577F3D1-C45B-48B2-B51B-41D028527069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L4" authorId="2" shapeId="0" xr:uid="{CC2047B8-07B7-4FDA-90E6-A9423052447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M4" authorId="2" shapeId="0" xr:uid="{647A9E77-B8EB-459E-9987-010EFB3D5072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Q4" authorId="2" shapeId="0" xr:uid="{2EDF4888-FDDE-4600-ABD0-E838035F8B4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S4" authorId="2" shapeId="0" xr:uid="{1270BD99-7A2C-4FE5-9900-6D6CABCDBC9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T4" authorId="2" shapeId="0" xr:uid="{A4C50D47-E892-4548-8303-070C66CE1628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B4" authorId="2" shapeId="0" xr:uid="{BBA3B0F8-852E-4E9F-A304-D4D956E9C47E}">
      <text>
        <r>
          <rPr>
            <b/>
            <sz val="22"/>
            <color indexed="81"/>
            <rFont val="細明體"/>
            <family val="3"/>
            <charset val="136"/>
          </rPr>
          <t xml:space="preserve">病假
</t>
        </r>
      </text>
    </comment>
    <comment ref="P5" authorId="2" shapeId="0" xr:uid="{D09688BE-C737-4594-B6E1-BEF01F175011}">
      <text>
        <r>
          <rPr>
            <b/>
            <sz val="14"/>
            <color indexed="81"/>
            <rFont val="Tahoma"/>
            <family val="2"/>
          </rPr>
          <t>Hi NOC_CR</t>
        </r>
        <r>
          <rPr>
            <b/>
            <sz val="14"/>
            <color indexed="81"/>
            <rFont val="細明體"/>
            <family val="3"/>
            <charset val="136"/>
          </rPr>
          <t xml:space="preserve">通報
</t>
        </r>
      </text>
    </comment>
    <comment ref="Q5" authorId="2" shapeId="0" xr:uid="{322197D3-66C3-48A6-826D-8BEBD0AB206B}">
      <text>
        <r>
          <rPr>
            <b/>
            <sz val="14"/>
            <color indexed="81"/>
            <rFont val="細明體"/>
            <family val="3"/>
            <charset val="136"/>
          </rPr>
          <t xml:space="preserve">VAS discuss
</t>
        </r>
      </text>
    </comment>
    <comment ref="AA5" authorId="2" shapeId="0" xr:uid="{9E01D600-2D02-4561-8B74-A02EA18DA02C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O5" authorId="2" shapeId="0" xr:uid="{AEBD7CCF-C0E6-491E-BECE-9D5661436408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K6" authorId="2" shapeId="0" xr:uid="{7E87183E-4624-4F41-9C32-F3DDF92E907E}">
      <text>
        <r>
          <rPr>
            <b/>
            <sz val="22"/>
            <color indexed="81"/>
            <rFont val="細明體"/>
            <family val="3"/>
            <charset val="136"/>
          </rPr>
          <t xml:space="preserve">病假
</t>
        </r>
      </text>
    </comment>
    <comment ref="M6" authorId="2" shapeId="0" xr:uid="{8B277E0A-F766-4B20-B6BE-5233A34550B9}">
      <text>
        <r>
          <rPr>
            <b/>
            <sz val="9"/>
            <color indexed="81"/>
            <rFont val="細明體"/>
            <family val="3"/>
            <charset val="136"/>
          </rPr>
          <t>跟</t>
        </r>
        <r>
          <rPr>
            <b/>
            <sz val="9"/>
            <color indexed="81"/>
            <rFont val="Tahoma"/>
            <family val="2"/>
          </rPr>
          <t>Athur</t>
        </r>
        <r>
          <rPr>
            <b/>
            <sz val="9"/>
            <color indexed="81"/>
            <rFont val="細明體"/>
            <family val="3"/>
            <charset val="136"/>
          </rPr>
          <t xml:space="preserve">換
</t>
        </r>
      </text>
    </comment>
    <comment ref="P6" authorId="2" shapeId="0" xr:uid="{097FDE68-A129-4029-B7C3-8FF52BB7EE26}">
      <text>
        <r>
          <rPr>
            <b/>
            <sz val="14"/>
            <color indexed="81"/>
            <rFont val="Tahoma"/>
            <family val="2"/>
          </rPr>
          <t>Hi NOC_CR</t>
        </r>
        <r>
          <rPr>
            <b/>
            <sz val="14"/>
            <color indexed="81"/>
            <rFont val="細明體"/>
            <family val="3"/>
            <charset val="136"/>
          </rPr>
          <t xml:space="preserve">通報
</t>
        </r>
      </text>
    </comment>
    <comment ref="V6" authorId="2" shapeId="0" xr:uid="{DD0634C3-FF3C-4A25-93D7-67FB905BEC33}">
      <text>
        <r>
          <rPr>
            <b/>
            <sz val="14"/>
            <color indexed="81"/>
            <rFont val="Tahoma"/>
            <family val="2"/>
          </rPr>
          <t xml:space="preserve">Mobile K1
</t>
        </r>
      </text>
    </comment>
    <comment ref="AK6" authorId="2" shapeId="0" xr:uid="{DA067E41-97A4-4B37-9342-DE4219FE68C4}">
      <text>
        <r>
          <rPr>
            <b/>
            <sz val="14"/>
            <color indexed="81"/>
            <rFont val="Tahoma"/>
            <family val="2"/>
          </rPr>
          <t>Hi NOC_</t>
        </r>
        <r>
          <rPr>
            <b/>
            <sz val="14"/>
            <color indexed="81"/>
            <rFont val="細明體"/>
            <family val="3"/>
            <charset val="136"/>
          </rPr>
          <t xml:space="preserve">專案
</t>
        </r>
      </text>
    </comment>
    <comment ref="AM6" authorId="2" shapeId="0" xr:uid="{7BC30504-37D6-4BB6-87B7-FAD0981A1C9C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 xml:space="preserve">排小夜，謝謝
</t>
        </r>
      </text>
    </comment>
    <comment ref="Q7" authorId="3" shapeId="0" xr:uid="{1C4697B9-910B-41CC-B56F-44F9795BD16C}">
      <text>
        <r>
          <rPr>
            <b/>
            <sz val="14"/>
            <color indexed="81"/>
            <rFont val="Tahoma"/>
            <family val="2"/>
          </rPr>
          <t>AI</t>
        </r>
        <r>
          <rPr>
            <b/>
            <sz val="14"/>
            <color indexed="81"/>
            <rFont val="細明體"/>
            <family val="3"/>
            <charset val="136"/>
          </rPr>
          <t xml:space="preserve">光纖障礙驗證會議
</t>
        </r>
      </text>
    </comment>
    <comment ref="S9" authorId="2" shapeId="0" xr:uid="{73CF5B61-C9F1-40FE-AF8A-2C900076AC2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晚上有事排班允許的話，麻煩請排"1"或"早"
admin:
</t>
        </r>
      </text>
    </comment>
    <comment ref="T9" authorId="2" shapeId="0" xr:uid="{17CE0482-038E-4A3D-AE4D-E5494EE362DA}">
      <text>
        <r>
          <rPr>
            <b/>
            <sz val="16"/>
            <color indexed="81"/>
            <rFont val="Tahoma"/>
            <family val="2"/>
          </rPr>
          <t xml:space="preserve">Dear Jason:
</t>
        </r>
        <r>
          <rPr>
            <b/>
            <sz val="16"/>
            <color indexed="81"/>
            <rFont val="細明體"/>
            <family val="3"/>
            <charset val="136"/>
          </rPr>
          <t>有事如果可以請排</t>
        </r>
        <r>
          <rPr>
            <b/>
            <sz val="16"/>
            <color indexed="81"/>
            <rFont val="Tahoma"/>
            <family val="2"/>
          </rPr>
          <t>X…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感謝。
</t>
        </r>
      </text>
    </comment>
    <comment ref="J10" authorId="2" shapeId="0" xr:uid="{A7ED9A33-0A78-4FDC-B37A-6C098FB06088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Jason,
支援小夜大夜，但合計請勿超過" 3 "天，假日可以的話也請幫忙排早、1，謝謝。
</t>
        </r>
      </text>
    </comment>
    <comment ref="W10" authorId="2" shapeId="0" xr:uid="{23BD3CB4-F2C3-433B-B2A5-D2CBB7362013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X10" authorId="2" shapeId="0" xr:uid="{7AF8DD40-5C03-44D2-B3A0-0C43F4A7A333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Y10" authorId="2" shapeId="0" xr:uid="{68712DB3-D437-40D4-8003-FD52B87B338B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J11" authorId="2" shapeId="0" xr:uid="{1B46A8A9-5581-4B16-A0A5-272B6825CD45}">
      <text>
        <r>
          <rPr>
            <b/>
            <sz val="12"/>
            <color indexed="81"/>
            <rFont val="Tahoma"/>
            <family val="2"/>
          </rPr>
          <t xml:space="preserve">Dear  Jason:
</t>
        </r>
        <r>
          <rPr>
            <b/>
            <sz val="12"/>
            <color indexed="81"/>
            <rFont val="細明體"/>
            <family val="3"/>
            <charset val="136"/>
          </rPr>
          <t>如果排班方便</t>
        </r>
        <r>
          <rPr>
            <b/>
            <sz val="12"/>
            <color indexed="81"/>
            <rFont val="Tahoma"/>
            <family val="2"/>
          </rPr>
          <t xml:space="preserve">,
</t>
        </r>
        <r>
          <rPr>
            <b/>
            <sz val="12"/>
            <color indexed="81"/>
            <rFont val="細明體"/>
            <family val="3"/>
            <charset val="136"/>
          </rPr>
          <t>週三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五及週日請排</t>
        </r>
        <r>
          <rPr>
            <b/>
            <sz val="12"/>
            <color indexed="81"/>
            <rFont val="Tahoma"/>
            <family val="2"/>
          </rPr>
          <t>1 (</t>
        </r>
        <r>
          <rPr>
            <b/>
            <sz val="12"/>
            <color indexed="81"/>
            <rFont val="細明體"/>
            <family val="3"/>
            <charset val="136"/>
          </rPr>
          <t>固定要上課</t>
        </r>
        <r>
          <rPr>
            <b/>
            <sz val="12"/>
            <color indexed="81"/>
            <rFont val="Tahoma"/>
            <family val="2"/>
          </rPr>
          <t>),</t>
        </r>
        <r>
          <rPr>
            <b/>
            <sz val="12"/>
            <color indexed="81"/>
            <rFont val="細明體"/>
            <family val="3"/>
            <charset val="136"/>
          </rPr>
          <t xml:space="preserve">感謝
</t>
        </r>
      </text>
    </comment>
    <comment ref="T11" authorId="2" shapeId="0" xr:uid="{9CB9599A-AA3E-4BB2-825A-0B61953AE3A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W11" authorId="2" shapeId="0" xr:uid="{E1A053AD-3D01-4063-8C84-6173A9A34A62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Y11" authorId="2" shapeId="0" xr:uid="{0AB3D053-15E0-4CC2-8E3E-295F77FBA48F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AG11" authorId="2" shapeId="0" xr:uid="{B1814770-33D6-44AD-B945-3D30A2C5231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1" authorId="2" shapeId="0" xr:uid="{1B4AF3DC-C0DF-4EE4-BEA9-7F0BDE5F39CA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AM11" authorId="2" shapeId="0" xr:uid="{1DF52F13-D603-46AF-AE1C-9E081ABF064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K13" authorId="3" shapeId="0" xr:uid="{07219748-883D-4E58-B9DA-997FBB961741}">
      <text>
        <r>
          <rPr>
            <b/>
            <sz val="9"/>
            <color indexed="81"/>
            <rFont val="細明體"/>
            <family val="3"/>
            <charset val="136"/>
          </rPr>
          <t xml:space="preserve">銷特休
</t>
        </r>
      </text>
    </comment>
    <comment ref="L13" authorId="3" shapeId="0" xr:uid="{25C7F693-35AE-48FC-985F-EC17C1DA2748}">
      <text>
        <r>
          <rPr>
            <b/>
            <sz val="9"/>
            <color indexed="81"/>
            <rFont val="細明體"/>
            <family val="3"/>
            <charset val="136"/>
          </rPr>
          <t xml:space="preserve">銷特休
</t>
        </r>
      </text>
    </comment>
    <comment ref="M13" authorId="3" shapeId="0" xr:uid="{4221368F-0459-4279-889B-6AB7B69E2B65}">
      <text>
        <r>
          <rPr>
            <b/>
            <sz val="9"/>
            <color indexed="81"/>
            <rFont val="細明體"/>
            <family val="3"/>
            <charset val="136"/>
          </rPr>
          <t xml:space="preserve">銷特休
</t>
        </r>
      </text>
    </comment>
    <comment ref="O13" authorId="2" shapeId="0" xr:uid="{9AE87C99-740F-438E-B26A-31743C1A8B1D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Q13" authorId="3" shapeId="0" xr:uid="{52E776E6-A265-4AFA-A800-8C2869CF83B3}">
      <text>
        <r>
          <rPr>
            <b/>
            <sz val="14"/>
            <color indexed="81"/>
            <rFont val="Tahoma"/>
            <family val="2"/>
          </rPr>
          <t>AI</t>
        </r>
        <r>
          <rPr>
            <b/>
            <sz val="14"/>
            <color indexed="81"/>
            <rFont val="細明體"/>
            <family val="3"/>
            <charset val="136"/>
          </rPr>
          <t xml:space="preserve">光纖障礙驗證會議
</t>
        </r>
      </text>
    </comment>
    <comment ref="AB13" authorId="3" shapeId="0" xr:uid="{540EB669-9632-4120-A3AB-E76EAA52A419}">
      <text>
        <r>
          <rPr>
            <b/>
            <sz val="14"/>
            <color indexed="81"/>
            <rFont val="細明體"/>
            <family val="3"/>
            <charset val="136"/>
          </rPr>
          <t>請排</t>
        </r>
        <r>
          <rPr>
            <b/>
            <sz val="14"/>
            <color indexed="81"/>
            <rFont val="Tahoma"/>
            <family val="2"/>
          </rPr>
          <t>N</t>
        </r>
        <r>
          <rPr>
            <b/>
            <sz val="14"/>
            <color indexed="81"/>
            <rFont val="細明體"/>
            <family val="3"/>
            <charset val="136"/>
          </rPr>
          <t>班</t>
        </r>
        <r>
          <rPr>
            <b/>
            <sz val="14"/>
            <color indexed="81"/>
            <rFont val="Tahoma"/>
            <family val="2"/>
          </rPr>
          <t>.</t>
        </r>
        <r>
          <rPr>
            <b/>
            <sz val="14"/>
            <color indexed="81"/>
            <rFont val="細明體"/>
            <family val="3"/>
            <charset val="136"/>
          </rPr>
          <t>驗證</t>
        </r>
        <r>
          <rPr>
            <b/>
            <sz val="14"/>
            <color indexed="81"/>
            <rFont val="Tahoma"/>
            <family val="2"/>
          </rPr>
          <t>AI</t>
        </r>
        <r>
          <rPr>
            <b/>
            <sz val="14"/>
            <color indexed="81"/>
            <rFont val="細明體"/>
            <family val="3"/>
            <charset val="136"/>
          </rPr>
          <t xml:space="preserve">輸出的答案
</t>
        </r>
      </text>
    </comment>
    <comment ref="AC13" authorId="2" shapeId="0" xr:uid="{46674F0B-D87A-49A8-AADF-69EC0F3DA32D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I13" authorId="3" shapeId="0" xr:uid="{80A32BD4-22C5-41B6-B53E-93DC49EDAC6A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.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請排休假
</t>
        </r>
      </text>
    </comment>
    <comment ref="J14" authorId="2" shapeId="0" xr:uid="{2F7C8352-BB0D-4ECE-94C7-5BB5AB3D513B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或"中"，謝謝
</t>
        </r>
      </text>
    </comment>
    <comment ref="L14" authorId="2" shapeId="0" xr:uid="{3DC8B12B-DA5C-4509-A205-A15F7309E22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M14" authorId="2" shapeId="0" xr:uid="{95EC2C49-099D-4A91-A85F-29FF5AF837D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O14" authorId="2" shapeId="0" xr:uid="{4526F571-DE60-46C8-9BB0-D96BC70296C4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Q14" authorId="2" shapeId="0" xr:uid="{4EEF3F43-8289-4EBA-817A-3B17E55AC19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4" authorId="2" shapeId="0" xr:uid="{4AA280FB-6EB3-4A6B-B311-206967F3A22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4" authorId="2" shapeId="0" xr:uid="{9CAD44D8-7A97-4956-90BB-C0068A21D01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W14" authorId="2" shapeId="0" xr:uid="{17F6E946-71BF-4D7F-A07D-AB28F10D010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4" authorId="2" shapeId="0" xr:uid="{44593806-2EF9-4157-9C8E-360B4A1AE82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A14" authorId="2" shapeId="0" xr:uid="{4D75A5DF-B65D-40D8-A6E0-922ABA62CB4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B14" authorId="2" shapeId="0" xr:uid="{ADCFD301-583C-42B3-AACC-F578BFA7F42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4" authorId="2" shapeId="0" xr:uid="{F2329581-01F9-4A6E-8992-0557C38F4F3C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D14" authorId="2" shapeId="0" xr:uid="{D806E24F-5EFF-48CB-9F0C-D35C66A82DA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4" authorId="2" shapeId="0" xr:uid="{1C7471E6-5B84-4B79-9006-65785F7D018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I14" authorId="2" shapeId="0" xr:uid="{D5E246DF-CEA9-416D-B2E4-A162B5B602A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4" authorId="2" shapeId="0" xr:uid="{A5C18267-6454-42B0-9205-F2AC6B564337}">
      <text>
        <r>
          <rPr>
            <b/>
            <sz val="14"/>
            <color indexed="81"/>
            <rFont val="Tahoma"/>
            <family val="2"/>
          </rPr>
          <t>Hi NOC_</t>
        </r>
        <r>
          <rPr>
            <b/>
            <sz val="14"/>
            <color indexed="81"/>
            <rFont val="細明體"/>
            <family val="3"/>
            <charset val="136"/>
          </rPr>
          <t xml:space="preserve">專案
</t>
        </r>
      </text>
    </comment>
    <comment ref="AL14" authorId="2" shapeId="0" xr:uid="{DD0A1393-3638-4CA7-BFA4-21A8A5738D4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14" authorId="2" shapeId="0" xr:uid="{47F9DA4B-0C4D-4259-BDE4-E2EA1D7FA06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O14" authorId="2" shapeId="0" xr:uid="{D57BED34-1FE7-4CD8-A299-735E064AC34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O15" authorId="2" shapeId="0" xr:uid="{786AFECB-EAEF-4BF7-80E9-0B83BDA11558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P15" authorId="2" shapeId="0" xr:uid="{581ACA17-EE24-4844-9D63-8330F7D46319}">
      <text>
        <r>
          <rPr>
            <b/>
            <sz val="14"/>
            <color indexed="81"/>
            <rFont val="Tahoma"/>
            <family val="2"/>
          </rPr>
          <t xml:space="preserve">Cloud Meeting
Coding
</t>
        </r>
      </text>
    </comment>
    <comment ref="AC15" authorId="2" shapeId="0" xr:uid="{48CEE8A7-C474-4C5B-A2FD-13F65F62D584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D15" authorId="2" shapeId="0" xr:uid="{6AE84B7C-090D-4CCF-B09B-13068C03B152}">
      <text>
        <r>
          <rPr>
            <b/>
            <sz val="14"/>
            <color indexed="81"/>
            <rFont val="Tahoma"/>
            <family val="2"/>
          </rPr>
          <t xml:space="preserve">Cloud Meeting
Coding
</t>
        </r>
      </text>
    </comment>
    <comment ref="J16" authorId="4" shapeId="0" xr:uid="{B1860090-AD8A-43F7-8DD0-FEEB6D3C15D1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如果排班方便的話請多早或1，支援大夜與小夜，請各別排在同一周但不要假日，不要超過3天，謝謝
如果人力許可，請多排一個N
</t>
        </r>
      </text>
    </comment>
    <comment ref="L16" authorId="2" shapeId="0" xr:uid="{89B1BA14-9470-478C-B49B-9E6E7E9AB08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
孩子固定星期六上午，上游泳課，如果人力許可，請幫我排" X "，排不出來就排2。
</t>
        </r>
      </text>
    </comment>
    <comment ref="Q16" authorId="2" shapeId="0" xr:uid="{DCA423D7-A3BA-4D75-B9E2-D9177895353D}">
      <text>
        <r>
          <rPr>
            <b/>
            <sz val="14"/>
            <color indexed="81"/>
            <rFont val="細明體"/>
            <family val="3"/>
            <charset val="136"/>
          </rPr>
          <t xml:space="preserve">VAS discuss
</t>
        </r>
      </text>
    </comment>
    <comment ref="S16" authorId="5" shapeId="0" xr:uid="{A1F71777-AB29-4DBE-A7B1-5AA2ABE96391}">
      <text>
        <r>
          <rPr>
            <b/>
            <sz val="14"/>
            <color indexed="81"/>
            <rFont val="Tahoma"/>
            <family val="2"/>
          </rPr>
          <t xml:space="preserve">Dear Jason sir:
</t>
        </r>
        <r>
          <rPr>
            <b/>
            <sz val="14"/>
            <color indexed="81"/>
            <rFont val="細明體"/>
            <family val="3"/>
            <charset val="136"/>
          </rPr>
          <t>孩子固定星期六上午，上游泳課，如果人力許可，請幫我排</t>
        </r>
        <r>
          <rPr>
            <b/>
            <sz val="14"/>
            <color indexed="81"/>
            <rFont val="Tahoma"/>
            <family val="2"/>
          </rPr>
          <t>" X "</t>
        </r>
        <r>
          <rPr>
            <b/>
            <sz val="14"/>
            <color indexed="81"/>
            <rFont val="細明體"/>
            <family val="3"/>
            <charset val="136"/>
          </rPr>
          <t>，排不出來就排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 xml:space="preserve">。
</t>
        </r>
      </text>
    </comment>
    <comment ref="X16" authorId="2" shapeId="0" xr:uid="{9FE64B51-241D-411E-9A36-EAB7C0B18492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</t>
        </r>
      </text>
    </comment>
    <comment ref="Z16" authorId="2" shapeId="0" xr:uid="{24BCAB9D-FBAF-47E7-9675-1B904103072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
孩子固定星期六上午，上游泳課，如果人力許可，請幫我排" X "，排不出來就排2。
</t>
        </r>
      </text>
    </comment>
    <comment ref="AE16" authorId="2" shapeId="0" xr:uid="{9CCF037F-B636-4B12-98F8-D50D97F46578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AG16" authorId="5" shapeId="0" xr:uid="{38759109-BB26-4359-BDFE-E30E521E275C}">
      <text>
        <r>
          <rPr>
            <b/>
            <sz val="14"/>
            <color indexed="81"/>
            <rFont val="Tahoma"/>
            <family val="2"/>
          </rPr>
          <t xml:space="preserve">Dear Jason sir:
</t>
        </r>
        <r>
          <rPr>
            <b/>
            <sz val="14"/>
            <color indexed="81"/>
            <rFont val="細明體"/>
            <family val="3"/>
            <charset val="136"/>
          </rPr>
          <t>孩子固定星期六上午，上游泳課，如果人力許可，請幫我排</t>
        </r>
        <r>
          <rPr>
            <b/>
            <sz val="14"/>
            <color indexed="81"/>
            <rFont val="Tahoma"/>
            <family val="2"/>
          </rPr>
          <t>" X "</t>
        </r>
        <r>
          <rPr>
            <b/>
            <sz val="14"/>
            <color indexed="81"/>
            <rFont val="細明體"/>
            <family val="3"/>
            <charset val="136"/>
          </rPr>
          <t>，排不出來就排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 xml:space="preserve">。
</t>
        </r>
      </text>
    </comment>
    <comment ref="AK16" authorId="2" shapeId="0" xr:uid="{9C4FC0F3-0E91-4BCC-8D00-A8C3C1CB9ACC}">
      <text>
        <r>
          <rPr>
            <b/>
            <sz val="14"/>
            <color indexed="81"/>
            <rFont val="Tahoma"/>
            <family val="2"/>
          </rPr>
          <t>Hi NOC_</t>
        </r>
        <r>
          <rPr>
            <b/>
            <sz val="14"/>
            <color indexed="81"/>
            <rFont val="細明體"/>
            <family val="3"/>
            <charset val="136"/>
          </rPr>
          <t xml:space="preserve">專案
</t>
        </r>
      </text>
    </comment>
    <comment ref="AN16" authorId="2" shapeId="0" xr:uid="{E2C973AB-AE3B-4395-B7C9-002D4D28A1E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
孩子固定星期六上午，上游泳課，如果人力許可，請幫我排" X "，排不出來就排2。
</t>
        </r>
      </text>
    </comment>
    <comment ref="P17" authorId="2" shapeId="0" xr:uid="{009F5638-26E7-4607-BDBB-DE5BBACF42FB}">
      <text>
        <r>
          <rPr>
            <b/>
            <sz val="14"/>
            <color indexed="81"/>
            <rFont val="Tahoma"/>
            <family val="2"/>
          </rPr>
          <t>Hi NOC_CR</t>
        </r>
        <r>
          <rPr>
            <b/>
            <sz val="14"/>
            <color indexed="81"/>
            <rFont val="細明體"/>
            <family val="3"/>
            <charset val="136"/>
          </rPr>
          <t xml:space="preserve">通報
</t>
        </r>
      </text>
    </comment>
    <comment ref="V17" authorId="2" shapeId="0" xr:uid="{5CB07AA9-F98C-41BE-8D88-EFFEBC12B405}">
      <text>
        <r>
          <rPr>
            <b/>
            <sz val="14"/>
            <color indexed="81"/>
            <rFont val="Tahoma"/>
            <family val="2"/>
          </rPr>
          <t xml:space="preserve">Mobile K1
</t>
        </r>
      </text>
    </comment>
    <comment ref="Q18" authorId="3" shapeId="0" xr:uid="{398BC37D-A474-473B-ADFF-40F11137D3BC}">
      <text>
        <r>
          <rPr>
            <b/>
            <sz val="14"/>
            <color indexed="81"/>
            <rFont val="Tahoma"/>
            <family val="2"/>
          </rPr>
          <t>AI</t>
        </r>
        <r>
          <rPr>
            <b/>
            <sz val="14"/>
            <color indexed="81"/>
            <rFont val="細明體"/>
            <family val="3"/>
            <charset val="136"/>
          </rPr>
          <t xml:space="preserve">光纖障礙驗證會議
</t>
        </r>
      </text>
    </comment>
    <comment ref="J19" authorId="2" shapeId="0" xr:uid="{CB4D0C39-09AD-49FB-BE78-4F9EC3FD2333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排班如果許可的話，請幫我多排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 xml:space="preserve">，謝謝。
</t>
        </r>
      </text>
    </comment>
    <comment ref="AE20" authorId="2" shapeId="0" xr:uid="{787E781B-33C9-4311-B9E5-99248C05B37A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V21" authorId="2" shapeId="0" xr:uid="{9F492988-6589-49C4-BAD6-46D753739A20}">
      <text>
        <r>
          <rPr>
            <b/>
            <sz val="14"/>
            <color indexed="81"/>
            <rFont val="Tahoma"/>
            <family val="2"/>
          </rPr>
          <t xml:space="preserve">Mobile K1
</t>
        </r>
      </text>
    </comment>
    <comment ref="X21" authorId="2" shapeId="0" xr:uid="{1CF84370-8D06-4023-A98A-FEA0E7950067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</t>
        </r>
      </text>
    </comment>
    <comment ref="J22" authorId="2" shapeId="0" xr:uid="{0736E47F-9F66-431D-8BDC-749F507C187F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2" authorId="2" shapeId="0" xr:uid="{2D2C7DA4-669A-4125-8EE6-0568B758096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R22" authorId="2" shapeId="0" xr:uid="{40C5B942-AED5-4642-BF21-33E11FB40E6C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F22" authorId="2" shapeId="0" xr:uid="{07779DAF-8990-4E30-BE18-BD8B04A9B392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N23" authorId="2" shapeId="0" xr:uid="{84694A64-348E-45EA-A025-137A90E1FAA2}">
      <text>
        <r>
          <rPr>
            <sz val="20"/>
            <color indexed="81"/>
            <rFont val="Tahoma"/>
            <family val="2"/>
          </rPr>
          <t xml:space="preserve">Dear Jason 
</t>
        </r>
        <r>
          <rPr>
            <sz val="20"/>
            <color indexed="81"/>
            <rFont val="細明體"/>
            <family val="3"/>
            <charset val="136"/>
          </rPr>
          <t>如果方便請排我</t>
        </r>
        <r>
          <rPr>
            <sz val="20"/>
            <color indexed="81"/>
            <rFont val="Tahoma"/>
            <family val="2"/>
          </rPr>
          <t>2</t>
        </r>
        <r>
          <rPr>
            <sz val="20"/>
            <color indexed="81"/>
            <rFont val="細明體"/>
            <family val="3"/>
            <charset val="136"/>
          </rPr>
          <t xml:space="preserve">或中，謝謝。
</t>
        </r>
      </text>
    </comment>
    <comment ref="Y23" authorId="2" shapeId="0" xr:uid="{AF774C81-4BC9-4CEB-BB9F-502E3D87D7E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B23" authorId="2" shapeId="0" xr:uid="{2FC4C5EF-3187-4A02-8438-51B11EDE9DFC}">
      <text>
        <r>
          <rPr>
            <sz val="20"/>
            <color indexed="81"/>
            <rFont val="Tahoma"/>
            <family val="2"/>
          </rPr>
          <t xml:space="preserve">Dear Jason 
</t>
        </r>
        <r>
          <rPr>
            <sz val="20"/>
            <color indexed="81"/>
            <rFont val="細明體"/>
            <family val="3"/>
            <charset val="136"/>
          </rPr>
          <t>如果方便請排我</t>
        </r>
        <r>
          <rPr>
            <sz val="20"/>
            <color indexed="81"/>
            <rFont val="Tahoma"/>
            <family val="2"/>
          </rPr>
          <t>2</t>
        </r>
        <r>
          <rPr>
            <sz val="20"/>
            <color indexed="81"/>
            <rFont val="細明體"/>
            <family val="3"/>
            <charset val="136"/>
          </rPr>
          <t xml:space="preserve">或中，謝謝。
</t>
        </r>
      </text>
    </comment>
    <comment ref="AM23" authorId="2" shapeId="0" xr:uid="{5724645C-5483-4F5A-B75F-E5A4B4C2249F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E25" authorId="2" shapeId="0" xr:uid="{5E8D0B7C-B59B-481C-B79F-28CE047865E9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AK25" authorId="1" shapeId="0" xr:uid="{7EBE8406-685D-4F14-9768-1A3B687ECF6D}">
      <text>
        <r>
          <rPr>
            <b/>
            <sz val="9"/>
            <color indexed="81"/>
            <rFont val="Tahoma"/>
            <family val="2"/>
          </rPr>
          <t>善用心智圖解力、提升職場競爭力</t>
        </r>
      </text>
    </comment>
    <comment ref="AK26" authorId="2" shapeId="0" xr:uid="{89491661-FA15-4395-887B-E9B629487C7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sir:請幫我排"2"或"中",當天13:30~17:30要去7樓上課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7" authorId="2" shapeId="0" xr:uid="{6C7E4F9A-359E-44E6-B4AB-8B0DE2F1B845}">
      <text>
        <r>
          <rPr>
            <b/>
            <sz val="9"/>
            <color indexed="81"/>
            <rFont val="細明體"/>
            <family val="3"/>
            <charset val="136"/>
          </rPr>
          <t xml:space="preserve">跟Holmen換
</t>
        </r>
      </text>
    </comment>
    <comment ref="J28" authorId="2" shapeId="0" xr:uid="{320879D6-956D-45BF-8C94-AA227E1C3A90}">
      <text>
        <r>
          <rPr>
            <b/>
            <sz val="12"/>
            <color indexed="81"/>
            <rFont val="Tahoma"/>
            <family val="2"/>
          </rPr>
          <t xml:space="preserve">Dear sir: 
</t>
        </r>
        <r>
          <rPr>
            <b/>
            <sz val="12"/>
            <color indexed="81"/>
            <rFont val="細明體"/>
            <family val="3"/>
            <charset val="136"/>
          </rPr>
          <t>如排班允許請多排</t>
        </r>
        <r>
          <rPr>
            <b/>
            <sz val="12"/>
            <color indexed="81"/>
            <rFont val="Tahoma"/>
            <family val="2"/>
          </rPr>
          <t>3</t>
        </r>
        <r>
          <rPr>
            <b/>
            <sz val="12"/>
            <color indexed="81"/>
            <rFont val="細明體"/>
            <family val="3"/>
            <charset val="136"/>
          </rPr>
          <t xml:space="preserve">，謝謝。
</t>
        </r>
      </text>
    </comment>
    <comment ref="N28" authorId="2" shapeId="0" xr:uid="{1E731DD3-A791-41E6-A1C6-42FFAF9CFA73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Q28" authorId="2" shapeId="0" xr:uid="{282CA1DC-E5B9-4AF6-A517-9E25634BD826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V28" authorId="2" shapeId="0" xr:uid="{4F726A0D-084D-47CF-8769-01952AF4EB4F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Y28" authorId="2" shapeId="0" xr:uid="{ADCE32E7-DD71-474F-885C-3922D806EC79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Z28" authorId="2" shapeId="0" xr:uid="{9A78E92B-B1A5-4F10-8943-77F515F086C1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A28" authorId="2" shapeId="0" xr:uid="{E343B460-97C3-4101-9B09-42F1EEC16603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C28" authorId="2" shapeId="0" xr:uid="{93B01DE0-D22D-456E-8794-D57620F4E793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E28" authorId="2" shapeId="0" xr:uid="{75B76D51-E9AA-4D4A-BD3E-1B12F7E976C1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J29" authorId="2" shapeId="0" xr:uid="{DC83B122-4507-4D24-BB47-41A156F31827}">
      <text>
        <r>
          <rPr>
            <b/>
            <sz val="13"/>
            <color indexed="81"/>
            <rFont val="Tahoma"/>
            <family val="2"/>
          </rPr>
          <t xml:space="preserve">Dear sir: 
</t>
        </r>
        <r>
          <rPr>
            <b/>
            <sz val="13"/>
            <color indexed="81"/>
            <rFont val="細明體"/>
            <family val="3"/>
            <charset val="136"/>
          </rPr>
          <t>如排班允許請多排</t>
        </r>
        <r>
          <rPr>
            <b/>
            <sz val="13"/>
            <color indexed="81"/>
            <rFont val="Tahoma"/>
            <family val="2"/>
          </rPr>
          <t>3</t>
        </r>
        <r>
          <rPr>
            <b/>
            <sz val="13"/>
            <color indexed="81"/>
            <rFont val="細明體"/>
            <family val="3"/>
            <charset val="136"/>
          </rPr>
          <t xml:space="preserve">，謝謝。
</t>
        </r>
      </text>
    </comment>
    <comment ref="K30" authorId="2" shapeId="0" xr:uid="{ED7B4468-8FBE-4905-AF7F-F8D73CF85490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若排班許可，請幫我排"1"，謝謝。
</t>
        </r>
      </text>
    </comment>
    <comment ref="L30" authorId="2" shapeId="0" xr:uid="{2C148CBE-DF50-4448-B778-01C5B9BBC014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若排班許可，請幫我排"1"，謝謝。
</t>
        </r>
      </text>
    </comment>
    <comment ref="M30" authorId="2" shapeId="0" xr:uid="{7DA1205C-BFB8-42D4-A82E-679AD5CAD3C5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若排班許可，請幫我排"1"，謝謝。
</t>
        </r>
      </text>
    </comment>
    <comment ref="Q30" authorId="2" shapeId="0" xr:uid="{EED37524-6D0C-4AFB-A1F7-87A20AC996B1}">
      <text>
        <r>
          <rPr>
            <b/>
            <sz val="14"/>
            <color indexed="81"/>
            <rFont val="細明體"/>
            <family val="3"/>
            <charset val="136"/>
          </rPr>
          <t xml:space="preserve">VAS discuss
</t>
        </r>
      </text>
    </comment>
    <comment ref="R30" authorId="2" shapeId="0" xr:uid="{5C573E0E-CACE-4657-8AE4-7D69AE608C2B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X30" authorId="2" shapeId="0" xr:uid="{44D6418B-3C87-4173-8507-8D942D4CDC20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Z30" authorId="2" shapeId="0" xr:uid="{00C8FB7F-B68D-4A23-81D3-207820C26AE8}">
      <text>
        <r>
          <rPr>
            <b/>
            <sz val="12"/>
            <color indexed="81"/>
            <rFont val="Microsoft YaHei"/>
            <family val="2"/>
          </rPr>
          <t xml:space="preserve">Dear Jason Sir,
與Arthur換週
</t>
        </r>
      </text>
    </comment>
    <comment ref="AA30" authorId="2" shapeId="0" xr:uid="{0BEA6ED5-7A52-41C8-9A87-3F275996BB5F}">
      <text>
        <r>
          <rPr>
            <b/>
            <sz val="12"/>
            <color indexed="81"/>
            <rFont val="Microsoft YaHei"/>
            <family val="2"/>
          </rPr>
          <t xml:space="preserve">Dear Jason Sir,
與Arthur換週
</t>
        </r>
      </text>
    </comment>
    <comment ref="AG30" authorId="2" shapeId="0" xr:uid="{0ED75927-33F5-45BA-AAA8-B91158E36F3C}">
      <text>
        <r>
          <rPr>
            <b/>
            <sz val="12"/>
            <color indexed="81"/>
            <rFont val="Tahoma"/>
            <family val="2"/>
          </rPr>
          <t xml:space="preserve">Dear Jason Sir,
</t>
        </r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Jimmy</t>
        </r>
        <r>
          <rPr>
            <b/>
            <sz val="12"/>
            <color indexed="81"/>
            <rFont val="細明體"/>
            <family val="3"/>
            <charset val="136"/>
          </rPr>
          <t>換週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30" authorId="2" shapeId="0" xr:uid="{8FFDC4AF-0A53-499B-B754-DECF03537B87}">
      <text>
        <r>
          <rPr>
            <b/>
            <sz val="12"/>
            <color indexed="81"/>
            <rFont val="Tahoma"/>
            <family val="2"/>
          </rPr>
          <t xml:space="preserve">Dear Jason Sir,
</t>
        </r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Jimmy</t>
        </r>
        <r>
          <rPr>
            <b/>
            <sz val="12"/>
            <color indexed="81"/>
            <rFont val="細明體"/>
            <family val="3"/>
            <charset val="136"/>
          </rPr>
          <t>換週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0" authorId="2" shapeId="0" xr:uid="{D9213B4D-8057-4B09-9382-1339302960E5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L33" authorId="2" shapeId="0" xr:uid="{1DFA2E52-A8AB-4EF7-A30E-D8E37C32C296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3" authorId="2" shapeId="0" xr:uid="{B83629A6-04A5-44A1-85D8-9EEDD4A77319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33" authorId="2" shapeId="0" xr:uid="{02DE1F65-E52A-48FB-9710-BB349696C946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33" authorId="2" shapeId="0" xr:uid="{FCC0DA95-EB0E-47A6-B826-CCA34DA07A24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33" authorId="2" shapeId="0" xr:uid="{C963B8D5-5242-4F09-BE5C-A88258B30DD6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33" authorId="2" shapeId="0" xr:uid="{435D639E-3F80-4D7B-9D9D-001AB115B1A5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3" authorId="2" shapeId="0" xr:uid="{170F1F61-E1FF-4DAC-8BC2-DE2810DB3EE5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4" authorId="2" shapeId="0" xr:uid="{3BC9BD6A-A8C2-40F0-8AF1-481D18B56A83}">
      <text>
        <r>
          <rPr>
            <sz val="18"/>
            <color indexed="81"/>
            <rFont val="微軟正黑體"/>
            <family val="2"/>
            <charset val="136"/>
          </rPr>
          <t>Dear sir
如果排班方便，請多排我上中班，謝謝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4" authorId="2" shapeId="0" xr:uid="{EDAA1FA9-77CE-43C9-BD73-810CCAC692F0}">
      <text>
        <r>
          <rPr>
            <sz val="18"/>
            <color indexed="81"/>
            <rFont val="Arial"/>
            <family val="2"/>
          </rPr>
          <t xml:space="preserve">Dear sir
</t>
        </r>
        <r>
          <rPr>
            <sz val="18"/>
            <color indexed="81"/>
            <rFont val="細明體"/>
            <family val="3"/>
            <charset val="136"/>
          </rPr>
          <t>跟</t>
        </r>
        <r>
          <rPr>
            <sz val="18"/>
            <color indexed="81"/>
            <rFont val="Arial"/>
            <family val="2"/>
          </rPr>
          <t>Wayne</t>
        </r>
        <r>
          <rPr>
            <sz val="18"/>
            <color indexed="81"/>
            <rFont val="細明體"/>
            <family val="3"/>
            <charset val="136"/>
          </rPr>
          <t>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34" authorId="2" shapeId="0" xr:uid="{3C5C8F3E-AC01-4143-AFFE-7B287A29BC75}">
      <text>
        <r>
          <rPr>
            <sz val="18"/>
            <color indexed="81"/>
            <rFont val="Arial"/>
            <family val="2"/>
          </rPr>
          <t xml:space="preserve">Dear sir
</t>
        </r>
        <r>
          <rPr>
            <sz val="18"/>
            <color indexed="81"/>
            <rFont val="細明體"/>
            <family val="3"/>
            <charset val="136"/>
          </rPr>
          <t>跟</t>
        </r>
        <r>
          <rPr>
            <sz val="18"/>
            <color indexed="81"/>
            <rFont val="Arial"/>
            <family val="2"/>
          </rPr>
          <t>Wayne</t>
        </r>
        <r>
          <rPr>
            <sz val="18"/>
            <color indexed="81"/>
            <rFont val="細明體"/>
            <family val="3"/>
            <charset val="136"/>
          </rPr>
          <t>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4" authorId="2" shapeId="0" xr:uid="{178DFFB4-C27A-4152-92A0-7F3BDC8D6C9A}">
      <text>
        <r>
          <rPr>
            <sz val="18"/>
            <color indexed="81"/>
            <rFont val="Arial"/>
            <family val="2"/>
          </rPr>
          <t xml:space="preserve">Dear sir
</t>
        </r>
        <r>
          <rPr>
            <sz val="18"/>
            <color indexed="81"/>
            <rFont val="細明體"/>
            <family val="3"/>
            <charset val="136"/>
          </rPr>
          <t>跟</t>
        </r>
        <r>
          <rPr>
            <sz val="18"/>
            <color indexed="81"/>
            <rFont val="Arial"/>
            <family val="2"/>
          </rPr>
          <t>Wayne</t>
        </r>
        <r>
          <rPr>
            <sz val="18"/>
            <color indexed="81"/>
            <rFont val="細明體"/>
            <family val="3"/>
            <charset val="136"/>
          </rPr>
          <t>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34" authorId="2" shapeId="0" xr:uid="{C0BD5044-5BAE-47BE-8FD2-5AA95CA3BB49}">
      <text>
        <r>
          <rPr>
            <sz val="18"/>
            <color indexed="81"/>
            <rFont val="Arial"/>
            <family val="2"/>
          </rPr>
          <t xml:space="preserve">Dear sir
</t>
        </r>
        <r>
          <rPr>
            <sz val="18"/>
            <color indexed="81"/>
            <rFont val="細明體"/>
            <family val="3"/>
            <charset val="136"/>
          </rPr>
          <t>跟</t>
        </r>
        <r>
          <rPr>
            <sz val="18"/>
            <color indexed="81"/>
            <rFont val="Arial"/>
            <family val="2"/>
          </rPr>
          <t>Wayne</t>
        </r>
        <r>
          <rPr>
            <sz val="18"/>
            <color indexed="81"/>
            <rFont val="細明體"/>
            <family val="3"/>
            <charset val="136"/>
          </rPr>
          <t>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5" authorId="2" shapeId="0" xr:uid="{70BEAAB4-3828-4A0F-81B8-46C229F399AF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1.如果排班方便，因為接送小孩，請多排中班或2，謝謝。
2.如果排班方便，因為接送小孩，如有大夜請排在例假日沒有上課時，謝謝。</t>
        </r>
        <r>
          <rPr>
            <sz val="14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K35" authorId="2" shapeId="0" xr:uid="{090D376C-5224-4AB3-A5A1-F0D0DAD0D0E9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Sir,
如果排班方便，請排中班，謝謝。
</t>
        </r>
      </text>
    </comment>
    <comment ref="S35" authorId="2" shapeId="0" xr:uid="{DB0CAEE4-379E-4B09-ABAA-8C516F58C2EE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Sir,
如果排班方便，請排中班，謝謝。
</t>
        </r>
      </text>
    </comment>
    <comment ref="J36" authorId="6" shapeId="0" xr:uid="{E1C84AF7-CEF0-491C-8844-E475EEA0155A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admin:
admin:
</t>
        </r>
      </text>
    </comment>
    <comment ref="O37" authorId="2" shapeId="0" xr:uid="{35457653-9BAD-47D6-9AD2-5B91EDA4FCD2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P37" authorId="2" shapeId="0" xr:uid="{7DB125D8-CD13-4131-A5E1-12D283CDDF89}">
      <text>
        <r>
          <rPr>
            <b/>
            <sz val="14"/>
            <color indexed="81"/>
            <rFont val="Tahoma"/>
            <family val="2"/>
          </rPr>
          <t>Hi NOC_CR</t>
        </r>
        <r>
          <rPr>
            <b/>
            <sz val="14"/>
            <color indexed="81"/>
            <rFont val="細明體"/>
            <family val="3"/>
            <charset val="136"/>
          </rPr>
          <t xml:space="preserve">通報
</t>
        </r>
      </text>
    </comment>
    <comment ref="AC37" authorId="2" shapeId="0" xr:uid="{C725B3AD-42C7-42E4-AEA7-BFC900836742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K37" authorId="2" shapeId="0" xr:uid="{60BD2830-4BE7-4917-9E58-5B042ED1C193}">
      <text>
        <r>
          <rPr>
            <b/>
            <sz val="14"/>
            <color indexed="81"/>
            <rFont val="Tahoma"/>
            <family val="2"/>
          </rPr>
          <t>Hi NOC_</t>
        </r>
        <r>
          <rPr>
            <b/>
            <sz val="14"/>
            <color indexed="81"/>
            <rFont val="細明體"/>
            <family val="3"/>
            <charset val="136"/>
          </rPr>
          <t xml:space="preserve">專案
</t>
        </r>
      </text>
    </comment>
    <comment ref="R38" authorId="2" shapeId="0" xr:uid="{5CFC4D12-DE13-4A4B-BF89-F5ADDF137AB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S38" authorId="2" shapeId="0" xr:uid="{AC9DF5FF-B15B-442E-9C40-C30C733A2158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T38" authorId="2" shapeId="0" xr:uid="{93337C82-68E7-4018-8AB9-C9E736900177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U38" authorId="2" shapeId="0" xr:uid="{744D6652-C566-4CA7-A92D-7E1A9D7F004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Y38" authorId="2" shapeId="0" xr:uid="{F559A180-B27F-434B-B555-95E664D86EB8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B38" authorId="2" shapeId="0" xr:uid="{4FBD38C7-10B3-4FA1-BB40-18774D07D10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G38" authorId="2" shapeId="0" xr:uid="{3CFE46EC-BF2A-428E-B30F-2900DF18C298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38" authorId="2" shapeId="0" xr:uid="{371EC9A9-D1FB-41B8-A377-A8BE9A51D0BB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I38" authorId="2" shapeId="0" xr:uid="{28F2C408-FC17-4256-963C-06F873213C2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J39" authorId="7" shapeId="0" xr:uid="{5E74013A-BA9E-4004-8C50-0812CA660F52}">
      <text>
        <r>
          <rPr>
            <b/>
            <sz val="9"/>
            <color indexed="81"/>
            <rFont val="Tahoma"/>
            <family val="2"/>
          </rPr>
          <t xml:space="preserve">Shen, Wayne </t>
        </r>
        <r>
          <rPr>
            <b/>
            <sz val="9"/>
            <color indexed="81"/>
            <rFont val="細明體"/>
            <family val="3"/>
            <charset val="136"/>
          </rPr>
          <t>沈暐軒</t>
        </r>
        <r>
          <rPr>
            <b/>
            <sz val="9"/>
            <color indexed="81"/>
            <rFont val="Tahoma"/>
            <family val="2"/>
          </rPr>
          <t xml:space="preserve"> (598844):</t>
        </r>
        <r>
          <rPr>
            <sz val="9"/>
            <color indexed="81"/>
            <rFont val="Tahoma"/>
            <family val="2"/>
          </rPr>
          <t xml:space="preserve">
Dear Jason : </t>
        </r>
        <r>
          <rPr>
            <sz val="9"/>
            <color indexed="81"/>
            <rFont val="細明體"/>
            <family val="3"/>
            <charset val="136"/>
          </rPr>
          <t>若班表允許請多幫我排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細明體"/>
            <family val="3"/>
            <charset val="136"/>
          </rPr>
          <t>晚</t>
        </r>
        <r>
          <rPr>
            <sz val="9"/>
            <color indexed="81"/>
            <rFont val="Tahoma"/>
            <family val="2"/>
          </rPr>
          <t xml:space="preserve">" 
</t>
        </r>
      </text>
    </comment>
    <comment ref="Q39" authorId="2" shapeId="0" xr:uid="{5768FA37-2425-468F-887E-6A0C87702EC0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R39" authorId="2" shapeId="0" xr:uid="{1C93338A-22B3-4DAF-AE1C-0C778CB0082B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S39" authorId="2" shapeId="0" xr:uid="{ADC9A6B7-97BF-4A5F-ACA6-A6B254403EF9}">
      <text>
        <r>
          <rPr>
            <sz val="18"/>
            <color indexed="81"/>
            <rFont val="Arial"/>
            <family val="2"/>
          </rPr>
          <t xml:space="preserve">Dear sir
</t>
        </r>
        <r>
          <rPr>
            <sz val="18"/>
            <color indexed="81"/>
            <rFont val="細明體"/>
            <family val="3"/>
            <charset val="136"/>
          </rPr>
          <t>跟是華換週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9" authorId="2" shapeId="0" xr:uid="{1AF309AF-F38F-4070-A8C7-A10FA0D7BF61}">
      <text>
        <r>
          <rPr>
            <sz val="18"/>
            <color indexed="81"/>
            <rFont val="Arial"/>
            <family val="2"/>
          </rPr>
          <t xml:space="preserve">Dear sir
</t>
        </r>
        <r>
          <rPr>
            <sz val="18"/>
            <color indexed="81"/>
            <rFont val="細明體"/>
            <family val="3"/>
            <charset val="136"/>
          </rPr>
          <t>跟是華換週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9" authorId="2" shapeId="0" xr:uid="{A92FE946-E32B-4942-925F-C008C7C06C09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Y39" authorId="2" shapeId="0" xr:uid="{A3998454-BD8E-44B2-9383-15926D548EBB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Z39" authorId="2" shapeId="0" xr:uid="{992FDAD4-BAF5-4947-B2F9-6387A58ADA85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A39" authorId="2" shapeId="0" xr:uid="{55D733DE-C58E-42C1-9073-8F07763D5D6E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B39" authorId="2" shapeId="0" xr:uid="{782CAB6D-3314-4A4F-A92C-C8FA5DDF3198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F39" authorId="2" shapeId="0" xr:uid="{A1F095ED-8999-4A99-AD52-DC75EC1409B7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G39" authorId="2" shapeId="0" xr:uid="{C1EFBD48-B40C-4FF8-A077-A5CE9E0DCCF5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H39" authorId="2" shapeId="0" xr:uid="{49A49B9A-E7DB-4511-9F5D-B1AE8E28E993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I39" authorId="2" shapeId="0" xr:uid="{8DE904DA-C649-4D99-9CFF-F0B60DFD7CB6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L39" authorId="2" shapeId="0" xr:uid="{0196A700-5692-4661-A978-8C9DE208BB1C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M39" authorId="2" shapeId="0" xr:uid="{AE296C85-7EAF-4CB6-858B-6A93E06B16DE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P40" authorId="2" shapeId="0" xr:uid="{80BB70FA-6382-48C4-BE11-3E1502A26B57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S40" authorId="2" shapeId="0" xr:uid="{0A187472-C953-43F7-B7DB-AC0D42C66D1E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只能小夜大夜
</t>
        </r>
      </text>
    </comment>
    <comment ref="W40" authorId="2" shapeId="0" xr:uid="{0076524C-7281-4D2D-A2D1-4FE4377EAD1B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Z40" authorId="2" shapeId="0" xr:uid="{A014D7E8-A2EC-42C3-BAA5-570AF0BBB49E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只能小夜大夜
</t>
        </r>
      </text>
    </comment>
    <comment ref="AD40" authorId="2" shapeId="0" xr:uid="{C304D3EB-404B-4530-B3BB-D18E5CFA5AA5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K40" authorId="2" shapeId="0" xr:uid="{736E3112-EE09-44CB-B8F8-1AFD10085276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N40" authorId="2" shapeId="0" xr:uid="{08778277-B33E-42A6-8BB3-E732D74BDD0E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只能小夜大夜
</t>
        </r>
      </text>
    </comment>
    <comment ref="J41" authorId="8" shapeId="0" xr:uid="{B047AD1D-C558-47CF-95F0-17082AFF33B4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細明體"/>
            <family val="3"/>
            <charset val="136"/>
          </rPr>
          <t xml:space="preserve">多上小夜
2.不上大夜
</t>
        </r>
      </text>
    </comment>
    <comment ref="U41" authorId="2" shapeId="0" xr:uid="{40AE1CD8-5E96-4F9C-A4BA-93F89CF9ABB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早上要帶長輩看醫生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不能上早班
</t>
        </r>
      </text>
    </comment>
    <comment ref="AK41" authorId="2" shapeId="0" xr:uid="{58687FBB-21F4-48DA-8458-62785B844BD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下午要去彰化回診看醫生
</t>
        </r>
      </text>
    </comment>
    <comment ref="K42" authorId="2" shapeId="0" xr:uid="{E1EA3E03-DDD1-447C-85B1-335AA8DF0104}">
      <text>
        <r>
          <rPr>
            <b/>
            <sz val="9"/>
            <color indexed="81"/>
            <rFont val="細明體"/>
            <family val="3"/>
            <charset val="136"/>
          </rPr>
          <t xml:space="preserve">請排小夜
</t>
        </r>
      </text>
    </comment>
    <comment ref="L42" authorId="2" shapeId="0" xr:uid="{249E9365-D228-4A69-861C-C1D1E160ED96}">
      <text>
        <r>
          <rPr>
            <b/>
            <sz val="9"/>
            <color indexed="81"/>
            <rFont val="細明體"/>
            <family val="3"/>
            <charset val="136"/>
          </rPr>
          <t xml:space="preserve">請排小夜
</t>
        </r>
      </text>
    </comment>
    <comment ref="M42" authorId="2" shapeId="0" xr:uid="{2EAA0ADB-E815-4B1E-9C42-026E3DDE6E8C}">
      <text>
        <r>
          <rPr>
            <b/>
            <sz val="9"/>
            <color indexed="81"/>
            <rFont val="細明體"/>
            <family val="3"/>
            <charset val="136"/>
          </rPr>
          <t xml:space="preserve">請排小夜
</t>
        </r>
      </text>
    </comment>
    <comment ref="N42" authorId="2" shapeId="0" xr:uid="{1890009B-B8D7-409B-8F54-EE25BD92297E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U42" authorId="2" shapeId="0" xr:uid="{0692D8BF-1F06-44A3-8BA4-A0461C6E3E44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B42" authorId="2" shapeId="0" xr:uid="{7ABA5EBF-8C16-48F7-9C46-3D98A4E8D164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I42" authorId="2" shapeId="0" xr:uid="{F0F2400D-D47F-43DE-8CA5-C6E77CDA1885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J44" authorId="2" shapeId="0" xr:uid="{7B8AB394-A0ED-4E46-8124-03876291BDC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Camby</t>
        </r>
        <r>
          <rPr>
            <sz val="9"/>
            <color indexed="81"/>
            <rFont val="細明體"/>
            <family val="3"/>
            <charset val="136"/>
          </rPr>
          <t xml:space="preserve">換周休
</t>
        </r>
      </text>
    </comment>
    <comment ref="L44" authorId="2" shapeId="0" xr:uid="{9C10F45C-8BBF-4AF5-B3D4-18FAB4B052F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方便的話這段可以幫我排大夜。
</t>
        </r>
      </text>
    </comment>
    <comment ref="M44" authorId="2" shapeId="0" xr:uid="{9553C580-1C63-490B-9134-74CA092C55F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方便的話這段可以幫我排大夜。
</t>
        </r>
      </text>
    </comment>
    <comment ref="N44" authorId="2" shapeId="0" xr:uid="{4B7D8732-E3EB-45E7-A549-9F639F482A8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方便的話這段可以幫我排大夜。
</t>
        </r>
      </text>
    </comment>
    <comment ref="O44" authorId="2" shapeId="0" xr:uid="{05D223E9-FFC5-4F3E-AABF-78CD3C87997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方便的話這段可以幫我排大夜。
</t>
        </r>
      </text>
    </comment>
    <comment ref="P44" authorId="2" shapeId="0" xr:uid="{E700D270-A84E-445F-BD00-D189A2DFCF6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方便的話這段可以幫我排大夜。
</t>
        </r>
      </text>
    </comment>
    <comment ref="W44" authorId="2" shapeId="0" xr:uid="{EB7C0B99-07EB-4645-AF0F-9B266AA34C3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麻煩排小夜
</t>
        </r>
      </text>
    </comment>
    <comment ref="J45" authorId="2" shapeId="0" xr:uid="{2A050BFB-E08F-4E44-BF08-0F620F6F06D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請幫忙安排兩天特休來消化時數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N45" authorId="2" shapeId="0" xr:uid="{5C9F7C10-C17D-4E73-8E10-0260F0A6196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早上看牙齒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請幫忙安排小夜班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或大夜班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或放假
</t>
        </r>
      </text>
    </comment>
    <comment ref="U45" authorId="2" shapeId="0" xr:uid="{D0030417-EAFC-42BE-8E30-23DD55B3E4C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下午看牙齒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請幫忙安排大夜班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或正常班下午請假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或放假
</t>
        </r>
      </text>
    </comment>
    <comment ref="AB45" authorId="2" shapeId="0" xr:uid="{E6E7F019-A727-40F1-9E25-800DCD8A5A0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下午看牙齒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請幫忙安排大夜班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或正常班下午請假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或放假
</t>
        </r>
      </text>
    </comment>
    <comment ref="AI45" authorId="2" shapeId="0" xr:uid="{F1FD8C05-AB47-4401-A91B-56A74D6713F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早上看醫生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請幫忙安排大夜班或下午班或放假班,謝謝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Admin</author>
    <author>User</author>
  </authors>
  <commentList>
    <comment ref="F2" authorId="0" shapeId="0" xr:uid="{0BF99E6B-3398-481A-B16C-E2FC23521331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F3792104-B2F2-49B2-9877-DF39ED3913D9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AC2" authorId="1" shapeId="0" xr:uid="{8B090237-EA9E-437F-A7A3-05FBAF5676B7}">
      <text>
        <r>
          <rPr>
            <b/>
            <sz val="14"/>
            <color indexed="81"/>
            <rFont val="Tahoma"/>
            <family val="2"/>
          </rPr>
          <t xml:space="preserve">端午節
</t>
        </r>
      </text>
    </comment>
    <comment ref="J4" authorId="2" shapeId="0" xr:uid="{2FF028EB-0D16-463E-9805-9B593CC79139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K4" authorId="2" shapeId="0" xr:uid="{DF7D4D19-24B9-4670-B1F5-10B54D248838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L4" authorId="2" shapeId="0" xr:uid="{1CF58F9A-933E-4A2B-B785-B7BC728E57D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M4" authorId="2" shapeId="0" xr:uid="{3276B831-04FD-4925-9F5D-722A0A2D5AB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C4" authorId="2" shapeId="0" xr:uid="{844CEBB6-765A-45A9-9D5E-48B5437ED783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排班允許的話，麻煩請排"3"或"X"
</t>
        </r>
      </text>
    </comment>
    <comment ref="AD4" authorId="2" shapeId="0" xr:uid="{973FAA06-9F8E-4A8F-82FF-D1E74B2C76E8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E4" authorId="2" shapeId="0" xr:uid="{9BF361E9-859C-42D1-9DAB-A7DDE3FB32FF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L5" authorId="2" shapeId="0" xr:uid="{08000CF1-C10F-4948-9FAF-2E701D28B853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如果值班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細明體"/>
            <family val="3"/>
            <charset val="136"/>
          </rPr>
          <t>請排早班或小夜班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V5" authorId="2" shapeId="0" xr:uid="{12E4D4F7-BC10-4114-A347-CBADFEC94B3C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如果值班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細明體"/>
            <family val="3"/>
            <charset val="136"/>
          </rPr>
          <t>請排小夜班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X5" authorId="2" shapeId="0" xr:uid="{CE40DED3-3972-4EEB-A39A-DF3C4E574BB3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Z5" authorId="2" shapeId="0" xr:uid="{CCDD1713-CFFE-4A1E-82E4-0C358EC6E78C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如果值班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細明體"/>
            <family val="3"/>
            <charset val="136"/>
          </rPr>
          <t>請排早班或小夜班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E5" authorId="2" shapeId="0" xr:uid="{DB23A367-BE1E-4524-9965-4EAE047334E9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G5" authorId="2" shapeId="0" xr:uid="{3E9127EA-8632-447A-8B32-ACBC2104E689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如果值班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細明體"/>
            <family val="3"/>
            <charset val="136"/>
          </rPr>
          <t>請排早班或小夜班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J5" authorId="2" shapeId="0" xr:uid="{B35D0A38-E721-409A-B6F7-07B8ADF0E529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如果值班</t>
        </r>
        <r>
          <rPr>
            <b/>
            <sz val="14"/>
            <color indexed="81"/>
            <rFont val="Tahoma"/>
            <family val="2"/>
          </rPr>
          <t xml:space="preserve">, </t>
        </r>
        <r>
          <rPr>
            <b/>
            <sz val="14"/>
            <color indexed="81"/>
            <rFont val="細明體"/>
            <family val="3"/>
            <charset val="136"/>
          </rPr>
          <t>請排小夜班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L5" authorId="2" shapeId="0" xr:uid="{985432CA-25EC-4E4A-ACDA-C3EBB5558C7D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K6" authorId="2" shapeId="0" xr:uid="{E46A2DF6-1F41-44D4-B1A3-9F83F797C8E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下午要回診
</t>
        </r>
      </text>
    </comment>
    <comment ref="V6" authorId="2" shapeId="0" xr:uid="{0BD8DE48-5A37-4D97-993F-E7A79E998E6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下午去內湖指導總經理投球
</t>
        </r>
      </text>
    </comment>
    <comment ref="W6" authorId="2" shapeId="0" xr:uid="{90852D4F-225B-4FAD-9A50-EFCC6576002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若可以請排X，謝謝
</t>
        </r>
      </text>
    </comment>
    <comment ref="AB6" authorId="2" shapeId="0" xr:uid="{4A78742E-E562-4006-8A76-CF218FC3A792}">
      <text>
        <r>
          <rPr>
            <b/>
            <sz val="14"/>
            <color indexed="81"/>
            <rFont val="Tahoma"/>
            <family val="2"/>
          </rPr>
          <t xml:space="preserve">Hi NOC </t>
        </r>
        <r>
          <rPr>
            <b/>
            <sz val="14"/>
            <color indexed="81"/>
            <rFont val="細明體"/>
            <family val="3"/>
            <charset val="136"/>
          </rPr>
          <t xml:space="preserve">專案(CR通報/TX結案)
</t>
        </r>
      </text>
    </comment>
    <comment ref="J7" authorId="2" shapeId="0" xr:uid="{62F7E22F-BC8D-42CB-968C-45BB63380B38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U7" authorId="2" shapeId="0" xr:uid="{7189874F-7AF1-4AE7-BF9C-36534F310E8F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AF7" authorId="2" shapeId="0" xr:uid="{F3861219-6DEF-421E-8AE0-6EB1AE3C2F5F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M7" authorId="1" shapeId="0" xr:uid="{319558FC-C71B-4070-9EC7-2E35180E56D3}">
      <text>
        <r>
          <rPr>
            <b/>
            <sz val="12"/>
            <color indexed="81"/>
            <rFont val="Tahoma"/>
            <family val="2"/>
          </rPr>
          <t xml:space="preserve"> TSE-1 台灣側-教育訓練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7" authorId="1" shapeId="0" xr:uid="{9F77C1D0-7607-4381-A618-C635DF56DBF1}">
      <text>
        <r>
          <rPr>
            <b/>
            <sz val="12"/>
            <color indexed="81"/>
            <rFont val="Tahoma"/>
            <family val="2"/>
          </rPr>
          <t xml:space="preserve"> TSE-1 台灣側-教育訓練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9" authorId="2" shapeId="0" xr:uid="{0EBE489D-3C08-4E1F-BFC0-597686BEE5E3}">
      <text>
        <r>
          <rPr>
            <b/>
            <sz val="16"/>
            <color indexed="81"/>
            <rFont val="Tahoma"/>
            <family val="2"/>
          </rPr>
          <t xml:space="preserve">Dear JASON:
</t>
        </r>
        <r>
          <rPr>
            <b/>
            <sz val="16"/>
            <color indexed="81"/>
            <rFont val="細明體"/>
            <family val="3"/>
            <charset val="136"/>
          </rPr>
          <t>特休</t>
        </r>
        <r>
          <rPr>
            <b/>
            <sz val="16"/>
            <color indexed="81"/>
            <rFont val="Tahoma"/>
            <family val="2"/>
          </rPr>
          <t>6/12</t>
        </r>
        <r>
          <rPr>
            <b/>
            <sz val="16"/>
            <color indexed="81"/>
            <rFont val="細明體"/>
            <family val="3"/>
            <charset val="136"/>
          </rPr>
          <t xml:space="preserve">到期
</t>
        </r>
      </text>
    </comment>
    <comment ref="P9" authorId="2" shapeId="0" xr:uid="{FF8332F6-C8F3-4450-85D9-CCFE1F67DCCD}">
      <text>
        <r>
          <rPr>
            <b/>
            <sz val="16"/>
            <color indexed="81"/>
            <rFont val="Tahoma"/>
            <family val="2"/>
          </rPr>
          <t xml:space="preserve">Dear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早上有事，請排小夜班
</t>
        </r>
      </text>
    </comment>
    <comment ref="Q9" authorId="2" shapeId="0" xr:uid="{F44D130D-E2D2-4C86-B32D-54CEB76090F8}">
      <text>
        <r>
          <rPr>
            <b/>
            <sz val="16"/>
            <color indexed="81"/>
            <rFont val="Tahoma"/>
            <family val="2"/>
          </rPr>
          <t xml:space="preserve">Dear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早上有事，請排小夜班
</t>
        </r>
      </text>
    </comment>
    <comment ref="AB9" authorId="2" shapeId="0" xr:uid="{FAFD3E26-2BE2-4AD7-AD95-B1E0CA25ED90}">
      <text>
        <r>
          <rPr>
            <b/>
            <sz val="14"/>
            <color indexed="81"/>
            <rFont val="Tahoma"/>
            <family val="2"/>
          </rPr>
          <t xml:space="preserve">Hi NOC </t>
        </r>
        <r>
          <rPr>
            <b/>
            <sz val="14"/>
            <color indexed="81"/>
            <rFont val="細明體"/>
            <family val="3"/>
            <charset val="136"/>
          </rPr>
          <t xml:space="preserve">專案(CR通報/TX結案)
</t>
        </r>
      </text>
    </comment>
    <comment ref="AD9" authorId="2" shapeId="0" xr:uid="{4963D68C-BAAD-4DED-A0AB-D178AA844AF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若可以請排X，謝謝
</t>
        </r>
      </text>
    </comment>
    <comment ref="J10" authorId="2" shapeId="0" xr:uid="{F24E292B-8608-4BE7-A534-40A4B536764B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Jason,
支援小夜大夜，但合計請勿超過"3"天
假日可以的話也請幫忙排早、1，謝謝。
</t>
        </r>
      </text>
    </comment>
    <comment ref="Y10" authorId="2" shapeId="0" xr:uid="{EF2C5147-9682-4921-B0F6-B0C6EA7DEBA9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Z10" authorId="2" shapeId="0" xr:uid="{EBEA97C3-6905-4269-A67B-04275A11C091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A10" authorId="2" shapeId="0" xr:uid="{C303013B-A2F2-43C4-9FB2-772EF3C8D6DA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J11" authorId="2" shapeId="0" xr:uid="{D5582510-378E-4376-AE34-D54801AAE501}">
      <text>
        <r>
          <rPr>
            <b/>
            <sz val="12"/>
            <color indexed="81"/>
            <rFont val="Tahoma"/>
            <family val="2"/>
          </rPr>
          <t xml:space="preserve">Dear  Jason:
</t>
        </r>
        <r>
          <rPr>
            <b/>
            <sz val="12"/>
            <color indexed="81"/>
            <rFont val="細明體"/>
            <family val="3"/>
            <charset val="136"/>
          </rPr>
          <t>如果排班方便</t>
        </r>
        <r>
          <rPr>
            <b/>
            <sz val="12"/>
            <color indexed="81"/>
            <rFont val="Tahoma"/>
            <family val="2"/>
          </rPr>
          <t xml:space="preserve">,
</t>
        </r>
        <r>
          <rPr>
            <b/>
            <sz val="12"/>
            <color indexed="81"/>
            <rFont val="細明體"/>
            <family val="3"/>
            <charset val="136"/>
          </rPr>
          <t>週三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五及週日請排</t>
        </r>
        <r>
          <rPr>
            <b/>
            <sz val="12"/>
            <color indexed="81"/>
            <rFont val="Tahoma"/>
            <family val="2"/>
          </rPr>
          <t>1 (</t>
        </r>
        <r>
          <rPr>
            <b/>
            <sz val="12"/>
            <color indexed="81"/>
            <rFont val="細明體"/>
            <family val="3"/>
            <charset val="136"/>
          </rPr>
          <t>固定要上課</t>
        </r>
        <r>
          <rPr>
            <b/>
            <sz val="12"/>
            <color indexed="81"/>
            <rFont val="Tahoma"/>
            <family val="2"/>
          </rPr>
          <t>),</t>
        </r>
        <r>
          <rPr>
            <b/>
            <sz val="12"/>
            <color indexed="81"/>
            <rFont val="細明體"/>
            <family val="3"/>
            <charset val="136"/>
          </rPr>
          <t xml:space="preserve">感謝
</t>
        </r>
      </text>
    </comment>
    <comment ref="P11" authorId="2" shapeId="0" xr:uid="{9AF6B1A9-B55A-4E20-BFE0-E834C4A3F62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Q11" authorId="2" shapeId="0" xr:uid="{B726C0A0-D117-4BD6-9F86-E7D4AB7359B2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V11" authorId="2" shapeId="0" xr:uid="{33979AA4-91EE-4824-8C02-E5F38D2E618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AE11" authorId="2" shapeId="0" xr:uid="{9772AD2C-45A3-41C0-805F-7D62BC588CC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AH11" authorId="2" shapeId="0" xr:uid="{6DF1005C-9DAB-4C7E-9A36-E8262A4D3A3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AJ11" authorId="2" shapeId="0" xr:uid="{C0A9A915-E7C5-4CB7-B06C-DA9A0973BC33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K12" authorId="1" shapeId="0" xr:uid="{98EEF7D8-6909-4843-8FCF-3AA52C72E912}">
      <text>
        <r>
          <rPr>
            <b/>
            <sz val="11"/>
            <color indexed="81"/>
            <rFont val="Tahoma"/>
            <family val="2"/>
          </rPr>
          <t>病假</t>
        </r>
      </text>
    </comment>
    <comment ref="P12" authorId="2" shapeId="0" xr:uid="{059E0232-52CC-4935-996D-D698A632FE60}">
      <text>
        <r>
          <rPr>
            <b/>
            <sz val="14"/>
            <color indexed="81"/>
            <rFont val="細明體"/>
            <family val="3"/>
            <charset val="136"/>
          </rPr>
          <t xml:space="preserve">Dear Jason:
早上有事，請排小夜班
</t>
        </r>
      </text>
    </comment>
    <comment ref="Q12" authorId="2" shapeId="0" xr:uid="{8696B22A-89DE-4EC1-9289-BA4351F85D88}">
      <text>
        <r>
          <rPr>
            <b/>
            <sz val="14"/>
            <color indexed="81"/>
            <rFont val="細明體"/>
            <family val="3"/>
            <charset val="136"/>
          </rPr>
          <t xml:space="preserve">Dear Jason:
早上有事，請排小夜班
</t>
        </r>
      </text>
    </comment>
    <comment ref="AL12" authorId="2" shapeId="0" xr:uid="{4C037B00-FC05-463D-9C67-3774112DD65F}">
      <text>
        <r>
          <rPr>
            <b/>
            <sz val="13"/>
            <color indexed="81"/>
            <rFont val="細明體"/>
            <family val="3"/>
            <charset val="136"/>
          </rPr>
          <t xml:space="preserve">家人出國照顧小孩
</t>
        </r>
      </text>
    </comment>
    <comment ref="AM12" authorId="2" shapeId="0" xr:uid="{DDF0C5C8-E3C2-48C4-B819-169BF7E3EB62}">
      <text>
        <r>
          <rPr>
            <b/>
            <sz val="13"/>
            <color indexed="81"/>
            <rFont val="細明體"/>
            <family val="3"/>
            <charset val="136"/>
          </rPr>
          <t xml:space="preserve">家人出國照顧小孩
</t>
        </r>
      </text>
    </comment>
    <comment ref="S13" authorId="2" shapeId="0" xr:uid="{78F546B7-EB13-43F5-AAA3-9D60586DE877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F13" authorId="2" shapeId="0" xr:uid="{4F03FF90-F52F-439C-B838-4EA937D57602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J14" authorId="2" shapeId="0" xr:uid="{D40C7296-C367-43E2-BFA2-63E758442B8F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或"中"，謝謝
</t>
        </r>
      </text>
    </comment>
    <comment ref="K14" authorId="2" shapeId="0" xr:uid="{1C5A3421-AC2A-40C1-8EFF-529D5D860A0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4" authorId="2" shapeId="0" xr:uid="{D1A8E840-8322-4B82-B7F7-940E28095D0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4" authorId="2" shapeId="0" xr:uid="{0B48D518-AD9F-4A9A-9E53-B4A2EF97FD8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S14" authorId="2" shapeId="0" xr:uid="{1C1E3EB5-AD67-46E9-9E84-F666018BF4B6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T14" authorId="2" shapeId="0" xr:uid="{C43717B4-848F-4674-88B3-E344CE68E77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4" authorId="2" shapeId="0" xr:uid="{7802ACA7-308D-4E21-9DF4-542B46F1DE2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X14" authorId="2" shapeId="0" xr:uid="{04A1ADC3-1C64-406C-B49F-B67AB3D3905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Y14" authorId="2" shapeId="0" xr:uid="{96248A30-3DE9-4D1A-9D2A-FFF18561E43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4" authorId="2" shapeId="0" xr:uid="{3624F237-F01A-480E-8670-DC8604973C39}">
      <text>
        <r>
          <rPr>
            <b/>
            <sz val="14"/>
            <color indexed="81"/>
            <rFont val="Tahoma"/>
            <family val="2"/>
          </rPr>
          <t xml:space="preserve">Hi NOC </t>
        </r>
        <r>
          <rPr>
            <b/>
            <sz val="14"/>
            <color indexed="81"/>
            <rFont val="細明體"/>
            <family val="3"/>
            <charset val="136"/>
          </rPr>
          <t xml:space="preserve">專案(CR通報/TX結案)
</t>
        </r>
      </text>
    </comment>
    <comment ref="AE14" authorId="2" shapeId="0" xr:uid="{282E2C65-1C6F-40E8-BBAC-C0A61AD419C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F14" authorId="2" shapeId="0" xr:uid="{A7A76471-40BF-4D2C-AF64-8BC0E43767FD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I14" authorId="2" shapeId="0" xr:uid="{0D9CD0C9-F828-4A4F-A5A7-D5034FA15A3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4" authorId="2" shapeId="0" xr:uid="{629E9722-FA75-4B78-9CE9-5C5BCEEF3EF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L14" authorId="2" shapeId="0" xr:uid="{AA24F651-BD46-4A69-BEEA-8BFEC2826F0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M14" authorId="2" shapeId="0" xr:uid="{1D682B76-63B2-489D-8EE4-E4F6B528B77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5" authorId="2" shapeId="0" xr:uid="{CCDAA266-10E6-4D99-835F-3908697A102C}">
      <text>
        <r>
          <rPr>
            <b/>
            <sz val="14"/>
            <color indexed="81"/>
            <rFont val="Tahoma"/>
            <family val="2"/>
          </rPr>
          <t xml:space="preserve">ETSC Dark Fiber Coding
</t>
        </r>
      </text>
    </comment>
    <comment ref="S15" authorId="2" shapeId="0" xr:uid="{BE702ED3-94BB-4C8E-A710-A8994607BEDF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T15" authorId="2" shapeId="0" xr:uid="{DC872C43-B4FD-434E-9004-B91644B99DAE}">
      <text>
        <r>
          <rPr>
            <b/>
            <sz val="14"/>
            <color indexed="81"/>
            <rFont val="Tahoma"/>
            <family val="2"/>
          </rPr>
          <t xml:space="preserve">Cloud Meeting
Coding
</t>
        </r>
      </text>
    </comment>
    <comment ref="AF15" authorId="2" shapeId="0" xr:uid="{5302A49B-5A1A-4225-B2B2-5E7A6414E79E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G15" authorId="2" shapeId="0" xr:uid="{F1F2D0FC-6976-4568-95CE-C7F693592911}">
      <text>
        <r>
          <rPr>
            <b/>
            <sz val="14"/>
            <color indexed="81"/>
            <rFont val="Tahoma"/>
            <family val="2"/>
          </rPr>
          <t xml:space="preserve">Cloud Meeting
Coding
</t>
        </r>
      </text>
    </comment>
    <comment ref="J16" authorId="3" shapeId="0" xr:uid="{B737AC49-F6FF-4CD7-A5EB-99D1ECC28B4E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如果排班方便的話請多早或1，支援大夜與小夜，請各別排在同一周但不要假日，不要超過3天，謝謝
如果人力許可，請多排一個N
</t>
        </r>
      </text>
    </comment>
    <comment ref="P16" authorId="2" shapeId="0" xr:uid="{64BDF16E-BBB5-4ED1-BA24-CA43775655FB}">
      <text>
        <r>
          <rPr>
            <b/>
            <sz val="14"/>
            <color indexed="81"/>
            <rFont val="細明體"/>
            <family val="3"/>
            <charset val="136"/>
          </rPr>
          <t xml:space="preserve">Dear Jason:
老婆公司活動，如果可以的話請排休假
</t>
        </r>
      </text>
    </comment>
    <comment ref="T16" authorId="2" shapeId="0" xr:uid="{315779F4-E2AD-4E0D-AD57-24B7B969A703}">
      <text>
        <r>
          <rPr>
            <b/>
            <sz val="14"/>
            <color indexed="81"/>
            <rFont val="細明體"/>
            <family val="3"/>
            <charset val="136"/>
          </rPr>
          <t xml:space="preserve">媽媽固定3個月回診
</t>
        </r>
      </text>
    </comment>
    <comment ref="U16" authorId="2" shapeId="0" xr:uid="{A7DAAA38-C76F-4FEA-83CD-4FE3F5B01930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</t>
        </r>
      </text>
    </comment>
    <comment ref="W16" authorId="2" shapeId="0" xr:uid="{059AE51F-B94C-464B-8D55-11BF49B1C352}">
      <text>
        <r>
          <rPr>
            <b/>
            <sz val="13"/>
            <color indexed="81"/>
            <rFont val="細明體"/>
            <family val="3"/>
            <charset val="136"/>
          </rPr>
          <t xml:space="preserve">與 Arthur換兩週六日
</t>
        </r>
      </text>
    </comment>
    <comment ref="X16" authorId="2" shapeId="0" xr:uid="{B26B98A1-87D2-46FE-90DD-56F627792B70}">
      <text>
        <r>
          <rPr>
            <b/>
            <sz val="13"/>
            <color indexed="81"/>
            <rFont val="細明體"/>
            <family val="3"/>
            <charset val="136"/>
          </rPr>
          <t xml:space="preserve">與 Arthur換兩週六日
</t>
        </r>
      </text>
    </comment>
    <comment ref="Y16" authorId="2" shapeId="0" xr:uid="{8AF0969D-5B80-46C6-8867-16F6AEF6FF2A}">
      <text>
        <r>
          <rPr>
            <b/>
            <sz val="13"/>
            <color indexed="81"/>
            <rFont val="細明體"/>
            <family val="3"/>
            <charset val="136"/>
          </rPr>
          <t xml:space="preserve">家人出國照顧小孩
</t>
        </r>
      </text>
    </comment>
    <comment ref="Z16" authorId="2" shapeId="0" xr:uid="{25127BAE-948E-4A8C-B3F4-A723A87093DA}">
      <text>
        <r>
          <rPr>
            <b/>
            <sz val="13"/>
            <color indexed="81"/>
            <rFont val="細明體"/>
            <family val="3"/>
            <charset val="136"/>
          </rPr>
          <t xml:space="preserve">家人出國照顧小孩
</t>
        </r>
      </text>
    </comment>
    <comment ref="AA16" authorId="2" shapeId="0" xr:uid="{791128C7-0E83-4520-8188-F1750C3549D1}">
      <text>
        <r>
          <rPr>
            <b/>
            <sz val="14"/>
            <color indexed="81"/>
            <rFont val="細明體"/>
            <family val="3"/>
            <charset val="136"/>
          </rPr>
          <t xml:space="preserve">媽媽固定3個月回診
</t>
        </r>
      </text>
    </comment>
    <comment ref="AB16" authorId="2" shapeId="0" xr:uid="{8D20659B-79B8-42AD-B264-82AAD47AE387}">
      <text>
        <r>
          <rPr>
            <b/>
            <sz val="14"/>
            <color indexed="81"/>
            <rFont val="Tahoma"/>
            <family val="2"/>
          </rPr>
          <t xml:space="preserve">Hi NOC </t>
        </r>
        <r>
          <rPr>
            <b/>
            <sz val="14"/>
            <color indexed="81"/>
            <rFont val="細明體"/>
            <family val="3"/>
            <charset val="136"/>
          </rPr>
          <t xml:space="preserve">專案(CR通報/TX結案)
</t>
        </r>
      </text>
    </comment>
    <comment ref="AH16" authorId="2" shapeId="0" xr:uid="{07C1F8DE-9EE6-4C18-AB58-87A7E0533CE3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AJ16" authorId="2" shapeId="0" xr:uid="{98E53400-CF14-4C19-A460-A6C904B22FBF}">
      <text>
        <r>
          <rPr>
            <b/>
            <sz val="12"/>
            <color indexed="81"/>
            <rFont val="細明體"/>
            <family val="3"/>
            <charset val="136"/>
          </rPr>
          <t xml:space="preserve">孩子固定3個月回診
</t>
        </r>
      </text>
    </comment>
    <comment ref="AK16" authorId="2" shapeId="0" xr:uid="{E361279A-49F4-410A-B39A-F70D4C2D8087}">
      <text>
        <r>
          <rPr>
            <b/>
            <sz val="13"/>
            <color indexed="81"/>
            <rFont val="細明體"/>
            <family val="3"/>
            <charset val="136"/>
          </rPr>
          <t xml:space="preserve">與 Arthur換兩週六日
</t>
        </r>
      </text>
    </comment>
    <comment ref="AL16" authorId="2" shapeId="0" xr:uid="{565A40C5-BCE5-4C21-800C-03EC7AD024D7}">
      <text>
        <r>
          <rPr>
            <b/>
            <sz val="13"/>
            <color indexed="81"/>
            <rFont val="細明體"/>
            <family val="3"/>
            <charset val="136"/>
          </rPr>
          <t xml:space="preserve">與 Arthur換兩週六日
</t>
        </r>
      </text>
    </comment>
    <comment ref="K17" authorId="2" shapeId="0" xr:uid="{4E904F32-AD0B-4502-A744-35BCF1FEBBEC}">
      <text>
        <r>
          <rPr>
            <b/>
            <sz val="14"/>
            <color indexed="81"/>
            <rFont val="Tahoma"/>
            <family val="2"/>
          </rPr>
          <t xml:space="preserve">Hi NOC </t>
        </r>
        <r>
          <rPr>
            <b/>
            <sz val="14"/>
            <color indexed="81"/>
            <rFont val="細明體"/>
            <family val="3"/>
            <charset val="136"/>
          </rPr>
          <t xml:space="preserve">專案(CR通報coding)
</t>
        </r>
      </text>
    </comment>
    <comment ref="L17" authorId="2" shapeId="0" xr:uid="{394C11F0-742F-4F93-A88B-673FBDB3A503}">
      <text>
        <r>
          <rPr>
            <b/>
            <sz val="14"/>
            <color indexed="81"/>
            <rFont val="Tahoma"/>
            <family val="2"/>
          </rPr>
          <t xml:space="preserve">Hi NOC </t>
        </r>
        <r>
          <rPr>
            <b/>
            <sz val="14"/>
            <color indexed="81"/>
            <rFont val="細明體"/>
            <family val="3"/>
            <charset val="136"/>
          </rPr>
          <t xml:space="preserve">專案(CR通報coding)
</t>
        </r>
      </text>
    </comment>
    <comment ref="AB17" authorId="2" shapeId="0" xr:uid="{54512824-2C45-4F7D-8877-A563028D7DC4}">
      <text>
        <r>
          <rPr>
            <b/>
            <sz val="14"/>
            <color indexed="81"/>
            <rFont val="Tahoma"/>
            <family val="2"/>
          </rPr>
          <t xml:space="preserve">Hi NOC </t>
        </r>
        <r>
          <rPr>
            <b/>
            <sz val="14"/>
            <color indexed="81"/>
            <rFont val="細明體"/>
            <family val="3"/>
            <charset val="136"/>
          </rPr>
          <t xml:space="preserve">專案(CR通報/TX結案)
</t>
        </r>
      </text>
    </comment>
    <comment ref="AI17" authorId="2" shapeId="0" xr:uid="{DBF3D6DF-C0F9-4ED1-8626-D1C6E6F76899}">
      <text>
        <r>
          <rPr>
            <b/>
            <sz val="14"/>
            <color indexed="81"/>
            <rFont val="Tahoma"/>
            <family val="2"/>
          </rPr>
          <t xml:space="preserve">Hi NOC </t>
        </r>
        <r>
          <rPr>
            <b/>
            <sz val="14"/>
            <color indexed="81"/>
            <rFont val="細明體"/>
            <family val="3"/>
            <charset val="136"/>
          </rPr>
          <t xml:space="preserve">專案(CR通報coding)
</t>
        </r>
      </text>
    </comment>
    <comment ref="AF18" authorId="2" shapeId="0" xr:uid="{9B6C1AA6-E959-4E32-860B-5611C03321B1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J19" authorId="2" shapeId="0" xr:uid="{2B1EA016-EAD9-4B04-B054-DA0BF6264625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排班如果許可的話，請幫我多排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 xml:space="preserve">，謝謝。
</t>
        </r>
      </text>
    </comment>
    <comment ref="U20" authorId="2" shapeId="0" xr:uid="{945ECFC0-EDB8-4A94-8EEC-940CDB084965}">
      <text>
        <r>
          <rPr>
            <b/>
            <sz val="16"/>
            <color indexed="81"/>
            <rFont val="新細明體"/>
            <family val="1"/>
            <charset val="136"/>
          </rPr>
          <t>Dear Jason:
若排班方便請排"中"，謝謝。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20" authorId="2" shapeId="0" xr:uid="{75EB0B44-12D9-4794-BB9C-79B8C9964A27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P21" authorId="2" shapeId="0" xr:uid="{7F357BB7-854C-4081-BCF5-ED43372D42E3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Jason:
Fan換週
</t>
        </r>
      </text>
    </comment>
    <comment ref="Q21" authorId="2" shapeId="0" xr:uid="{AB7483FB-41CD-4730-821C-F425ADF79188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Jason:
Fan換週
</t>
        </r>
      </text>
    </comment>
    <comment ref="U21" authorId="2" shapeId="0" xr:uid="{4194A20F-1F73-44A5-AF34-AFD432C2FF06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</t>
        </r>
      </text>
    </comment>
    <comment ref="AB21" authorId="2" shapeId="0" xr:uid="{08D9C80E-2F06-40E5-93AF-42277B8AAF90}">
      <text>
        <r>
          <rPr>
            <b/>
            <sz val="14"/>
            <color indexed="81"/>
            <rFont val="細明體"/>
            <family val="3"/>
            <charset val="136"/>
          </rPr>
          <t xml:space="preserve">防災演練
</t>
        </r>
      </text>
    </comment>
    <comment ref="AM21" authorId="2" shapeId="0" xr:uid="{CE87BBD4-DC9C-43CC-8163-82882C23B9B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sir:早上要抽血，請幫我排小夜或大夜,謝謝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2" shapeId="0" xr:uid="{9994F7BD-582C-487D-901D-FDAA77E1F62E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2" authorId="2" shapeId="0" xr:uid="{A0886AC8-CD3D-4597-8E05-C8C2438C00A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C22" authorId="2" shapeId="0" xr:uid="{6149D853-6D56-4D79-A299-800ABD67B2F3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K22" authorId="2" shapeId="0" xr:uid="{ACCB59C9-7832-4F67-B315-8752ECC45899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這天可排</t>
        </r>
        <r>
          <rPr>
            <b/>
            <sz val="12"/>
            <color indexed="81"/>
            <rFont val="Tahoma"/>
            <family val="2"/>
          </rPr>
          <t>1</t>
        </r>
        <r>
          <rPr>
            <b/>
            <sz val="12"/>
            <color indexed="81"/>
            <rFont val="細明體"/>
            <family val="3"/>
            <charset val="136"/>
          </rPr>
          <t xml:space="preserve">或早
</t>
        </r>
      </text>
    </comment>
    <comment ref="AL22" authorId="2" shapeId="0" xr:uid="{198EDE43-F997-4691-BF2B-BEB87421B64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這天可排</t>
        </r>
        <r>
          <rPr>
            <b/>
            <sz val="12"/>
            <color indexed="81"/>
            <rFont val="Tahoma"/>
            <family val="2"/>
          </rPr>
          <t>1</t>
        </r>
        <r>
          <rPr>
            <b/>
            <sz val="12"/>
            <color indexed="81"/>
            <rFont val="細明體"/>
            <family val="3"/>
            <charset val="136"/>
          </rPr>
          <t xml:space="preserve">或早
</t>
        </r>
      </text>
    </comment>
    <comment ref="J23" authorId="2" shapeId="0" xr:uid="{6E99B2D1-B2D1-4400-96ED-BD242B065FB4}">
      <text>
        <r>
          <rPr>
            <b/>
            <sz val="14"/>
            <color indexed="81"/>
            <rFont val="新細明體"/>
            <family val="1"/>
            <charset val="136"/>
            <scheme val="major"/>
          </rPr>
          <t>Dear sir: 
如排班允許請多排3，謝謝。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V23" authorId="2" shapeId="0" xr:uid="{064CD357-81BC-4D21-B27A-F6A27805A86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Y23" authorId="2" shapeId="0" xr:uid="{EBC0DD13-586B-4B76-A4C8-086D93431865}">
      <text>
        <r>
          <rPr>
            <sz val="20"/>
            <color indexed="81"/>
            <rFont val="Tahoma"/>
            <family val="2"/>
          </rPr>
          <t xml:space="preserve">Dear Jason 
</t>
        </r>
        <r>
          <rPr>
            <sz val="20"/>
            <color indexed="81"/>
            <rFont val="細明體"/>
            <family val="3"/>
            <charset val="136"/>
          </rPr>
          <t>如果方便請排我</t>
        </r>
        <r>
          <rPr>
            <sz val="20"/>
            <color indexed="81"/>
            <rFont val="Tahoma"/>
            <family val="2"/>
          </rPr>
          <t>2</t>
        </r>
        <r>
          <rPr>
            <sz val="20"/>
            <color indexed="81"/>
            <rFont val="細明體"/>
            <family val="3"/>
            <charset val="136"/>
          </rPr>
          <t xml:space="preserve">或中，謝謝。
</t>
        </r>
      </text>
    </comment>
    <comment ref="AJ23" authorId="2" shapeId="0" xr:uid="{33883EC6-BAAA-4747-8BDB-86A0EE426F83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M23" authorId="2" shapeId="0" xr:uid="{339035D8-A51E-4937-8AD0-5E3365359ABF}">
      <text>
        <r>
          <rPr>
            <sz val="20"/>
            <color indexed="81"/>
            <rFont val="Tahoma"/>
            <family val="2"/>
          </rPr>
          <t xml:space="preserve">Dear Jason 
</t>
        </r>
        <r>
          <rPr>
            <sz val="20"/>
            <color indexed="81"/>
            <rFont val="細明體"/>
            <family val="3"/>
            <charset val="136"/>
          </rPr>
          <t>如果方便請排我</t>
        </r>
        <r>
          <rPr>
            <sz val="20"/>
            <color indexed="81"/>
            <rFont val="Tahoma"/>
            <family val="2"/>
          </rPr>
          <t>2</t>
        </r>
        <r>
          <rPr>
            <sz val="20"/>
            <color indexed="81"/>
            <rFont val="細明體"/>
            <family val="3"/>
            <charset val="136"/>
          </rPr>
          <t xml:space="preserve">或中，謝謝。
</t>
        </r>
      </text>
    </comment>
    <comment ref="AH24" authorId="2" shapeId="0" xr:uid="{501782A0-58A5-4771-B137-C933B2FB4F32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P26" authorId="2" shapeId="0" xr:uid="{3D48ACFB-4A00-4EEF-B425-1B1B6D4BE0C4}">
      <text>
        <r>
          <rPr>
            <b/>
            <sz val="13"/>
            <color indexed="81"/>
            <rFont val="細明體"/>
            <family val="3"/>
            <charset val="136"/>
          </rPr>
          <t xml:space="preserve">與 France換兩週六日
</t>
        </r>
      </text>
    </comment>
    <comment ref="Q26" authorId="2" shapeId="0" xr:uid="{48C558DD-4481-4665-85F1-D88CD0CB58F0}">
      <text>
        <r>
          <rPr>
            <b/>
            <sz val="13"/>
            <color indexed="81"/>
            <rFont val="細明體"/>
            <family val="3"/>
            <charset val="136"/>
          </rPr>
          <t xml:space="preserve">與 France換兩週六日
</t>
        </r>
      </text>
    </comment>
    <comment ref="AD26" authorId="2" shapeId="0" xr:uid="{50AE2FA9-6BEB-47B9-806E-9EA62E834D53}">
      <text>
        <r>
          <rPr>
            <b/>
            <sz val="13"/>
            <color indexed="81"/>
            <rFont val="細明體"/>
            <family val="3"/>
            <charset val="136"/>
          </rPr>
          <t xml:space="preserve">與 France換兩週六日
</t>
        </r>
      </text>
    </comment>
    <comment ref="AE26" authorId="2" shapeId="0" xr:uid="{6AD501A9-918B-4C1E-BEAA-8D617D83E146}">
      <text>
        <r>
          <rPr>
            <b/>
            <sz val="13"/>
            <color indexed="81"/>
            <rFont val="細明體"/>
            <family val="3"/>
            <charset val="136"/>
          </rPr>
          <t xml:space="preserve">與 France換兩週六日
</t>
        </r>
      </text>
    </comment>
    <comment ref="AN26" authorId="2" shapeId="0" xr:uid="{A9DCAF60-C54C-4AC3-9F8E-188570BEE21B}">
      <text>
        <r>
          <rPr>
            <b/>
            <sz val="12"/>
            <color indexed="81"/>
            <rFont val="細明體"/>
            <family val="3"/>
            <charset val="136"/>
          </rPr>
          <t>1改S</t>
        </r>
      </text>
    </comment>
    <comment ref="J27" authorId="2" shapeId="0" xr:uid="{D1647D24-BFFA-4B2A-BC15-96E8DF7C7232}">
      <text>
        <r>
          <rPr>
            <b/>
            <sz val="12"/>
            <color indexed="81"/>
            <rFont val="Tahoma"/>
            <family val="2"/>
          </rPr>
          <t xml:space="preserve">Dear sir: 
</t>
        </r>
        <r>
          <rPr>
            <b/>
            <sz val="12"/>
            <color indexed="81"/>
            <rFont val="細明體"/>
            <family val="3"/>
            <charset val="136"/>
          </rPr>
          <t>如排班允許請多排</t>
        </r>
        <r>
          <rPr>
            <b/>
            <sz val="12"/>
            <color indexed="81"/>
            <rFont val="Tahoma"/>
            <family val="2"/>
          </rPr>
          <t>3</t>
        </r>
        <r>
          <rPr>
            <b/>
            <sz val="12"/>
            <color indexed="81"/>
            <rFont val="細明體"/>
            <family val="3"/>
            <charset val="136"/>
          </rPr>
          <t xml:space="preserve">，謝謝。
</t>
        </r>
      </text>
    </comment>
    <comment ref="R27" authorId="2" shapeId="0" xr:uid="{647E0515-7877-45E1-9B72-F05C9D92AAC0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V27" authorId="2" shapeId="0" xr:uid="{AC8B4877-FC45-4E4E-B4E0-0D7812597092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W27" authorId="2" shapeId="0" xr:uid="{76DB5777-7571-4AF0-B378-A3928C02219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與</t>
        </r>
        <r>
          <rPr>
            <b/>
            <sz val="11"/>
            <color indexed="81"/>
            <rFont val="Tahoma"/>
            <family val="2"/>
          </rPr>
          <t>Glenn Lin</t>
        </r>
        <r>
          <rPr>
            <b/>
            <sz val="11"/>
            <color indexed="81"/>
            <rFont val="細明體"/>
            <family val="3"/>
            <charset val="136"/>
          </rPr>
          <t>換週。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27" authorId="2" shapeId="0" xr:uid="{E561711A-26CB-454C-938A-281DC938C1CC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與</t>
        </r>
        <r>
          <rPr>
            <b/>
            <sz val="11"/>
            <color indexed="81"/>
            <rFont val="Tahoma"/>
            <family val="2"/>
          </rPr>
          <t>Glenn Lin</t>
        </r>
        <r>
          <rPr>
            <b/>
            <sz val="11"/>
            <color indexed="81"/>
            <rFont val="細明體"/>
            <family val="3"/>
            <charset val="136"/>
          </rPr>
          <t>換週。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7" authorId="2" shapeId="0" xr:uid="{A9CAD038-3504-4EAF-8A56-4A3029D07BF6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G27" authorId="2" shapeId="0" xr:uid="{6ABDE330-EEAF-498F-B271-756EF4135D33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J27" authorId="2" shapeId="0" xr:uid="{EA82F59B-1F14-4786-80C0-0A50639FE972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J28" authorId="2" shapeId="0" xr:uid="{A2B01842-B20B-470A-8BC7-2C767F6B34A7}">
      <text>
        <r>
          <rPr>
            <b/>
            <sz val="13"/>
            <color indexed="81"/>
            <rFont val="Tahoma"/>
            <family val="2"/>
          </rPr>
          <t xml:space="preserve">Dear sir: 
</t>
        </r>
        <r>
          <rPr>
            <b/>
            <sz val="13"/>
            <color indexed="81"/>
            <rFont val="細明體"/>
            <family val="3"/>
            <charset val="136"/>
          </rPr>
          <t>如排班允許請多排</t>
        </r>
        <r>
          <rPr>
            <b/>
            <sz val="13"/>
            <color indexed="81"/>
            <rFont val="Tahoma"/>
            <family val="2"/>
          </rPr>
          <t>3</t>
        </r>
        <r>
          <rPr>
            <b/>
            <sz val="13"/>
            <color indexed="81"/>
            <rFont val="細明體"/>
            <family val="3"/>
            <charset val="136"/>
          </rPr>
          <t xml:space="preserve">，謝謝。
</t>
        </r>
      </text>
    </comment>
    <comment ref="L28" authorId="2" shapeId="0" xr:uid="{43DDB107-F7BB-4BBD-A064-EFD25554671B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帶家人回診，請排3 or X，謝謝
</t>
        </r>
      </text>
    </comment>
    <comment ref="P28" authorId="2" shapeId="0" xr:uid="{B4D91AF2-EB16-4C46-BF0C-77AA8A111759}">
      <text>
        <r>
          <rPr>
            <b/>
            <sz val="12"/>
            <color indexed="81"/>
            <rFont val="Tahoma"/>
            <family val="2"/>
          </rPr>
          <t xml:space="preserve">Dear Jason Sir,
</t>
        </r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Jimmy</t>
        </r>
        <r>
          <rPr>
            <b/>
            <sz val="12"/>
            <color indexed="81"/>
            <rFont val="細明體"/>
            <family val="3"/>
            <charset val="136"/>
          </rPr>
          <t>換週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8" authorId="2" shapeId="0" xr:uid="{F53E8374-D517-4434-B16A-EDD328A0704A}">
      <text>
        <r>
          <rPr>
            <b/>
            <sz val="12"/>
            <color indexed="81"/>
            <rFont val="Tahoma"/>
            <family val="2"/>
          </rPr>
          <t xml:space="preserve">Dear Jason Sir,
</t>
        </r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Jimmy</t>
        </r>
        <r>
          <rPr>
            <b/>
            <sz val="12"/>
            <color indexed="81"/>
            <rFont val="細明體"/>
            <family val="3"/>
            <charset val="136"/>
          </rPr>
          <t>換週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8" authorId="2" shapeId="0" xr:uid="{78539B53-8C25-4CAC-BB29-9E1D8711A6D4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帶家人回診，請排3 or X，謝謝
</t>
        </r>
      </text>
    </comment>
    <comment ref="Z28" authorId="2" shapeId="0" xr:uid="{D32C74B7-9B96-4A75-A7DB-CF94FCA78048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帶家人回診，請排3 or X，謝謝
</t>
        </r>
      </text>
    </comment>
    <comment ref="AG28" authorId="2" shapeId="0" xr:uid="{34245FB9-1D4D-46EE-B44C-A5A9A7931EB1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帶家人回診，請排3 or X，謝謝
</t>
        </r>
      </text>
    </comment>
    <comment ref="AN28" authorId="2" shapeId="0" xr:uid="{39F2AEA4-C6DC-4942-8B01-E3635DDA4709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帶家人回診，請排3 or X，謝謝
</t>
        </r>
      </text>
    </comment>
    <comment ref="O29" authorId="2" shapeId="0" xr:uid="{0FE3F326-CAC8-48FC-8730-2A38D4476E6D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S29" authorId="2" shapeId="0" xr:uid="{298303D3-0AD2-4441-BA84-DCEA9C1EEF73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若排班許可，請幫我排"2"or"1"，謝謝。
</t>
        </r>
      </text>
    </comment>
    <comment ref="V29" authorId="2" shapeId="0" xr:uid="{AB067F08-84B1-469D-BA78-4387691AED68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若排班許可，請幫我排"2"or"1"，謝謝。
</t>
        </r>
      </text>
    </comment>
    <comment ref="AC29" authorId="2" shapeId="0" xr:uid="{8849145A-A745-46B0-9092-2593CD34AE79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J29" authorId="2" shapeId="0" xr:uid="{7210F495-6127-4AE0-98D4-F0BAB1C77C6D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若排班許可，請幫我排"2"or"1"，謝謝。
</t>
        </r>
      </text>
    </comment>
    <comment ref="O30" authorId="2" shapeId="0" xr:uid="{13B99E48-C6EF-4300-8D7F-4111C773E254}">
      <text>
        <r>
          <rPr>
            <b/>
            <sz val="9"/>
            <color indexed="81"/>
            <rFont val="細明體"/>
            <family val="3"/>
            <charset val="136"/>
          </rPr>
          <t xml:space="preserve">喪假
</t>
        </r>
      </text>
    </comment>
    <comment ref="AH31" authorId="2" shapeId="0" xr:uid="{54CF7597-E47F-45B6-94F6-E936BED91AA4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
請幫我排"2"
謝謝。
</t>
        </r>
      </text>
    </comment>
    <comment ref="AI31" authorId="2" shapeId="0" xr:uid="{12F685B7-305A-4457-92C8-121F8C272112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
請幫我排"2"
謝謝。
</t>
        </r>
      </text>
    </comment>
    <comment ref="AM31" authorId="2" shapeId="0" xr:uid="{C0A1A9CA-7964-4E63-B445-8ACB0FE0AA3E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
請幫我排"2"
謝謝。
</t>
        </r>
      </text>
    </comment>
    <comment ref="W32" authorId="2" shapeId="0" xr:uid="{5EEEE4B4-646F-4DB2-AFEB-2B977B776D93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2" authorId="2" shapeId="0" xr:uid="{CA212AF6-5EF5-40F4-9BC5-0B1DBF7D59BF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32" authorId="2" shapeId="0" xr:uid="{FC73FD60-0A27-4ED5-BB8F-74F5DA396893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32" authorId="2" shapeId="0" xr:uid="{D6EF6E64-09D8-4034-9DAA-6700D50BB8B1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3" authorId="2" shapeId="0" xr:uid="{B3A5EC17-646A-46AF-969D-860225BEA8B7}">
      <text>
        <r>
          <rPr>
            <b/>
            <sz val="16"/>
            <color indexed="81"/>
            <rFont val="新細明體"/>
            <family val="1"/>
            <charset val="136"/>
          </rPr>
          <t>Dear Jason:
若排班方便請排"中"，謝謝。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U33" authorId="2" shapeId="0" xr:uid="{1DE19B41-37DA-400F-9601-856EA0A206EB}">
      <text>
        <r>
          <rPr>
            <b/>
            <sz val="16"/>
            <color indexed="81"/>
            <rFont val="新細明體"/>
            <family val="1"/>
            <charset val="136"/>
          </rPr>
          <t>Dear Jason:
若排班方便請排"中"，謝謝。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J33" authorId="2" shapeId="0" xr:uid="{2C29FDCA-9312-49B6-91ED-9BF98A145B40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Dear sir
如果排班方便，請幫我排"晚"，謝謝。
</t>
        </r>
      </text>
    </comment>
    <comment ref="AK33" authorId="2" shapeId="0" xr:uid="{A34322B0-400F-4066-838E-F06B614C8723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Dear sir
如果排班方便，請幫我排"晚"，謝謝。
</t>
        </r>
      </text>
    </comment>
    <comment ref="AL33" authorId="2" shapeId="0" xr:uid="{EB8B64F5-CDBC-4A0F-887C-61262D767C4A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Dear sir
如果排班方便，請幫我排"晚"，謝謝。
</t>
        </r>
      </text>
    </comment>
    <comment ref="AM33" authorId="2" shapeId="0" xr:uid="{FD6E39DE-13E9-4125-9F52-1C3A8EE151D5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Dear sir
如果排班方便，請幫我排"晚"，謝謝。
</t>
        </r>
      </text>
    </comment>
    <comment ref="J34" authorId="2" shapeId="0" xr:uid="{A5BAF759-9506-4D37-880D-9EFF6E11868B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1.如果排班方便，因為接送小孩，請多排中班或2，謝謝。
2.如果排班方便，因為接送小孩，如有大夜請排在例假日沒有上課時，謝謝。</t>
        </r>
        <r>
          <rPr>
            <sz val="14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S34" authorId="2" shapeId="0" xr:uid="{A2FA1BEA-69C1-4B7C-BADA-8CD431B2BF3B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Sir,
如果排班方便，請排中班，謝謝。
</t>
        </r>
      </text>
    </comment>
    <comment ref="U34" authorId="2" shapeId="0" xr:uid="{16E7DEC7-12EB-4C3C-AC7E-D409453A321A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AC34" authorId="2" shapeId="0" xr:uid="{B88ACAD7-3F8D-4A08-91A5-900AC9C3AC70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Dear Sir,
如果排班方便，請排中班，謝謝。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34" authorId="2" shapeId="0" xr:uid="{47558343-794B-49F7-828E-3FF836FFEC63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Dear Sir,
如果排班方便，請排中班，謝謝。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34" authorId="2" shapeId="0" xr:uid="{23B6EEFD-5F43-455A-B8FD-755DC712D2CC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Dear Sir,
如果排班方便，請排中班，謝謝。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34" authorId="2" shapeId="0" xr:uid="{97A29D8C-7B28-4101-9661-C40667EE19C0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Sir,
如果排班方便，請排中班，謝謝。
</t>
        </r>
      </text>
    </comment>
    <comment ref="AK34" authorId="2" shapeId="0" xr:uid="{B3CCA60B-C8C7-48FC-9A8A-5FE5D2C7FB24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員旅
</t>
        </r>
      </text>
    </comment>
    <comment ref="AN34" authorId="2" shapeId="0" xr:uid="{B0D67B06-EB41-45F5-867E-DBFD893BBED9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員旅
</t>
        </r>
      </text>
    </comment>
    <comment ref="J35" authorId="4" shapeId="0" xr:uid="{37555F5D-B307-4654-BB70-3A2A41A1EC79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admin:
admin:
</t>
        </r>
      </text>
    </comment>
    <comment ref="S36" authorId="2" shapeId="0" xr:uid="{B8715D72-04F1-4626-89B3-0ABBC2B072C9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B36" authorId="2" shapeId="0" xr:uid="{1233419F-2A53-4D74-BB18-C2689F8AF017}">
      <text>
        <r>
          <rPr>
            <b/>
            <sz val="14"/>
            <color indexed="81"/>
            <rFont val="Tahoma"/>
            <family val="2"/>
          </rPr>
          <t xml:space="preserve">Hi NOC </t>
        </r>
        <r>
          <rPr>
            <b/>
            <sz val="14"/>
            <color indexed="81"/>
            <rFont val="細明體"/>
            <family val="3"/>
            <charset val="136"/>
          </rPr>
          <t xml:space="preserve">專案(CR通報/TX結案)
</t>
        </r>
      </text>
    </comment>
    <comment ref="AF36" authorId="2" shapeId="0" xr:uid="{54C3EC52-16FB-423A-AC2B-2F6B0C05A702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K37" authorId="2" shapeId="0" xr:uid="{8D70309E-EAA2-43FF-A5A6-E6C692A0236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L37" authorId="2" shapeId="0" xr:uid="{C87BBDE1-D78A-4337-89D3-8F017F817D6B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O37" authorId="2" shapeId="0" xr:uid="{40D2B723-3890-496A-B97B-5E6E3331D40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P37" authorId="2" shapeId="0" xr:uid="{0F023D76-2A79-48A6-AB34-90C075D1B827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Q37" authorId="2" shapeId="0" xr:uid="{E58CF912-82AF-4D22-B462-AD0348C37701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R37" authorId="2" shapeId="0" xr:uid="{6CD05A8E-2E47-4703-A7B6-A95C0630433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U37" authorId="2" shapeId="0" xr:uid="{D8B44D0F-57FE-4E41-BC8E-62118ACC09E4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V37" authorId="2" shapeId="0" xr:uid="{F8CD0949-E1AE-4FC7-A000-972F39EB7A04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Sir,
如果排班方便，請排中班，謝謝。
</t>
        </r>
      </text>
    </comment>
    <comment ref="Y37" authorId="2" shapeId="0" xr:uid="{7763D408-060C-43FE-9A7F-D2C1E8BC111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Z37" authorId="2" shapeId="0" xr:uid="{AD5F16AA-9CC7-403C-93A7-88D7E33CB89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37" authorId="2" shapeId="0" xr:uid="{55674ADA-56DB-43B2-A5BC-AAC60B9A2D07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D37" authorId="2" shapeId="0" xr:uid="{4B87124D-57EA-46B0-857F-A6C366C46BD8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E37" authorId="2" shapeId="0" xr:uid="{B05B962B-7133-40C7-AB76-426DE8E918F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F37" authorId="2" shapeId="0" xr:uid="{5AACA5F2-9C40-4BBC-9679-F7DAE7E5921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I37" authorId="2" shapeId="0" xr:uid="{B9BCC7F4-E2D8-4A54-B463-DDAEBEC2420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J37" authorId="2" shapeId="0" xr:uid="{714138CD-C153-4D4D-9A29-60B6D9D50432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J38" authorId="2" shapeId="0" xr:uid="{48F67D65-168D-4961-A3D0-3A14DAAA6B21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若班表允許請幫我多排"晚"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8" authorId="2" shapeId="0" xr:uid="{DC1010A1-CB66-41C7-B310-80FD9292914D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O38" authorId="2" shapeId="0" xr:uid="{206A8578-01A3-4049-83E0-151FB3F56C55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P38" authorId="2" shapeId="0" xr:uid="{7843EEE0-01DE-4687-90A6-891F83BFD032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Q38" authorId="2" shapeId="0" xr:uid="{E4E5AC8B-83AD-4883-8CD1-0A7B2C2E466A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R38" authorId="2" shapeId="0" xr:uid="{46DC9855-DA8F-4259-80C0-95B0A5A09F71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Z38" authorId="2" shapeId="0" xr:uid="{37606FEB-532F-4F54-8D8D-BBD2AC996A71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A38" authorId="2" shapeId="0" xr:uid="{1387DE6E-441A-4F41-B434-A4E84588FEF8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C38" authorId="2" shapeId="0" xr:uid="{F0A71736-C4F1-4290-AB34-35CA019A8251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D38" authorId="2" shapeId="0" xr:uid="{3C2895BC-34BC-4905-B342-882419BF86C5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E38" authorId="2" shapeId="0" xr:uid="{4EDD2541-671A-4175-A3CA-9CB2F95481F3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F38" authorId="2" shapeId="0" xr:uid="{0A9CFA94-039F-410C-A415-BCF775D95B7E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I38" authorId="2" shapeId="0" xr:uid="{41980383-CC41-43A2-891D-CF107131E3FA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M38" authorId="2" shapeId="0" xr:uid="{EED9F335-C3C1-47D9-80A7-5FFCC7F05CF8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N38" authorId="2" shapeId="0" xr:uid="{F1C279A4-E4EA-4458-B883-2F01764E0C2B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A39" authorId="2" shapeId="0" xr:uid="{816E8634-D84C-4870-BAA6-6A8728F4E47A}">
      <text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AB39" authorId="2" shapeId="0" xr:uid="{E192ED36-AB76-4559-A3FF-5E986552378E}">
      <text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AF39" authorId="2" shapeId="0" xr:uid="{AA3414A5-002F-41BF-8E2B-2B5178B736EE}">
      <text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AG39" authorId="2" shapeId="0" xr:uid="{7301F2A7-BAF3-4B65-9D51-24953C712255}">
      <text>
        <r>
          <rPr>
            <b/>
            <sz val="9"/>
            <color indexed="81"/>
            <rFont val="細明體"/>
            <family val="3"/>
            <charset val="136"/>
          </rPr>
          <t xml:space="preserve">公司體檢
</t>
        </r>
      </text>
    </comment>
    <comment ref="AI39" authorId="2" shapeId="0" xr:uid="{03F009CE-F583-48AB-ABE4-FED097A9D10C}">
      <text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AJ39" authorId="2" shapeId="0" xr:uid="{10723B02-AD59-4478-B319-75CE672EB38C}">
      <text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AM39" authorId="2" shapeId="0" xr:uid="{2165A599-191F-4D68-B827-B1817A15079A}">
      <text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AN39" authorId="2" shapeId="0" xr:uid="{28366FE9-92AD-47E4-AA56-E6CB576CC88B}">
      <text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J40" authorId="2" shapeId="0" xr:uid="{597AFD13-E1B5-4502-B90E-F0C5E1C7517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多上小夜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不上大夜
</t>
        </r>
      </text>
    </comment>
    <comment ref="AJ40" authorId="2" shapeId="0" xr:uid="{8C2D1DA8-B12C-498B-9621-FF46EB71898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健檢請幫忙排</t>
        </r>
        <r>
          <rPr>
            <sz val="9"/>
            <color indexed="81"/>
            <rFont val="Tahoma"/>
            <family val="2"/>
          </rPr>
          <t>N</t>
        </r>
        <r>
          <rPr>
            <sz val="9"/>
            <color indexed="81"/>
            <rFont val="細明體"/>
            <family val="3"/>
            <charset val="136"/>
          </rPr>
          <t xml:space="preserve">班
</t>
        </r>
      </text>
    </comment>
    <comment ref="R41" authorId="2" shapeId="0" xr:uid="{7CE37F05-E05E-4133-A40F-C047A3E22C5F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Y41" authorId="2" shapeId="0" xr:uid="{4CD110AF-1374-48E2-B644-72317762544F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F41" authorId="2" shapeId="0" xr:uid="{CF51BC5D-7865-4CDD-A7B9-AB782D50A9F1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M41" authorId="2" shapeId="0" xr:uid="{195477E8-A345-4CDF-B227-971B1AAC9815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N41" authorId="2" shapeId="0" xr:uid="{F601D432-A1CB-473F-B7C5-8B12BDC77A4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健檢請幫忙排</t>
        </r>
        <r>
          <rPr>
            <sz val="9"/>
            <color indexed="81"/>
            <rFont val="Tahoma"/>
            <family val="2"/>
          </rPr>
          <t>N</t>
        </r>
        <r>
          <rPr>
            <sz val="9"/>
            <color indexed="81"/>
            <rFont val="細明體"/>
            <family val="3"/>
            <charset val="136"/>
          </rPr>
          <t xml:space="preserve">班
</t>
        </r>
      </text>
    </comment>
    <comment ref="P43" authorId="2" shapeId="0" xr:uid="{37E14DB7-1CEB-4910-B564-839CB78D0ED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有事需上大夜
</t>
        </r>
      </text>
    </comment>
    <comment ref="Q43" authorId="2" shapeId="0" xr:uid="{25DB6503-32D3-4E2A-BE96-5067109BBF5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有事需上大夜
</t>
        </r>
      </text>
    </comment>
    <comment ref="V43" authorId="2" shapeId="0" xr:uid="{155F1C0C-31D6-4272-A836-85A024A4C15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晚上看醫生，請不要排中班。
</t>
        </r>
      </text>
    </comment>
    <comment ref="AF44" authorId="2" shapeId="0" xr:uid="{A8910E12-3BEC-43BA-9399-DB06BC2F80C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公司體檢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請幫忙安排正常班或是小夜班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admin</author>
    <author>Jason Hsu</author>
    <author>Admin</author>
    <author>Jiang, Tony 江宇東 (598753)</author>
    <author>User</author>
  </authors>
  <commentList>
    <comment ref="G2" authorId="0" shapeId="0" xr:uid="{B60BC405-259C-4A09-A078-3EA563CD1768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" authorId="0" shapeId="0" xr:uid="{B6EC2F19-8302-4390-8495-22AD89951F97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K4" authorId="1" shapeId="0" xr:uid="{BD0DFBC8-EC0D-41D9-B233-67D85A996688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W4" authorId="1" shapeId="0" xr:uid="{FA1F6A6A-ED6A-4B29-82CA-21CC1F8EEB86}">
      <text>
        <r>
          <rPr>
            <b/>
            <sz val="22"/>
            <color indexed="81"/>
            <rFont val="細明體"/>
            <family val="3"/>
            <charset val="136"/>
          </rPr>
          <t xml:space="preserve">病假
</t>
        </r>
      </text>
    </comment>
    <comment ref="P5" authorId="1" shapeId="0" xr:uid="{F5694B8C-5396-46B5-A0E5-12F921AF10C4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K5" authorId="1" shapeId="0" xr:uid="{0666AB29-5DFB-4F2C-AA68-261DE3E1A88C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L6" authorId="2" shapeId="0" xr:uid="{8214B481-3122-49AE-B523-06124641DA17}">
      <text>
        <r>
          <rPr>
            <sz val="9"/>
            <color indexed="81"/>
            <rFont val="Tahoma"/>
            <family val="2"/>
          </rPr>
          <t xml:space="preserve">新人教育訓練講師
</t>
        </r>
      </text>
    </comment>
    <comment ref="M6" authorId="1" shapeId="0" xr:uid="{CC65A243-00EA-479C-B969-6B19A748BBEF}">
      <text>
        <r>
          <rPr>
            <b/>
            <sz val="16"/>
            <color indexed="81"/>
            <rFont val="細明體"/>
            <family val="3"/>
            <charset val="136"/>
          </rPr>
          <t xml:space="preserve">衝特休7/15 end
</t>
        </r>
      </text>
    </comment>
    <comment ref="N6" authorId="1" shapeId="0" xr:uid="{5F4B8C01-4D7E-456E-8C06-1FDE17F9DF49}">
      <text>
        <r>
          <rPr>
            <b/>
            <sz val="16"/>
            <color indexed="81"/>
            <rFont val="細明體"/>
            <family val="3"/>
            <charset val="136"/>
          </rPr>
          <t xml:space="preserve">衝特休7/15 end
</t>
        </r>
      </text>
    </comment>
    <comment ref="Q6" authorId="2" shapeId="0" xr:uid="{6F5AC926-3089-4ABD-BEDE-1A77CAC25BF3}">
      <text>
        <r>
          <rPr>
            <sz val="9"/>
            <color indexed="81"/>
            <rFont val="Tahoma"/>
            <family val="2"/>
          </rPr>
          <t xml:space="preserve">新人教育訓練講師
</t>
        </r>
      </text>
    </comment>
    <comment ref="R6" authorId="2" shapeId="0" xr:uid="{3CD709B2-9139-47A9-ABE2-B852D00C3E57}">
      <text>
        <r>
          <rPr>
            <sz val="9"/>
            <color indexed="81"/>
            <rFont val="Tahoma"/>
            <family val="2"/>
          </rPr>
          <t xml:space="preserve">新人教育訓練講師
</t>
        </r>
      </text>
    </comment>
    <comment ref="S6" authorId="1" shapeId="0" xr:uid="{22615884-3CFB-44E2-8AE1-BE21AB977F3F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NOC_工單結案專案
</t>
        </r>
      </text>
    </comment>
    <comment ref="T6" authorId="2" shapeId="0" xr:uid="{2D6506A0-1D2E-45D3-B73B-DDBE7C907AFF}">
      <text>
        <r>
          <rPr>
            <sz val="9"/>
            <color indexed="81"/>
            <rFont val="Tahoma"/>
            <family val="2"/>
          </rPr>
          <t xml:space="preserve">新人教育訓練講師
</t>
        </r>
      </text>
    </comment>
    <comment ref="Y6" authorId="1" shapeId="0" xr:uid="{523E8FCA-AC7C-4C1E-B17D-5CDB85797DC5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NOC_CR通報專案
</t>
        </r>
      </text>
    </comment>
    <comment ref="AB6" authorId="2" shapeId="0" xr:uid="{38076562-BE8B-4249-AAC0-ED175C6AE71C}">
      <text>
        <r>
          <rPr>
            <sz val="9"/>
            <color indexed="81"/>
            <rFont val="Tahoma"/>
            <family val="2"/>
          </rPr>
          <t xml:space="preserve">新人教育訓練講師 Q&amp;A
</t>
        </r>
      </text>
    </comment>
    <comment ref="AI6" authorId="2" shapeId="0" xr:uid="{4D48E577-AF4B-4982-A56E-5F43EC141772}">
      <text>
        <r>
          <rPr>
            <sz val="9"/>
            <color indexed="81"/>
            <rFont val="Tahoma"/>
            <family val="2"/>
          </rPr>
          <t xml:space="preserve">新人教育訓練講師 Q&amp;A
</t>
        </r>
      </text>
    </comment>
    <comment ref="AP6" authorId="2" shapeId="0" xr:uid="{F0C2A01E-A7B8-451B-A0EF-EB4511364273}">
      <text>
        <r>
          <rPr>
            <sz val="9"/>
            <color indexed="81"/>
            <rFont val="Tahoma"/>
            <family val="2"/>
          </rPr>
          <t xml:space="preserve">新人教育訓練講師 Q&amp;A
</t>
        </r>
      </text>
    </comment>
    <comment ref="K7" authorId="1" shapeId="0" xr:uid="{766B41D5-4E9A-45E6-B00F-CDCCFEAE4884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L7" authorId="2" shapeId="0" xr:uid="{99D0EC23-6967-4450-AF47-BE372FF5B7AB}">
      <text>
        <r>
          <rPr>
            <b/>
            <sz val="12"/>
            <color indexed="81"/>
            <rFont val="Tahoma"/>
            <family val="2"/>
          </rPr>
          <t xml:space="preserve"> TSE-1 台灣側-教育訓練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7" authorId="2" shapeId="0" xr:uid="{DC5E583D-0416-45C7-887A-FEC5648138A4}">
      <text>
        <r>
          <rPr>
            <b/>
            <sz val="12"/>
            <color indexed="81"/>
            <rFont val="Tahoma"/>
            <family val="2"/>
          </rPr>
          <t xml:space="preserve"> TSE-1 台灣側-教育訓練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7" authorId="2" shapeId="0" xr:uid="{24291FE1-43A1-4BEC-BF55-4EA2DE33CAA9}">
      <text>
        <r>
          <rPr>
            <b/>
            <sz val="12"/>
            <color indexed="81"/>
            <rFont val="Tahoma"/>
            <family val="2"/>
          </rPr>
          <t xml:space="preserve"> TSE-1 台灣側-教育訓練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7" authorId="1" shapeId="0" xr:uid="{2C1F70E7-9840-4C73-84B9-89096234BD9F}">
      <text>
        <r>
          <rPr>
            <b/>
            <sz val="14"/>
            <color indexed="81"/>
            <rFont val="細明體"/>
            <family val="3"/>
            <charset val="136"/>
          </rPr>
          <t xml:space="preserve">OP Report
</t>
        </r>
      </text>
    </comment>
    <comment ref="Q8" authorId="1" shapeId="0" xr:uid="{A9BA5175-B6C3-4CA1-8F0F-E7BAEA578BC1}">
      <text>
        <r>
          <rPr>
            <b/>
            <sz val="9"/>
            <color indexed="81"/>
            <rFont val="細明體"/>
            <family val="3"/>
            <charset val="136"/>
          </rPr>
          <t xml:space="preserve">澎湖旅遊
</t>
        </r>
      </text>
    </comment>
    <comment ref="P9" authorId="1" shapeId="0" xr:uid="{491137BB-F4F3-468D-B541-A5681BA47284}">
      <text>
        <r>
          <rPr>
            <b/>
            <sz val="9"/>
            <color indexed="81"/>
            <rFont val="細明體"/>
            <family val="3"/>
            <charset val="136"/>
          </rPr>
          <t xml:space="preserve">澎湖旅遊
</t>
        </r>
      </text>
    </comment>
    <comment ref="Q9" authorId="1" shapeId="0" xr:uid="{510C91FF-D223-4527-BB64-6446D73252FF}">
      <text>
        <r>
          <rPr>
            <b/>
            <sz val="9"/>
            <color indexed="81"/>
            <rFont val="細明體"/>
            <family val="3"/>
            <charset val="136"/>
          </rPr>
          <t xml:space="preserve">澎湖旅遊
</t>
        </r>
      </text>
    </comment>
    <comment ref="R9" authorId="1" shapeId="0" xr:uid="{FD802A4D-091C-4590-A173-BC7B30304A43}">
      <text>
        <r>
          <rPr>
            <b/>
            <sz val="9"/>
            <color indexed="81"/>
            <rFont val="細明體"/>
            <family val="3"/>
            <charset val="136"/>
          </rPr>
          <t xml:space="preserve">澎湖旅遊
</t>
        </r>
      </text>
    </comment>
    <comment ref="S9" authorId="1" shapeId="0" xr:uid="{00582BA2-0080-40D7-9BE3-29C2B5A09F2A}">
      <text>
        <r>
          <rPr>
            <b/>
            <sz val="9"/>
            <color indexed="81"/>
            <rFont val="細明體"/>
            <family val="3"/>
            <charset val="136"/>
          </rPr>
          <t xml:space="preserve">澎湖旅遊
</t>
        </r>
      </text>
    </comment>
    <comment ref="T9" authorId="1" shapeId="0" xr:uid="{C3AFB8DE-EFDC-4FA0-8CCE-DFE31B40CA85}">
      <text>
        <r>
          <rPr>
            <b/>
            <sz val="9"/>
            <color indexed="81"/>
            <rFont val="細明體"/>
            <family val="3"/>
            <charset val="136"/>
          </rPr>
          <t xml:space="preserve">澎湖旅遊
</t>
        </r>
      </text>
    </comment>
    <comment ref="V9" authorId="1" shapeId="0" xr:uid="{FDDF7E3D-14F9-42BF-B572-853C9CC813CB}">
      <text>
        <r>
          <rPr>
            <sz val="16"/>
            <color indexed="81"/>
            <rFont val="Tahoma"/>
            <family val="2"/>
          </rPr>
          <t xml:space="preserve">Dear Jason:
</t>
        </r>
        <r>
          <rPr>
            <sz val="16"/>
            <color indexed="81"/>
            <rFont val="細明體"/>
            <family val="3"/>
            <charset val="136"/>
          </rPr>
          <t>早上從台中回台北，請排小夜或X…謝謝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Y9" authorId="1" shapeId="0" xr:uid="{517E2F9B-F843-441C-80D7-0A917281473F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NOC_CR通報專案
</t>
        </r>
      </text>
    </comment>
    <comment ref="AC9" authorId="1" shapeId="0" xr:uid="{D7F458C3-4DA9-45C1-A039-0E083AE05CD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AD9" authorId="1" shapeId="0" xr:uid="{6025B84D-0FAA-443D-8214-9E42C394EC94}">
      <text>
        <r>
          <rPr>
            <b/>
            <sz val="16"/>
            <color indexed="81"/>
            <rFont val="Tahoma"/>
            <family val="2"/>
          </rPr>
          <t xml:space="preserve">Dear Jason:
</t>
        </r>
        <r>
          <rPr>
            <b/>
            <sz val="16"/>
            <color indexed="81"/>
            <rFont val="細明體"/>
            <family val="3"/>
            <charset val="136"/>
          </rPr>
          <t>要參加公司籃球比賽要團練，排班允許的話，麻煩請排</t>
        </r>
        <r>
          <rPr>
            <b/>
            <sz val="16"/>
            <color indexed="81"/>
            <rFont val="Tahoma"/>
            <family val="2"/>
          </rPr>
          <t xml:space="preserve">"X"
</t>
        </r>
        <r>
          <rPr>
            <b/>
            <sz val="16"/>
            <color indexed="81"/>
            <rFont val="細明體"/>
            <family val="3"/>
            <charset val="136"/>
          </rPr>
          <t>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0" authorId="1" shapeId="0" xr:uid="{199DEC1A-1C67-4270-89A1-17173C0F43D5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Jason,
支援小夜大夜，但合計請勿超過"3"天
假日可以的話也請幫忙排早、1，謝謝。
</t>
        </r>
      </text>
    </comment>
    <comment ref="L10" authorId="1" shapeId="0" xr:uid="{ABEC3B28-FA17-49AE-8B41-E548AAC6972B}">
      <text>
        <r>
          <rPr>
            <b/>
            <sz val="14"/>
            <color indexed="81"/>
            <rFont val="細明體"/>
            <family val="3"/>
            <charset val="136"/>
          </rPr>
          <t>批判性思維</t>
        </r>
      </text>
    </comment>
    <comment ref="AA10" authorId="1" shapeId="0" xr:uid="{4BFD3D74-B076-4F40-8A86-CE0A216FD8A1}">
      <text>
        <r>
          <rPr>
            <b/>
            <sz val="14"/>
            <color indexed="81"/>
            <rFont val="細明體"/>
            <family val="3"/>
            <charset val="136"/>
          </rPr>
          <t>簡報力</t>
        </r>
        <r>
          <rPr>
            <b/>
            <sz val="14"/>
            <color indexed="81"/>
            <rFont val="Tahoma"/>
            <family val="2"/>
          </rPr>
          <t>UP_10</t>
        </r>
        <r>
          <rPr>
            <b/>
            <sz val="14"/>
            <color indexed="81"/>
            <rFont val="細明體"/>
            <family val="3"/>
            <charset val="136"/>
          </rPr>
          <t>個</t>
        </r>
        <r>
          <rPr>
            <b/>
            <sz val="14"/>
            <color indexed="81"/>
            <rFont val="Tahoma"/>
            <family val="2"/>
          </rPr>
          <t>PPT</t>
        </r>
        <r>
          <rPr>
            <b/>
            <sz val="14"/>
            <color indexed="81"/>
            <rFont val="細明體"/>
            <family val="3"/>
            <charset val="136"/>
          </rPr>
          <t>功能打造專業簡報</t>
        </r>
      </text>
    </comment>
    <comment ref="AL10" authorId="1" shapeId="0" xr:uid="{0E9EA8A4-E32D-4CEF-AFA5-CB3A73C27683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M10" authorId="1" shapeId="0" xr:uid="{CBF792EB-757B-4FA7-9C78-5A966BA61D4D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N10" authorId="1" shapeId="0" xr:uid="{F655FC2C-56B3-45F4-A4B9-A944A1F79B37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K11" authorId="1" shapeId="0" xr:uid="{DBC57AFC-F442-41B2-9DBA-4F8FF01FF55C}">
      <text>
        <r>
          <rPr>
            <b/>
            <sz val="12"/>
            <color indexed="81"/>
            <rFont val="Tahoma"/>
            <family val="2"/>
          </rPr>
          <t xml:space="preserve">Dear  Jason:
</t>
        </r>
        <r>
          <rPr>
            <b/>
            <sz val="12"/>
            <color indexed="81"/>
            <rFont val="細明體"/>
            <family val="3"/>
            <charset val="136"/>
          </rPr>
          <t>如果排班方便</t>
        </r>
        <r>
          <rPr>
            <b/>
            <sz val="12"/>
            <color indexed="81"/>
            <rFont val="Tahoma"/>
            <family val="2"/>
          </rPr>
          <t xml:space="preserve">,
</t>
        </r>
        <r>
          <rPr>
            <b/>
            <sz val="12"/>
            <color indexed="81"/>
            <rFont val="細明體"/>
            <family val="3"/>
            <charset val="136"/>
          </rPr>
          <t>週三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五及週日請排</t>
        </r>
        <r>
          <rPr>
            <b/>
            <sz val="12"/>
            <color indexed="81"/>
            <rFont val="Tahoma"/>
            <family val="2"/>
          </rPr>
          <t>1 (</t>
        </r>
        <r>
          <rPr>
            <b/>
            <sz val="12"/>
            <color indexed="81"/>
            <rFont val="細明體"/>
            <family val="3"/>
            <charset val="136"/>
          </rPr>
          <t>固定要上課</t>
        </r>
        <r>
          <rPr>
            <b/>
            <sz val="12"/>
            <color indexed="81"/>
            <rFont val="Tahoma"/>
            <family val="2"/>
          </rPr>
          <t>),</t>
        </r>
        <r>
          <rPr>
            <b/>
            <sz val="12"/>
            <color indexed="81"/>
            <rFont val="細明體"/>
            <family val="3"/>
            <charset val="136"/>
          </rPr>
          <t xml:space="preserve">感謝
</t>
        </r>
      </text>
    </comment>
    <comment ref="P11" authorId="1" shapeId="0" xr:uid="{C97E25D0-B72E-4887-A6ED-1EC53B72C73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AB11" authorId="1" shapeId="0" xr:uid="{CAE5C5DD-7923-4618-AB77-6F821F2568B8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AC11" authorId="1" shapeId="0" xr:uid="{65E4DEE1-F87A-48BD-A504-95ABA50EDA3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11" authorId="1" shapeId="0" xr:uid="{16635161-AC8E-48B3-8728-0B69F89A3F74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排班允許的話，麻煩請排"X"
謝謝
</t>
        </r>
      </text>
    </comment>
    <comment ref="AG11" authorId="1" shapeId="0" xr:uid="{9DD445C7-87C4-4C6C-9B4D-F89410D5225E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AI11" authorId="1" shapeId="0" xr:uid="{B55011E6-58A5-45DD-8BBA-CD3C7BB4506C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AP11" authorId="1" shapeId="0" xr:uid="{BAD863B0-BE2C-48C1-B41A-E321724D7642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S12" authorId="2" shapeId="0" xr:uid="{ED77DE07-71C0-4AAE-942F-FCDFFB7A9C8C}">
      <text>
        <r>
          <rPr>
            <sz val="9"/>
            <color indexed="81"/>
            <rFont val="Tahoma"/>
            <family val="2"/>
          </rPr>
          <t xml:space="preserve">新人教育訓練講師
</t>
        </r>
      </text>
    </comment>
    <comment ref="V12" authorId="1" shapeId="0" xr:uid="{ECDE9079-9456-44DB-928E-11A87176FD8F}">
      <text>
        <r>
          <rPr>
            <sz val="16"/>
            <color indexed="81"/>
            <rFont val="Tahoma"/>
            <family val="2"/>
          </rPr>
          <t xml:space="preserve">Dear Jason:
</t>
        </r>
        <r>
          <rPr>
            <sz val="16"/>
            <color indexed="81"/>
            <rFont val="細明體"/>
            <family val="3"/>
            <charset val="136"/>
          </rPr>
          <t>請排小夜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W12" authorId="1" shapeId="0" xr:uid="{DFD4EF17-8985-446B-85CA-F00E7F98E5B8}">
      <text>
        <r>
          <rPr>
            <sz val="16"/>
            <color indexed="81"/>
            <rFont val="Tahoma"/>
            <family val="2"/>
          </rPr>
          <t xml:space="preserve">Dear Jason:
</t>
        </r>
        <r>
          <rPr>
            <sz val="16"/>
            <color indexed="81"/>
            <rFont val="細明體"/>
            <family val="3"/>
            <charset val="136"/>
          </rPr>
          <t>請排小夜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O13" authorId="1" shapeId="0" xr:uid="{A7603B26-9166-4110-9303-157AD1ED8E10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Kevin Teng</t>
        </r>
        <r>
          <rPr>
            <b/>
            <sz val="12"/>
            <color indexed="81"/>
            <rFont val="細明體"/>
            <family val="3"/>
            <charset val="136"/>
          </rPr>
          <t>互換</t>
        </r>
        <r>
          <rPr>
            <b/>
            <sz val="12"/>
            <color indexed="81"/>
            <rFont val="Tahoma"/>
            <family val="2"/>
          </rPr>
          <t>1.2</t>
        </r>
        <r>
          <rPr>
            <b/>
            <sz val="12"/>
            <color indexed="81"/>
            <rFont val="細明體"/>
            <family val="3"/>
            <charset val="136"/>
          </rPr>
          <t xml:space="preserve">週
</t>
        </r>
      </text>
    </comment>
    <comment ref="P13" authorId="1" shapeId="0" xr:uid="{0C9C4C22-01CB-498D-8A1F-D637DCE69339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Kevin Teng</t>
        </r>
        <r>
          <rPr>
            <b/>
            <sz val="12"/>
            <color indexed="81"/>
            <rFont val="細明體"/>
            <family val="3"/>
            <charset val="136"/>
          </rPr>
          <t>互換</t>
        </r>
        <r>
          <rPr>
            <b/>
            <sz val="12"/>
            <color indexed="81"/>
            <rFont val="Tahoma"/>
            <family val="2"/>
          </rPr>
          <t>1.2</t>
        </r>
        <r>
          <rPr>
            <b/>
            <sz val="12"/>
            <color indexed="81"/>
            <rFont val="細明體"/>
            <family val="3"/>
            <charset val="136"/>
          </rPr>
          <t xml:space="preserve">週
</t>
        </r>
      </text>
    </comment>
    <comment ref="R13" authorId="1" shapeId="0" xr:uid="{6C3A4153-40A9-44B6-97F2-6D00BCEC50B9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A13" authorId="1" shapeId="0" xr:uid="{7D5803E2-7AFD-4990-A726-78521296F9F3}">
      <text>
        <r>
          <rPr>
            <b/>
            <sz val="14"/>
            <color indexed="81"/>
            <rFont val="Tahoma"/>
            <family val="2"/>
          </rPr>
          <t>HR</t>
        </r>
        <r>
          <rPr>
            <b/>
            <sz val="14"/>
            <color indexed="81"/>
            <rFont val="細明體"/>
            <family val="3"/>
            <charset val="136"/>
          </rPr>
          <t>教室課程</t>
        </r>
      </text>
    </comment>
    <comment ref="AC13" authorId="2" shapeId="0" xr:uid="{E44B9C56-4BEC-4AA7-9E0E-4879E6FCEA83}">
      <text>
        <r>
          <rPr>
            <b/>
            <sz val="9"/>
            <color indexed="81"/>
            <rFont val="Tahoma"/>
            <family val="2"/>
          </rPr>
          <t>Shift X</t>
        </r>
      </text>
    </comment>
    <comment ref="AF13" authorId="1" shapeId="0" xr:uid="{C75C11AB-D70C-4AAB-8D2A-CB804BFE69CF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M13" authorId="1" shapeId="0" xr:uid="{44EA53F4-1C39-41AD-B97A-1902974E899F}">
      <text>
        <r>
          <rPr>
            <b/>
            <sz val="14"/>
            <color indexed="81"/>
            <rFont val="Tahoma"/>
            <family val="2"/>
          </rPr>
          <t>HR</t>
        </r>
        <r>
          <rPr>
            <b/>
            <sz val="14"/>
            <color indexed="81"/>
            <rFont val="細明體"/>
            <family val="3"/>
            <charset val="136"/>
          </rPr>
          <t xml:space="preserve">教室課程
</t>
        </r>
      </text>
    </comment>
    <comment ref="K14" authorId="1" shapeId="0" xr:uid="{FAC2609D-A250-43EB-A383-342653CEE0EF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或"中"，謝謝
</t>
        </r>
      </text>
    </comment>
    <comment ref="O14" authorId="1" shapeId="0" xr:uid="{E5FBB6D9-76BA-48FC-B5C8-C59CC56B16A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P14" authorId="1" shapeId="0" xr:uid="{B6E78BCF-514D-4553-925E-DDF8D5953B0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R14" authorId="1" shapeId="0" xr:uid="{FDEDF8AB-0F47-4E38-9124-46B52928AE2F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S14" authorId="1" shapeId="0" xr:uid="{24FCACF7-276D-4A91-966D-DD4C456B58FD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NOC_工單結案專案
</t>
        </r>
      </text>
    </comment>
    <comment ref="T14" authorId="1" shapeId="0" xr:uid="{B3E84DC2-1C96-4280-821C-8389C47A217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4" authorId="1" shapeId="0" xr:uid="{511922E8-F242-4478-BD2E-A0B55FBFE23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W14" authorId="1" shapeId="0" xr:uid="{196111EB-EDD9-4ED2-AD7D-B1E93FF03AA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X14" authorId="1" shapeId="0" xr:uid="{542E4958-11A1-4B09-A000-73EA1F3FE10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4" authorId="1" shapeId="0" xr:uid="{C3893DF5-E21A-4DB7-AE91-FEBAB49C0E9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4" authorId="1" shapeId="0" xr:uid="{778EAD16-A6BD-4B14-8E14-2B6E6D3C5F7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D14" authorId="1" shapeId="0" xr:uid="{38B65E85-766B-41FA-BC1B-2A7A7584C01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F14" authorId="1" shapeId="0" xr:uid="{98DEEC93-4208-47E6-9032-008EBB99C20D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G14" authorId="1" shapeId="0" xr:uid="{47930F90-AFBF-4EA0-A56F-E2AC7DA1CEF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4" authorId="1" shapeId="0" xr:uid="{2DA98124-2DF0-45A3-B505-444125E2533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14" authorId="1" shapeId="0" xr:uid="{40449CDC-4917-46E8-89ED-0CF06D5034F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K14" authorId="1" shapeId="0" xr:uid="{AA9FF012-ECF8-43F1-AF61-86BD2CD19BE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L14" authorId="1" shapeId="0" xr:uid="{FFB09FB1-6767-4BF6-86BE-D685FE02DC9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4" authorId="1" shapeId="0" xr:uid="{AB69631B-A231-49C5-949A-4A2C49DE082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5" authorId="1" shapeId="0" xr:uid="{7184EDF9-78B2-459E-A24F-20E9DDC6189D}">
      <text/>
    </comment>
    <comment ref="N15" authorId="1" shapeId="0" xr:uid="{0D788A11-F227-456A-8C05-A9240D864A84}">
      <text>
        <r>
          <rPr>
            <b/>
            <sz val="14"/>
            <color indexed="81"/>
            <rFont val="Tahoma"/>
            <family val="2"/>
          </rPr>
          <t xml:space="preserve">ETSC Dark Fiber Coding
</t>
        </r>
      </text>
    </comment>
    <comment ref="R15" authorId="1" shapeId="0" xr:uid="{0537C892-E43B-4B21-9FA1-46D54E7A4674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S15" authorId="1" shapeId="0" xr:uid="{A099F6AE-CE7E-4987-8E38-C5D3B78515A9}">
      <text>
        <r>
          <rPr>
            <b/>
            <sz val="14"/>
            <color indexed="81"/>
            <rFont val="Tahoma"/>
            <family val="2"/>
          </rPr>
          <t xml:space="preserve">ETSC Dark Fiber Coding
</t>
        </r>
        <r>
          <rPr>
            <b/>
            <sz val="14"/>
            <color indexed="81"/>
            <rFont val="細明體"/>
            <family val="3"/>
            <charset val="136"/>
          </rPr>
          <t xml:space="preserve">下午HR 課程
</t>
        </r>
      </text>
    </comment>
    <comment ref="Z15" authorId="1" shapeId="0" xr:uid="{DDDB129B-19CB-4922-A707-77340C267C6C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F15" authorId="1" shapeId="0" xr:uid="{9A702040-BD36-48DE-80DC-E4929FD6C6B4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K16" authorId="3" shapeId="0" xr:uid="{E28FDE59-EE0C-4AE9-A365-2440B734466E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如果排班方便的話請多早或1，支援大夜與小夜，請各別排在同一周但不要假日，不要超過3天，謝謝
如果人力許可，請多排一個N
</t>
        </r>
      </text>
    </comment>
    <comment ref="L16" authorId="1" shapeId="0" xr:uid="{AD76B7E9-7FB2-4DA0-829F-0EB6625150E8}">
      <text>
        <r>
          <rPr>
            <b/>
            <sz val="14"/>
            <color indexed="81"/>
            <rFont val="Tahoma"/>
            <family val="2"/>
          </rPr>
          <t>HR</t>
        </r>
        <r>
          <rPr>
            <b/>
            <sz val="14"/>
            <color indexed="81"/>
            <rFont val="細明體"/>
            <family val="3"/>
            <charset val="136"/>
          </rPr>
          <t xml:space="preserve">教室課程
</t>
        </r>
      </text>
    </comment>
    <comment ref="M16" authorId="2" shapeId="0" xr:uid="{0AF5F51C-4423-4169-A94F-3500D314E9B6}">
      <text>
        <r>
          <rPr>
            <sz val="9"/>
            <color indexed="81"/>
            <rFont val="Tahoma"/>
            <family val="2"/>
          </rPr>
          <t xml:space="preserve">新人教育訓練講師
</t>
        </r>
      </text>
    </comment>
    <comment ref="N16" authorId="2" shapeId="0" xr:uid="{C9BA6245-491D-4927-BF70-FEA60CB4A601}">
      <text>
        <r>
          <rPr>
            <sz val="9"/>
            <color indexed="81"/>
            <rFont val="Tahoma"/>
            <family val="2"/>
          </rPr>
          <t xml:space="preserve">新人教育訓練講師
</t>
        </r>
      </text>
    </comment>
    <comment ref="P16" authorId="1" shapeId="0" xr:uid="{D483E4F8-E7EC-4D7E-A658-E2C6805DA192}">
      <text>
        <r>
          <rPr>
            <b/>
            <sz val="16"/>
            <color indexed="81"/>
            <rFont val="細明體"/>
            <family val="3"/>
            <charset val="136"/>
          </rPr>
          <t xml:space="preserve">衝特休7/15 end
原M1
</t>
        </r>
      </text>
    </comment>
    <comment ref="Q16" authorId="1" shapeId="0" xr:uid="{F7FA0D04-8766-46FB-A40D-E56EE5260FF3}">
      <text>
        <r>
          <rPr>
            <b/>
            <sz val="16"/>
            <color indexed="81"/>
            <rFont val="細明體"/>
            <family val="3"/>
            <charset val="136"/>
          </rPr>
          <t xml:space="preserve">衝特休7/15 end
</t>
        </r>
      </text>
    </comment>
    <comment ref="S16" authorId="1" shapeId="0" xr:uid="{5B06EFCD-9C59-46BC-86F1-6E5ADE36AD8A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NOC_工單結案專案
</t>
        </r>
      </text>
    </comment>
    <comment ref="T16" authorId="1" shapeId="0" xr:uid="{87BEFD5D-DDAA-44B2-8F0E-1F00AD82777C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</t>
        </r>
      </text>
    </comment>
    <comment ref="Y16" authorId="1" shapeId="0" xr:uid="{10F31849-99FA-4427-8263-2D40228A4E07}">
      <text>
        <r>
          <rPr>
            <b/>
            <sz val="16"/>
            <color indexed="81"/>
            <rFont val="細明體"/>
            <family val="3"/>
            <charset val="136"/>
          </rPr>
          <t xml:space="preserve">衝特休7/15 end
原M1
</t>
        </r>
      </text>
    </comment>
    <comment ref="Z16" authorId="1" shapeId="0" xr:uid="{42A5F6EF-8DB2-4986-B16F-B2CD8056AA59}">
      <text>
        <r>
          <rPr>
            <b/>
            <sz val="16"/>
            <color indexed="81"/>
            <rFont val="細明體"/>
            <family val="3"/>
            <charset val="136"/>
          </rPr>
          <t xml:space="preserve">衝特休7/15 end
</t>
        </r>
      </text>
    </comment>
    <comment ref="AA16" authorId="1" shapeId="0" xr:uid="{311313E8-6CF2-4852-A454-B5BBCC009314}">
      <text>
        <r>
          <rPr>
            <b/>
            <sz val="14"/>
            <color indexed="81"/>
            <rFont val="Tahoma"/>
            <family val="2"/>
          </rPr>
          <t xml:space="preserve">SDI 3 Operation and Administration Training
</t>
        </r>
      </text>
    </comment>
    <comment ref="AB16" authorId="1" shapeId="0" xr:uid="{40823DFF-F64D-4D5F-BC29-D44712B307C3}">
      <text>
        <r>
          <rPr>
            <b/>
            <sz val="14"/>
            <color indexed="81"/>
            <rFont val="Tahoma"/>
            <family val="2"/>
          </rPr>
          <t xml:space="preserve">SDI 3 Operation and Administration Training
</t>
        </r>
      </text>
    </comment>
    <comment ref="AD16" authorId="1" shapeId="0" xr:uid="{AD0702C8-B40E-4094-897E-7B9EBC2B9640}">
      <text>
        <r>
          <rPr>
            <b/>
            <sz val="16"/>
            <color indexed="81"/>
            <rFont val="細明體"/>
            <family val="3"/>
            <charset val="136"/>
          </rPr>
          <t xml:space="preserve">出遊
</t>
        </r>
      </text>
    </comment>
    <comment ref="AG16" authorId="1" shapeId="0" xr:uid="{AE409E8B-B100-4A7B-B625-0CA93DCB8686}">
      <text>
        <r>
          <rPr>
            <b/>
            <sz val="9"/>
            <color indexed="81"/>
            <rFont val="細明體"/>
            <family val="3"/>
            <charset val="136"/>
          </rPr>
          <t xml:space="preserve">澎湖旅遊
</t>
        </r>
      </text>
    </comment>
    <comment ref="AH16" authorId="1" shapeId="0" xr:uid="{5D64C821-9F42-47BC-9E7F-D2A4349172BF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Y17" authorId="1" shapeId="0" xr:uid="{F4742180-E503-4794-BD51-29531903B57D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NOC_CR通報專案
</t>
        </r>
      </text>
    </comment>
    <comment ref="AN18" authorId="1" shapeId="0" xr:uid="{63E9B104-364A-4BEB-90CD-8A804634D13D}">
      <text>
        <r>
          <rPr>
            <b/>
            <sz val="18"/>
            <color indexed="81"/>
            <rFont val="細明體"/>
            <family val="3"/>
            <charset val="136"/>
          </rPr>
          <t>病假
耕莘醫院預約回診－生化檢驗</t>
        </r>
        <r>
          <rPr>
            <b/>
            <sz val="22"/>
            <color indexed="81"/>
            <rFont val="細明體"/>
            <family val="3"/>
            <charset val="136"/>
          </rPr>
          <t xml:space="preserve">
</t>
        </r>
      </text>
    </comment>
    <comment ref="K19" authorId="1" shapeId="0" xr:uid="{611B5BE3-0EA2-4133-B620-6943B37A8E90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排班如果許可的話，請幫我多排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 xml:space="preserve">，謝謝。
</t>
        </r>
      </text>
    </comment>
    <comment ref="Q20" authorId="1" shapeId="0" xr:uid="{5962325F-D1A2-4609-B350-36E761726685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Simon Huang</t>
        </r>
        <r>
          <rPr>
            <b/>
            <sz val="12"/>
            <color indexed="81"/>
            <rFont val="細明體"/>
            <family val="3"/>
            <charset val="136"/>
          </rPr>
          <t>互換</t>
        </r>
        <r>
          <rPr>
            <b/>
            <sz val="12"/>
            <color indexed="81"/>
            <rFont val="Tahoma"/>
            <family val="2"/>
          </rPr>
          <t>1.2</t>
        </r>
        <r>
          <rPr>
            <b/>
            <sz val="12"/>
            <color indexed="81"/>
            <rFont val="細明體"/>
            <family val="3"/>
            <charset val="136"/>
          </rPr>
          <t xml:space="preserve">週
</t>
        </r>
      </text>
    </comment>
    <comment ref="V20" authorId="1" shapeId="0" xr:uid="{A5182CFE-54FD-44E2-80D7-8E695AC6B0E4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Simon Huang</t>
        </r>
        <r>
          <rPr>
            <b/>
            <sz val="12"/>
            <color indexed="81"/>
            <rFont val="細明體"/>
            <family val="3"/>
            <charset val="136"/>
          </rPr>
          <t>互換</t>
        </r>
        <r>
          <rPr>
            <b/>
            <sz val="12"/>
            <color indexed="81"/>
            <rFont val="Tahoma"/>
            <family val="2"/>
          </rPr>
          <t>1.2</t>
        </r>
        <r>
          <rPr>
            <b/>
            <sz val="12"/>
            <color indexed="81"/>
            <rFont val="細明體"/>
            <family val="3"/>
            <charset val="136"/>
          </rPr>
          <t xml:space="preserve">週
</t>
        </r>
      </text>
    </comment>
    <comment ref="AA20" authorId="1" shapeId="0" xr:uid="{A00B35B5-66B6-4BF3-BEBF-DA6EBC529F2C}">
      <text>
        <r>
          <rPr>
            <b/>
            <sz val="14"/>
            <color indexed="81"/>
            <rFont val="Tahoma"/>
            <family val="2"/>
          </rPr>
          <t xml:space="preserve">SDI 3 Operation and Administration Training
</t>
        </r>
      </text>
    </comment>
    <comment ref="AB20" authorId="1" shapeId="0" xr:uid="{B79E22C8-1981-4F92-BA6E-62120A414696}">
      <text>
        <r>
          <rPr>
            <b/>
            <sz val="14"/>
            <color indexed="81"/>
            <rFont val="Tahoma"/>
            <family val="2"/>
          </rPr>
          <t xml:space="preserve">SDI 3 Operation and Administration Training
</t>
        </r>
      </text>
    </comment>
    <comment ref="AH20" authorId="1" shapeId="0" xr:uid="{412B43E2-42ED-43DF-88A8-B77A206E0DB6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Q21" authorId="1" shapeId="0" xr:uid="{619031D5-C468-4581-95E2-839DAA75377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sir:早上有事，請幫我排小夜或大夜,謝謝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1" authorId="1" shapeId="0" xr:uid="{0CAC8603-F370-4456-A242-C960FE6BA1BD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</t>
        </r>
      </text>
    </comment>
    <comment ref="K22" authorId="1" shapeId="0" xr:uid="{AA2F23FB-D48C-431A-827C-B35AE5D68D3F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2" authorId="1" shapeId="0" xr:uid="{1504F71C-4685-4FCB-A8F6-3292E280C56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V22" authorId="1" shapeId="0" xr:uid="{5BCBD5C0-8DC2-4A1B-A5FD-6FD003BFE1D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J22" authorId="1" shapeId="0" xr:uid="{1BCBE64E-645D-4BF9-B187-D7FFD71C363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R24" authorId="4" shapeId="0" xr:uid="{5A2B4192-127E-4F51-AA63-62567C3DE4F0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S24" authorId="4" shapeId="0" xr:uid="{726321AE-E3D4-4504-B84E-93A3F6AC7B5C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Y24" authorId="4" shapeId="0" xr:uid="{239AE5A4-F188-452A-94CD-7D3CB1032642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Z24" authorId="4" shapeId="0" xr:uid="{F13288CC-0BD7-447D-A18B-139956CB128D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AF24" authorId="4" shapeId="0" xr:uid="{342149E0-2A63-4214-9EDD-DFCA560E13D0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AG24" authorId="4" shapeId="0" xr:uid="{60368828-4410-47EA-871E-EC48F714CE5C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AH24" authorId="1" shapeId="0" xr:uid="{9A55218D-E799-4395-8B35-047690AB7756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AM24" authorId="4" shapeId="0" xr:uid="{0497D50F-FEAA-4499-952A-9027B0F84853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AN24" authorId="4" shapeId="0" xr:uid="{7B35E4E6-5B67-4CB8-BFBA-8002B4792E41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X25" authorId="1" shapeId="0" xr:uid="{1601E8E0-42CB-459E-A03C-6B989A316CE1}">
      <text>
        <r>
          <rPr>
            <b/>
            <sz val="12"/>
            <color indexed="81"/>
            <rFont val="Microsoft YaHei"/>
            <family val="2"/>
          </rPr>
          <t>Dear Jason Sir,
若排班允許，
請幫我排 "2"或 "中"謝謝！！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M26" authorId="1" shapeId="0" xr:uid="{4364B77A-9952-47EB-ADF6-CA7DB5C27FAF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O26" authorId="1" shapeId="0" xr:uid="{4D99155C-9B84-41D5-AF6D-E373AC99C91D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Q26" authorId="1" shapeId="0" xr:uid="{AEC6EE03-9C83-449B-B8A0-D71A2C4BE8E2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T26" authorId="1" shapeId="0" xr:uid="{D36FA0E8-6854-4801-8511-D91A96CA0B73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X26" authorId="1" shapeId="0" xr:uid="{44BAB7E3-F86A-4D2B-8F5C-2A8255BD241F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Z26" authorId="1" shapeId="0" xr:uid="{E4E4DCFD-AF37-4C47-8BFC-99394E24CF8A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AB26" authorId="1" shapeId="0" xr:uid="{3EF9B639-C72A-4C18-AA02-74CD5C2FE455}">
      <text>
        <r>
          <rPr>
            <b/>
            <sz val="12"/>
            <color indexed="81"/>
            <rFont val="Microsoft YaHei"/>
            <family val="2"/>
          </rPr>
          <t>Dear Jason Sir,
與 Howard 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26" authorId="1" shapeId="0" xr:uid="{5646469D-E9E1-435C-82C7-1EDC0C49D30A}">
      <text>
        <r>
          <rPr>
            <b/>
            <sz val="12"/>
            <color indexed="81"/>
            <rFont val="Microsoft YaHei"/>
            <family val="2"/>
          </rPr>
          <t>Dear Jason Sir,
與 Howard 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26" authorId="1" shapeId="0" xr:uid="{7B3E67D1-8B42-4FE0-AFF8-C3B3A6DCAF41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AH26" authorId="1" shapeId="0" xr:uid="{DD9F2777-8D99-4C37-B85B-BFD7F630B29C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AJ26" authorId="1" shapeId="0" xr:uid="{67A9765E-7531-4463-9125-23A14E20BF0A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AK26" authorId="1" shapeId="0" xr:uid="{79442643-A0EF-42AB-805F-9D4C6B3DFDFE}">
      <text>
        <r>
          <rPr>
            <b/>
            <sz val="12"/>
            <color indexed="81"/>
            <rFont val="Microsoft YaHei"/>
            <family val="2"/>
          </rPr>
          <t xml:space="preserve">Dear Jason Sir,
與 Howard 換週
</t>
        </r>
      </text>
    </comment>
    <comment ref="AL26" authorId="1" shapeId="0" xr:uid="{0D90C75C-8B49-43DE-AFC8-BAAF1765C548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AO26" authorId="1" shapeId="0" xr:uid="{6B38B724-D5BF-4508-A071-9A9D7CE3ED6F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K27" authorId="1" shapeId="0" xr:uid="{76FE6F67-0017-4B33-ACC2-65D743E3E2D2}">
      <text>
        <r>
          <rPr>
            <b/>
            <sz val="12"/>
            <color indexed="81"/>
            <rFont val="Tahoma"/>
            <family val="2"/>
          </rPr>
          <t xml:space="preserve">Dear sir: 
</t>
        </r>
        <r>
          <rPr>
            <b/>
            <sz val="12"/>
            <color indexed="81"/>
            <rFont val="細明體"/>
            <family val="3"/>
            <charset val="136"/>
          </rPr>
          <t>如排班允許請多排2or</t>
        </r>
        <r>
          <rPr>
            <b/>
            <sz val="12"/>
            <color indexed="81"/>
            <rFont val="Tahoma"/>
            <family val="2"/>
          </rPr>
          <t>3</t>
        </r>
        <r>
          <rPr>
            <b/>
            <sz val="12"/>
            <color indexed="81"/>
            <rFont val="細明體"/>
            <family val="3"/>
            <charset val="136"/>
          </rPr>
          <t xml:space="preserve">，若1請盡量假日，謝謝。
</t>
        </r>
      </text>
    </comment>
    <comment ref="O27" authorId="1" shapeId="0" xr:uid="{3028BD72-D589-4A70-A140-F9B70641FE2F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若排班許可，請幫我排"1"，謝謝。
</t>
        </r>
      </text>
    </comment>
    <comment ref="P27" authorId="1" shapeId="0" xr:uid="{1FE628CD-72AB-48F8-94E4-4A749BD5D8B9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若排班許可，請幫我排"1"，謝謝。
</t>
        </r>
      </text>
    </comment>
    <comment ref="U27" authorId="1" shapeId="0" xr:uid="{D7C1A209-A360-405F-9D49-116F0EA3CAE9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X27" authorId="1" shapeId="0" xr:uid="{BBD8D233-E211-4326-BDC3-70D6BEB7B2CD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AC27" authorId="1" shapeId="0" xr:uid="{5EA8F4FE-E3F1-427F-8C14-1FE0E9084C70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若排班許可，請幫我排"1"，謝謝。
</t>
        </r>
      </text>
    </comment>
    <comment ref="AD27" authorId="1" shapeId="0" xr:uid="{34C2E95A-17BA-454C-B9EB-7EC9A3B8DD7F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若排班許可，請幫我排"1"，謝謝。
</t>
        </r>
      </text>
    </comment>
    <comment ref="AI27" authorId="1" shapeId="0" xr:uid="{E2844122-0881-4ED0-80DA-2458709F3F7F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L27" authorId="1" shapeId="0" xr:uid="{35F59DC6-9E4F-4283-9D7C-4ED1376DC034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K28" authorId="1" shapeId="0" xr:uid="{7DD54C24-ADF7-4AF1-A733-6CACFDC78BA0}">
      <text>
        <r>
          <rPr>
            <b/>
            <sz val="13"/>
            <color indexed="81"/>
            <rFont val="Tahoma"/>
            <family val="2"/>
          </rPr>
          <t xml:space="preserve">Dear sir: 
</t>
        </r>
        <r>
          <rPr>
            <b/>
            <sz val="13"/>
            <color indexed="81"/>
            <rFont val="細明體"/>
            <family val="3"/>
            <charset val="136"/>
          </rPr>
          <t>如排班允許請多排</t>
        </r>
        <r>
          <rPr>
            <b/>
            <sz val="13"/>
            <color indexed="81"/>
            <rFont val="Tahoma"/>
            <family val="2"/>
          </rPr>
          <t>3</t>
        </r>
        <r>
          <rPr>
            <b/>
            <sz val="13"/>
            <color indexed="81"/>
            <rFont val="細明體"/>
            <family val="3"/>
            <charset val="136"/>
          </rPr>
          <t xml:space="preserve">，謝謝。
</t>
        </r>
      </text>
    </comment>
    <comment ref="V28" authorId="1" shapeId="0" xr:uid="{62A85246-D420-4E60-A7BE-4050C6FB81E7}">
      <text>
        <r>
          <rPr>
            <sz val="12"/>
            <color indexed="81"/>
            <rFont val="細明體"/>
            <family val="3"/>
            <charset val="136"/>
          </rPr>
          <t>Key換週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W28" authorId="1" shapeId="0" xr:uid="{FE7DAD7D-B985-4B28-B273-109ECBB61BC3}">
      <text>
        <r>
          <rPr>
            <sz val="12"/>
            <color indexed="81"/>
            <rFont val="細明體"/>
            <family val="3"/>
            <charset val="136"/>
          </rPr>
          <t>Key換週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AA29" authorId="1" shapeId="0" xr:uid="{3FC299A7-7709-4F09-8F9E-886E0AA9B4E4}">
      <text>
        <r>
          <rPr>
            <b/>
            <sz val="14"/>
            <color indexed="81"/>
            <rFont val="Tahoma"/>
            <family val="2"/>
          </rPr>
          <t xml:space="preserve">SDI 3 Operation and Administration Training
</t>
        </r>
      </text>
    </comment>
    <comment ref="AB29" authorId="1" shapeId="0" xr:uid="{A00784E0-09B4-4529-B30B-1CE948DE068F}">
      <text>
        <r>
          <rPr>
            <b/>
            <sz val="14"/>
            <color indexed="81"/>
            <rFont val="Tahoma"/>
            <family val="2"/>
          </rPr>
          <t xml:space="preserve">SDI 3 Operation and Administration Training
</t>
        </r>
      </text>
    </comment>
    <comment ref="AC29" authorId="1" shapeId="0" xr:uid="{2A640826-CE5E-42DC-99B2-B7EB2F01E4E6}">
      <text>
        <r>
          <rPr>
            <b/>
            <sz val="12"/>
            <color indexed="81"/>
            <rFont val="Microsoft YaHei"/>
            <family val="2"/>
          </rPr>
          <t xml:space="preserve">Dear Jason Sir,
與 Arthur 換週
</t>
        </r>
      </text>
    </comment>
    <comment ref="AD29" authorId="1" shapeId="0" xr:uid="{70FDDA24-1142-4687-BC6E-A2FBADFE161B}">
      <text>
        <r>
          <rPr>
            <b/>
            <sz val="12"/>
            <color indexed="81"/>
            <rFont val="Microsoft YaHei"/>
            <family val="2"/>
          </rPr>
          <t xml:space="preserve">Dear Jason Sir,
與 Arthur 換週
</t>
        </r>
      </text>
    </comment>
    <comment ref="AI29" authorId="1" shapeId="0" xr:uid="{3ADE6EC4-D61A-4732-81CD-C174943F884A}">
      <text>
        <r>
          <rPr>
            <b/>
            <sz val="14"/>
            <color indexed="81"/>
            <rFont val="細明體"/>
            <family val="3"/>
            <charset val="136"/>
          </rPr>
          <t xml:space="preserve">HR課程
</t>
        </r>
      </text>
    </comment>
    <comment ref="AJ29" authorId="1" shapeId="0" xr:uid="{8AF52FDA-4A75-4E47-965F-BCF37F8F60B3}">
      <text>
        <r>
          <rPr>
            <b/>
            <sz val="12"/>
            <color indexed="81"/>
            <rFont val="Microsoft YaHei"/>
            <family val="2"/>
          </rPr>
          <t>Dear Jason Sir,
與 Arthur 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29" authorId="1" shapeId="0" xr:uid="{571D38C2-F662-4D21-B7C0-9CE531973E02}">
      <text>
        <r>
          <rPr>
            <b/>
            <sz val="12"/>
            <color indexed="81"/>
            <rFont val="Microsoft YaHei"/>
            <family val="2"/>
          </rPr>
          <t>Dear Jason Sir,
與 Arthur 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32" authorId="1" shapeId="0" xr:uid="{4B8B2040-4893-49F9-83B5-7DA320D13C1E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2" authorId="1" shapeId="0" xr:uid="{773D6FE6-03C7-4EE4-9778-D67B02DD853D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2" authorId="1" shapeId="0" xr:uid="{60184099-6CE6-41BA-B7D1-C757AA13DFBF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32" authorId="1" shapeId="0" xr:uid="{9E05925A-13A9-4EF9-BF47-FD969B9B7D51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32" authorId="1" shapeId="0" xr:uid="{49626921-FEF4-47CA-9111-10604716EB69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32" authorId="1" shapeId="0" xr:uid="{0F4FB2E6-17F9-43FF-88DA-E58E3AA25B6E}">
      <text>
        <r>
          <rPr>
            <b/>
            <sz val="16"/>
            <color indexed="81"/>
            <rFont val="Tahoma"/>
            <family val="2"/>
          </rPr>
          <t xml:space="preserve">Dear sir
</t>
        </r>
        <r>
          <rPr>
            <b/>
            <sz val="16"/>
            <color indexed="81"/>
            <rFont val="細明體"/>
            <family val="3"/>
            <charset val="136"/>
          </rPr>
          <t>跟</t>
        </r>
        <r>
          <rPr>
            <b/>
            <sz val="16"/>
            <color indexed="81"/>
            <rFont val="Tahoma"/>
            <family val="2"/>
          </rPr>
          <t>Wayne</t>
        </r>
        <r>
          <rPr>
            <b/>
            <sz val="16"/>
            <color indexed="81"/>
            <rFont val="細明體"/>
            <family val="3"/>
            <charset val="136"/>
          </rPr>
          <t xml:space="preserve">換周
</t>
        </r>
      </text>
    </comment>
    <comment ref="AK32" authorId="1" shapeId="0" xr:uid="{42EBF2FC-AB21-4F4D-A6FE-3F3AB2845FD9}">
      <text>
        <r>
          <rPr>
            <b/>
            <sz val="16"/>
            <color indexed="81"/>
            <rFont val="Tahoma"/>
            <family val="2"/>
          </rPr>
          <t xml:space="preserve">Dear sir
</t>
        </r>
        <r>
          <rPr>
            <b/>
            <sz val="16"/>
            <color indexed="81"/>
            <rFont val="細明體"/>
            <family val="3"/>
            <charset val="136"/>
          </rPr>
          <t>跟</t>
        </r>
        <r>
          <rPr>
            <b/>
            <sz val="16"/>
            <color indexed="81"/>
            <rFont val="Tahoma"/>
            <family val="2"/>
          </rPr>
          <t>Wayne</t>
        </r>
        <r>
          <rPr>
            <b/>
            <sz val="16"/>
            <color indexed="81"/>
            <rFont val="細明體"/>
            <family val="3"/>
            <charset val="136"/>
          </rPr>
          <t xml:space="preserve">換周
</t>
        </r>
      </text>
    </comment>
    <comment ref="AO32" authorId="1" shapeId="0" xr:uid="{F32C3ACA-383A-45B1-994C-94B2ECB45874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3" authorId="1" shapeId="0" xr:uid="{CBC82D70-BCF2-4EA4-B60D-1EB300ABE8CD}">
      <text>
        <r>
          <rPr>
            <b/>
            <sz val="16"/>
            <color indexed="81"/>
            <rFont val="細明體"/>
            <family val="3"/>
            <charset val="136"/>
          </rPr>
          <t xml:space="preserve">出國
</t>
        </r>
      </text>
    </comment>
    <comment ref="M33" authorId="1" shapeId="0" xr:uid="{08043C16-0397-4AB8-86E0-E9B3DE48D2B9}">
      <text>
        <r>
          <rPr>
            <b/>
            <sz val="16"/>
            <color indexed="81"/>
            <rFont val="細明體"/>
            <family val="3"/>
            <charset val="136"/>
          </rPr>
          <t xml:space="preserve">出國
</t>
        </r>
      </text>
    </comment>
    <comment ref="N33" authorId="1" shapeId="0" xr:uid="{33F16CE3-577B-41AA-8E1A-30B81775EBCC}">
      <text>
        <r>
          <rPr>
            <b/>
            <sz val="16"/>
            <color indexed="81"/>
            <rFont val="細明體"/>
            <family val="3"/>
            <charset val="136"/>
          </rPr>
          <t xml:space="preserve">出國
</t>
        </r>
      </text>
    </comment>
    <comment ref="Q33" authorId="1" shapeId="0" xr:uid="{1398C485-BD4F-4CCD-8C65-5EA4788A2C46}">
      <text>
        <r>
          <rPr>
            <b/>
            <sz val="16"/>
            <color indexed="81"/>
            <rFont val="細明體"/>
            <family val="3"/>
            <charset val="136"/>
          </rPr>
          <t xml:space="preserve">出國
</t>
        </r>
      </text>
    </comment>
    <comment ref="R33" authorId="1" shapeId="0" xr:uid="{F32858E7-CB01-475B-814E-CB0703DF2C2B}">
      <text>
        <r>
          <rPr>
            <b/>
            <sz val="16"/>
            <color indexed="81"/>
            <rFont val="細明體"/>
            <family val="3"/>
            <charset val="136"/>
          </rPr>
          <t xml:space="preserve">出國
</t>
        </r>
      </text>
    </comment>
    <comment ref="S33" authorId="1" shapeId="0" xr:uid="{89DC1E84-4A31-49E9-9EED-ACEC73639C47}">
      <text>
        <r>
          <rPr>
            <b/>
            <sz val="16"/>
            <color indexed="81"/>
            <rFont val="細明體"/>
            <family val="3"/>
            <charset val="136"/>
          </rPr>
          <t xml:space="preserve">出國
</t>
        </r>
      </text>
    </comment>
    <comment ref="T33" authorId="1" shapeId="0" xr:uid="{AE2256AB-5118-4931-A2E1-D31C017B6943}">
      <text>
        <r>
          <rPr>
            <b/>
            <sz val="16"/>
            <color indexed="81"/>
            <rFont val="細明體"/>
            <family val="3"/>
            <charset val="136"/>
          </rPr>
          <t xml:space="preserve">出國
</t>
        </r>
      </text>
    </comment>
    <comment ref="V33" authorId="1" shapeId="0" xr:uid="{A8B432EA-1316-469A-8CD6-6B0E9F13A0D7}">
      <text>
        <r>
          <rPr>
            <b/>
            <sz val="16"/>
            <color indexed="81"/>
            <rFont val="Tahoma"/>
            <family val="2"/>
          </rPr>
          <t xml:space="preserve">Dear Jason
</t>
        </r>
        <r>
          <rPr>
            <b/>
            <sz val="16"/>
            <color indexed="81"/>
            <rFont val="細明體"/>
            <family val="3"/>
            <charset val="136"/>
          </rPr>
          <t>跟</t>
        </r>
        <r>
          <rPr>
            <b/>
            <sz val="16"/>
            <color indexed="81"/>
            <rFont val="Tahoma"/>
            <family val="2"/>
          </rPr>
          <t>Wayne</t>
        </r>
        <r>
          <rPr>
            <b/>
            <sz val="16"/>
            <color indexed="81"/>
            <rFont val="細明體"/>
            <family val="3"/>
            <charset val="136"/>
          </rPr>
          <t xml:space="preserve">換周
</t>
        </r>
      </text>
    </comment>
    <comment ref="W33" authorId="1" shapeId="0" xr:uid="{B5326C7D-930D-47B8-BFA0-B162BD9750C5}">
      <text>
        <r>
          <rPr>
            <b/>
            <sz val="16"/>
            <color indexed="81"/>
            <rFont val="細明體"/>
            <family val="3"/>
            <charset val="136"/>
          </rPr>
          <t xml:space="preserve">出國
</t>
        </r>
      </text>
    </comment>
    <comment ref="X33" authorId="1" shapeId="0" xr:uid="{3FD20A6F-82A2-4E9F-99D9-AA2B1E88E1D7}">
      <text>
        <r>
          <rPr>
            <b/>
            <sz val="16"/>
            <color indexed="81"/>
            <rFont val="細明體"/>
            <family val="3"/>
            <charset val="136"/>
          </rPr>
          <t xml:space="preserve">出國
</t>
        </r>
      </text>
    </comment>
    <comment ref="Y33" authorId="1" shapeId="0" xr:uid="{AC5C97DF-9E72-49F3-8809-2FD596D5999D}">
      <text>
        <r>
          <rPr>
            <b/>
            <sz val="16"/>
            <color indexed="81"/>
            <rFont val="Tahoma"/>
            <family val="2"/>
          </rPr>
          <t xml:space="preserve">Dear Jason
</t>
        </r>
        <r>
          <rPr>
            <b/>
            <sz val="16"/>
            <color indexed="81"/>
            <rFont val="細明體"/>
            <family val="3"/>
            <charset val="136"/>
          </rPr>
          <t>跟</t>
        </r>
        <r>
          <rPr>
            <b/>
            <sz val="16"/>
            <color indexed="81"/>
            <rFont val="Tahoma"/>
            <family val="2"/>
          </rPr>
          <t>Wayne</t>
        </r>
        <r>
          <rPr>
            <b/>
            <sz val="16"/>
            <color indexed="81"/>
            <rFont val="細明體"/>
            <family val="3"/>
            <charset val="136"/>
          </rPr>
          <t xml:space="preserve">換周
</t>
        </r>
      </text>
    </comment>
    <comment ref="K34" authorId="1" shapeId="0" xr:uid="{1AF14D25-F280-439A-8ED7-C5312B5B9101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1.如果排班方便，因為接送小孩，請多排中班或2，謝謝。
2.如果排班方便，因為接送小孩，如有大夜請排在例假日沒有上課時，謝謝。</t>
        </r>
        <r>
          <rPr>
            <sz val="14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O34" authorId="1" shapeId="0" xr:uid="{A171C4C2-696C-4BC7-A063-D0FAE5EFB788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Dear Sir,
如果排班方便，請協助排中班，謝謝。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34" authorId="1" shapeId="0" xr:uid="{BC0315A8-6D58-4BC6-8602-5C34C1316ABC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Dear Sir,
如果排班方便，請協助排中班，謝謝。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5" authorId="5" shapeId="0" xr:uid="{70697543-904A-4843-AE51-257095461060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admin:
admin:
admin:
</t>
        </r>
      </text>
    </comment>
    <comment ref="R36" authorId="1" shapeId="0" xr:uid="{843EC157-1DB8-42ED-B779-04D5B294648B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S36" authorId="1" shapeId="0" xr:uid="{59779640-4567-4E6A-A2D6-4482BF354A1B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NOC_工單結案專案
</t>
        </r>
      </text>
    </comment>
    <comment ref="AF36" authorId="1" shapeId="0" xr:uid="{9E906A8E-D185-43F9-9558-FAB48EE67678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M37" authorId="2" shapeId="0" xr:uid="{53F952FF-F52E-4DE6-993E-312E985A3DE8}">
      <text>
        <r>
          <rPr>
            <b/>
            <sz val="12"/>
            <color indexed="81"/>
            <rFont val="Tahoma"/>
            <family val="2"/>
          </rPr>
          <t xml:space="preserve"> TSE-1 台灣側-教育訓練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7" authorId="1" shapeId="0" xr:uid="{9FF1D9F7-C930-4615-BEFC-9D534C219FEB}">
      <text>
        <r>
          <rPr>
            <sz val="14"/>
            <color indexed="81"/>
            <rFont val="細明體"/>
            <family val="3"/>
            <charset val="136"/>
          </rPr>
          <t>跟</t>
        </r>
        <r>
          <rPr>
            <sz val="14"/>
            <color indexed="81"/>
            <rFont val="Tahoma"/>
            <family val="2"/>
          </rPr>
          <t xml:space="preserve">Glenn </t>
        </r>
        <r>
          <rPr>
            <sz val="14"/>
            <color indexed="81"/>
            <rFont val="細明體"/>
            <family val="3"/>
            <charset val="136"/>
          </rPr>
          <t>換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O37" authorId="1" shapeId="0" xr:uid="{680902C2-A116-4A3C-9EA0-8FB79D2A945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P37" authorId="1" shapeId="0" xr:uid="{C56DC1BA-8BB8-4B23-8DAF-661A71603DAB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Q37" authorId="1" shapeId="0" xr:uid="{487EBBE0-58FA-46CB-AD0C-F206EDFB10A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U37" authorId="1" shapeId="0" xr:uid="{65C65B78-CAD4-458F-B8D0-9CEC81E605F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V37" authorId="1" shapeId="0" xr:uid="{B35CDE2F-0E74-4B04-B732-25F3AB615E5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W37" authorId="1" shapeId="0" xr:uid="{DCB79E7E-6B08-440C-BB63-F4307876A34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A37" authorId="1" shapeId="0" xr:uid="{13C6E5C6-4BB4-4297-AA7C-B3E84C55C4EB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B37" authorId="1" shapeId="0" xr:uid="{8512E3AD-AA1A-492C-8F56-681E99E666D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37" authorId="1" shapeId="0" xr:uid="{1E111562-018D-4FD3-A1BF-CA3677CD0B9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D37" authorId="1" shapeId="0" xr:uid="{1FCB1DDA-8EEB-4FC0-97B6-72629FD442EE}">
      <text>
        <r>
          <rPr>
            <sz val="14"/>
            <color indexed="81"/>
            <rFont val="細明體"/>
            <family val="3"/>
            <charset val="136"/>
          </rPr>
          <t>跟</t>
        </r>
        <r>
          <rPr>
            <sz val="14"/>
            <color indexed="81"/>
            <rFont val="Tahoma"/>
            <family val="2"/>
          </rPr>
          <t xml:space="preserve">Glenn </t>
        </r>
        <r>
          <rPr>
            <sz val="14"/>
            <color indexed="81"/>
            <rFont val="細明體"/>
            <family val="3"/>
            <charset val="136"/>
          </rPr>
          <t>換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G37" authorId="1" shapeId="0" xr:uid="{32E6B508-E7E5-4930-BD66-6E20EF20357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37" authorId="1" shapeId="0" xr:uid="{A5672753-D152-4D09-9A1B-55835C5241C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I37" authorId="1" shapeId="0" xr:uid="{E03E15F1-B902-4D5E-AC04-1C13EEDBFB4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L38" authorId="1" shapeId="0" xr:uid="{8A7DB4D7-CAC6-4B39-90AD-C8CCEE8392A8}">
      <text>
        <r>
          <rPr>
            <b/>
            <sz val="16"/>
            <color indexed="81"/>
            <rFont val="新細明體"/>
            <family val="1"/>
            <charset val="136"/>
          </rPr>
          <t xml:space="preserve">Dear Jason:
若排班方便請排"晚"
謝謝
</t>
        </r>
      </text>
    </comment>
    <comment ref="M38" authorId="1" shapeId="0" xr:uid="{70AC8311-057B-48CD-A9E3-A4100869AFC8}">
      <text>
        <r>
          <rPr>
            <b/>
            <sz val="16"/>
            <color indexed="81"/>
            <rFont val="新細明體"/>
            <family val="1"/>
            <charset val="136"/>
          </rPr>
          <t xml:space="preserve">Dear Jason:
若排班方便請排"晚"
謝謝
</t>
        </r>
      </text>
    </comment>
    <comment ref="N38" authorId="1" shapeId="0" xr:uid="{1339D126-64E3-46C7-9DF6-5EBA860B5C30}">
      <text>
        <r>
          <rPr>
            <b/>
            <sz val="16"/>
            <color indexed="81"/>
            <rFont val="新細明體"/>
            <family val="1"/>
            <charset val="136"/>
          </rPr>
          <t xml:space="preserve">Dear Jason:
若排班方便請排"晚"
謝謝
</t>
        </r>
      </text>
    </comment>
    <comment ref="O38" authorId="1" shapeId="0" xr:uid="{DD955EA9-9D71-4561-8780-75EE5B4F3A23}">
      <text>
        <r>
          <rPr>
            <b/>
            <sz val="16"/>
            <color indexed="81"/>
            <rFont val="Tahoma"/>
            <family val="2"/>
          </rPr>
          <t xml:space="preserve">Dear sir
</t>
        </r>
        <r>
          <rPr>
            <b/>
            <sz val="16"/>
            <color indexed="81"/>
            <rFont val="細明體"/>
            <family val="3"/>
            <charset val="136"/>
          </rPr>
          <t xml:space="preserve">跟Robert換周
</t>
        </r>
      </text>
    </comment>
    <comment ref="P38" authorId="1" shapeId="0" xr:uid="{6135DD75-9597-4D62-BF5A-B5FF30F43EED}">
      <text>
        <r>
          <rPr>
            <b/>
            <sz val="16"/>
            <color indexed="81"/>
            <rFont val="Tahoma"/>
            <family val="2"/>
          </rPr>
          <t xml:space="preserve">Dear sir
</t>
        </r>
        <r>
          <rPr>
            <b/>
            <sz val="16"/>
            <color indexed="81"/>
            <rFont val="細明體"/>
            <family val="3"/>
            <charset val="136"/>
          </rPr>
          <t xml:space="preserve">跟Robert換周
</t>
        </r>
      </text>
    </comment>
    <comment ref="V38" authorId="1" shapeId="0" xr:uid="{7B8B7812-9B3D-4B10-BEB1-3D73AD808585}">
      <text>
        <r>
          <rPr>
            <b/>
            <sz val="16"/>
            <color indexed="81"/>
            <rFont val="新細明體"/>
            <family val="1"/>
            <charset val="136"/>
          </rPr>
          <t xml:space="preserve">Dear Jason:
若排班方便請排"晚"
謝謝
</t>
        </r>
      </text>
    </comment>
    <comment ref="W38" authorId="1" shapeId="0" xr:uid="{32F31252-B073-4E94-919C-B42CEF7E48A1}">
      <text>
        <r>
          <rPr>
            <b/>
            <sz val="16"/>
            <color indexed="81"/>
            <rFont val="新細明體"/>
            <family val="1"/>
            <charset val="136"/>
          </rPr>
          <t xml:space="preserve">Dear Jason:
若排班方便請排"晚"
謝謝
</t>
        </r>
      </text>
    </comment>
    <comment ref="X38" authorId="1" shapeId="0" xr:uid="{B1E7AFF9-4F6E-45E0-B991-4EBA95F8F49B}">
      <text>
        <r>
          <rPr>
            <b/>
            <sz val="16"/>
            <color indexed="81"/>
            <rFont val="新細明體"/>
            <family val="1"/>
            <charset val="136"/>
          </rPr>
          <t xml:space="preserve">Dear Jason:
若排班方便請排"晚"
謝謝
</t>
        </r>
      </text>
    </comment>
    <comment ref="Z38" authorId="1" shapeId="0" xr:uid="{AFC0BD07-1F6E-490D-A1C3-B470F30C23A9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A38" authorId="1" shapeId="0" xr:uid="{573EC256-21D5-48F4-88F5-5FE9C675651C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C38" authorId="1" shapeId="0" xr:uid="{C2D0503F-5D5B-479C-9656-F330EBBEE1F8}">
      <text>
        <r>
          <rPr>
            <b/>
            <sz val="16"/>
            <color indexed="81"/>
            <rFont val="Tahoma"/>
            <family val="2"/>
          </rPr>
          <t xml:space="preserve">Dear sir
</t>
        </r>
        <r>
          <rPr>
            <b/>
            <sz val="16"/>
            <color indexed="81"/>
            <rFont val="細明體"/>
            <family val="3"/>
            <charset val="136"/>
          </rPr>
          <t xml:space="preserve">跟是華換周
</t>
        </r>
      </text>
    </comment>
    <comment ref="AD38" authorId="1" shapeId="0" xr:uid="{3CF9825C-0B93-49AF-9A73-492427252DF2}">
      <text>
        <r>
          <rPr>
            <b/>
            <sz val="16"/>
            <color indexed="81"/>
            <rFont val="Tahoma"/>
            <family val="2"/>
          </rPr>
          <t xml:space="preserve">Dear sir
</t>
        </r>
        <r>
          <rPr>
            <b/>
            <sz val="16"/>
            <color indexed="81"/>
            <rFont val="細明體"/>
            <family val="3"/>
            <charset val="136"/>
          </rPr>
          <t xml:space="preserve">跟是華換周
</t>
        </r>
      </text>
    </comment>
    <comment ref="AE38" authorId="1" shapeId="0" xr:uid="{A863D2FC-35E3-42AB-9F61-984306CA7A0A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F38" authorId="1" shapeId="0" xr:uid="{1097273C-2A34-4DDD-8597-FC5675E7C374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G38" authorId="1" shapeId="0" xr:uid="{CB2C665E-375A-4AAC-BB1B-339309638306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I38" authorId="1" shapeId="0" xr:uid="{40F037B8-CE03-42B8-94F8-4DDDA71136CA}">
      <text>
        <r>
          <rPr>
            <b/>
            <sz val="16"/>
            <color indexed="81"/>
            <rFont val="新細明體"/>
            <family val="1"/>
            <charset val="136"/>
          </rPr>
          <t xml:space="preserve">Dear Jason:
若排班方便請排"晚"
謝謝
</t>
        </r>
      </text>
    </comment>
    <comment ref="AJ38" authorId="1" shapeId="0" xr:uid="{DAE3D13A-60D6-46BD-ABA2-60E8D49D1EB6}">
      <text>
        <r>
          <rPr>
            <b/>
            <sz val="16"/>
            <color indexed="81"/>
            <rFont val="新細明體"/>
            <family val="1"/>
            <charset val="136"/>
          </rPr>
          <t xml:space="preserve">Dear Jason:
若排班方便請排"晚"
謝謝
</t>
        </r>
      </text>
    </comment>
    <comment ref="AK38" authorId="1" shapeId="0" xr:uid="{A55807A9-5235-4E7B-9BF8-8B707A591094}">
      <text>
        <r>
          <rPr>
            <b/>
            <sz val="16"/>
            <color indexed="81"/>
            <rFont val="新細明體"/>
            <family val="1"/>
            <charset val="136"/>
          </rPr>
          <t xml:space="preserve">Dear Jason:
若排班方便請排"晚"
謝謝
</t>
        </r>
      </text>
    </comment>
    <comment ref="AL38" authorId="1" shapeId="0" xr:uid="{D48502E9-52AB-4F8F-BFAF-0EB912294619}">
      <text>
        <r>
          <rPr>
            <b/>
            <sz val="16"/>
            <color indexed="81"/>
            <rFont val="新細明體"/>
            <family val="1"/>
            <charset val="136"/>
          </rPr>
          <t xml:space="preserve">Dear Jason:
若排班方便請排"晚"
謝謝
</t>
        </r>
      </text>
    </comment>
    <comment ref="AO38" authorId="1" shapeId="0" xr:uid="{73A6F878-0197-4A78-BD3B-CE719E27FE04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K39" authorId="1" shapeId="0" xr:uid="{544AD27E-196F-4227-8EDA-62506971F048}">
      <text>
        <r>
          <rPr>
            <sz val="9"/>
            <color indexed="81"/>
            <rFont val="細明體"/>
            <family val="3"/>
            <charset val="136"/>
          </rPr>
          <t xml:space="preserve">不要排小夜
</t>
        </r>
      </text>
    </comment>
    <comment ref="R39" authorId="1" shapeId="0" xr:uid="{06B5B217-DBCE-42FA-9CDE-F0BAB3BC47C8}">
      <text>
        <r>
          <rPr>
            <b/>
            <sz val="9"/>
            <color indexed="81"/>
            <rFont val="細明體"/>
            <family val="3"/>
            <charset val="136"/>
          </rPr>
          <t xml:space="preserve">請排大夜
</t>
        </r>
      </text>
    </comment>
    <comment ref="Z39" authorId="1" shapeId="0" xr:uid="{1AF8A903-4082-4D74-8093-A26CCF7728EF}">
      <text>
        <r>
          <rPr>
            <b/>
            <sz val="9"/>
            <color indexed="81"/>
            <rFont val="細明體"/>
            <family val="3"/>
            <charset val="136"/>
          </rPr>
          <t>出國</t>
        </r>
      </text>
    </comment>
    <comment ref="AA39" authorId="1" shapeId="0" xr:uid="{D7787586-1EA8-4CFF-8EDD-7CB88B227CD7}">
      <text>
        <r>
          <rPr>
            <b/>
            <sz val="9"/>
            <color indexed="81"/>
            <rFont val="細明體"/>
            <family val="3"/>
            <charset val="136"/>
          </rPr>
          <t>出國</t>
        </r>
      </text>
    </comment>
    <comment ref="AB39" authorId="1" shapeId="0" xr:uid="{3B275E4B-AB78-47EF-BC91-6D011C3F8327}">
      <text>
        <r>
          <rPr>
            <b/>
            <sz val="9"/>
            <color indexed="81"/>
            <rFont val="細明體"/>
            <family val="3"/>
            <charset val="136"/>
          </rPr>
          <t>出國</t>
        </r>
      </text>
    </comment>
    <comment ref="AC39" authorId="1" shapeId="0" xr:uid="{B4C6E3B2-D860-4617-87C4-18C01E1ED11B}">
      <text>
        <r>
          <rPr>
            <b/>
            <sz val="9"/>
            <color indexed="81"/>
            <rFont val="細明體"/>
            <family val="3"/>
            <charset val="136"/>
          </rPr>
          <t>出國</t>
        </r>
      </text>
    </comment>
    <comment ref="AE39" authorId="1" shapeId="0" xr:uid="{288D3A7A-7F20-425C-88C8-F07DD3144E4D}">
      <text>
        <r>
          <rPr>
            <b/>
            <sz val="9"/>
            <color indexed="81"/>
            <rFont val="細明體"/>
            <family val="3"/>
            <charset val="136"/>
          </rPr>
          <t>出國</t>
        </r>
      </text>
    </comment>
    <comment ref="AF39" authorId="1" shapeId="0" xr:uid="{6456E317-C0BA-4E94-A6DF-910FC8A7F35A}">
      <text>
        <r>
          <rPr>
            <b/>
            <sz val="9"/>
            <color indexed="81"/>
            <rFont val="細明體"/>
            <family val="3"/>
            <charset val="136"/>
          </rPr>
          <t>出國</t>
        </r>
      </text>
    </comment>
    <comment ref="AG39" authorId="1" shapeId="0" xr:uid="{61E64C7A-1760-4CD8-9707-17225143F206}">
      <text>
        <r>
          <rPr>
            <b/>
            <sz val="9"/>
            <color indexed="81"/>
            <rFont val="細明體"/>
            <family val="3"/>
            <charset val="136"/>
          </rPr>
          <t>出國</t>
        </r>
      </text>
    </comment>
    <comment ref="AH39" authorId="1" shapeId="0" xr:uid="{E625DEEF-A3D4-411F-82F2-8255B973A038}">
      <text>
        <r>
          <rPr>
            <b/>
            <sz val="9"/>
            <color indexed="81"/>
            <rFont val="細明體"/>
            <family val="3"/>
            <charset val="136"/>
          </rPr>
          <t>出國</t>
        </r>
      </text>
    </comment>
    <comment ref="AI39" authorId="1" shapeId="0" xr:uid="{403B066A-6E23-41A0-A567-C5852DCE9C7C}">
      <text>
        <r>
          <rPr>
            <b/>
            <sz val="9"/>
            <color indexed="81"/>
            <rFont val="細明體"/>
            <family val="3"/>
            <charset val="136"/>
          </rPr>
          <t>出國</t>
        </r>
      </text>
    </comment>
    <comment ref="AE41" authorId="1" shapeId="0" xr:uid="{825147BC-7A35-45F6-BB50-DCA91FA9CB51}">
      <text>
        <r>
          <rPr>
            <b/>
            <sz val="9"/>
            <color indexed="81"/>
            <rFont val="細明體"/>
            <family val="3"/>
            <charset val="136"/>
          </rPr>
          <t>有事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AF41" authorId="1" shapeId="0" xr:uid="{AF48FFE1-A0C7-4446-9D6B-972FCD88BCAE}">
      <text>
        <r>
          <rPr>
            <b/>
            <sz val="9"/>
            <color indexed="81"/>
            <rFont val="細明體"/>
            <family val="3"/>
            <charset val="136"/>
          </rPr>
          <t>有事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AG41" authorId="1" shapeId="0" xr:uid="{765F97C2-2D8D-4345-B0D2-FA586E265F38}">
      <text>
        <r>
          <rPr>
            <b/>
            <sz val="9"/>
            <color indexed="81"/>
            <rFont val="細明體"/>
            <family val="3"/>
            <charset val="136"/>
          </rPr>
          <t>有事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AH41" authorId="1" shapeId="0" xr:uid="{2BD9B1B1-8220-4CE9-9F10-591585960B6D}">
      <text>
        <r>
          <rPr>
            <b/>
            <sz val="9"/>
            <color indexed="81"/>
            <rFont val="細明體"/>
            <family val="3"/>
            <charset val="136"/>
          </rPr>
          <t>有事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AI41" authorId="1" shapeId="0" xr:uid="{7E266AA5-3C9B-4AC7-ACF8-68751B983F86}">
      <text>
        <r>
          <rPr>
            <b/>
            <sz val="9"/>
            <color indexed="81"/>
            <rFont val="細明體"/>
            <family val="3"/>
            <charset val="136"/>
          </rPr>
          <t>有事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AL41" authorId="1" shapeId="0" xr:uid="{8A69C732-59B7-4B42-9023-C9DD7FBEADC8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O43" authorId="1" shapeId="0" xr:uid="{50A790B9-8545-44B7-B6A2-70CBE6C8BB7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Camby</t>
        </r>
        <r>
          <rPr>
            <sz val="9"/>
            <color indexed="81"/>
            <rFont val="細明體"/>
            <family val="3"/>
            <charset val="136"/>
          </rPr>
          <t xml:space="preserve">換假日
</t>
        </r>
      </text>
    </comment>
    <comment ref="V43" authorId="1" shapeId="0" xr:uid="{7B5F0129-F283-4211-A3D2-CA28C7B4A3E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假日只能大夜
</t>
        </r>
      </text>
    </comment>
    <comment ref="W43" authorId="1" shapeId="0" xr:uid="{CCA683AC-3943-4D3B-AD4C-0F90965327D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假日只能大夜
</t>
        </r>
      </text>
    </comment>
    <comment ref="AJ43" authorId="1" shapeId="0" xr:uid="{E05B3FFD-F931-4603-A6E3-2A310156813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假日只能大夜
</t>
        </r>
      </text>
    </comment>
    <comment ref="AK43" authorId="1" shapeId="0" xr:uid="{5BFB9C1B-2191-497E-9A2A-9193FE00A16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假日只能大夜
</t>
        </r>
      </text>
    </comment>
    <comment ref="K44" authorId="1" shapeId="0" xr:uid="{9A5BA3C6-2297-4BE6-AC15-BB88AF7B7FF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請幫忙安排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細明體"/>
            <family val="3"/>
            <charset val="136"/>
          </rPr>
          <t>天特休消化時數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L44" authorId="1" shapeId="0" xr:uid="{74CA4840-4F07-48E0-95A2-9B9C2B8A967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下午要看牙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請幫忙安排休假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V44" authorId="1" shapeId="0" xr:uid="{AE6D9E9F-31B8-44DD-B04F-B3EDC78A7B3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小孩眼睛回診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請幫忙安排休假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P44" authorId="1" shapeId="0" xr:uid="{E5848EFD-BCA7-41C8-9472-C431433CD2A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小孩過敏回診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請幫忙排大夜班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或小夜班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或放假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admin</author>
    <author>Jason Hsu</author>
    <author>Huang, Simon 黃明達 (518538)</author>
    <author>Admin</author>
    <author>Jiang, Tony 江宇東 (598753)</author>
    <author>User</author>
  </authors>
  <commentList>
    <comment ref="F2" authorId="0" shapeId="0" xr:uid="{AD241209-7F4C-40E8-B789-5674A5F10CE6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EE3C5BDA-9F39-412B-9D58-83B30CA96796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J4" authorId="1" shapeId="0" xr:uid="{BD4B64C2-A2F4-4167-A120-F44125E33BA2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R4" authorId="1" shapeId="0" xr:uid="{FEBD309B-2BBA-4342-B083-97A54344AE9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L4" authorId="1" shapeId="0" xr:uid="{EF689DD0-D115-4B39-90BB-0336EDB871A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S5" authorId="1" shapeId="0" xr:uid="{FDF3F05A-EBCB-4CC6-B66E-8705DD50CB6B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G5" authorId="1" shapeId="0" xr:uid="{C17712E1-35DE-4BE2-A3BF-4A534C19FEE3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M6" authorId="1" shapeId="0" xr:uid="{FD839559-F38B-428E-91CF-706F0DF25C82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N6" authorId="1" shapeId="0" xr:uid="{015E0958-E2F5-4940-8C3C-53FFC78A5B4F}">
      <text>
        <r>
          <rPr>
            <b/>
            <sz val="14"/>
            <color indexed="81"/>
            <rFont val="Tahoma"/>
            <family val="2"/>
          </rPr>
          <t>Hi NOC CR</t>
        </r>
        <r>
          <rPr>
            <b/>
            <sz val="14"/>
            <color indexed="81"/>
            <rFont val="細明體"/>
            <family val="3"/>
            <charset val="136"/>
          </rPr>
          <t xml:space="preserve">通報
</t>
        </r>
      </text>
    </comment>
    <comment ref="O6" authorId="1" shapeId="0" xr:uid="{89BF3742-821D-427C-AABB-80619B9D9E42}">
      <text>
        <r>
          <rPr>
            <b/>
            <sz val="14"/>
            <color indexed="81"/>
            <rFont val="Tahoma"/>
            <family val="2"/>
          </rPr>
          <t xml:space="preserve">Hi NOC TX </t>
        </r>
        <r>
          <rPr>
            <b/>
            <sz val="14"/>
            <color indexed="81"/>
            <rFont val="細明體"/>
            <family val="3"/>
            <charset val="136"/>
          </rPr>
          <t xml:space="preserve">結案
</t>
        </r>
      </text>
    </comment>
    <comment ref="S6" authorId="1" shapeId="0" xr:uid="{7E665106-6DC6-48B9-BF6F-ABD03C76A0BB}">
      <text>
        <r>
          <rPr>
            <b/>
            <sz val="14"/>
            <color indexed="81"/>
            <rFont val="細明體"/>
            <family val="3"/>
            <charset val="136"/>
          </rPr>
          <t xml:space="preserve">若可以請排X
</t>
        </r>
      </text>
    </comment>
    <comment ref="AA6" authorId="1" shapeId="0" xr:uid="{0D42D4E0-BE21-4214-8D89-D1C3BAA86C9E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AF6" authorId="1" shapeId="0" xr:uid="{08FD4A08-8242-426B-921D-47BD94A871E1}">
      <text>
        <r>
          <rPr>
            <b/>
            <sz val="9"/>
            <color indexed="81"/>
            <rFont val="細明體"/>
            <family val="3"/>
            <charset val="136"/>
          </rPr>
          <t>跟</t>
        </r>
        <r>
          <rPr>
            <b/>
            <sz val="9"/>
            <color indexed="81"/>
            <rFont val="Tahoma"/>
            <family val="2"/>
          </rPr>
          <t xml:space="preserve">Arthur </t>
        </r>
        <r>
          <rPr>
            <b/>
            <sz val="9"/>
            <color indexed="81"/>
            <rFont val="細明體"/>
            <family val="3"/>
            <charset val="136"/>
          </rPr>
          <t xml:space="preserve">對調
</t>
        </r>
      </text>
    </comment>
    <comment ref="AG6" authorId="1" shapeId="0" xr:uid="{4E065F6B-55FD-42E4-98C8-ED574BA36D20}">
      <text>
        <r>
          <rPr>
            <b/>
            <sz val="16"/>
            <color indexed="81"/>
            <rFont val="細明體"/>
            <family val="3"/>
            <charset val="136"/>
          </rPr>
          <t xml:space="preserve">出國旅遊
</t>
        </r>
      </text>
    </comment>
    <comment ref="AH6" authorId="1" shapeId="0" xr:uid="{D9721CB4-E66E-4D2E-A2C6-C4FD8E56C029}">
      <text>
        <r>
          <rPr>
            <b/>
            <sz val="16"/>
            <color indexed="81"/>
            <rFont val="細明體"/>
            <family val="3"/>
            <charset val="136"/>
          </rPr>
          <t xml:space="preserve">出國旅遊
</t>
        </r>
      </text>
    </comment>
    <comment ref="AI6" authorId="1" shapeId="0" xr:uid="{F0495D4D-9362-4C38-9B33-D14E118CB0DD}">
      <text>
        <r>
          <rPr>
            <b/>
            <sz val="16"/>
            <color indexed="81"/>
            <rFont val="細明體"/>
            <family val="3"/>
            <charset val="136"/>
          </rPr>
          <t xml:space="preserve">出國旅遊
</t>
        </r>
      </text>
    </comment>
    <comment ref="AJ6" authorId="1" shapeId="0" xr:uid="{82D83745-F776-4750-ADD3-4BF76D0639A4}">
      <text>
        <r>
          <rPr>
            <b/>
            <sz val="16"/>
            <color indexed="81"/>
            <rFont val="細明體"/>
            <family val="3"/>
            <charset val="136"/>
          </rPr>
          <t xml:space="preserve">出國旅遊
</t>
        </r>
      </text>
    </comment>
    <comment ref="AK6" authorId="1" shapeId="0" xr:uid="{841C7790-08D9-451D-AB79-099F912429A5}">
      <text>
        <r>
          <rPr>
            <b/>
            <sz val="16"/>
            <color indexed="81"/>
            <rFont val="細明體"/>
            <family val="3"/>
            <charset val="136"/>
          </rPr>
          <t xml:space="preserve">出國旅遊
</t>
        </r>
      </text>
    </comment>
    <comment ref="AL6" authorId="1" shapeId="0" xr:uid="{61F84D8A-3CAE-43D8-8C71-944E282A8E41}">
      <text>
        <r>
          <rPr>
            <b/>
            <sz val="9"/>
            <color indexed="81"/>
            <rFont val="細明體"/>
            <family val="3"/>
            <charset val="136"/>
          </rPr>
          <t>跟</t>
        </r>
        <r>
          <rPr>
            <b/>
            <sz val="9"/>
            <color indexed="81"/>
            <rFont val="Tahoma"/>
            <family val="2"/>
          </rPr>
          <t xml:space="preserve">Arthur </t>
        </r>
        <r>
          <rPr>
            <b/>
            <sz val="9"/>
            <color indexed="81"/>
            <rFont val="細明體"/>
            <family val="3"/>
            <charset val="136"/>
          </rPr>
          <t xml:space="preserve">對調
</t>
        </r>
      </text>
    </comment>
    <comment ref="J7" authorId="1" shapeId="0" xr:uid="{5A4DBC91-F1EB-4B7B-8ECD-21128745E2B8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AB7" authorId="1" shapeId="0" xr:uid="{09BE3D25-E033-4E0E-8517-6F2A71F6CFF1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K9" authorId="1" shapeId="0" xr:uid="{BBE68773-0FD4-4EB8-8207-56EEAE1D674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9" authorId="1" shapeId="0" xr:uid="{55AF8B52-9C96-4E79-8ECC-5E1B120672C6}">
      <text>
        <r>
          <rPr>
            <b/>
            <sz val="14"/>
            <color indexed="81"/>
            <rFont val="Tahoma"/>
            <family val="2"/>
          </rPr>
          <t>Hi NOC CR</t>
        </r>
        <r>
          <rPr>
            <b/>
            <sz val="14"/>
            <color indexed="81"/>
            <rFont val="細明體"/>
            <family val="3"/>
            <charset val="136"/>
          </rPr>
          <t xml:space="preserve">通報
</t>
        </r>
      </text>
    </comment>
    <comment ref="O9" authorId="1" shapeId="0" xr:uid="{F58E1B6B-0866-46A0-9A72-0DAEDDDC4390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Y9" authorId="1" shapeId="0" xr:uid="{94E16B0B-0AC5-416E-A389-ED0D6617042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sir:早上小孩學校有活動，請幫我排"2"或"中",謝謝</t>
        </r>
      </text>
    </comment>
    <comment ref="Z9" authorId="1" shapeId="0" xr:uid="{02A57606-6AAD-4B20-A333-0E7FCE00B978}">
      <text>
        <r>
          <rPr>
            <b/>
            <sz val="14"/>
            <color indexed="81"/>
            <rFont val="細明體"/>
            <family val="3"/>
            <charset val="136"/>
          </rPr>
          <t xml:space="preserve">若可以請排X
</t>
        </r>
      </text>
    </comment>
    <comment ref="J10" authorId="1" shapeId="0" xr:uid="{54E215BD-14F4-407D-9B87-5F28819C98F0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Jason,
支援小夜大夜，但合計請勿超過" 3 "天，假日可以的話也請幫忙排早、1，謝謝。
</t>
        </r>
      </text>
    </comment>
    <comment ref="M10" authorId="1" shapeId="0" xr:uid="{A843FAA2-AC9E-4A17-9318-AB1896B05086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R10" authorId="1" shapeId="0" xr:uid="{CA27D3C2-0685-4CE5-9983-763F626A9D63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>跟</t>
        </r>
        <r>
          <rPr>
            <sz val="14"/>
            <color indexed="81"/>
            <rFont val="Tahoma"/>
            <family val="2"/>
          </rPr>
          <t>Tommy</t>
        </r>
        <r>
          <rPr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S10" authorId="1" shapeId="0" xr:uid="{0C10C38B-ABEB-4299-808E-70E5D2875718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>跟</t>
        </r>
        <r>
          <rPr>
            <sz val="14"/>
            <color indexed="81"/>
            <rFont val="Tahoma"/>
            <family val="2"/>
          </rPr>
          <t>Tommy</t>
        </r>
        <r>
          <rPr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AA10" authorId="1" shapeId="0" xr:uid="{8037825C-0224-4F41-8E51-EEB843C782EF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AC10" authorId="1" shapeId="0" xr:uid="{1DFB46B0-4419-4EF4-A267-03B0DD8A46F9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H10" authorId="1" shapeId="0" xr:uid="{AFCEFFEF-DEB7-48A2-880A-8249E855E0C1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I10" authorId="1" shapeId="0" xr:uid="{054FF107-B1EC-46AE-949C-55F63FBFFF0A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J11" authorId="1" shapeId="0" xr:uid="{9799B296-3440-44FB-A884-63F7F9F0AD92}">
      <text>
        <r>
          <rPr>
            <b/>
            <sz val="9"/>
            <color indexed="81"/>
            <rFont val="Tahoma"/>
            <family val="2"/>
          </rPr>
          <t xml:space="preserve">Hi Jason,
</t>
        </r>
        <r>
          <rPr>
            <b/>
            <sz val="9"/>
            <color indexed="81"/>
            <rFont val="細明體"/>
            <family val="3"/>
            <charset val="136"/>
          </rPr>
          <t>若需排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細明體"/>
            <family val="3"/>
            <charset val="136"/>
          </rPr>
          <t>或</t>
        </r>
        <r>
          <rPr>
            <b/>
            <sz val="9"/>
            <color indexed="81"/>
            <rFont val="Tahoma"/>
            <family val="2"/>
          </rPr>
          <t xml:space="preserve">3 </t>
        </r>
        <r>
          <rPr>
            <b/>
            <sz val="9"/>
            <color indexed="81"/>
            <rFont val="細明體"/>
            <family val="3"/>
            <charset val="136"/>
          </rPr>
          <t xml:space="preserve">請在六日，感謝
</t>
        </r>
      </text>
    </comment>
    <comment ref="K11" authorId="1" shapeId="0" xr:uid="{581C770E-8824-4A92-B77E-81509860B53E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>跟</t>
        </r>
        <r>
          <rPr>
            <sz val="14"/>
            <color indexed="81"/>
            <rFont val="Tahoma"/>
            <family val="2"/>
          </rPr>
          <t>Rain</t>
        </r>
        <r>
          <rPr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L11" authorId="1" shapeId="0" xr:uid="{F16BFB09-E5E4-4E0B-B26A-E6C030B0BB6B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>跟</t>
        </r>
        <r>
          <rPr>
            <sz val="14"/>
            <color indexed="81"/>
            <rFont val="Tahoma"/>
            <family val="2"/>
          </rPr>
          <t>Rain</t>
        </r>
        <r>
          <rPr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Y11" authorId="1" shapeId="0" xr:uid="{8B0DA4A1-06BD-4D6E-A734-BF00E85F163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1" authorId="2" shapeId="0" xr:uid="{8E427785-9505-4E2B-B661-73CE67E7E187}">
      <text>
        <r>
          <rPr>
            <b/>
            <sz val="9"/>
            <color indexed="81"/>
            <rFont val="Tahoma"/>
            <family val="2"/>
          </rPr>
          <t>原M1</t>
        </r>
      </text>
    </comment>
    <comment ref="AM11" authorId="1" shapeId="0" xr:uid="{5CB31787-EF53-4A24-95D5-7F8C138A0368}">
      <text>
        <r>
          <rPr>
            <b/>
            <sz val="14"/>
            <color indexed="81"/>
            <rFont val="細明體"/>
            <family val="3"/>
            <charset val="136"/>
          </rPr>
          <t xml:space="preserve">Dear Jason:
若可以請排X,
</t>
        </r>
      </text>
    </comment>
    <comment ref="AN11" authorId="1" shapeId="0" xr:uid="{C62FC14D-0E94-4089-A83F-73B2CC0F709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3" authorId="3" shapeId="0" xr:uid="{B844B76C-32E0-460D-B049-7E9217183C8F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KK</t>
        </r>
        <r>
          <rPr>
            <b/>
            <sz val="12"/>
            <color indexed="81"/>
            <rFont val="細明體"/>
            <family val="3"/>
            <charset val="136"/>
          </rPr>
          <t xml:space="preserve">互換一、二週
</t>
        </r>
      </text>
    </comment>
    <comment ref="L13" authorId="3" shapeId="0" xr:uid="{B184F626-544B-4869-9994-6F60E0B0E916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KK</t>
        </r>
        <r>
          <rPr>
            <b/>
            <sz val="12"/>
            <color indexed="81"/>
            <rFont val="細明體"/>
            <family val="3"/>
            <charset val="136"/>
          </rPr>
          <t xml:space="preserve">互換一、二週
</t>
        </r>
      </text>
    </comment>
    <comment ref="M13" authorId="1" shapeId="0" xr:uid="{65DDF3C6-C509-4BAD-BFF1-D3F198BC9B83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AA13" authorId="1" shapeId="0" xr:uid="{3F208440-1D84-4F36-AF19-3D17EA8C7C90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AB13" authorId="1" shapeId="0" xr:uid="{B39081A2-2CDC-4D99-A618-84B511ADC8B2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E13" authorId="2" shapeId="0" xr:uid="{9C082444-5560-45D0-B991-8B249CCE92D4}">
      <text>
        <r>
          <rPr>
            <b/>
            <sz val="9"/>
            <color indexed="81"/>
            <rFont val="Tahoma"/>
            <family val="2"/>
          </rPr>
          <t>原T早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4" authorId="1" shapeId="0" xr:uid="{BEE12825-8A1E-4762-9F7F-55E0255B10D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M14" authorId="1" shapeId="0" xr:uid="{097040E4-AE75-4D39-8215-B53CF780D6D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4" authorId="1" shapeId="0" xr:uid="{699FC1DE-0AE0-4833-B99E-BE9CBE1A245A}">
      <text>
        <r>
          <rPr>
            <b/>
            <sz val="14"/>
            <color indexed="81"/>
            <rFont val="Tahoma"/>
            <family val="2"/>
          </rPr>
          <t xml:space="preserve">Hi NOC TX </t>
        </r>
        <r>
          <rPr>
            <b/>
            <sz val="14"/>
            <color indexed="81"/>
            <rFont val="細明體"/>
            <family val="3"/>
            <charset val="136"/>
          </rPr>
          <t xml:space="preserve">結案
</t>
        </r>
      </text>
    </comment>
    <comment ref="R14" authorId="1" shapeId="0" xr:uid="{BB813373-7C87-41A7-A273-F55EB86CA97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S14" authorId="1" shapeId="0" xr:uid="{11BB19D3-4E20-4EAF-AD2B-DBFEFAA146D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T14" authorId="1" shapeId="0" xr:uid="{C3335D55-7988-45A3-96AD-389E4E82F9F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4" authorId="1" shapeId="0" xr:uid="{4D4D51A5-03C7-46B4-AED3-48A56B548E0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A14" authorId="1" shapeId="0" xr:uid="{0A1783CA-5FAD-456A-8CF9-0D2B4950C4C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B14" authorId="1" shapeId="0" xr:uid="{CE2F4757-708A-4054-AB27-D7186D87269B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C14" authorId="1" shapeId="0" xr:uid="{891DC5F7-F2DC-477C-9461-D971B34C68C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4" authorId="1" shapeId="0" xr:uid="{BFB9C619-167A-4C04-876F-76102E05460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14" authorId="1" shapeId="0" xr:uid="{3EF8E56F-272B-42D8-A7E8-2ADFAFE6287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14" authorId="1" shapeId="0" xr:uid="{B26DA81C-84C6-4E4F-A998-A4FE6881464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4" authorId="1" shapeId="0" xr:uid="{B3740AD0-C1BB-43C8-BE08-4CE047C1C67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4" authorId="1" shapeId="0" xr:uid="{0D20F5B2-B424-49B6-929E-E85B011DF7C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5" authorId="1" shapeId="0" xr:uid="{451E748A-E21C-4B70-8A5F-1BF2CC093C9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sir:早上有事，請幫我排"2"或"中",謝謝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5" authorId="1" shapeId="0" xr:uid="{5442D14E-087F-42AB-B02D-7847DF344189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Q15" authorId="1" shapeId="0" xr:uid="{24F3B301-865D-457F-862E-EB775F5D831E}">
      <text>
        <r>
          <rPr>
            <b/>
            <sz val="14"/>
            <color indexed="81"/>
            <rFont val="Tahoma"/>
            <family val="2"/>
          </rPr>
          <t xml:space="preserve">ETSC PN Coding
</t>
        </r>
      </text>
    </comment>
    <comment ref="W15" authorId="1" shapeId="0" xr:uid="{930B8CD3-05CD-48FA-9A48-F0FBC6294627}">
      <text>
        <r>
          <rPr>
            <b/>
            <sz val="14"/>
            <color indexed="81"/>
            <rFont val="Tahoma"/>
            <family val="2"/>
          </rPr>
          <t xml:space="preserve">ETSC PN Coding
原T早
</t>
        </r>
      </text>
    </comment>
    <comment ref="AA15" authorId="1" shapeId="0" xr:uid="{C4392CE5-CD33-4287-A98F-E8246606B346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AB15" authorId="1" shapeId="0" xr:uid="{D1DE5CB3-1468-4A35-9792-7C63DA0A860E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L15" authorId="1" shapeId="0" xr:uid="{4D6BA47D-68C5-46F3-9371-B77E8D6B97B7}">
      <text>
        <r>
          <rPr>
            <b/>
            <sz val="14"/>
            <color indexed="81"/>
            <rFont val="Tahoma"/>
            <family val="2"/>
          </rPr>
          <t xml:space="preserve">ETSC PN Coding
</t>
        </r>
      </text>
    </comment>
    <comment ref="J16" authorId="4" shapeId="0" xr:uid="{F79DADB8-247D-498A-8537-4010B13B74AF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如果排班方便的話請多早或1，支援大夜與小夜，請各別排在同一周但不要假日，不要超過3天，謝謝
如果人力許可，請多排一個N
</t>
        </r>
      </text>
    </comment>
    <comment ref="N16" authorId="2" shapeId="0" xr:uid="{6F7FC7D2-9CF8-4567-8398-D19F11465BDF}">
      <text>
        <r>
          <rPr>
            <b/>
            <sz val="9"/>
            <color indexed="81"/>
            <rFont val="Tahoma"/>
            <family val="2"/>
          </rPr>
          <t>原M1</t>
        </r>
      </text>
    </comment>
    <comment ref="O16" authorId="1" shapeId="0" xr:uid="{DB30EC61-2991-4E46-AAB9-1E936CB18839}">
      <text>
        <r>
          <rPr>
            <b/>
            <sz val="14"/>
            <color indexed="81"/>
            <rFont val="Tahoma"/>
            <family val="2"/>
          </rPr>
          <t xml:space="preserve">Hi NOC TX </t>
        </r>
        <r>
          <rPr>
            <b/>
            <sz val="14"/>
            <color indexed="81"/>
            <rFont val="細明體"/>
            <family val="3"/>
            <charset val="136"/>
          </rPr>
          <t xml:space="preserve">結案
</t>
        </r>
      </text>
    </comment>
    <comment ref="V16" authorId="1" shapeId="0" xr:uid="{357242DC-7B80-4294-9170-0FAD2C0B8251}">
      <text>
        <r>
          <rPr>
            <b/>
            <sz val="14"/>
            <color indexed="81"/>
            <rFont val="細明體"/>
            <family val="3"/>
            <charset val="136"/>
          </rPr>
          <t xml:space="preserve">Bras 
discuss
</t>
        </r>
      </text>
    </comment>
    <comment ref="AC16" authorId="1" shapeId="0" xr:uid="{63A1F4AF-6C85-4D9C-B123-4DFDB1AF6A67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</t>
        </r>
      </text>
    </comment>
    <comment ref="AJ16" authorId="1" shapeId="0" xr:uid="{89956348-4209-43C1-82A9-E7D5A0141B2D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N17" authorId="1" shapeId="0" xr:uid="{42F75026-8175-4076-A867-32FBB6DBC7ED}">
      <text>
        <r>
          <rPr>
            <b/>
            <sz val="14"/>
            <color indexed="81"/>
            <rFont val="Tahoma"/>
            <family val="2"/>
          </rPr>
          <t>Hi NOC CR</t>
        </r>
        <r>
          <rPr>
            <b/>
            <sz val="14"/>
            <color indexed="81"/>
            <rFont val="細明體"/>
            <family val="3"/>
            <charset val="136"/>
          </rPr>
          <t xml:space="preserve">通報
</t>
        </r>
      </text>
    </comment>
    <comment ref="AI17" authorId="1" shapeId="0" xr:uid="{84F0DB6C-B19C-47BD-B975-4E9C4463265F}">
      <text>
        <r>
          <rPr>
            <b/>
            <sz val="14"/>
            <color indexed="81"/>
            <rFont val="Tahoma"/>
            <family val="2"/>
          </rPr>
          <t>HR</t>
        </r>
        <r>
          <rPr>
            <b/>
            <sz val="14"/>
            <color indexed="81"/>
            <rFont val="細明體"/>
            <family val="3"/>
            <charset val="136"/>
          </rPr>
          <t>教室課程</t>
        </r>
      </text>
    </comment>
    <comment ref="N18" authorId="1" shapeId="0" xr:uid="{026EC86D-3E49-493D-A128-4D42A2B5C707}">
      <text>
        <r>
          <rPr>
            <b/>
            <sz val="20"/>
            <color indexed="81"/>
            <rFont val="細明體"/>
            <family val="3"/>
            <charset val="136"/>
          </rPr>
          <t xml:space="preserve">病假回診
</t>
        </r>
      </text>
    </comment>
    <comment ref="Q18" authorId="1" shapeId="0" xr:uid="{55029E12-C46B-4470-B3D1-D5C59D3C42F3}">
      <text>
        <r>
          <rPr>
            <b/>
            <sz val="14"/>
            <color indexed="81"/>
            <rFont val="Tahoma"/>
            <family val="2"/>
          </rPr>
          <t xml:space="preserve">ETSC PN Coding
</t>
        </r>
      </text>
    </comment>
    <comment ref="AB18" authorId="1" shapeId="0" xr:uid="{AA36D77F-3CC1-4313-AFC4-08A0BB3B5E86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K18" authorId="1" shapeId="0" xr:uid="{B16706E9-F238-4655-BE2E-25254732AAEE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請排早或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b/>
            <sz val="14"/>
            <color indexed="81"/>
            <rFont val="細明體"/>
            <family val="3"/>
            <charset val="136"/>
          </rPr>
          <t>，謝謝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J19" authorId="1" shapeId="0" xr:uid="{66A5DD3A-D240-455E-8BA8-414AC3B3B830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排班許可的話，請幫我多排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>，謝謝。</t>
        </r>
      </text>
    </comment>
    <comment ref="J20" authorId="1" shapeId="0" xr:uid="{5EDE8D04-558D-4208-830A-7C249283AA95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如果方便請多排我</t>
        </r>
        <r>
          <rPr>
            <b/>
            <sz val="12"/>
            <color indexed="81"/>
            <rFont val="Tahoma"/>
            <family val="2"/>
          </rPr>
          <t>2</t>
        </r>
        <r>
          <rPr>
            <b/>
            <sz val="12"/>
            <color indexed="81"/>
            <rFont val="細明體"/>
            <family val="3"/>
            <charset val="136"/>
          </rPr>
          <t xml:space="preserve">或中謝謝
</t>
        </r>
      </text>
    </comment>
    <comment ref="R20" authorId="3" shapeId="0" xr:uid="{2418A37E-D586-468B-9AC0-7053AC4AE950}">
      <text>
        <r>
          <rPr>
            <b/>
            <sz val="12"/>
            <color indexed="81"/>
            <rFont val="細明體"/>
            <family val="3"/>
            <charset val="136"/>
          </rPr>
          <t xml:space="preserve">與Joy互換一、二週
</t>
        </r>
      </text>
    </comment>
    <comment ref="S20" authorId="3" shapeId="0" xr:uid="{75AA9A0F-1864-4076-B136-77AE6DA0CF70}">
      <text>
        <r>
          <rPr>
            <b/>
            <sz val="12"/>
            <color indexed="81"/>
            <rFont val="細明體"/>
            <family val="3"/>
            <charset val="136"/>
          </rPr>
          <t xml:space="preserve">與Joy互換一、二週
</t>
        </r>
      </text>
    </comment>
    <comment ref="V20" authorId="1" shapeId="0" xr:uid="{BB56C9A3-54C9-4AE4-9FD4-F3E11C9DCDB1}">
      <text>
        <r>
          <rPr>
            <b/>
            <sz val="14"/>
            <color indexed="81"/>
            <rFont val="細明體"/>
            <family val="3"/>
            <charset val="136"/>
          </rPr>
          <t xml:space="preserve">Bras 
discuss
</t>
        </r>
      </text>
    </comment>
    <comment ref="AJ20" authorId="1" shapeId="0" xr:uid="{83F46347-7363-447C-8176-F4D259D943D0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K21" authorId="3" shapeId="0" xr:uid="{9BDA6557-66A7-418A-940F-C9CC400C9CAF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Kevin</t>
        </r>
        <r>
          <rPr>
            <b/>
            <sz val="12"/>
            <color indexed="81"/>
            <rFont val="細明體"/>
            <family val="3"/>
            <charset val="136"/>
          </rPr>
          <t xml:space="preserve">互換一、二週
</t>
        </r>
      </text>
    </comment>
    <comment ref="M21" authorId="3" shapeId="0" xr:uid="{2F585590-9D9D-4F84-9594-FBE97251B0F3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Kevin</t>
        </r>
        <r>
          <rPr>
            <b/>
            <sz val="12"/>
            <color indexed="81"/>
            <rFont val="細明體"/>
            <family val="3"/>
            <charset val="136"/>
          </rPr>
          <t xml:space="preserve">互換一、二週
</t>
        </r>
      </text>
    </comment>
    <comment ref="AC21" authorId="1" shapeId="0" xr:uid="{7C310BBC-9FF0-4614-A325-A7D90014BBE5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</t>
        </r>
      </text>
    </comment>
    <comment ref="J22" authorId="1" shapeId="0" xr:uid="{ECAF0D97-FD0E-4D5F-A7C0-F116B55A2DEC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22" authorId="1" shapeId="0" xr:uid="{9A730565-4BA5-4EFE-A6C6-C72E27F79C2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I22" authorId="2" shapeId="0" xr:uid="{09F46B06-8A9E-43C5-B48F-2FEF2B8A475D}">
      <text>
        <r>
          <rPr>
            <b/>
            <sz val="9"/>
            <color indexed="81"/>
            <rFont val="Tahoma"/>
            <family val="2"/>
          </rPr>
          <t>Shift 3</t>
        </r>
      </text>
    </comment>
    <comment ref="AJ22" authorId="2" shapeId="0" xr:uid="{5E46B9BA-E327-402A-8C3E-B48B71D59B29}">
      <text>
        <r>
          <rPr>
            <b/>
            <sz val="9"/>
            <color indexed="81"/>
            <rFont val="Tahoma"/>
            <family val="2"/>
          </rPr>
          <t>排休</t>
        </r>
      </text>
    </comment>
    <comment ref="AL22" authorId="1" shapeId="0" xr:uid="{CFCD37AC-FD9B-4973-803F-DC2F7A4A94DD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O22" authorId="2" shapeId="0" xr:uid="{FCB6E3DD-9D7D-426E-B3BA-FBEF7F53C716}">
      <text>
        <r>
          <rPr>
            <b/>
            <sz val="9"/>
            <color indexed="81"/>
            <rFont val="Tahoma"/>
            <family val="2"/>
          </rPr>
          <t>Shift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3" authorId="1" shapeId="0" xr:uid="{0F85BABA-66A2-434E-83F4-65227D00C01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T23" authorId="1" shapeId="0" xr:uid="{0A234C4B-5FEC-4C6D-ADE3-9A2F0586CEA4}">
      <text>
        <r>
          <rPr>
            <sz val="20"/>
            <color indexed="81"/>
            <rFont val="Tahoma"/>
            <family val="2"/>
          </rPr>
          <t xml:space="preserve">Dear Jason 
</t>
        </r>
        <r>
          <rPr>
            <sz val="20"/>
            <color indexed="81"/>
            <rFont val="細明體"/>
            <family val="3"/>
            <charset val="136"/>
          </rPr>
          <t>如果方便請排我</t>
        </r>
        <r>
          <rPr>
            <sz val="20"/>
            <color indexed="81"/>
            <rFont val="Tahoma"/>
            <family val="2"/>
          </rPr>
          <t>2</t>
        </r>
        <r>
          <rPr>
            <sz val="20"/>
            <color indexed="81"/>
            <rFont val="細明體"/>
            <family val="3"/>
            <charset val="136"/>
          </rPr>
          <t xml:space="preserve">或中，謝謝。
</t>
        </r>
      </text>
    </comment>
    <comment ref="AE23" authorId="1" shapeId="0" xr:uid="{B9DA112F-81DF-4C12-B30D-7136A600CCC6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H23" authorId="1" shapeId="0" xr:uid="{17D6C3B4-5214-4359-9D95-190D718AB61E}">
      <text>
        <r>
          <rPr>
            <sz val="20"/>
            <color indexed="81"/>
            <rFont val="Tahoma"/>
            <family val="2"/>
          </rPr>
          <t xml:space="preserve">Dear Jason 
</t>
        </r>
        <r>
          <rPr>
            <sz val="20"/>
            <color indexed="81"/>
            <rFont val="細明體"/>
            <family val="3"/>
            <charset val="136"/>
          </rPr>
          <t>如果方便請排我</t>
        </r>
        <r>
          <rPr>
            <sz val="20"/>
            <color indexed="81"/>
            <rFont val="Tahoma"/>
            <family val="2"/>
          </rPr>
          <t>2</t>
        </r>
        <r>
          <rPr>
            <sz val="20"/>
            <color indexed="81"/>
            <rFont val="細明體"/>
            <family val="3"/>
            <charset val="136"/>
          </rPr>
          <t xml:space="preserve">或中，謝謝。
</t>
        </r>
      </text>
    </comment>
    <comment ref="N24" authorId="5" shapeId="0" xr:uid="{B66DF6AE-EEA1-44C7-BE4D-5A0D52684AF5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O24" authorId="5" shapeId="0" xr:uid="{035501EC-460E-4975-A30E-DF45967840A3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U24" authorId="5" shapeId="0" xr:uid="{F626D090-19A1-4ABD-B1E9-9E3363E60401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V24" authorId="5" shapeId="0" xr:uid="{4D501F86-9F0B-416D-89A8-1E169B0C68EE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AB24" authorId="5" shapeId="0" xr:uid="{97B78F93-AD3F-4DB7-A55D-88457C532FE0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AC24" authorId="5" shapeId="0" xr:uid="{BE3CF841-6496-40D9-9E97-B5CAB1C72EC2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AI24" authorId="5" shapeId="0" xr:uid="{B0FE1F39-776B-4C8A-8A5B-9287F009CEB0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AJ24" authorId="5" shapeId="0" xr:uid="{A8CF6C16-5265-44E9-AA34-E2812A991443}">
      <text>
        <r>
          <rPr>
            <b/>
            <sz val="9"/>
            <color indexed="81"/>
            <rFont val="Tahoma"/>
            <family val="2"/>
          </rPr>
          <t>CECM
8:00~8:40</t>
        </r>
        <r>
          <rPr>
            <b/>
            <sz val="9"/>
            <color indexed="81"/>
            <rFont val="細明體"/>
            <family val="3"/>
            <charset val="136"/>
          </rPr>
          <t>產出報表
建議</t>
        </r>
        <r>
          <rPr>
            <b/>
            <sz val="9"/>
            <color indexed="81"/>
            <rFont val="Tahoma"/>
            <family val="2"/>
          </rPr>
          <t>N8</t>
        </r>
        <r>
          <rPr>
            <b/>
            <sz val="9"/>
            <color indexed="81"/>
            <rFont val="細明體"/>
            <family val="3"/>
            <charset val="136"/>
          </rPr>
          <t xml:space="preserve">或有其他人力代班上述時間
</t>
        </r>
      </text>
    </comment>
    <comment ref="O25" authorId="1" shapeId="0" xr:uid="{4D381A49-8656-484A-9623-40C74EDECBB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若排班方便請排"早"or 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  <r>
          <rPr>
            <b/>
            <sz val="16"/>
            <color indexed="81"/>
            <rFont val="新細明體"/>
            <family val="1"/>
            <charset val="136"/>
          </rPr>
          <t>admin: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J26" authorId="1" shapeId="0" xr:uid="{83AA607C-DD7C-4412-8557-1AD27AE5D6C5}">
      <text>
        <r>
          <rPr>
            <b/>
            <sz val="12"/>
            <color indexed="81"/>
            <rFont val="Tahoma"/>
            <family val="2"/>
          </rPr>
          <t xml:space="preserve">Dear sir: 
</t>
        </r>
        <r>
          <rPr>
            <b/>
            <sz val="12"/>
            <color indexed="81"/>
            <rFont val="細明體"/>
            <family val="3"/>
            <charset val="136"/>
          </rPr>
          <t>如排班允許請多排2or</t>
        </r>
        <r>
          <rPr>
            <b/>
            <sz val="12"/>
            <color indexed="81"/>
            <rFont val="Tahoma"/>
            <family val="2"/>
          </rPr>
          <t>3</t>
        </r>
        <r>
          <rPr>
            <b/>
            <sz val="12"/>
            <color indexed="81"/>
            <rFont val="細明體"/>
            <family val="3"/>
            <charset val="136"/>
          </rPr>
          <t xml:space="preserve">，若1請盡量假日，謝謝。
admin:
</t>
        </r>
      </text>
    </comment>
    <comment ref="N26" authorId="1" shapeId="0" xr:uid="{0395B4B8-D408-4BFE-B37C-5385BEDCC37D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P26" authorId="1" shapeId="0" xr:uid="{D5DB135F-FCD0-4D14-961C-00A2D1F0A1B3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V26" authorId="1" shapeId="0" xr:uid="{2AD508CB-972B-4DE3-A6B4-F656EDF1101F}">
      <text>
        <r>
          <rPr>
            <b/>
            <sz val="14"/>
            <color indexed="81"/>
            <rFont val="細明體"/>
            <family val="3"/>
            <charset val="136"/>
          </rPr>
          <t xml:space="preserve">Bras 
discuss
</t>
        </r>
      </text>
    </comment>
    <comment ref="W26" authorId="1" shapeId="0" xr:uid="{476F2266-8123-48FD-90A1-610E88D3C7F3}">
      <text>
        <r>
          <rPr>
            <b/>
            <sz val="14"/>
            <color indexed="81"/>
            <rFont val="細明體"/>
            <family val="3"/>
            <charset val="136"/>
          </rPr>
          <t xml:space="preserve">Bras 
coding
</t>
        </r>
      </text>
    </comment>
    <comment ref="Y26" authorId="1" shapeId="0" xr:uid="{0F78DBF7-C835-43D4-A352-37E5BF59C82F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Z26" authorId="1" shapeId="0" xr:uid="{981FB475-B8CE-4E45-AD99-A199A6B878F3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C26" authorId="1" shapeId="0" xr:uid="{84462FA7-23E7-40D7-B84B-04330ECF2641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I26" authorId="1" shapeId="0" xr:uid="{87C046BE-21D1-4600-BE9F-99239431CC57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M26" authorId="1" shapeId="0" xr:uid="{5C224B0B-B152-49FD-B8A4-33FAC9F33D61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若排班許可，請幫我排"1"，謝謝。
</t>
        </r>
      </text>
    </comment>
    <comment ref="AN26" authorId="1" shapeId="0" xr:uid="{47846B77-0931-4478-B74A-80FA5EB03E60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若排班許可，請幫我排"1"，謝謝。
</t>
        </r>
      </text>
    </comment>
    <comment ref="J27" authorId="1" shapeId="0" xr:uid="{B6824D40-FC65-4CAE-899D-461C5BE4E3AD}">
      <text>
        <r>
          <rPr>
            <b/>
            <sz val="13"/>
            <color indexed="81"/>
            <rFont val="Tahoma"/>
            <family val="2"/>
          </rPr>
          <t xml:space="preserve">Dear sir: 
</t>
        </r>
        <r>
          <rPr>
            <b/>
            <sz val="13"/>
            <color indexed="81"/>
            <rFont val="細明體"/>
            <family val="3"/>
            <charset val="136"/>
          </rPr>
          <t>如排班允許請多排</t>
        </r>
        <r>
          <rPr>
            <b/>
            <sz val="13"/>
            <color indexed="81"/>
            <rFont val="Tahoma"/>
            <family val="2"/>
          </rPr>
          <t>3</t>
        </r>
        <r>
          <rPr>
            <b/>
            <sz val="13"/>
            <color indexed="81"/>
            <rFont val="細明體"/>
            <family val="3"/>
            <charset val="136"/>
          </rPr>
          <t xml:space="preserve">，謝謝。
</t>
        </r>
      </text>
    </comment>
    <comment ref="N27" authorId="1" shapeId="0" xr:uid="{CD5B8A51-4A8E-4F55-A3A2-3C85301AD7A8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方便的話,請排3 or X，謝謝
</t>
        </r>
      </text>
    </comment>
    <comment ref="R27" authorId="1" shapeId="0" xr:uid="{CA6E0140-7E41-44B4-8C52-4E70B3C5CC42}">
      <text>
        <r>
          <rPr>
            <sz val="12"/>
            <color indexed="81"/>
            <rFont val="細明體"/>
            <family val="3"/>
            <charset val="136"/>
          </rPr>
          <t>Key換週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S27" authorId="1" shapeId="0" xr:uid="{2D8214E3-BE2E-4798-B323-C9F361FC0D30}">
      <text>
        <r>
          <rPr>
            <sz val="12"/>
            <color indexed="81"/>
            <rFont val="細明體"/>
            <family val="3"/>
            <charset val="136"/>
          </rPr>
          <t>Key換週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U27" authorId="1" shapeId="0" xr:uid="{A4F22F18-0751-4ADF-8C77-F06FA033522E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方便的話,請排3 or X，謝謝
</t>
        </r>
      </text>
    </comment>
    <comment ref="AB27" authorId="1" shapeId="0" xr:uid="{97D8D48A-6B9E-424A-B797-7823617A2A4F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方便的話,請排3 or X，謝謝
</t>
        </r>
      </text>
    </comment>
    <comment ref="AI27" authorId="1" shapeId="0" xr:uid="{CC5FA912-29DF-4CED-B2A9-2838FDF7658F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方便的話,請排3 or X，謝謝
</t>
        </r>
      </text>
    </comment>
    <comment ref="P28" authorId="1" shapeId="0" xr:uid="{B34FE7E7-B8B0-49BE-9632-659439D0399C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U28" authorId="1" shapeId="0" xr:uid="{288A617C-C6E2-456B-8C0A-8D61E7524783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J30" authorId="1" shapeId="0" xr:uid="{5A5BE453-3236-422C-AB46-8DBD4F477201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
若排班許可，平日盡量多排"2"，謝謝。
</t>
        </r>
      </text>
    </comment>
    <comment ref="R33" authorId="1" shapeId="0" xr:uid="{AADB57B0-E422-4898-BC85-1C1772F194BE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3" authorId="1" shapeId="0" xr:uid="{013E53D9-7C9C-443E-A460-55891F1E9D0F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3" authorId="1" shapeId="0" xr:uid="{A79C90AB-E358-4E97-8C5F-7D3F0009295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3" authorId="1" shapeId="0" xr:uid="{74811770-A682-4712-A3A6-F6E4454812B0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33" authorId="1" shapeId="0" xr:uid="{93DD36FE-BEDF-4E6B-AFC5-789A81D76029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4" authorId="1" shapeId="0" xr:uid="{DC460442-0A8F-498D-84B6-AE9573318FB7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Dear sir
如果排班方便，請幫我排"晚"，謝謝。
</t>
        </r>
      </text>
    </comment>
    <comment ref="AG34" authorId="1" shapeId="0" xr:uid="{D21EB2A6-BA65-497D-971F-32EEFAA6CEA0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Dear sir
如果排班方便，請幫我排"晚"，謝謝。
</t>
        </r>
      </text>
    </comment>
    <comment ref="AH34" authorId="1" shapeId="0" xr:uid="{BC3F8FC5-8C48-492B-A14D-9172237F1798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Dear sir
如果排班方便，請幫我排"晚"，謝謝。
</t>
        </r>
      </text>
    </comment>
    <comment ref="AI34" authorId="1" shapeId="0" xr:uid="{6EB1B6D5-1A42-43EF-A0DD-76EBD20399EB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Dear sir
如果排班方便，請幫我排"晚"，謝謝。
</t>
        </r>
      </text>
    </comment>
    <comment ref="AJ34" authorId="1" shapeId="0" xr:uid="{B27D4497-6C53-4F30-8DA8-9AD66B41F8E8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Dear sir
如果排班方便，請幫我排"晚"，謝謝。
</t>
        </r>
      </text>
    </comment>
    <comment ref="AK34" authorId="1" shapeId="0" xr:uid="{67310B23-C421-4235-B092-C6245EA53FCA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Dear sir
如果排班方便，請幫我排"晚"，謝謝。
</t>
        </r>
      </text>
    </comment>
    <comment ref="J35" authorId="1" shapeId="0" xr:uid="{4813D58F-8407-4C21-A694-C3C3B8401B19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1.如果排班方便，因為接送小孩，請多排中班或2，謝謝。
2.如果排班方便，因為接送小孩，如有大夜請排在例假日沒有上課時，謝謝。</t>
        </r>
        <r>
          <rPr>
            <sz val="14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U35" authorId="2" shapeId="0" xr:uid="{8E5E3B59-3E5C-4E22-89DA-59B3F70B73C5}">
      <text>
        <r>
          <rPr>
            <b/>
            <sz val="9"/>
            <color indexed="81"/>
            <rFont val="Tahoma"/>
            <family val="2"/>
          </rPr>
          <t>Shift 2</t>
        </r>
      </text>
    </comment>
    <comment ref="J36" authorId="6" shapeId="0" xr:uid="{55192E3D-3491-462A-B677-052E89D75EFE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admin:
admin:
admin:
</t>
        </r>
      </text>
    </comment>
    <comment ref="O37" authorId="1" shapeId="0" xr:uid="{F7C54028-5345-4283-A8F8-25697E03761D}">
      <text>
        <r>
          <rPr>
            <b/>
            <sz val="14"/>
            <color indexed="81"/>
            <rFont val="Tahoma"/>
            <family val="2"/>
          </rPr>
          <t xml:space="preserve">Hi NOC TX </t>
        </r>
        <r>
          <rPr>
            <b/>
            <sz val="14"/>
            <color indexed="81"/>
            <rFont val="細明體"/>
            <family val="3"/>
            <charset val="136"/>
          </rPr>
          <t xml:space="preserve">結案
</t>
        </r>
      </text>
    </comment>
    <comment ref="AB37" authorId="1" shapeId="0" xr:uid="{E9B4BD90-EEC4-4477-863B-2A9B54B3CB50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K38" authorId="1" shapeId="0" xr:uid="{8013E057-B44F-412F-9BDE-43FEDC71F5EC}">
      <text>
        <r>
          <rPr>
            <sz val="14"/>
            <color indexed="81"/>
            <rFont val="細明體"/>
            <family val="3"/>
            <charset val="136"/>
          </rPr>
          <t>跟</t>
        </r>
        <r>
          <rPr>
            <sz val="14"/>
            <color indexed="81"/>
            <rFont val="Tahoma"/>
            <family val="2"/>
          </rPr>
          <t xml:space="preserve">Glenn </t>
        </r>
        <r>
          <rPr>
            <sz val="14"/>
            <color indexed="81"/>
            <rFont val="細明體"/>
            <family val="3"/>
            <charset val="136"/>
          </rPr>
          <t>換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P38" authorId="1" shapeId="0" xr:uid="{BA5BAD64-2E05-429E-B372-3FEB8F617A76}">
      <text>
        <r>
          <rPr>
            <sz val="14"/>
            <color indexed="81"/>
            <rFont val="細明體"/>
            <family val="3"/>
            <charset val="136"/>
          </rPr>
          <t>跟</t>
        </r>
        <r>
          <rPr>
            <sz val="14"/>
            <color indexed="81"/>
            <rFont val="Tahoma"/>
            <family val="2"/>
          </rPr>
          <t xml:space="preserve">Glenn </t>
        </r>
        <r>
          <rPr>
            <sz val="14"/>
            <color indexed="81"/>
            <rFont val="細明體"/>
            <family val="3"/>
            <charset val="136"/>
          </rPr>
          <t>換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Q38" authorId="1" shapeId="0" xr:uid="{CEC43B76-F938-4290-8D6C-9EEAF446D1F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R38" authorId="1" shapeId="0" xr:uid="{F27BB459-890E-4270-AECD-518A98E4F238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S38" authorId="1" shapeId="0" xr:uid="{7FD5BD7E-22B6-408E-A4F6-8FEBEB75416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T38" authorId="1" shapeId="0" xr:uid="{3E3ACD4A-D317-449E-B8CF-8673EADBCBB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X38" authorId="1" shapeId="0" xr:uid="{8160CBD5-FA53-41AD-9735-6A1A114321E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Y38" authorId="1" shapeId="0" xr:uid="{4DD53004-956B-4978-8E3B-A100FAC1FE3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Z38" authorId="1" shapeId="0" xr:uid="{A76151AE-5350-4760-B20A-24B01E22753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A38" authorId="1" shapeId="0" xr:uid="{FF52EA52-5A82-4088-8F7A-1729DA4945B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38" authorId="1" shapeId="0" xr:uid="{FB1735FE-2C64-4145-A092-6DA912419C6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I38" authorId="1" shapeId="0" xr:uid="{1AD2C0E6-EB82-4B34-A601-4CE4DD055AA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L38" authorId="1" shapeId="0" xr:uid="{741B1848-62B7-47A9-97F8-518D4BC2273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M38" authorId="1" shapeId="0" xr:uid="{8DFA1ECF-0D43-4E28-8149-A621438111D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N38" authorId="1" shapeId="0" xr:uid="{F7EFA7A3-EF46-4E64-B6A0-95A47EEDFE1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O38" authorId="1" shapeId="0" xr:uid="{5380D02D-1E75-4EE9-98C0-AF8F6024557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K39" authorId="1" shapeId="0" xr:uid="{099B5A8C-97A7-4161-A129-B90C1CD2C23A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早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L39" authorId="1" shapeId="0" xr:uid="{30177976-4EE4-442C-8B5D-CDC2584248D5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早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O39" authorId="1" shapeId="0" xr:uid="{C4D09DF8-0600-4912-A475-6C01A4C1D6FE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P39" authorId="1" shapeId="0" xr:uid="{A5F828C3-DE31-4354-B09B-0E3D6B163C0F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Q39" authorId="1" shapeId="0" xr:uid="{AF93F473-938F-4C22-9CFB-30468139BAAC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X39" authorId="1" shapeId="0" xr:uid="{9E37511A-6631-4022-AFB2-455EE3E9A812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Y39" authorId="1" shapeId="0" xr:uid="{B70F8D96-7ECC-4C75-AFB6-45E15CBBCC36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Z39" authorId="1" shapeId="0" xr:uid="{459C3B49-EE9C-4CDE-A19F-EE0008AEBE76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AA39" authorId="1" shapeId="0" xr:uid="{A11EFD8D-A3B8-4234-BD1A-27F281E1D472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AD39" authorId="1" shapeId="0" xr:uid="{7A4487D7-7898-45E7-ADA0-E9E9EF23EC25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AH39" authorId="1" shapeId="0" xr:uid="{89C057B7-B7D1-4BE3-8DB2-3FDE0206386B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I39" authorId="1" shapeId="0" xr:uid="{BA7BF821-1CAC-42DF-A324-935317BC53BB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J39" authorId="1" shapeId="0" xr:uid="{B0737186-04AF-4295-ABA9-982147233B02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L39" authorId="1" shapeId="0" xr:uid="{6375BE0E-D095-4AC8-B296-9D5F24A1D1A4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AM39" authorId="1" shapeId="0" xr:uid="{E91F24DD-C973-4837-BA03-3573B6DC4A21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AN39" authorId="1" shapeId="0" xr:uid="{09F0C138-B2D4-4CFF-9B51-4FBF560F341B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AO39" authorId="1" shapeId="0" xr:uid="{E39863E1-ABEE-44CB-95C2-036599F0FE1E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J40" authorId="1" shapeId="0" xr:uid="{0ADD3999-753A-4F28-8A92-37902CC9F2A6}">
      <text>
        <r>
          <rPr>
            <sz val="9"/>
            <color indexed="81"/>
            <rFont val="細明體"/>
            <family val="3"/>
            <charset val="136"/>
          </rPr>
          <t xml:space="preserve">不要排小夜
</t>
        </r>
      </text>
    </comment>
    <comment ref="AI40" authorId="1" shapeId="0" xr:uid="{DA7EE8E5-6CC5-4B6C-8455-AA17FCC1B06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Splunk</t>
        </r>
        <r>
          <rPr>
            <sz val="9"/>
            <color indexed="81"/>
            <rFont val="細明體"/>
            <family val="3"/>
            <charset val="136"/>
          </rPr>
          <t>課程須排</t>
        </r>
        <r>
          <rPr>
            <sz val="9"/>
            <color indexed="81"/>
            <rFont val="Tahoma"/>
            <family val="2"/>
          </rPr>
          <t>N</t>
        </r>
        <r>
          <rPr>
            <sz val="9"/>
            <color indexed="81"/>
            <rFont val="細明體"/>
            <family val="3"/>
            <charset val="136"/>
          </rPr>
          <t xml:space="preserve">班
</t>
        </r>
      </text>
    </comment>
    <comment ref="M42" authorId="1" shapeId="0" xr:uid="{CCCD0983-D220-45AA-A98E-8D16F62663F8}">
      <text>
        <r>
          <rPr>
            <b/>
            <sz val="9"/>
            <color indexed="81"/>
            <rFont val="細明體"/>
            <family val="3"/>
            <charset val="136"/>
          </rPr>
          <t>有事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P42" authorId="1" shapeId="0" xr:uid="{C13DDF10-5C6E-48B6-89C1-41E6416869C8}">
      <text>
        <r>
          <rPr>
            <b/>
            <sz val="9"/>
            <color indexed="81"/>
            <rFont val="細明體"/>
            <family val="3"/>
            <charset val="136"/>
          </rPr>
          <t>有事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Q42" authorId="1" shapeId="0" xr:uid="{0C301A28-D644-4361-B8BF-FAECADA05ACE}">
      <text>
        <r>
          <rPr>
            <b/>
            <sz val="9"/>
            <color indexed="81"/>
            <rFont val="細明體"/>
            <family val="3"/>
            <charset val="136"/>
          </rPr>
          <t>有事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R42" authorId="1" shapeId="0" xr:uid="{E9A2BED4-8E7B-4D1A-B204-EA1573EEEB96}">
      <text>
        <r>
          <rPr>
            <b/>
            <sz val="9"/>
            <color indexed="81"/>
            <rFont val="細明體"/>
            <family val="3"/>
            <charset val="136"/>
          </rPr>
          <t>有事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S42" authorId="1" shapeId="0" xr:uid="{D1388316-9B9E-452D-9DAD-518EF778F4EF}">
      <text>
        <r>
          <rPr>
            <b/>
            <sz val="9"/>
            <color indexed="81"/>
            <rFont val="細明體"/>
            <family val="3"/>
            <charset val="136"/>
          </rPr>
          <t>有事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盡量排大夜
</t>
        </r>
      </text>
    </comment>
    <comment ref="T42" authorId="1" shapeId="0" xr:uid="{7AE2E4B5-9004-4FAC-9185-47B537F99AA8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H42" authorId="1" shapeId="0" xr:uid="{11A04FBB-2A01-416D-9D24-BD27D39D65F7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I42" authorId="1" shapeId="0" xr:uid="{ADE62530-9CBD-4533-927D-143F195F0CE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Splunk</t>
        </r>
        <r>
          <rPr>
            <sz val="9"/>
            <color indexed="81"/>
            <rFont val="細明體"/>
            <family val="3"/>
            <charset val="136"/>
          </rPr>
          <t>課程須排</t>
        </r>
        <r>
          <rPr>
            <sz val="9"/>
            <color indexed="81"/>
            <rFont val="Tahoma"/>
            <family val="2"/>
          </rPr>
          <t>N</t>
        </r>
        <r>
          <rPr>
            <sz val="9"/>
            <color indexed="81"/>
            <rFont val="細明體"/>
            <family val="3"/>
            <charset val="136"/>
          </rPr>
          <t xml:space="preserve">班
</t>
        </r>
      </text>
    </comment>
    <comment ref="AO42" authorId="1" shapeId="0" xr:uid="{47F7428E-65C7-4296-A1C0-E629E3FDF148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Y44" authorId="1" shapeId="0" xr:uid="{8640309B-1185-4C83-8995-B71B75CF4B3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假日只能大夜
</t>
        </r>
      </text>
    </comment>
    <comment ref="Z44" authorId="1" shapeId="0" xr:uid="{F28BF763-ECFB-4D41-A2AF-277AEF61348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假日只能大夜
</t>
        </r>
      </text>
    </comment>
    <comment ref="AI44" authorId="1" shapeId="0" xr:uid="{0A5DB05C-8620-4B6B-8700-51CED95DD4F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Splunk</t>
        </r>
        <r>
          <rPr>
            <sz val="9"/>
            <color indexed="81"/>
            <rFont val="細明體"/>
            <family val="3"/>
            <charset val="136"/>
          </rPr>
          <t>課程須排</t>
        </r>
        <r>
          <rPr>
            <sz val="9"/>
            <color indexed="81"/>
            <rFont val="Tahoma"/>
            <family val="2"/>
          </rPr>
          <t>N</t>
        </r>
        <r>
          <rPr>
            <sz val="9"/>
            <color indexed="81"/>
            <rFont val="細明體"/>
            <family val="3"/>
            <charset val="136"/>
          </rPr>
          <t xml:space="preserve">班
</t>
        </r>
      </text>
    </comment>
    <comment ref="AM44" authorId="1" shapeId="0" xr:uid="{E720680F-FFEC-48A1-AB37-D432A907867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假日只能大夜
</t>
        </r>
      </text>
    </comment>
    <comment ref="AN44" authorId="1" shapeId="0" xr:uid="{D8944814-9548-4FC2-AE39-61CD8185985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假日只能大夜
</t>
        </r>
      </text>
    </comment>
    <comment ref="J45" authorId="1" shapeId="0" xr:uid="{8FB75A1A-38C2-4DA8-95B1-D35A9FB13F8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請幫忙安排兩天特休消化時數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K45" authorId="1" shapeId="0" xr:uid="{933EC965-38D4-4A5B-AF92-98838952A51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周末帶小孩出遊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跟</t>
        </r>
        <r>
          <rPr>
            <sz val="9"/>
            <color indexed="81"/>
            <rFont val="Tahoma"/>
            <family val="2"/>
          </rPr>
          <t>nick</t>
        </r>
        <r>
          <rPr>
            <sz val="9"/>
            <color indexed="81"/>
            <rFont val="細明體"/>
            <family val="3"/>
            <charset val="136"/>
          </rPr>
          <t xml:space="preserve">換休
</t>
        </r>
      </text>
    </comment>
    <comment ref="L45" authorId="1" shapeId="0" xr:uid="{5BE9351A-3BDE-4DC5-AB0C-AFE778BF1EA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周末帶小孩出遊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跟</t>
        </r>
        <r>
          <rPr>
            <sz val="9"/>
            <color indexed="81"/>
            <rFont val="Tahoma"/>
            <family val="2"/>
          </rPr>
          <t>nick</t>
        </r>
        <r>
          <rPr>
            <sz val="9"/>
            <color indexed="81"/>
            <rFont val="細明體"/>
            <family val="3"/>
            <charset val="136"/>
          </rPr>
          <t xml:space="preserve">換休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Huang, Simon 黃明達 (518538)</author>
    <author>Admin</author>
    <author>Teng, Kevin 鄧硯駿 (598171)</author>
    <author>Jiang, Tony 江宇東 (598753)</author>
    <author>User</author>
    <author>Shen, Wayne 沈暐軒 (598844)</author>
  </authors>
  <commentList>
    <comment ref="F2" authorId="0" shapeId="0" xr:uid="{9DCB1210-6646-4051-A467-C561D6A15FB2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80C62AF3-4648-4007-AAF5-6DC9DA384D4D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AI2" authorId="1" shapeId="0" xr:uid="{4DDB6F01-258D-426A-9FDF-4EBBA18B449B}">
      <text>
        <r>
          <rPr>
            <b/>
            <sz val="14"/>
            <color indexed="81"/>
            <rFont val="Tahoma"/>
            <family val="2"/>
          </rPr>
          <t>中秋節</t>
        </r>
      </text>
    </comment>
    <comment ref="AL2" authorId="1" shapeId="0" xr:uid="{4DDBF60A-FF65-4160-AAC3-0A5FA91C2F1F}">
      <text>
        <r>
          <rPr>
            <b/>
            <sz val="14"/>
            <color indexed="81"/>
            <rFont val="Tahoma"/>
            <family val="2"/>
          </rPr>
          <t>教師節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" authorId="2" shapeId="0" xr:uid="{7055DA20-A3AD-4972-AC4F-4CFFA62353F6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>感謝</t>
        </r>
      </text>
    </comment>
    <comment ref="N4" authorId="2" shapeId="0" xr:uid="{FCE31E9A-FAD4-4045-AE8D-7D36036A5CB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Q4" authorId="2" shapeId="0" xr:uid="{2ADCD212-EECE-42C4-AB55-8ACD2366DE13}">
      <text>
        <r>
          <rPr>
            <b/>
            <sz val="22"/>
            <color indexed="81"/>
            <rFont val="細明體"/>
            <family val="3"/>
            <charset val="136"/>
          </rPr>
          <t xml:space="preserve">病假
</t>
        </r>
      </text>
    </comment>
    <comment ref="AI4" authorId="2" shapeId="0" xr:uid="{012F4914-3422-442C-A9B7-5CB46D44E7C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J4" authorId="2" shapeId="0" xr:uid="{27D44266-FF57-4A1E-9EBE-96432B06EBE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K4" authorId="2" shapeId="0" xr:uid="{E9341B41-568B-40AD-A576-2BB35BF0F04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L4" authorId="2" shapeId="0" xr:uid="{4C5B4C24-F98E-40C6-8ED9-6B1E3AC8683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P5" authorId="2" shapeId="0" xr:uid="{7ED7E776-ECC1-44C3-9715-C2EEF11AE84A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W5" authorId="2" shapeId="0" xr:uid="{3009B4E5-CDBA-4730-8E66-EA8E748B24B0}">
      <text>
        <r>
          <rPr>
            <b/>
            <sz val="12"/>
            <color indexed="81"/>
            <rFont val="Tahoma"/>
            <family val="2"/>
          </rPr>
          <t>admin: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請幫忙</t>
        </r>
        <r>
          <rPr>
            <b/>
            <sz val="12"/>
            <color indexed="10"/>
            <rFont val="新細明體"/>
            <family val="1"/>
            <charset val="136"/>
          </rPr>
          <t>排小夜或2</t>
        </r>
        <r>
          <rPr>
            <b/>
            <sz val="12"/>
            <color indexed="81"/>
            <rFont val="Tahoma"/>
            <family val="2"/>
          </rPr>
          <t xml:space="preserve">, </t>
        </r>
        <r>
          <rPr>
            <b/>
            <sz val="12"/>
            <color indexed="81"/>
            <rFont val="細明體"/>
            <family val="3"/>
            <charset val="136"/>
          </rPr>
          <t xml:space="preserve">謝謝
</t>
        </r>
      </text>
    </comment>
    <comment ref="AA5" authorId="2" shapeId="0" xr:uid="{B4345206-189D-434F-B05B-DE8BF3D8697C}">
      <text>
        <r>
          <rPr>
            <b/>
            <sz val="14"/>
            <color indexed="81"/>
            <rFont val="Tahoma"/>
            <family val="2"/>
          </rPr>
          <t>HR</t>
        </r>
        <r>
          <rPr>
            <b/>
            <sz val="14"/>
            <color indexed="81"/>
            <rFont val="細明體"/>
            <family val="3"/>
            <charset val="136"/>
          </rPr>
          <t xml:space="preserve">課程
</t>
        </r>
      </text>
    </comment>
    <comment ref="AK5" authorId="2" shapeId="0" xr:uid="{DF0D19B6-95C2-45BE-86B3-DFA1DDB7F4D1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K6" authorId="2" shapeId="0" xr:uid="{7C39B9A7-8DFA-434F-85BC-8384B14B3D4A}">
      <text>
        <r>
          <rPr>
            <b/>
            <sz val="12"/>
            <color indexed="81"/>
            <rFont val="細明體"/>
            <family val="3"/>
            <charset val="136"/>
          </rPr>
          <t xml:space="preserve">新人教育訓練講師
</t>
        </r>
      </text>
    </comment>
    <comment ref="L6" authorId="2" shapeId="0" xr:uid="{317F952C-FC7B-407F-B498-7FF54FCD079F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M6" authorId="2" shapeId="0" xr:uid="{B9120B0F-6589-4C78-A266-980440E27347}">
      <text>
        <r>
          <rPr>
            <b/>
            <sz val="12"/>
            <color indexed="81"/>
            <rFont val="細明體"/>
            <family val="3"/>
            <charset val="136"/>
          </rPr>
          <t xml:space="preserve">新人教育訓練講師
</t>
        </r>
      </text>
    </comment>
    <comment ref="Y6" authorId="2" shapeId="0" xr:uid="{014C084F-69FA-4E9E-9BEE-A2F7E5242ED3}">
      <text>
        <r>
          <rPr>
            <b/>
            <sz val="12"/>
            <color indexed="81"/>
            <rFont val="細明體"/>
            <family val="3"/>
            <charset val="136"/>
          </rPr>
          <t xml:space="preserve">新人教育訓練講師
</t>
        </r>
      </text>
    </comment>
    <comment ref="Z6" authorId="2" shapeId="0" xr:uid="{F07EDD71-1837-4B23-8AA0-8EE87D094B24}">
      <text>
        <r>
          <rPr>
            <b/>
            <sz val="12"/>
            <color indexed="81"/>
            <rFont val="細明體"/>
            <family val="3"/>
            <charset val="136"/>
          </rPr>
          <t xml:space="preserve">新人教育訓練講師
</t>
        </r>
      </text>
    </comment>
    <comment ref="J7" authorId="2" shapeId="0" xr:uid="{B94997B2-2EFF-41BF-BABE-B9BB4FE70537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AN7" authorId="2" shapeId="0" xr:uid="{6B055AAA-CEC9-4AD5-A083-4615D360F637}">
      <text>
        <r>
          <rPr>
            <b/>
            <sz val="14"/>
            <color indexed="81"/>
            <rFont val="Tahoma"/>
            <family val="2"/>
          </rPr>
          <t>HR</t>
        </r>
        <r>
          <rPr>
            <b/>
            <sz val="14"/>
            <color indexed="81"/>
            <rFont val="細明體"/>
            <family val="3"/>
            <charset val="136"/>
          </rPr>
          <t xml:space="preserve">線上課程
</t>
        </r>
      </text>
    </comment>
    <comment ref="O8" authorId="2" shapeId="0" xr:uid="{81D33CC8-7B98-4276-8217-990741EC9F06}">
      <text>
        <r>
          <rPr>
            <b/>
            <sz val="16"/>
            <color indexed="81"/>
            <rFont val="新細明體"/>
            <family val="1"/>
            <charset val="136"/>
          </rPr>
          <t>Dear Jason:
早上要參加家長會，請幫忙排中或2,謝謝</t>
        </r>
      </text>
    </comment>
    <comment ref="P8" authorId="3" shapeId="0" xr:uid="{72D68E8E-AA39-435A-BDAC-01E19F7780C9}">
      <text>
        <r>
          <rPr>
            <b/>
            <sz val="12"/>
            <color indexed="81"/>
            <rFont val="細明體"/>
            <family val="3"/>
            <charset val="136"/>
          </rPr>
          <t xml:space="preserve">請排2
</t>
        </r>
      </text>
    </comment>
    <comment ref="V8" authorId="2" shapeId="0" xr:uid="{75F3EA06-A39E-4518-AB4F-22B13455241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C8" authorId="2" shapeId="0" xr:uid="{E494BC74-2322-4457-9B02-F9B92B2D4CC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J9" authorId="2" shapeId="0" xr:uid="{B56E879C-6831-40C5-8B24-8438A22C381C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Jason,
支援小夜大夜，但合計請勿超過" 3 "天，假日可以的話也請幫忙排早、1，謝謝。
</t>
        </r>
      </text>
    </comment>
    <comment ref="L9" authorId="2" shapeId="0" xr:uid="{0346A225-66F0-46ED-B44F-7C0CBDC6D378}">
      <text>
        <r>
          <rPr>
            <b/>
            <sz val="14"/>
            <color indexed="81"/>
            <rFont val="Tahoma"/>
            <family val="2"/>
          </rPr>
          <t xml:space="preserve">ETSC PN Coding
</t>
        </r>
      </text>
    </comment>
    <comment ref="U9" authorId="2" shapeId="0" xr:uid="{27D67499-95F7-4D6E-B240-1760A51EB117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G9" authorId="2" shapeId="0" xr:uid="{7C9EFC2E-D150-4665-930B-C429BF84DADB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H9" authorId="2" shapeId="0" xr:uid="{3C089794-5091-4424-ABEA-5744329A6238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J10" authorId="2" shapeId="0" xr:uid="{36D555AD-C292-4EBA-AA4B-D28324F08266}">
      <text>
        <r>
          <rPr>
            <b/>
            <sz val="9"/>
            <color indexed="81"/>
            <rFont val="Tahoma"/>
            <family val="2"/>
          </rPr>
          <t xml:space="preserve">Hi Jason,
</t>
        </r>
        <r>
          <rPr>
            <b/>
            <sz val="9"/>
            <color indexed="81"/>
            <rFont val="細明體"/>
            <family val="3"/>
            <charset val="136"/>
          </rPr>
          <t>若需排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細明體"/>
            <family val="3"/>
            <charset val="136"/>
          </rPr>
          <t>或</t>
        </r>
        <r>
          <rPr>
            <b/>
            <sz val="9"/>
            <color indexed="81"/>
            <rFont val="Tahoma"/>
            <family val="2"/>
          </rPr>
          <t xml:space="preserve">3 </t>
        </r>
        <r>
          <rPr>
            <b/>
            <sz val="9"/>
            <color indexed="81"/>
            <rFont val="細明體"/>
            <family val="3"/>
            <charset val="136"/>
          </rPr>
          <t xml:space="preserve">請在六日，感謝
</t>
        </r>
      </text>
    </comment>
    <comment ref="S10" authorId="2" shapeId="0" xr:uid="{F3051E88-7275-4DA4-A178-43DA86A4C62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 學習
</t>
        </r>
      </text>
    </comment>
    <comment ref="AG10" authorId="2" shapeId="0" xr:uid="{A3673BF8-CE5C-464D-B227-8AF49F647A0E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J10" authorId="2" shapeId="0" xr:uid="{21BFD6E4-8850-49D9-B781-00264D16DD1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O11" authorId="3" shapeId="0" xr:uid="{45D23442-7C83-4509-BCE5-40049587B2F7}">
      <text>
        <r>
          <rPr>
            <b/>
            <sz val="12"/>
            <color indexed="81"/>
            <rFont val="細明體"/>
            <family val="3"/>
            <charset val="136"/>
          </rPr>
          <t xml:space="preserve">請排2
</t>
        </r>
      </text>
    </comment>
    <comment ref="P11" authorId="3" shapeId="0" xr:uid="{12538A85-F675-4A3B-8B24-8B17562A91CE}">
      <text>
        <r>
          <rPr>
            <b/>
            <sz val="12"/>
            <color indexed="81"/>
            <rFont val="細明體"/>
            <family val="3"/>
            <charset val="136"/>
          </rPr>
          <t xml:space="preserve">請排2
</t>
        </r>
      </text>
    </comment>
    <comment ref="L12" authorId="2" shapeId="0" xr:uid="{78D61C31-70C8-4FEE-9324-F0CE204E1174}">
      <text>
        <r>
          <rPr>
            <b/>
            <sz val="14"/>
            <color indexed="81"/>
            <rFont val="Tahoma"/>
            <family val="2"/>
          </rPr>
          <t xml:space="preserve">ETSC PN Coding
</t>
        </r>
      </text>
    </comment>
    <comment ref="AF12" authorId="2" shapeId="0" xr:uid="{28D4A428-63FD-49DE-9AD3-0E76B43A73D4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J12" authorId="3" shapeId="0" xr:uid="{38101A37-DB7B-40C9-89D3-3111146D6E36}">
      <text>
        <r>
          <rPr>
            <b/>
            <sz val="12"/>
            <color indexed="81"/>
            <rFont val="細明體"/>
            <family val="3"/>
            <charset val="136"/>
          </rPr>
          <t>請排</t>
        </r>
        <r>
          <rPr>
            <b/>
            <sz val="12"/>
            <color indexed="81"/>
            <rFont val="Tahoma"/>
            <family val="2"/>
          </rPr>
          <t>1</t>
        </r>
        <r>
          <rPr>
            <b/>
            <sz val="12"/>
            <color indexed="81"/>
            <rFont val="細明體"/>
            <family val="3"/>
            <charset val="136"/>
          </rPr>
          <t xml:space="preserve">或早
</t>
        </r>
      </text>
    </comment>
    <comment ref="AK12" authorId="3" shapeId="0" xr:uid="{27A6D2FF-E384-49B8-9E63-B08A582E2F02}">
      <text>
        <r>
          <rPr>
            <b/>
            <sz val="12"/>
            <color indexed="81"/>
            <rFont val="細明體"/>
            <family val="3"/>
            <charset val="136"/>
          </rPr>
          <t>請排</t>
        </r>
        <r>
          <rPr>
            <b/>
            <sz val="12"/>
            <color indexed="81"/>
            <rFont val="Tahoma"/>
            <family val="2"/>
          </rPr>
          <t>1</t>
        </r>
        <r>
          <rPr>
            <b/>
            <sz val="12"/>
            <color indexed="81"/>
            <rFont val="細明體"/>
            <family val="3"/>
            <charset val="136"/>
          </rPr>
          <t xml:space="preserve">或早
</t>
        </r>
      </text>
    </comment>
    <comment ref="J13" authorId="2" shapeId="0" xr:uid="{C592E900-56FC-4C58-AC89-86D2B000541A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或"中"，謝謝
</t>
        </r>
      </text>
    </comment>
    <comment ref="K13" authorId="2" shapeId="0" xr:uid="{124B9CF2-3ED6-41B6-B3F5-1A289F7C7E0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3" authorId="2" shapeId="0" xr:uid="{451C3B08-27B8-4D39-95BC-9DAC3A5283F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3" authorId="2" shapeId="0" xr:uid="{088FCFDF-B2C3-4909-B49D-D82AC8320EE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3" authorId="2" shapeId="0" xr:uid="{14D1ACC3-234A-4BA4-92FE-B86973721B8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P13" authorId="2" shapeId="0" xr:uid="{1F7C92F0-01DB-4B5F-BEE3-025E59C74D9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Q13" authorId="2" shapeId="0" xr:uid="{96E43742-2195-41EF-81C7-9109FA029C3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3" authorId="2" shapeId="0" xr:uid="{77D14280-9C40-4066-BE46-C339B5DA4A0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3" authorId="2" shapeId="0" xr:uid="{0C9F5D39-2425-4ECA-B6F4-0C54D1D9F7B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X13" authorId="2" shapeId="0" xr:uid="{36ECB3B2-4B67-4345-A317-32FF10B2473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3" authorId="2" shapeId="0" xr:uid="{FBB8858B-F4BB-49B9-844C-247502E3315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3" authorId="2" shapeId="0" xr:uid="{6EC64B9C-1F85-4A69-8126-11B90B5C701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3" authorId="2" shapeId="0" xr:uid="{F7D2C0C2-4095-48D3-AF1E-B2921F37E23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D13" authorId="2" shapeId="0" xr:uid="{03375753-A437-43C8-AD51-7746E3F97CB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E13" authorId="2" shapeId="0" xr:uid="{1DDE248A-E748-41FA-A1B7-F1C8B246142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13" authorId="2" shapeId="0" xr:uid="{25C6CB15-4282-4873-A238-CDC6D59A0365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G13" authorId="2" shapeId="0" xr:uid="{CFE6463D-E285-4D00-ABB0-B194623970C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3" authorId="2" shapeId="0" xr:uid="{7EC0BA70-8EE9-4F71-A28A-A368F90F1D4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13" authorId="2" shapeId="0" xr:uid="{D488E410-023F-42F3-9EF1-1D32657B3FE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L13" authorId="2" shapeId="0" xr:uid="{ACDCFB6B-43C3-4BEE-8BD5-A75EADA2B56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M13" authorId="2" shapeId="0" xr:uid="{9AC23CD7-D041-43A6-AD8B-C1501182CA1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4" authorId="2" shapeId="0" xr:uid="{3B8D810F-E7AC-454F-A6F3-9F607A4EC2BB}">
      <text>
        <r>
          <rPr>
            <b/>
            <sz val="14"/>
            <color indexed="81"/>
            <rFont val="Tahoma"/>
            <family val="2"/>
          </rPr>
          <t xml:space="preserve">ETSC PN Coding
</t>
        </r>
      </text>
    </comment>
    <comment ref="S14" authorId="2" shapeId="0" xr:uid="{0A666949-24B8-426E-B38D-1CD4701C3BC9}">
      <text>
        <r>
          <rPr>
            <b/>
            <sz val="14"/>
            <color indexed="81"/>
            <rFont val="Tahoma"/>
            <family val="2"/>
          </rPr>
          <t xml:space="preserve">ETSC PN Coding
</t>
        </r>
      </text>
    </comment>
    <comment ref="AF14" authorId="2" shapeId="0" xr:uid="{7D4DA676-276A-4273-BD2F-DCAF4C551080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G14" authorId="2" shapeId="0" xr:uid="{BDDDE480-513D-4A55-979D-346BBCAC6C40}">
      <text>
        <r>
          <rPr>
            <b/>
            <sz val="14"/>
            <color indexed="81"/>
            <rFont val="Tahoma"/>
            <family val="2"/>
          </rPr>
          <t xml:space="preserve">ETSC PN Coding
</t>
        </r>
      </text>
    </comment>
    <comment ref="J15" authorId="4" shapeId="0" xr:uid="{D2F66E2A-9747-4B65-8AD6-F9A3D2E631B4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如果排班方便的話請多早或1，支援大夜與小夜，請各別排在同一周但不要假日，不要超過3天，謝謝
如果人力許可，請多排一個N
</t>
        </r>
      </text>
    </comment>
    <comment ref="K15" authorId="2" shapeId="0" xr:uid="{BFBAFE92-7B34-493D-BA66-464F8CBA17F1}">
      <text>
        <r>
          <rPr>
            <b/>
            <sz val="16"/>
            <color indexed="81"/>
            <rFont val="Tahoma"/>
            <family val="2"/>
          </rPr>
          <t xml:space="preserve">Dear Jason:
</t>
        </r>
        <r>
          <rPr>
            <b/>
            <sz val="16"/>
            <color indexed="81"/>
            <rFont val="細明體"/>
            <family val="3"/>
            <charset val="136"/>
          </rPr>
          <t>請一定要排</t>
        </r>
        <r>
          <rPr>
            <b/>
            <sz val="16"/>
            <color indexed="81"/>
            <rFont val="Tahoma"/>
            <family val="2"/>
          </rPr>
          <t xml:space="preserve">1 or </t>
        </r>
        <r>
          <rPr>
            <b/>
            <sz val="16"/>
            <color indexed="81"/>
            <rFont val="細明體"/>
            <family val="3"/>
            <charset val="136"/>
          </rPr>
          <t xml:space="preserve">早，晚上有事情，感謝
</t>
        </r>
      </text>
    </comment>
    <comment ref="L15" authorId="2" shapeId="0" xr:uid="{CC004956-B3F2-4DEB-A08C-26CEA155742B}">
      <text>
        <r>
          <rPr>
            <b/>
            <sz val="12"/>
            <color indexed="81"/>
            <rFont val="Tahoma"/>
            <family val="2"/>
          </rPr>
          <t xml:space="preserve">HR </t>
        </r>
        <r>
          <rPr>
            <b/>
            <sz val="12"/>
            <color indexed="81"/>
            <rFont val="細明體"/>
            <family val="3"/>
            <charset val="136"/>
          </rPr>
          <t xml:space="preserve">下午半天課程
</t>
        </r>
      </text>
    </comment>
    <comment ref="M15" authorId="2" shapeId="0" xr:uid="{52B67B48-50E1-4928-9FA5-D8E32239F3F5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</t>
        </r>
      </text>
    </comment>
    <comment ref="N15" authorId="2" shapeId="0" xr:uid="{C0353E2A-F73B-4746-B5DA-1C86C32277B9}">
      <text>
        <r>
          <rPr>
            <b/>
            <sz val="12"/>
            <color indexed="81"/>
            <rFont val="細明體"/>
            <family val="3"/>
            <charset val="136"/>
          </rPr>
          <t xml:space="preserve">新人教育訓練講師
</t>
        </r>
      </text>
    </comment>
    <comment ref="O15" authorId="2" shapeId="0" xr:uid="{8560F535-889E-48F5-8101-3F3A53C3C033}">
      <text>
        <r>
          <rPr>
            <b/>
            <sz val="16"/>
            <color indexed="81"/>
            <rFont val="Tahoma"/>
            <family val="2"/>
          </rPr>
          <t xml:space="preserve">Dear Jason: </t>
        </r>
        <r>
          <rPr>
            <b/>
            <sz val="16"/>
            <color indexed="81"/>
            <rFont val="細明體"/>
            <family val="3"/>
            <charset val="136"/>
          </rPr>
          <t>與</t>
        </r>
        <r>
          <rPr>
            <b/>
            <sz val="16"/>
            <color indexed="81"/>
            <rFont val="Tahoma"/>
            <family val="2"/>
          </rPr>
          <t>Ming</t>
        </r>
        <r>
          <rPr>
            <b/>
            <sz val="16"/>
            <color indexed="81"/>
            <rFont val="細明體"/>
            <family val="3"/>
            <charset val="136"/>
          </rPr>
          <t xml:space="preserve">換周
</t>
        </r>
      </text>
    </comment>
    <comment ref="S15" authorId="2" shapeId="0" xr:uid="{D7C31351-8115-4166-BD1A-9D939F88B28A}">
      <text>
        <r>
          <rPr>
            <b/>
            <sz val="14"/>
            <color indexed="81"/>
            <rFont val="細明體"/>
            <family val="3"/>
            <charset val="136"/>
          </rPr>
          <t xml:space="preserve">媽媽固定3個月回診
</t>
        </r>
      </text>
    </comment>
    <comment ref="T15" authorId="2" shapeId="0" xr:uid="{B44C6FDB-E18D-4158-B49E-5A9609BF479F}">
      <text>
        <r>
          <rPr>
            <b/>
            <sz val="14"/>
            <color indexed="81"/>
            <rFont val="細明體"/>
            <family val="3"/>
            <charset val="136"/>
          </rPr>
          <t xml:space="preserve">Bras 
discuss
</t>
        </r>
      </text>
    </comment>
    <comment ref="U15" authorId="2" shapeId="0" xr:uid="{7460FFCC-0F0A-4147-A1AB-7E24084E84D2}">
      <text>
        <r>
          <rPr>
            <b/>
            <sz val="12"/>
            <color indexed="81"/>
            <rFont val="細明體"/>
            <family val="3"/>
            <charset val="136"/>
          </rPr>
          <t xml:space="preserve">孩子固定3個月回診
</t>
        </r>
      </text>
    </comment>
    <comment ref="X15" authorId="2" shapeId="0" xr:uid="{C7D2D24A-8440-4AB0-BC81-44A5A01A774A}">
      <text>
        <r>
          <rPr>
            <b/>
            <sz val="12"/>
            <color indexed="81"/>
            <rFont val="細明體"/>
            <family val="3"/>
            <charset val="136"/>
          </rPr>
          <t xml:space="preserve">新人教育訓練講師
</t>
        </r>
      </text>
    </comment>
    <comment ref="Z15" authorId="2" shapeId="0" xr:uid="{67C12659-1AAE-45AB-AD42-60951256976E}">
      <text>
        <r>
          <rPr>
            <b/>
            <sz val="14"/>
            <color indexed="81"/>
            <rFont val="細明體"/>
            <family val="3"/>
            <charset val="136"/>
          </rPr>
          <t xml:space="preserve">媽媽固定3個月回診
</t>
        </r>
      </text>
    </comment>
    <comment ref="AE15" authorId="2" shapeId="0" xr:uid="{B81B3E32-1402-4EBF-BB84-9F1B452701E0}">
      <text>
        <r>
          <rPr>
            <b/>
            <sz val="12"/>
            <color indexed="81"/>
            <rFont val="細明體"/>
            <family val="3"/>
            <charset val="136"/>
          </rPr>
          <t xml:space="preserve">家裡安排
有事
</t>
        </r>
      </text>
    </comment>
    <comment ref="AG15" authorId="2" shapeId="0" xr:uid="{7C20ECBC-915E-4971-A7FA-2BBA6678D20D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L17" authorId="2" shapeId="0" xr:uid="{42463C56-5EF4-445F-92B7-941E36FB4691}">
      <text>
        <r>
          <rPr>
            <b/>
            <sz val="14"/>
            <color indexed="81"/>
            <rFont val="Tahoma"/>
            <family val="2"/>
          </rPr>
          <t xml:space="preserve">ETSC PN Coding
</t>
        </r>
      </text>
    </comment>
    <comment ref="S17" authorId="2" shapeId="0" xr:uid="{BC91003B-73B1-4F7E-8C32-C6BCE5AB9786}">
      <text>
        <r>
          <rPr>
            <b/>
            <sz val="14"/>
            <color indexed="81"/>
            <rFont val="Tahoma"/>
            <family val="2"/>
          </rPr>
          <t xml:space="preserve">ETSC PN Coding
</t>
        </r>
      </text>
    </comment>
    <comment ref="AN17" authorId="2" shapeId="0" xr:uid="{1970E715-67EF-48CE-99B5-8E063BEBE107}">
      <text>
        <r>
          <rPr>
            <b/>
            <sz val="14"/>
            <color indexed="81"/>
            <rFont val="Tahoma"/>
            <family val="2"/>
          </rPr>
          <t>HR</t>
        </r>
        <r>
          <rPr>
            <b/>
            <sz val="14"/>
            <color indexed="81"/>
            <rFont val="細明體"/>
            <family val="3"/>
            <charset val="136"/>
          </rPr>
          <t xml:space="preserve">線上課程
</t>
        </r>
      </text>
    </comment>
    <comment ref="J18" authorId="2" shapeId="0" xr:uid="{A41DD545-AFCC-4AD9-9B22-CA20C18224D7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排班如果許可的話，請幫我多排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 xml:space="preserve">，謝謝。
</t>
        </r>
      </text>
    </comment>
    <comment ref="J19" authorId="2" shapeId="0" xr:uid="{0BF46565-E683-4B9A-A2D3-BB2D13DAFACB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如果方便請多排我中或</t>
        </r>
        <r>
          <rPr>
            <b/>
            <sz val="12"/>
            <color indexed="81"/>
            <rFont val="Tahoma"/>
            <family val="2"/>
          </rPr>
          <t>2</t>
        </r>
        <r>
          <rPr>
            <b/>
            <sz val="12"/>
            <color indexed="81"/>
            <rFont val="細明體"/>
            <family val="3"/>
            <charset val="136"/>
          </rPr>
          <t xml:space="preserve">謝謝
</t>
        </r>
      </text>
    </comment>
    <comment ref="L19" authorId="2" shapeId="0" xr:uid="{DC90B7C8-C15B-46F1-AB03-D77CBDD1AD3B}">
      <text>
        <r>
          <rPr>
            <b/>
            <sz val="12"/>
            <color indexed="81"/>
            <rFont val="Tahoma"/>
            <family val="2"/>
          </rPr>
          <t>HR</t>
        </r>
        <r>
          <rPr>
            <b/>
            <sz val="12"/>
            <color indexed="81"/>
            <rFont val="細明體"/>
            <family val="3"/>
            <charset val="136"/>
          </rPr>
          <t xml:space="preserve">全日課程
</t>
        </r>
      </text>
    </comment>
    <comment ref="T19" authorId="2" shapeId="0" xr:uid="{36A7EC4B-FFF9-4074-90AD-A6D35DBD0ECC}">
      <text>
        <r>
          <rPr>
            <b/>
            <sz val="14"/>
            <color indexed="81"/>
            <rFont val="細明體"/>
            <family val="3"/>
            <charset val="136"/>
          </rPr>
          <t xml:space="preserve">Bras 
discuss
</t>
        </r>
      </text>
    </comment>
    <comment ref="Z19" authorId="5" shapeId="0" xr:uid="{9A2652ED-3EE3-49CF-BDCB-C7556C651BBE}">
      <text>
        <r>
          <rPr>
            <sz val="12"/>
            <color indexed="81"/>
            <rFont val="Tahoma"/>
            <family val="2"/>
          </rPr>
          <t xml:space="preserve">Dear Jason
</t>
        </r>
        <r>
          <rPr>
            <sz val="12"/>
            <color indexed="81"/>
            <rFont val="細明體"/>
            <family val="3"/>
            <charset val="136"/>
          </rPr>
          <t>如果方便請排</t>
        </r>
        <r>
          <rPr>
            <sz val="12"/>
            <color indexed="81"/>
            <rFont val="Tahoma"/>
            <family val="2"/>
          </rPr>
          <t>2</t>
        </r>
        <r>
          <rPr>
            <sz val="12"/>
            <color indexed="81"/>
            <rFont val="細明體"/>
            <family val="3"/>
            <charset val="136"/>
          </rPr>
          <t xml:space="preserve">或中，謝謝
</t>
        </r>
      </text>
    </comment>
    <comment ref="AG19" authorId="2" shapeId="0" xr:uid="{D8B61221-1179-431E-8063-A7013BDD7339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M20" authorId="2" shapeId="0" xr:uid="{27196865-AD9C-4E8C-BCC6-FA5934A8C673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</t>
        </r>
      </text>
    </comment>
    <comment ref="O20" authorId="2" shapeId="0" xr:uid="{EC1D6D6D-3EBB-4579-9A45-096536134A19}">
      <text>
        <r>
          <rPr>
            <b/>
            <sz val="18"/>
            <color indexed="81"/>
            <rFont val="微軟正黑體"/>
            <family val="2"/>
            <charset val="136"/>
          </rPr>
          <t xml:space="preserve">Dear Sir:特休在9/15到期
</t>
        </r>
      </text>
    </comment>
    <comment ref="P20" authorId="2" shapeId="0" xr:uid="{EC5F4D78-77BD-4A74-824F-564A6C74CDF7}">
      <text>
        <r>
          <rPr>
            <b/>
            <sz val="18"/>
            <color indexed="81"/>
            <rFont val="微軟正黑體"/>
            <family val="2"/>
            <charset val="136"/>
          </rPr>
          <t xml:space="preserve">Dear Sir:特休在9/15到期
</t>
        </r>
      </text>
    </comment>
    <comment ref="J21" authorId="2" shapeId="0" xr:uid="{F39B97F2-4964-475A-BFC7-6008AE3EAD1C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1" authorId="2" shapeId="0" xr:uid="{BAE56654-AE91-4832-8B29-FB3739C3E16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C21" authorId="2" shapeId="0" xr:uid="{F9D3AA89-CE77-4C82-9A02-AB91E4AA302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H21" authorId="2" shapeId="0" xr:uid="{D2049EAB-00BE-47AF-8D27-D0053632AEF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I21" authorId="2" shapeId="0" xr:uid="{445FD3C7-D21C-49E2-A748-9E1BF1A4FE71}">
      <text>
        <r>
          <rPr>
            <b/>
            <sz val="14"/>
            <color indexed="81"/>
            <rFont val="新細明體"/>
            <family val="1"/>
            <charset val="136"/>
            <scheme val="major"/>
          </rPr>
          <t xml:space="preserve">與Shih-Hua 換周
</t>
        </r>
      </text>
    </comment>
    <comment ref="J22" authorId="2" shapeId="0" xr:uid="{2D5520E9-0FAB-4411-9770-9A5C9E663D2A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>Dear Jason:排班如果許可的話，請幫我多排2及3，謝謝。</t>
        </r>
      </text>
    </comment>
    <comment ref="AH22" authorId="2" shapeId="0" xr:uid="{A3F71009-4605-43FB-99E3-0BBA18BD7B6D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J22" authorId="2" shapeId="0" xr:uid="{CE4EB623-95C4-4786-96FD-5F6422BBA06B}">
      <text>
        <r>
          <rPr>
            <b/>
            <sz val="14"/>
            <color indexed="81"/>
            <rFont val="新細明體"/>
            <family val="1"/>
            <charset val="136"/>
            <scheme val="major"/>
          </rPr>
          <t xml:space="preserve">與Shih-Hua 換周
</t>
        </r>
      </text>
    </comment>
    <comment ref="AK22" authorId="2" shapeId="0" xr:uid="{7E1827B3-924B-4EB5-8478-AAFB160832F7}">
      <text>
        <r>
          <rPr>
            <b/>
            <sz val="14"/>
            <color indexed="81"/>
            <rFont val="新細明體"/>
            <family val="1"/>
            <charset val="136"/>
            <scheme val="major"/>
          </rPr>
          <t xml:space="preserve">與Shih-Hua 換周
</t>
        </r>
      </text>
    </comment>
    <comment ref="AM22" authorId="2" shapeId="0" xr:uid="{87363884-DEFA-4E72-813B-77DBCD35734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23" authorId="2" shapeId="0" xr:uid="{AC6765BB-9007-4144-8A2B-C385D6DDEA65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V24" authorId="6" shapeId="0" xr:uid="{3288585D-5878-4BA8-A2CD-A28A6CC58960}">
      <text>
        <r>
          <rPr>
            <b/>
            <sz val="9"/>
            <color indexed="81"/>
            <rFont val="Tahoma"/>
            <family val="2"/>
          </rPr>
          <t xml:space="preserve">Jason,
</t>
        </r>
        <r>
          <rPr>
            <b/>
            <sz val="9"/>
            <color indexed="81"/>
            <rFont val="細明體"/>
            <family val="3"/>
            <charset val="136"/>
          </rPr>
          <t>若許可請協助排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細明體"/>
            <family val="3"/>
            <charset val="136"/>
          </rPr>
          <t xml:space="preserve">或早班，謝謝
</t>
        </r>
      </text>
    </comment>
    <comment ref="J25" authorId="2" shapeId="0" xr:uid="{35589250-EEF3-4FCC-91CA-2730635C5040}">
      <text>
        <r>
          <rPr>
            <b/>
            <sz val="12"/>
            <color indexed="81"/>
            <rFont val="Tahoma"/>
            <family val="2"/>
          </rPr>
          <t xml:space="preserve">Dear sir: 
</t>
        </r>
        <r>
          <rPr>
            <b/>
            <sz val="12"/>
            <color indexed="81"/>
            <rFont val="細明體"/>
            <family val="3"/>
            <charset val="136"/>
          </rPr>
          <t>如排班允許請多排</t>
        </r>
        <r>
          <rPr>
            <b/>
            <sz val="12"/>
            <color indexed="81"/>
            <rFont val="Tahoma"/>
            <family val="2"/>
          </rPr>
          <t>1 or 3</t>
        </r>
        <r>
          <rPr>
            <b/>
            <sz val="12"/>
            <color indexed="81"/>
            <rFont val="細明體"/>
            <family val="3"/>
            <charset val="136"/>
          </rPr>
          <t xml:space="preserve">，若1請盡量假日，謝謝。
</t>
        </r>
      </text>
    </comment>
    <comment ref="N25" authorId="2" shapeId="0" xr:uid="{FF86AF85-C02A-4B84-ACA0-02E8B008A7A8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T25" authorId="2" shapeId="0" xr:uid="{187598B9-FC12-42F3-8DF1-EE82F307B962}">
      <text>
        <r>
          <rPr>
            <b/>
            <sz val="14"/>
            <color indexed="81"/>
            <rFont val="細明體"/>
            <family val="3"/>
            <charset val="136"/>
          </rPr>
          <t xml:space="preserve">Bras 
discuss
</t>
        </r>
      </text>
    </comment>
    <comment ref="X25" authorId="2" shapeId="0" xr:uid="{D1C906E1-CEC7-415B-88F0-089B457388B5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A25" authorId="2" shapeId="0" xr:uid="{CAA5B6E9-36EC-4466-94BB-69BF2FFD142E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E25" authorId="2" shapeId="0" xr:uid="{38B13555-5D3F-4EB6-898B-5C59895E0B3B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H25" authorId="2" shapeId="0" xr:uid="{62DAF20E-C392-4261-81D0-611B6C13EB58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N25" authorId="2" shapeId="0" xr:uid="{3B0633B0-8D52-4678-9C61-D1AB653C9ECD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J26" authorId="2" shapeId="0" xr:uid="{F4BF970B-2FDD-4102-AB59-916665509241}">
      <text>
        <r>
          <rPr>
            <b/>
            <sz val="13"/>
            <color indexed="81"/>
            <rFont val="Tahoma"/>
            <family val="2"/>
          </rPr>
          <t xml:space="preserve">Dear sir: 
</t>
        </r>
        <r>
          <rPr>
            <b/>
            <sz val="13"/>
            <color indexed="81"/>
            <rFont val="細明體"/>
            <family val="3"/>
            <charset val="136"/>
          </rPr>
          <t>如排班允許請多排</t>
        </r>
        <r>
          <rPr>
            <b/>
            <sz val="13"/>
            <color indexed="81"/>
            <rFont val="Tahoma"/>
            <family val="2"/>
          </rPr>
          <t>3</t>
        </r>
        <r>
          <rPr>
            <b/>
            <sz val="13"/>
            <color indexed="81"/>
            <rFont val="細明體"/>
            <family val="3"/>
            <charset val="136"/>
          </rPr>
          <t xml:space="preserve">，謝謝。
</t>
        </r>
      </text>
    </comment>
    <comment ref="K26" authorId="2" shapeId="0" xr:uid="{5B621AC1-55A9-41F6-A580-3CB5B7EC78CA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方便的話,請排3 or X，謝謝
</t>
        </r>
      </text>
    </comment>
    <comment ref="R26" authorId="2" shapeId="0" xr:uid="{CCB79248-2D93-4F84-9E1C-1399F459F730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方便的話,請排3 or X，謝謝
</t>
        </r>
      </text>
    </comment>
    <comment ref="V26" authorId="2" shapeId="0" xr:uid="{CA66238C-F344-4C10-8E1A-6EA65D53EECA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與David Ke換週
</t>
        </r>
      </text>
    </comment>
    <comment ref="W26" authorId="2" shapeId="0" xr:uid="{4BB93B37-F077-4CF2-AD8F-20917FB3F777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與David Ke換週
</t>
        </r>
      </text>
    </comment>
    <comment ref="Y26" authorId="2" shapeId="0" xr:uid="{1F266909-2653-4FBC-ADC5-4148E830CCC1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方便的話,請排3 or X，謝謝
</t>
        </r>
      </text>
    </comment>
    <comment ref="AF26" authorId="2" shapeId="0" xr:uid="{8DDFA4C2-F58D-480B-9B7A-CEE232232439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方便的話,請排3 or X，謝謝
</t>
        </r>
      </text>
    </comment>
    <comment ref="AM26" authorId="2" shapeId="0" xr:uid="{24E9F154-32C3-4D6B-A889-9FA5024254AF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方便的話,請排3 or X，謝謝
</t>
        </r>
      </text>
    </comment>
    <comment ref="O27" authorId="2" shapeId="0" xr:uid="{DB641948-F93C-4198-A0CC-7E13FCC34F7F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P27" authorId="2" shapeId="0" xr:uid="{6F6FA1AC-66B3-4809-872B-69BFC9A3868E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Q27" authorId="2" shapeId="0" xr:uid="{32301037-BA5F-494D-AA8E-8B8FA32F0478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R27" authorId="2" shapeId="0" xr:uid="{D416D8D0-12EB-47D9-B512-9E78D8E9B397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X27" authorId="2" shapeId="0" xr:uid="{EF6FC196-B340-4F73-8111-24F17E985DCB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AC27" authorId="2" shapeId="0" xr:uid="{23AD093B-C357-4053-A0C7-FFA0B01E0076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D27" authorId="2" shapeId="0" xr:uid="{56E00E98-F840-4A50-AA31-906E7858104C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I27" authorId="2" shapeId="0" xr:uid="{A48D5E31-8D9A-4198-B399-D24B49FAD506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L27" authorId="2" shapeId="0" xr:uid="{A1417C11-EF6A-4A44-85ED-8D059F12BBE4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O28" authorId="2" shapeId="0" xr:uid="{E4BEC374-FFB3-424A-8F5C-AE8B20CFC346}">
      <text>
        <r>
          <rPr>
            <b/>
            <sz val="16"/>
            <color indexed="81"/>
            <rFont val="Tahoma"/>
            <family val="2"/>
          </rPr>
          <t xml:space="preserve">Dear Jason: </t>
        </r>
        <r>
          <rPr>
            <b/>
            <sz val="16"/>
            <color indexed="81"/>
            <rFont val="細明體"/>
            <family val="3"/>
            <charset val="136"/>
          </rPr>
          <t>與</t>
        </r>
        <r>
          <rPr>
            <b/>
            <sz val="16"/>
            <color indexed="81"/>
            <rFont val="Tahoma"/>
            <family val="2"/>
          </rPr>
          <t>France</t>
        </r>
        <r>
          <rPr>
            <b/>
            <sz val="16"/>
            <color indexed="81"/>
            <rFont val="細明體"/>
            <family val="3"/>
            <charset val="136"/>
          </rPr>
          <t xml:space="preserve">換周
</t>
        </r>
      </text>
    </comment>
    <comment ref="W28" authorId="2" shapeId="0" xr:uid="{71CB992C-9A78-4950-8672-AA9028ED205A}">
      <text>
        <r>
          <rPr>
            <b/>
            <sz val="16"/>
            <color indexed="81"/>
            <rFont val="Tahoma"/>
            <family val="2"/>
          </rPr>
          <t xml:space="preserve">Dear Jason: </t>
        </r>
        <r>
          <rPr>
            <b/>
            <sz val="16"/>
            <color indexed="81"/>
            <rFont val="細明體"/>
            <family val="3"/>
            <charset val="136"/>
          </rPr>
          <t>與</t>
        </r>
        <r>
          <rPr>
            <b/>
            <sz val="16"/>
            <color indexed="81"/>
            <rFont val="Tahoma"/>
            <family val="2"/>
          </rPr>
          <t>France</t>
        </r>
        <r>
          <rPr>
            <b/>
            <sz val="16"/>
            <color indexed="81"/>
            <rFont val="細明體"/>
            <family val="3"/>
            <charset val="136"/>
          </rPr>
          <t xml:space="preserve">換周
</t>
        </r>
      </text>
    </comment>
    <comment ref="AI28" authorId="2" shapeId="0" xr:uid="{F07D68C0-FF50-4B4E-816D-F8EC90CFDFC2}">
      <text>
        <r>
          <rPr>
            <b/>
            <sz val="12"/>
            <color indexed="81"/>
            <rFont val="Tahoma"/>
            <family val="2"/>
          </rPr>
          <t xml:space="preserve">Dear Sir,
</t>
        </r>
        <r>
          <rPr>
            <b/>
            <sz val="12"/>
            <color indexed="81"/>
            <rFont val="細明體"/>
            <family val="3"/>
            <charset val="136"/>
          </rPr>
          <t>許可的話</t>
        </r>
        <r>
          <rPr>
            <b/>
            <sz val="12"/>
            <color indexed="81"/>
            <rFont val="Tahoma"/>
            <family val="2"/>
          </rPr>
          <t xml:space="preserve"> 1 </t>
        </r>
        <r>
          <rPr>
            <b/>
            <sz val="12"/>
            <color indexed="81"/>
            <rFont val="細明體"/>
            <family val="3"/>
            <charset val="136"/>
          </rPr>
          <t xml:space="preserve">或 3，謝謝
</t>
        </r>
      </text>
    </comment>
    <comment ref="AJ28" authorId="2" shapeId="0" xr:uid="{A69FDA04-E7E9-4E3B-AD94-5DDFF9BF0549}">
      <text>
        <r>
          <rPr>
            <b/>
            <sz val="12"/>
            <color indexed="81"/>
            <rFont val="Tahoma"/>
            <family val="2"/>
          </rPr>
          <t xml:space="preserve">Dear Sir,
</t>
        </r>
        <r>
          <rPr>
            <b/>
            <sz val="12"/>
            <color indexed="81"/>
            <rFont val="細明體"/>
            <family val="3"/>
            <charset val="136"/>
          </rPr>
          <t>許可的話</t>
        </r>
        <r>
          <rPr>
            <b/>
            <sz val="12"/>
            <color indexed="81"/>
            <rFont val="Tahoma"/>
            <family val="2"/>
          </rPr>
          <t xml:space="preserve"> 1 </t>
        </r>
        <r>
          <rPr>
            <b/>
            <sz val="12"/>
            <color indexed="81"/>
            <rFont val="細明體"/>
            <family val="3"/>
            <charset val="136"/>
          </rPr>
          <t xml:space="preserve">或 3，謝謝
</t>
        </r>
      </text>
    </comment>
    <comment ref="AK28" authorId="2" shapeId="0" xr:uid="{0C18D54B-9B13-4753-AD8E-D97D6BDB7BB0}">
      <text>
        <r>
          <rPr>
            <b/>
            <sz val="12"/>
            <color indexed="81"/>
            <rFont val="Tahoma"/>
            <family val="2"/>
          </rPr>
          <t xml:space="preserve">Dear Sir,
</t>
        </r>
        <r>
          <rPr>
            <b/>
            <sz val="12"/>
            <color indexed="81"/>
            <rFont val="細明體"/>
            <family val="3"/>
            <charset val="136"/>
          </rPr>
          <t>許可的話</t>
        </r>
        <r>
          <rPr>
            <b/>
            <sz val="12"/>
            <color indexed="81"/>
            <rFont val="Tahoma"/>
            <family val="2"/>
          </rPr>
          <t xml:space="preserve"> 1 </t>
        </r>
        <r>
          <rPr>
            <b/>
            <sz val="12"/>
            <color indexed="81"/>
            <rFont val="細明體"/>
            <family val="3"/>
            <charset val="136"/>
          </rPr>
          <t xml:space="preserve">或 3，謝謝
</t>
        </r>
      </text>
    </comment>
    <comment ref="AL28" authorId="2" shapeId="0" xr:uid="{D57F0DCB-B0D0-4EE6-9117-C74DBA1B6FF5}">
      <text>
        <r>
          <rPr>
            <b/>
            <sz val="12"/>
            <color indexed="81"/>
            <rFont val="Tahoma"/>
            <family val="2"/>
          </rPr>
          <t xml:space="preserve">Dear Sir,
</t>
        </r>
        <r>
          <rPr>
            <b/>
            <sz val="12"/>
            <color indexed="81"/>
            <rFont val="細明體"/>
            <family val="3"/>
            <charset val="136"/>
          </rPr>
          <t>許可的話</t>
        </r>
        <r>
          <rPr>
            <b/>
            <sz val="12"/>
            <color indexed="81"/>
            <rFont val="Tahoma"/>
            <family val="2"/>
          </rPr>
          <t xml:space="preserve"> 1 </t>
        </r>
        <r>
          <rPr>
            <b/>
            <sz val="12"/>
            <color indexed="81"/>
            <rFont val="細明體"/>
            <family val="3"/>
            <charset val="136"/>
          </rPr>
          <t xml:space="preserve">或 3，謝謝
</t>
        </r>
      </text>
    </comment>
    <comment ref="J29" authorId="2" shapeId="0" xr:uid="{6C033224-6B40-4EE4-9F38-DBA3A3323B2D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
平日請盡量多排"2"or"3"，
"1"排在假日，謝謝。
</t>
        </r>
      </text>
    </comment>
    <comment ref="O29" authorId="2" shapeId="0" xr:uid="{7873AB61-320F-4877-8EBB-C90EB1F95A0C}">
      <text>
        <r>
          <rPr>
            <b/>
            <sz val="14"/>
            <color indexed="81"/>
            <rFont val="微軟正黑體"/>
            <family val="2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Glenn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換週
</t>
        </r>
      </text>
    </comment>
    <comment ref="P29" authorId="2" shapeId="0" xr:uid="{4BBA2C66-31F5-4EA9-9BAB-838F5C70623C}">
      <text>
        <r>
          <rPr>
            <b/>
            <sz val="14"/>
            <color indexed="81"/>
            <rFont val="微軟正黑體"/>
            <family val="2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Glenn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換週
</t>
        </r>
      </text>
    </comment>
    <comment ref="AF29" authorId="2" shapeId="0" xr:uid="{3425E00B-4684-4D3F-8281-C38E7420D802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
若排班許可，請幫我排"2"，謝謝。
</t>
        </r>
      </text>
    </comment>
    <comment ref="AH29" authorId="2" shapeId="0" xr:uid="{2115C132-9B0B-4BC4-9CAA-EDC912E86BCC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
若排班許可，請幫我排"2"，謝謝。
</t>
        </r>
      </text>
    </comment>
    <comment ref="K32" authorId="2" shapeId="0" xr:uid="{70A31562-17A1-41A0-AC3A-4089392DBD55}">
      <text>
        <r>
          <rPr>
            <b/>
            <sz val="12"/>
            <color indexed="81"/>
            <rFont val="細明體"/>
            <family val="3"/>
            <charset val="136"/>
          </rPr>
          <t xml:space="preserve">新人教育訓練
</t>
        </r>
      </text>
    </comment>
    <comment ref="L32" authorId="2" shapeId="0" xr:uid="{64093AF4-4355-496B-8344-E9F2258DA077}">
      <text>
        <r>
          <rPr>
            <b/>
            <sz val="12"/>
            <color indexed="81"/>
            <rFont val="細明體"/>
            <family val="3"/>
            <charset val="136"/>
          </rPr>
          <t xml:space="preserve">新人教育訓練
</t>
        </r>
      </text>
    </comment>
    <comment ref="M32" authorId="2" shapeId="0" xr:uid="{9E0D863E-2980-4D2B-94B0-442608F654CF}">
      <text>
        <r>
          <rPr>
            <b/>
            <sz val="12"/>
            <color indexed="81"/>
            <rFont val="細明體"/>
            <family val="3"/>
            <charset val="136"/>
          </rPr>
          <t xml:space="preserve">新人教育訓練
</t>
        </r>
      </text>
    </comment>
    <comment ref="N32" authorId="2" shapeId="0" xr:uid="{025EB851-2C7A-4DA9-868F-29402692ED5F}">
      <text>
        <r>
          <rPr>
            <b/>
            <sz val="12"/>
            <color indexed="81"/>
            <rFont val="細明體"/>
            <family val="3"/>
            <charset val="136"/>
          </rPr>
          <t xml:space="preserve">新人教育訓練
</t>
        </r>
      </text>
    </comment>
    <comment ref="Q32" authorId="1" shapeId="0" xr:uid="{21BBE7EA-6651-4DA5-857C-E73218FB9E1D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R32" authorId="1" shapeId="0" xr:uid="{E0636788-3FA2-45F3-ACB6-7CCFBEB4880F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S32" authorId="1" shapeId="0" xr:uid="{3FA72B38-4CA3-44CF-94F1-515886C21A2E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T32" authorId="1" shapeId="0" xr:uid="{DB2165A8-745E-4C6A-AED0-9A7CCAB3F4CB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U32" authorId="1" shapeId="0" xr:uid="{7DA2DDA5-80A7-450D-9E3A-A42132144E47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X32" authorId="1" shapeId="0" xr:uid="{404F811A-E26C-42D0-A075-B1C920A2C832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Y32" authorId="1" shapeId="0" xr:uid="{E74CD93E-2EA3-4A7D-8E0D-23CE2C23A929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Z32" authorId="1" shapeId="0" xr:uid="{F88A99AA-5E92-4FF7-9BBB-47290941811E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A32" authorId="1" shapeId="0" xr:uid="{67A8EEB5-D4D1-4A1C-BDE3-D1AB4A959B3B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B32" authorId="1" shapeId="0" xr:uid="{4FA918A1-D40E-4A8B-9E7C-21A735BC8EB6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E32" authorId="1" shapeId="0" xr:uid="{35D3B5B2-8CB9-446F-8D08-4A7486D56538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F32" authorId="1" shapeId="0" xr:uid="{B77FBD55-5670-465D-B097-B821A06F7B87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G32" authorId="1" shapeId="0" xr:uid="{9AF118A7-EBAE-4CCB-A7A0-E87FF1595CC0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H32" authorId="1" shapeId="0" xr:uid="{45ABAB6E-18ED-4400-AFE6-4B9F2464AA27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M32" authorId="1" shapeId="0" xr:uid="{BD3173A5-1A3B-498E-B2F8-36EF0C4616FE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N32" authorId="1" shapeId="0" xr:uid="{FB8C25A4-E538-40DE-8383-5C1C17072C08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X33" authorId="2" shapeId="0" xr:uid="{C3E8E923-F178-40F6-B210-A95AC8C33312}">
      <text>
        <r>
          <rPr>
            <b/>
            <sz val="12"/>
            <color indexed="81"/>
            <rFont val="細明體"/>
            <family val="3"/>
            <charset val="136"/>
          </rPr>
          <t xml:space="preserve">新人教育訓練
</t>
        </r>
      </text>
    </comment>
    <comment ref="Y33" authorId="2" shapeId="0" xr:uid="{DD675DEF-50D6-4E81-9EF7-DFAB76933752}">
      <text>
        <r>
          <rPr>
            <b/>
            <sz val="12"/>
            <color indexed="81"/>
            <rFont val="細明體"/>
            <family val="3"/>
            <charset val="136"/>
          </rPr>
          <t xml:space="preserve">新人教育訓練
</t>
        </r>
      </text>
    </comment>
    <comment ref="Z33" authorId="2" shapeId="0" xr:uid="{3F34E486-21FC-46F5-9701-55BC66460388}">
      <text>
        <r>
          <rPr>
            <b/>
            <sz val="12"/>
            <color indexed="81"/>
            <rFont val="細明體"/>
            <family val="3"/>
            <charset val="136"/>
          </rPr>
          <t xml:space="preserve">新人教育訓練
</t>
        </r>
      </text>
    </comment>
    <comment ref="AA33" authorId="1" shapeId="0" xr:uid="{4F4DEC78-0D96-4EB6-9CF5-433404305638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B33" authorId="1" shapeId="0" xr:uid="{720CDB80-2026-4847-95A2-5D31A78B0F5D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E33" authorId="1" shapeId="0" xr:uid="{42125CB4-A59A-4064-A055-8E2818CE4505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F33" authorId="1" shapeId="0" xr:uid="{1E04E78C-46FA-4719-9C33-76E04A825143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G33" authorId="1" shapeId="0" xr:uid="{7CA606EC-E399-46B4-8AA4-362D15D82581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H33" authorId="1" shapeId="0" xr:uid="{F151F985-C8B2-45CA-9248-B722F06F991C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M33" authorId="1" shapeId="0" xr:uid="{E3F6FFB7-D221-409E-977F-732FFE9499C9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N33" authorId="1" shapeId="0" xr:uid="{269BA4CF-7C9E-4331-B5AD-1132D4568990}">
      <text>
        <r>
          <rPr>
            <b/>
            <sz val="9"/>
            <color indexed="81"/>
            <rFont val="Tahoma"/>
            <charset val="1"/>
          </rPr>
          <t>On Job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O34" authorId="2" shapeId="0" xr:uid="{4EFE1681-0515-4B00-B908-B93511943E84}">
      <text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>Key</t>
        </r>
        <r>
          <rPr>
            <b/>
            <sz val="14"/>
            <color indexed="81"/>
            <rFont val="細明體"/>
            <family val="3"/>
            <charset val="136"/>
          </rPr>
          <t xml:space="preserve">換
</t>
        </r>
      </text>
    </comment>
    <comment ref="P34" authorId="2" shapeId="0" xr:uid="{F80DC2EA-FB1A-4D7D-AE5E-7EFE3D05A7A3}">
      <text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>Key</t>
        </r>
        <r>
          <rPr>
            <b/>
            <sz val="14"/>
            <color indexed="81"/>
            <rFont val="細明體"/>
            <family val="3"/>
            <charset val="136"/>
          </rPr>
          <t xml:space="preserve">換
</t>
        </r>
      </text>
    </comment>
    <comment ref="Q34" authorId="2" shapeId="0" xr:uid="{19A01009-6F5D-41BC-843F-6EB7CC0FE0D5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34" authorId="2" shapeId="0" xr:uid="{737B2EC0-3DB8-4F5E-B499-334F793E0B6E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34" authorId="2" shapeId="0" xr:uid="{3A6722B0-062D-4AA0-A1B6-C6743F04F562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4" authorId="2" shapeId="0" xr:uid="{A6CD1E52-6613-4D85-8148-98D7C731053E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4" authorId="2" shapeId="0" xr:uid="{C31FD0E8-449A-46FB-A895-29F70B832932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34" authorId="2" shapeId="0" xr:uid="{0B56792F-6CC5-47A0-ABD4-5FA10F731007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5" authorId="2" shapeId="0" xr:uid="{4C493A18-F179-4665-9584-57D3E0A90AE0}">
      <text>
        <r>
          <rPr>
            <b/>
            <sz val="14"/>
            <color indexed="81"/>
            <rFont val="Arial"/>
            <family val="2"/>
          </rPr>
          <t xml:space="preserve">Dear sir
</t>
        </r>
        <r>
          <rPr>
            <b/>
            <sz val="14"/>
            <color indexed="81"/>
            <rFont val="細明體"/>
            <family val="3"/>
            <charset val="136"/>
          </rPr>
          <t>如果排班方便，請幫我多排中班</t>
        </r>
        <r>
          <rPr>
            <b/>
            <sz val="14"/>
            <color indexed="81"/>
            <rFont val="細明體"/>
            <family val="3"/>
            <charset val="136"/>
          </rPr>
          <t xml:space="preserve">，謝謝。
</t>
        </r>
      </text>
    </comment>
    <comment ref="K35" authorId="2" shapeId="0" xr:uid="{14DC4885-587E-4CB3-9B71-4BDD34014016}">
      <text>
        <r>
          <rPr>
            <b/>
            <sz val="16"/>
            <color indexed="81"/>
            <rFont val="新細明體"/>
            <family val="1"/>
            <charset val="136"/>
          </rPr>
          <t>Dear Jason:
若排班方便請排"中"，謝謝。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L35" authorId="2" shapeId="0" xr:uid="{7D38A4A7-F02A-40F2-AF38-05EF4CC31754}">
      <text>
        <r>
          <rPr>
            <b/>
            <sz val="16"/>
            <color indexed="81"/>
            <rFont val="新細明體"/>
            <family val="1"/>
            <charset val="136"/>
          </rPr>
          <t>Dear Jason:
若排班方便請排"中"，謝謝。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M35" authorId="2" shapeId="0" xr:uid="{84C776FA-978A-41CF-B397-54B29C733A05}">
      <text>
        <r>
          <rPr>
            <b/>
            <sz val="16"/>
            <color indexed="81"/>
            <rFont val="新細明體"/>
            <family val="1"/>
            <charset val="136"/>
          </rPr>
          <t>Dear Jason:
若排班方便請排"中"，謝謝。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35" authorId="2" shapeId="0" xr:uid="{B09800EA-B1C5-4C65-A563-D0B38DF7C9FD}">
      <text>
        <r>
          <rPr>
            <b/>
            <sz val="16"/>
            <color indexed="81"/>
            <rFont val="新細明體"/>
            <family val="1"/>
            <charset val="136"/>
            <scheme val="major"/>
          </rPr>
          <t xml:space="preserve">與Stan換周
</t>
        </r>
      </text>
    </comment>
    <comment ref="AD35" authorId="2" shapeId="0" xr:uid="{EB6FF0AA-1BC9-4548-8B8F-A1447DB5F949}">
      <text>
        <r>
          <rPr>
            <b/>
            <sz val="16"/>
            <color indexed="81"/>
            <rFont val="新細明體"/>
            <family val="1"/>
            <charset val="136"/>
            <scheme val="major"/>
          </rPr>
          <t xml:space="preserve">與Stan換周
</t>
        </r>
      </text>
    </comment>
    <comment ref="AI35" authorId="2" shapeId="0" xr:uid="{1662BD8F-15DC-4528-A83E-5ECB96B04258}">
      <text>
        <r>
          <rPr>
            <b/>
            <sz val="16"/>
            <color indexed="81"/>
            <rFont val="新細明體"/>
            <family val="1"/>
            <charset val="136"/>
          </rPr>
          <t>Dear Jason:
若排班方便請排"中"，謝謝。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J35" authorId="2" shapeId="0" xr:uid="{07D089DA-45B0-4756-8DAA-024CF85170BA}">
      <text>
        <r>
          <rPr>
            <b/>
            <sz val="16"/>
            <color indexed="81"/>
            <rFont val="新細明體"/>
            <family val="1"/>
            <charset val="136"/>
          </rPr>
          <t>Dear Jason:
若排班方便請排"中"，謝謝。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K35" authorId="2" shapeId="0" xr:uid="{2D1B427A-FF93-467E-B1E7-86670CD96197}">
      <text>
        <r>
          <rPr>
            <b/>
            <sz val="16"/>
            <color indexed="81"/>
            <rFont val="新細明體"/>
            <family val="1"/>
            <charset val="136"/>
          </rPr>
          <t>Dear Jason:
若排班方便請排"中"，謝謝。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L35" authorId="2" shapeId="0" xr:uid="{669493BC-84D6-47FE-97D5-D4A7A1ACC7B1}">
      <text>
        <r>
          <rPr>
            <b/>
            <sz val="16"/>
            <color indexed="81"/>
            <rFont val="新細明體"/>
            <family val="1"/>
            <charset val="136"/>
          </rPr>
          <t>Dear Jason:
若排班方便請排"中"，謝謝。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J36" authorId="2" shapeId="0" xr:uid="{3FD8BE1F-7AC0-4D99-A528-7875CCE35F47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1.如果排班方便，因為接送小孩，請多排中班或2，謝謝。
2.如果排班方便，因為接送小孩，如有大夜請排在例假日沒有上課時，謝謝。</t>
        </r>
        <r>
          <rPr>
            <sz val="14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AI36" authorId="2" shapeId="0" xr:uid="{9F0E08D9-C717-4B40-97D2-48BDD7148D39}">
      <text>
        <r>
          <rPr>
            <b/>
            <sz val="16"/>
            <color indexed="81"/>
            <rFont val="新細明體"/>
            <family val="1"/>
            <charset val="136"/>
          </rPr>
          <t>Dear Jason:
若排班方便請排"中"，謝謝。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J36" authorId="2" shapeId="0" xr:uid="{E8B87322-8B77-4DA5-9E74-1AFA33DE60F0}">
      <text>
        <r>
          <rPr>
            <b/>
            <sz val="16"/>
            <color indexed="81"/>
            <rFont val="新細明體"/>
            <family val="1"/>
            <charset val="136"/>
          </rPr>
          <t>Dear Jason:
若排班方便請排"中"，謝謝。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K36" authorId="2" shapeId="0" xr:uid="{FD9FAED9-CAC8-44DD-9BDA-EC97EE174B96}">
      <text>
        <r>
          <rPr>
            <b/>
            <sz val="16"/>
            <color indexed="81"/>
            <rFont val="新細明體"/>
            <family val="1"/>
            <charset val="136"/>
          </rPr>
          <t>Dear Jason:
若排班方便請排"中"，謝謝。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L36" authorId="2" shapeId="0" xr:uid="{27FA356A-BFAC-4BAC-ACCB-5B683A75E51D}">
      <text>
        <r>
          <rPr>
            <b/>
            <sz val="16"/>
            <color indexed="81"/>
            <rFont val="新細明體"/>
            <family val="1"/>
            <charset val="136"/>
          </rPr>
          <t>Dear Jason:
若排班方便請排"中"，謝謝。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J37" authorId="7" shapeId="0" xr:uid="{C17A1B0E-C519-4F7C-9A0B-9AA8367E7941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</t>
        </r>
      </text>
    </comment>
    <comment ref="Y38" authorId="2" shapeId="0" xr:uid="{E473AE98-D1C4-4CC9-AAC8-AEA2369616C0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 TX結案
</t>
        </r>
      </text>
    </comment>
    <comment ref="AF38" authorId="2" shapeId="0" xr:uid="{48392D55-3246-4F5E-B643-2165A0DD1016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N39" authorId="2" shapeId="0" xr:uid="{74F4E38A-68B9-44B3-BC9F-9BF8EC51A86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O39" authorId="2" shapeId="0" xr:uid="{7DDA639B-CF9F-40E1-8ECD-DDBEE398DC4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P39" authorId="2" shapeId="0" xr:uid="{7FF9F7A9-06F6-49DB-85AF-8D230D8E147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Q39" authorId="2" shapeId="0" xr:uid="{0C4413D6-70EC-434D-ADB5-481EB868BD4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T39" authorId="2" shapeId="0" xr:uid="{A1D51451-647F-47A3-976E-8710E9B5AB42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 xml:space="preserve">人力夠的話方便排N嗎，早上請兩小時，請勿排大夜，謝謝。
</t>
        </r>
      </text>
    </comment>
    <comment ref="U39" authorId="2" shapeId="0" xr:uid="{6D5E6BE7-7A4B-4F6B-90E5-ACA50751FB9F}">
      <text>
        <r>
          <rPr>
            <b/>
            <sz val="14"/>
            <color indexed="81"/>
            <rFont val="Tahoma"/>
            <family val="2"/>
          </rPr>
          <t>HR</t>
        </r>
        <r>
          <rPr>
            <b/>
            <sz val="14"/>
            <color indexed="81"/>
            <rFont val="細明體"/>
            <family val="3"/>
            <charset val="136"/>
          </rPr>
          <t xml:space="preserve">課程
</t>
        </r>
      </text>
    </comment>
    <comment ref="V39" authorId="2" shapeId="0" xr:uid="{E1233A65-F4B4-4193-9B89-DC612EE6BA0B}">
      <text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>Robert</t>
        </r>
        <r>
          <rPr>
            <b/>
            <sz val="14"/>
            <color indexed="81"/>
            <rFont val="細明體"/>
            <family val="3"/>
            <charset val="136"/>
          </rPr>
          <t>換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W39" authorId="2" shapeId="0" xr:uid="{56C67452-8B5F-470F-B4A1-50145D0D2442}">
      <text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>Robert</t>
        </r>
        <r>
          <rPr>
            <b/>
            <sz val="14"/>
            <color indexed="81"/>
            <rFont val="細明體"/>
            <family val="3"/>
            <charset val="136"/>
          </rPr>
          <t>換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Y39" authorId="2" shapeId="0" xr:uid="{3710984F-0BDA-4090-961D-99C3E05DC0C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Z39" authorId="2" shapeId="0" xr:uid="{0884A64F-6D47-42A2-BD85-4D76DC35B41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A39" authorId="2" shapeId="0" xr:uid="{C49949AE-2559-477C-8AEE-63DFB340C89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B39" authorId="2" shapeId="0" xr:uid="{D0F64CE2-4CC2-4708-8CBD-F7B96273F4E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E39" authorId="2" shapeId="0" xr:uid="{93F4F030-F571-4368-9DB5-60CF26464DE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F39" authorId="2" shapeId="0" xr:uid="{D851A001-D4D7-4EF7-B59B-5D5D75DD15D8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J39" authorId="2" shapeId="0" xr:uid="{4E47C667-0856-402C-90D3-B6CEA5C0F152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K39" authorId="2" shapeId="0" xr:uid="{E27CC5E4-E76D-427B-A39F-5119E01814B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M39" authorId="2" shapeId="0" xr:uid="{58A26DA4-D616-4748-97F2-A8D8953C4EF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N39" authorId="2" shapeId="0" xr:uid="{24CD88BA-6C65-45D5-8B68-0B70DB44902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L40" authorId="2" shapeId="0" xr:uid="{5A9C512F-1EE9-4074-98B1-0F2310F8CF4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M40" authorId="2" shapeId="0" xr:uid="{239A6FA7-180A-4010-8BFE-B014B84F7F01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N40" authorId="2" shapeId="0" xr:uid="{C0D1A5C8-A6FB-4553-8A8B-F44C78BC172E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Q40" authorId="2" shapeId="0" xr:uid="{64491FA9-DC38-4B9D-BA11-101E9AB48EDB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R40" authorId="2" shapeId="0" xr:uid="{35491188-5CD6-420E-9261-476B6EB19285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S40" authorId="2" shapeId="0" xr:uid="{5C6A1E9C-E55A-4FB8-80BC-63C6A5118090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T40" authorId="2" shapeId="0" xr:uid="{79648E4D-564D-4AB1-9A0E-6C23F33AD1D8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U40" authorId="8" shapeId="0" xr:uid="{61A83587-79B1-4674-A81C-5E88363C8A36}">
      <text>
        <r>
          <rPr>
            <b/>
            <sz val="9"/>
            <color indexed="81"/>
            <rFont val="Tahoma"/>
            <family val="2"/>
          </rPr>
          <t xml:space="preserve">Dear Jason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V40" authorId="8" shapeId="0" xr:uid="{BBB1786B-BE8D-4AF3-B704-E7B6B31926FD}">
      <text>
        <r>
          <rPr>
            <b/>
            <sz val="9"/>
            <color indexed="81"/>
            <rFont val="Tahoma"/>
            <family val="2"/>
          </rPr>
          <t xml:space="preserve">Dear Jason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W40" authorId="8" shapeId="0" xr:uid="{287749D2-7945-414F-B86C-E7CD8F08C573}">
      <text>
        <r>
          <rPr>
            <b/>
            <sz val="9"/>
            <color indexed="81"/>
            <rFont val="Tahoma"/>
            <family val="2"/>
          </rPr>
          <t xml:space="preserve">Dear Jason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X40" authorId="8" shapeId="0" xr:uid="{29DC8E32-E7CF-40E3-A1A4-EE4D090C7CE1}">
      <text>
        <r>
          <rPr>
            <b/>
            <sz val="9"/>
            <color indexed="81"/>
            <rFont val="Tahoma"/>
            <family val="2"/>
          </rPr>
          <t xml:space="preserve">Dear Jason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AI40" authorId="2" shapeId="0" xr:uid="{FAC726D7-FE42-436E-B7A7-425306C874CB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J40" authorId="2" shapeId="0" xr:uid="{2EE4A997-3820-4313-8D94-735702143C78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K40" authorId="2" shapeId="0" xr:uid="{E527F801-AF62-413E-8D6E-1995B3BAFD90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AL40" authorId="2" shapeId="0" xr:uid="{43FAB95B-5501-41D1-9FA6-D807DB77F0BE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 xml:space="preserve">"
</t>
        </r>
      </text>
    </comment>
    <comment ref="O41" authorId="2" shapeId="0" xr:uid="{CF47B2EB-E60C-41C3-BC69-D9CA9430612D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S41" authorId="2" shapeId="0" xr:uid="{D40A6ECB-A33F-403C-91DD-4C8AE4B3E3A8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只能大夜或排休
</t>
        </r>
      </text>
    </comment>
    <comment ref="AC41" authorId="2" shapeId="0" xr:uid="{5C0D46D3-1A1A-4A28-805F-6F72070F383C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AN41" authorId="2" shapeId="0" xr:uid="{EDE760A6-D24C-4F4B-9426-85392F0BB501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只能大夜或排休
</t>
        </r>
      </text>
    </comment>
    <comment ref="Q43" authorId="2" shapeId="0" xr:uid="{0E5CE198-E2B0-47DB-932E-B3FA302A7C00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L44" authorId="2" shapeId="0" xr:uid="{36D38FC5-7B32-46E0-BF85-1CC040444B3C}">
      <text>
        <r>
          <rPr>
            <b/>
            <sz val="14"/>
            <color indexed="81"/>
            <rFont val="細明體"/>
            <family val="3"/>
            <charset val="136"/>
          </rPr>
          <t xml:space="preserve">帶爸爸回診，可排中班或大夜或排休或請特休
</t>
        </r>
      </text>
    </comment>
    <comment ref="Z44" authorId="2" shapeId="0" xr:uid="{7C5ACACF-CC6E-436E-8BB4-D8C96FD67908}">
      <text>
        <r>
          <rPr>
            <b/>
            <sz val="14"/>
            <color indexed="81"/>
            <rFont val="細明體"/>
            <family val="3"/>
            <charset val="136"/>
          </rPr>
          <t xml:space="preserve">帶媽媽回診，排休或請特休
</t>
        </r>
      </text>
    </comment>
    <comment ref="M45" authorId="2" shapeId="0" xr:uid="{37548C4B-F064-400A-A7B5-DE96936DB76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</t>
        </r>
        <r>
          <rPr>
            <sz val="9"/>
            <color indexed="81"/>
            <rFont val="細明體"/>
            <family val="3"/>
            <charset val="136"/>
          </rPr>
          <t xml:space="preserve">需要看醫生只能早班
</t>
        </r>
      </text>
    </comment>
    <comment ref="O45" authorId="2" shapeId="0" xr:uid="{EF92A33D-618E-426D-9F32-84B028AB2E0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</t>
        </r>
        <r>
          <rPr>
            <sz val="9"/>
            <color indexed="81"/>
            <rFont val="細明體"/>
            <family val="3"/>
            <charset val="136"/>
          </rPr>
          <t xml:space="preserve">只能早班
</t>
        </r>
      </text>
    </comment>
    <comment ref="P45" authorId="2" shapeId="0" xr:uid="{6B0674A3-7D30-47AF-97AB-EC62FEA52D0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</t>
        </r>
        <r>
          <rPr>
            <sz val="9"/>
            <color indexed="81"/>
            <rFont val="細明體"/>
            <family val="3"/>
            <charset val="136"/>
          </rPr>
          <t xml:space="preserve">只能早班
</t>
        </r>
      </text>
    </comment>
    <comment ref="S45" authorId="2" shapeId="0" xr:uid="{5ABB314E-4C8D-43F9-B424-545DA2837EF0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 學習
</t>
        </r>
      </text>
    </comment>
    <comment ref="T45" authorId="2" shapeId="0" xr:uid="{6906C2A6-9AA8-43DE-A3DB-D959CBABA56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</t>
        </r>
        <r>
          <rPr>
            <sz val="9"/>
            <color indexed="81"/>
            <rFont val="細明體"/>
            <family val="3"/>
            <charset val="136"/>
          </rPr>
          <t xml:space="preserve">只能早班
</t>
        </r>
      </text>
    </comment>
    <comment ref="Z45" authorId="2" shapeId="0" xr:uid="{4C1E6E10-F57D-4B98-9CC9-0F7D6C3D0B3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>可以的話請幫忙排小夜或</t>
        </r>
        <r>
          <rPr>
            <sz val="9"/>
            <color indexed="81"/>
            <rFont val="Tahoma"/>
            <family val="2"/>
          </rPr>
          <t>N</t>
        </r>
        <r>
          <rPr>
            <sz val="9"/>
            <color indexed="81"/>
            <rFont val="細明體"/>
            <family val="3"/>
            <charset val="136"/>
          </rPr>
          <t xml:space="preserve">班
</t>
        </r>
      </text>
    </comment>
    <comment ref="AG45" authorId="2" shapeId="0" xr:uid="{9915BE8F-292A-46C8-BE85-35B51A3A7298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H45" authorId="2" shapeId="0" xr:uid="{0F8B9C46-DBC0-4928-91EC-86965701806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</t>
        </r>
        <r>
          <rPr>
            <sz val="9"/>
            <color indexed="81"/>
            <rFont val="細明體"/>
            <family val="3"/>
            <charset val="136"/>
          </rPr>
          <t xml:space="preserve">只能早班或N
</t>
        </r>
      </text>
    </comment>
    <comment ref="J46" authorId="2" shapeId="0" xr:uid="{3E100147-F7A0-4155-815D-44BD40B4A94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請幫忙安排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>天特休消化時數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L46" authorId="2" shapeId="0" xr:uid="{3C14B9C1-020F-4287-9167-AC6951CF9E1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小朋友醫院回診可以小夜班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可以休假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M46" authorId="2" shapeId="0" xr:uid="{CAA025B0-26E1-44EA-98CA-38C94A55D56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小朋友醫院回診可以大夜班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可以休假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R46" authorId="2" shapeId="0" xr:uid="{44066171-5431-4A57-8D59-D4088CD9517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家裡有事請幫忙安排休假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U46" authorId="2" shapeId="0" xr:uid="{5AF49DDC-54FB-4506-A245-EFA3CE5B42A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1500</t>
        </r>
        <r>
          <rPr>
            <sz val="9"/>
            <color indexed="81"/>
            <rFont val="細明體"/>
            <family val="3"/>
            <charset val="136"/>
          </rPr>
          <t>看牙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可以大夜班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可以休假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Admin</author>
    <author>Tin, France 丁嘉威 (599510)</author>
    <author>Jiang, Tony 江宇東 (598753)</author>
    <author>Mao, Richie 毛睿群 ()</author>
    <author>User</author>
    <author>Lin, Key 林守麒 (597352)</author>
  </authors>
  <commentList>
    <comment ref="F2" authorId="0" shapeId="0" xr:uid="{2449D8E6-F9FC-4EF9-B520-914D06B95265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BB543EB4-F122-4E1A-A7FC-7022F720A202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S2" authorId="1" shapeId="0" xr:uid="{A66641EB-9846-468A-9689-05F3037AB501}">
      <text>
        <r>
          <rPr>
            <b/>
            <sz val="14"/>
            <color indexed="81"/>
            <rFont val="細明體"/>
            <family val="3"/>
            <charset val="136"/>
          </rPr>
          <t>國慶日補假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" authorId="1" shapeId="0" xr:uid="{4E62A3A3-D057-4D63-B0F0-93793625A76A}">
      <text>
        <r>
          <rPr>
            <b/>
            <sz val="9"/>
            <color indexed="81"/>
            <rFont val="Tahoma"/>
            <family val="2"/>
          </rPr>
          <t>光復節補假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" authorId="2" shapeId="0" xr:uid="{8E316BD3-186A-4F20-B6AB-396A63382C2E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admin:
</t>
        </r>
      </text>
    </comment>
    <comment ref="T4" authorId="2" shapeId="0" xr:uid="{31B603CB-AF5A-4710-B6C7-B7D2C419C55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Z4" authorId="2" shapeId="0" xr:uid="{6393D035-2A7A-4610-BF65-4BFB1F61A6A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G4" authorId="2" shapeId="0" xr:uid="{564BDEEF-2404-4405-BF5B-1AA4D1BDADE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N4" authorId="2" shapeId="0" xr:uid="{A4723B54-ACF9-434C-8798-FFEAB183961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L5" authorId="2" shapeId="0" xr:uid="{C2C424FC-7AEC-4239-B5F8-5962D0A1D601}">
      <text>
        <r>
          <rPr>
            <b/>
            <sz val="16"/>
            <color indexed="81"/>
            <rFont val="Tahoma"/>
            <family val="2"/>
          </rPr>
          <t xml:space="preserve">Dear Jason:
</t>
        </r>
        <r>
          <rPr>
            <b/>
            <sz val="16"/>
            <color indexed="81"/>
            <rFont val="細明體"/>
            <family val="3"/>
            <charset val="136"/>
          </rPr>
          <t>請排早班或</t>
        </r>
        <r>
          <rPr>
            <b/>
            <sz val="16"/>
            <color indexed="81"/>
            <rFont val="Tahoma"/>
            <family val="2"/>
          </rPr>
          <t xml:space="preserve">1..3q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U5" authorId="2" shapeId="0" xr:uid="{593B366D-E98E-49C5-B9C4-737879F855DE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I5" authorId="2" shapeId="0" xr:uid="{7FDA618A-2D9B-42D9-BC3F-84DCFAD3A661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</t>
        </r>
        <r>
          <rPr>
            <b/>
            <sz val="14"/>
            <color indexed="10"/>
            <rFont val="細明體"/>
            <family val="3"/>
            <charset val="136"/>
          </rPr>
          <t>不要</t>
        </r>
        <r>
          <rPr>
            <b/>
            <sz val="14"/>
            <color indexed="81"/>
            <rFont val="細明體"/>
            <family val="3"/>
            <charset val="136"/>
          </rPr>
          <t>排早班或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K6" authorId="1" shapeId="0" xr:uid="{D49C3F15-E5E5-45BA-AE01-CE4482EB32A8}">
      <text>
        <r>
          <rPr>
            <b/>
            <sz val="14"/>
            <color indexed="81"/>
            <rFont val="Tahoma"/>
            <family val="2"/>
          </rPr>
          <t xml:space="preserve">新人教育訓練 講師
</t>
        </r>
      </text>
    </comment>
    <comment ref="R6" authorId="2" shapeId="0" xr:uid="{4F237587-FE16-4C70-ADF7-AAFDE1408AE6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 CR通報
</t>
        </r>
      </text>
    </comment>
    <comment ref="W6" authorId="2" shapeId="0" xr:uid="{D98BD7AA-6928-4C8F-A193-25E332652311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 TX結案
</t>
        </r>
      </text>
    </comment>
    <comment ref="Y6" authorId="2" shapeId="0" xr:uid="{C0D5155C-CDC1-467F-9D7B-50B467FADA3B}">
      <text>
        <r>
          <rPr>
            <b/>
            <sz val="14"/>
            <color indexed="81"/>
            <rFont val="細明體"/>
            <family val="3"/>
            <charset val="136"/>
          </rPr>
          <t xml:space="preserve">Splunk 轉移
</t>
        </r>
      </text>
    </comment>
    <comment ref="AC6" authorId="2" shapeId="0" xr:uid="{4DB2E52D-8557-4D85-BF07-3410CF0C1D8B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AD6" authorId="2" shapeId="0" xr:uid="{A4A5B3D6-02F2-4C2A-B35F-EE0A5A526EBA}">
      <text>
        <r>
          <rPr>
            <b/>
            <sz val="14"/>
            <color indexed="81"/>
            <rFont val="細明體"/>
            <family val="3"/>
            <charset val="136"/>
          </rPr>
          <t xml:space="preserve">Splunk 轉移
</t>
        </r>
      </text>
    </comment>
    <comment ref="J7" authorId="2" shapeId="0" xr:uid="{C1E03540-3D22-4652-8832-E5BB6FA1E501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M8" authorId="2" shapeId="0" xr:uid="{B9A27DEF-E477-4245-9FDC-F9A3DC3C55BA}">
      <text>
        <r>
          <rPr>
            <b/>
            <sz val="16"/>
            <color indexed="81"/>
            <rFont val="Tahoma"/>
            <family val="2"/>
          </rPr>
          <t xml:space="preserve">Dear Jason:
</t>
        </r>
        <r>
          <rPr>
            <b/>
            <sz val="16"/>
            <color indexed="81"/>
            <rFont val="細明體"/>
            <family val="3"/>
            <charset val="136"/>
          </rPr>
          <t>請排早班或</t>
        </r>
        <r>
          <rPr>
            <b/>
            <sz val="16"/>
            <color indexed="81"/>
            <rFont val="Tahoma"/>
            <family val="2"/>
          </rPr>
          <t xml:space="preserve">1..3q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R8" authorId="2" shapeId="0" xr:uid="{9CC996C7-D718-4AC8-B2A2-F335A0A3392F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 CR通報
</t>
        </r>
      </text>
    </comment>
    <comment ref="AB8" authorId="2" shapeId="0" xr:uid="{3184F06B-70E1-4B81-95FF-9D309413224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sir:要帶小孩去做校外服務，若排班方便請幫我排"X"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8" authorId="2" shapeId="0" xr:uid="{6C0DBC8E-D062-4585-85ED-C49EF433334C}">
      <text>
        <r>
          <rPr>
            <b/>
            <sz val="14"/>
            <color indexed="81"/>
            <rFont val="細明體"/>
            <family val="3"/>
            <charset val="136"/>
          </rPr>
          <t xml:space="preserve">Splunk 轉移
</t>
        </r>
      </text>
    </comment>
    <comment ref="AH8" authorId="2" shapeId="0" xr:uid="{6FC71033-B191-40A4-9ED3-FEFB23D9830F}">
      <text>
        <r>
          <rPr>
            <b/>
            <sz val="16"/>
            <color indexed="81"/>
            <rFont val="細明體"/>
            <family val="3"/>
            <charset val="136"/>
          </rPr>
          <t xml:space="preserve">與大D換班
</t>
        </r>
      </text>
    </comment>
    <comment ref="J9" authorId="2" shapeId="0" xr:uid="{5286408A-06AE-4FD5-8B16-466AAC1FD462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Jason,
支援小夜大夜，但合計請勿超過" 3 "天，假日可以的話也請幫忙排早、1，謝謝。
</t>
        </r>
      </text>
    </comment>
    <comment ref="P9" authorId="2" shapeId="0" xr:uid="{14D5FBC9-1FF2-4645-AB59-0187ECF53E93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Q9" authorId="2" shapeId="0" xr:uid="{22C558B6-80B7-4FE5-B343-D2EEBF15EF02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R9" authorId="2" shapeId="0" xr:uid="{008E80D0-62A3-44FB-8545-510C5D6840BC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J10" authorId="2" shapeId="0" xr:uid="{F271273F-5EE6-4324-BD4C-41A636E235CA}">
      <text>
        <r>
          <rPr>
            <b/>
            <sz val="9"/>
            <color indexed="81"/>
            <rFont val="Tahoma"/>
            <family val="2"/>
          </rPr>
          <t xml:space="preserve">Hi Jason,
</t>
        </r>
        <r>
          <rPr>
            <b/>
            <sz val="9"/>
            <color indexed="81"/>
            <rFont val="細明體"/>
            <family val="3"/>
            <charset val="136"/>
          </rPr>
          <t>若需排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細明體"/>
            <family val="3"/>
            <charset val="136"/>
          </rPr>
          <t>或</t>
        </r>
        <r>
          <rPr>
            <b/>
            <sz val="9"/>
            <color indexed="81"/>
            <rFont val="Tahoma"/>
            <family val="2"/>
          </rPr>
          <t xml:space="preserve">3 </t>
        </r>
        <r>
          <rPr>
            <b/>
            <sz val="9"/>
            <color indexed="81"/>
            <rFont val="細明體"/>
            <family val="3"/>
            <charset val="136"/>
          </rPr>
          <t xml:space="preserve">請在六日，感謝
</t>
        </r>
      </text>
    </comment>
    <comment ref="N10" authorId="2" shapeId="0" xr:uid="{58300817-4C2C-46CB-92E8-F9BDF85375E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0" authorId="2" shapeId="0" xr:uid="{45A408B1-FB80-43B3-93B8-FE65FF1D166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 學習
</t>
        </r>
      </text>
    </comment>
    <comment ref="Q10" authorId="2" shapeId="0" xr:uid="{F4B45B84-EB46-4F7D-873E-E19D6E3DD508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 學習
</t>
        </r>
      </text>
    </comment>
    <comment ref="T10" authorId="2" shapeId="0" xr:uid="{77E25355-71C1-435A-AF70-E383FF4E6636}">
      <text>
        <r>
          <rPr>
            <b/>
            <sz val="16"/>
            <color indexed="81"/>
            <rFont val="細明體"/>
            <family val="3"/>
            <charset val="136"/>
          </rPr>
          <t xml:space="preserve">與KK換週
</t>
        </r>
      </text>
    </comment>
    <comment ref="W10" authorId="2" shapeId="0" xr:uid="{C1D418D6-C0CA-4013-9885-36A2140B620A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 學習
</t>
        </r>
      </text>
    </comment>
    <comment ref="Y10" authorId="2" shapeId="0" xr:uid="{A7A10E47-0BF7-40D6-8CA1-3B9217CA4384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 學習
</t>
        </r>
      </text>
    </comment>
    <comment ref="AB10" authorId="2" shapeId="0" xr:uid="{77DC14B5-3166-489C-B6CC-B0A697ECE8C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10" authorId="2" shapeId="0" xr:uid="{7B36728A-915A-4DE7-91EA-13B3475025F0}">
      <text>
        <r>
          <rPr>
            <b/>
            <sz val="12"/>
            <color indexed="81"/>
            <rFont val="Tahoma"/>
            <family val="2"/>
          </rPr>
          <t>HR</t>
        </r>
        <r>
          <rPr>
            <b/>
            <sz val="12"/>
            <color indexed="81"/>
            <rFont val="細明體"/>
            <family val="3"/>
            <charset val="136"/>
          </rPr>
          <t>課程</t>
        </r>
        <r>
          <rPr>
            <b/>
            <sz val="12"/>
            <color indexed="81"/>
            <rFont val="Tahoma"/>
            <family val="2"/>
          </rPr>
          <t>-TPKC_7F_701</t>
        </r>
        <r>
          <rPr>
            <b/>
            <sz val="12"/>
            <color indexed="81"/>
            <rFont val="細明體"/>
            <family val="3"/>
            <charset val="136"/>
          </rPr>
          <t xml:space="preserve">教室
</t>
        </r>
      </text>
    </comment>
    <comment ref="M11" authorId="2" shapeId="0" xr:uid="{C3173D2D-10D8-46DD-ACE7-347B03AD6B0A}">
      <text>
        <r>
          <rPr>
            <b/>
            <sz val="16"/>
            <color indexed="81"/>
            <rFont val="細明體"/>
            <family val="3"/>
            <charset val="136"/>
          </rPr>
          <t xml:space="preserve">家庭日與Fujio換週
</t>
        </r>
      </text>
    </comment>
    <comment ref="N11" authorId="2" shapeId="0" xr:uid="{DB2D27F9-C46E-4ECB-B827-F1AE7110C26E}">
      <text>
        <r>
          <rPr>
            <b/>
            <sz val="16"/>
            <color indexed="81"/>
            <rFont val="細明體"/>
            <family val="3"/>
            <charset val="136"/>
          </rPr>
          <t xml:space="preserve">家庭日與Fujio換週
</t>
        </r>
      </text>
    </comment>
    <comment ref="O12" authorId="2" shapeId="0" xr:uid="{10977710-3977-4445-837E-E5EBD6D45834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Y12" authorId="2" shapeId="0" xr:uid="{75770599-9117-4CA8-A5C0-8F47942EAFBB}">
      <text>
        <r>
          <rPr>
            <b/>
            <sz val="14"/>
            <color indexed="81"/>
            <rFont val="細明體"/>
            <family val="3"/>
            <charset val="136"/>
          </rPr>
          <t xml:space="preserve">Splunk 轉移
</t>
        </r>
      </text>
    </comment>
    <comment ref="AC12" authorId="2" shapeId="0" xr:uid="{59061E04-E90F-4AB9-86E0-A3DCE27BE903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AD12" authorId="2" shapeId="0" xr:uid="{F5DD5310-EF65-46BA-AE62-68871DBF0C86}">
      <text>
        <r>
          <rPr>
            <b/>
            <sz val="14"/>
            <color indexed="81"/>
            <rFont val="細明體"/>
            <family val="3"/>
            <charset val="136"/>
          </rPr>
          <t xml:space="preserve">Splunk 轉移
</t>
        </r>
      </text>
    </comment>
    <comment ref="AF12" authorId="2" shapeId="0" xr:uid="{73134E29-D8DA-4442-A796-49685A167883}">
      <text>
        <r>
          <rPr>
            <b/>
            <sz val="14"/>
            <color indexed="81"/>
            <rFont val="細明體"/>
            <family val="3"/>
            <charset val="136"/>
          </rPr>
          <t xml:space="preserve">Splunk 轉移
</t>
        </r>
      </text>
    </comment>
    <comment ref="AK12" authorId="2" shapeId="0" xr:uid="{CCCDF0A3-0261-4C78-B18D-4B638C6BCFE9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J13" authorId="2" shapeId="0" xr:uid="{3115FCAA-92EC-42A5-83C0-9EE26B6F5474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或"中"，謝謝
</t>
        </r>
      </text>
    </comment>
    <comment ref="K13" authorId="2" shapeId="0" xr:uid="{8561E860-EDA3-4955-9533-D5DA9077182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3" authorId="2" shapeId="0" xr:uid="{DAFB80D8-BEC0-4129-BB64-3B64B4E85DC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P13" authorId="2" shapeId="0" xr:uid="{1B34E8F7-6FE5-4B5E-8670-C3BB53806BD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3" authorId="2" shapeId="0" xr:uid="{17B4193D-5A4D-4193-8ACB-BB5B6B3CE2E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V13" authorId="2" shapeId="0" xr:uid="{0A7002D5-C011-49B8-BEEC-0471CC9F5F1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3" authorId="2" shapeId="0" xr:uid="{B9027001-E0FC-421B-8B63-41BABF0E8ECA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 TX結案
</t>
        </r>
      </text>
    </comment>
    <comment ref="AB13" authorId="2" shapeId="0" xr:uid="{B59CB93F-FEDD-4AA7-9C18-7FAEDCEAC08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C13" authorId="2" shapeId="0" xr:uid="{3A60E12F-6AB4-4B29-8886-FDAD5390CA8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3" authorId="2" shapeId="0" xr:uid="{240B895B-378B-4603-BCFE-9E5F1DF3D9C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J13" authorId="2" shapeId="0" xr:uid="{33233473-B29E-4363-ADC3-D8B058E1DFC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K13" authorId="2" shapeId="0" xr:uid="{88408AF4-62BD-4720-85DE-2B14518EF31D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L13" authorId="2" shapeId="0" xr:uid="{533B3397-365D-4998-9997-E52214ABFA6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3" authorId="2" shapeId="0" xr:uid="{59890979-3B8D-4056-89A9-CDCC6C32E17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O14" authorId="2" shapeId="0" xr:uid="{D769D20F-2BC6-4F06-80AF-64A00E32CD9B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Z14" authorId="2" shapeId="0" xr:uid="{81B7F82C-4887-4E55-A34C-F70E65D44BAA}">
      <text>
        <r>
          <rPr>
            <b/>
            <sz val="14"/>
            <color indexed="81"/>
            <rFont val="細明體"/>
            <family val="3"/>
            <charset val="136"/>
          </rPr>
          <t xml:space="preserve">Splunk 轉移
</t>
        </r>
      </text>
    </comment>
    <comment ref="AC14" authorId="2" shapeId="0" xr:uid="{EE00F1C7-3B13-474A-92D3-AF65AD08C004}">
      <text>
        <r>
          <rPr>
            <b/>
            <sz val="12"/>
            <color indexed="81"/>
            <rFont val="Tahoma"/>
            <family val="2"/>
          </rPr>
          <t>ETSC PN DF</t>
        </r>
        <r>
          <rPr>
            <b/>
            <sz val="12"/>
            <color indexed="81"/>
            <rFont val="細明體"/>
            <family val="3"/>
            <charset val="136"/>
          </rPr>
          <t xml:space="preserve">監控移轉驗證
</t>
        </r>
      </text>
    </comment>
    <comment ref="AD14" authorId="2" shapeId="0" xr:uid="{A4F3D86F-1FC3-4B83-A83B-561E9EC03B8B}">
      <text>
        <r>
          <rPr>
            <b/>
            <sz val="14"/>
            <color indexed="81"/>
            <rFont val="細明體"/>
            <family val="3"/>
            <charset val="136"/>
          </rPr>
          <t xml:space="preserve">Splunk 轉移
</t>
        </r>
      </text>
    </comment>
    <comment ref="AK14" authorId="2" shapeId="0" xr:uid="{D9CF7873-E0F5-4CDA-BC37-386CCFA2EC89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L14" authorId="2" shapeId="0" xr:uid="{E6B532BF-B23A-4528-9FDE-D486A0F795CE}">
      <text>
        <r>
          <rPr>
            <b/>
            <sz val="14"/>
            <color indexed="81"/>
            <rFont val="細明體"/>
            <family val="3"/>
            <charset val="136"/>
          </rPr>
          <t xml:space="preserve">Splunk 轉移
</t>
        </r>
      </text>
    </comment>
    <comment ref="J15" authorId="3" shapeId="0" xr:uid="{986BA7E7-6F13-4ADE-B880-95A1CF5DBF03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如果排班方便的話請多早或1，支援大夜與小夜，請各別排在同一周但不要假日，不要超過3天，謝謝
如果人力許可，請多排一個N
</t>
        </r>
      </text>
    </comment>
    <comment ref="L15" authorId="2" shapeId="0" xr:uid="{E0208049-2C44-4B39-95F8-27E2922F9658}">
      <text>
        <r>
          <rPr>
            <b/>
            <sz val="14"/>
            <color indexed="81"/>
            <rFont val="Tahoma"/>
            <family val="2"/>
          </rPr>
          <t xml:space="preserve">Dear Jason:
</t>
        </r>
        <r>
          <rPr>
            <b/>
            <sz val="14"/>
            <color indexed="81"/>
            <rFont val="細明體"/>
            <family val="3"/>
            <charset val="136"/>
          </rPr>
          <t>晚上</t>
        </r>
        <r>
          <rPr>
            <b/>
            <sz val="14"/>
            <color indexed="81"/>
            <rFont val="Tahoma"/>
            <family val="2"/>
          </rPr>
          <t>7</t>
        </r>
        <r>
          <rPr>
            <b/>
            <sz val="14"/>
            <color indexed="81"/>
            <rFont val="細明體"/>
            <family val="3"/>
            <charset val="136"/>
          </rPr>
          <t>點參加學校家長委員會，麻煩請排1 or 早
新人教育訓練講師</t>
        </r>
      </text>
    </comment>
    <comment ref="M15" authorId="2" shapeId="0" xr:uid="{22CEC6BF-D733-4401-B8BA-2433A3607CDD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KK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admin:
公司家庭日
</t>
        </r>
      </text>
    </comment>
    <comment ref="N15" authorId="2" shapeId="0" xr:uid="{3657B4C4-3477-472C-858D-4B7CC326A29B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KK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O15" authorId="1" shapeId="0" xr:uid="{BE7B061D-41C2-4419-8137-964B237CDD7A}">
      <text>
        <r>
          <rPr>
            <b/>
            <sz val="14"/>
            <color indexed="81"/>
            <rFont val="Tahoma"/>
            <family val="2"/>
          </rPr>
          <t xml:space="preserve">新人教育訓練講師
</t>
        </r>
      </text>
    </comment>
    <comment ref="Q15" authorId="2" shapeId="0" xr:uid="{E7C653F8-7BDF-41C8-8327-548E5D7D1C09}">
      <text>
        <r>
          <rPr>
            <b/>
            <sz val="14"/>
            <color indexed="81"/>
            <rFont val="細明體"/>
            <family val="3"/>
            <charset val="136"/>
          </rPr>
          <t xml:space="preserve">Bras 
discuss
</t>
        </r>
      </text>
    </comment>
    <comment ref="R15" authorId="2" shapeId="0" xr:uid="{4CDE05E5-F54E-4F9D-8EF4-70CBC5E25264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</t>
        </r>
      </text>
    </comment>
    <comment ref="X15" authorId="2" shapeId="0" xr:uid="{456740EF-63A8-401E-836E-2BFACF45C996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AA15" authorId="4" shapeId="0" xr:uid="{86260BFE-7B13-4B89-85F8-3464D20534DC}">
      <text>
        <r>
          <rPr>
            <b/>
            <sz val="9"/>
            <color indexed="81"/>
            <rFont val="Tahoma"/>
            <family val="2"/>
          </rPr>
          <t xml:space="preserve">Tin, France </t>
        </r>
        <r>
          <rPr>
            <b/>
            <sz val="9"/>
            <color indexed="81"/>
            <rFont val="細明體"/>
            <family val="3"/>
            <charset val="136"/>
          </rPr>
          <t>丁嘉威</t>
        </r>
        <r>
          <rPr>
            <b/>
            <sz val="9"/>
            <color indexed="81"/>
            <rFont val="Tahoma"/>
            <family val="2"/>
          </rPr>
          <t xml:space="preserve"> (599510):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 xml:space="preserve">臨時有事，可否請幫忙排休假
</t>
        </r>
      </text>
    </comment>
    <comment ref="AL15" authorId="2" shapeId="0" xr:uid="{44C9561B-4ACB-4E25-8383-C639C70BFFD8}">
      <text>
        <r>
          <rPr>
            <b/>
            <sz val="14"/>
            <color indexed="81"/>
            <rFont val="細明體"/>
            <family val="3"/>
            <charset val="136"/>
          </rPr>
          <t xml:space="preserve">Splunk 轉移
</t>
        </r>
      </text>
    </comment>
    <comment ref="K16" authorId="2" shapeId="0" xr:uid="{08A87FAF-5EC1-4D18-BD97-76E90344921F}">
      <text>
        <r>
          <rPr>
            <b/>
            <sz val="20"/>
            <color indexed="81"/>
            <rFont val="細明體"/>
            <family val="3"/>
            <charset val="136"/>
          </rPr>
          <t xml:space="preserve">特休於10/6到期
</t>
        </r>
      </text>
    </comment>
    <comment ref="L16" authorId="2" shapeId="0" xr:uid="{3729D8DC-E823-47B3-8973-1E6E32C5F4B4}">
      <text>
        <r>
          <rPr>
            <b/>
            <sz val="20"/>
            <color indexed="81"/>
            <rFont val="細明體"/>
            <family val="3"/>
            <charset val="136"/>
          </rPr>
          <t xml:space="preserve">特休於10/6到期
</t>
        </r>
      </text>
    </comment>
    <comment ref="R16" authorId="2" shapeId="0" xr:uid="{377FE3AE-FCF6-45E2-AB83-E26136619FB8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 CR通報
</t>
        </r>
      </text>
    </comment>
    <comment ref="R17" authorId="2" shapeId="0" xr:uid="{D18AC942-F462-4A67-AFBC-224E879421AF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請排早或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b/>
            <sz val="14"/>
            <color indexed="81"/>
            <rFont val="細明體"/>
            <family val="3"/>
            <charset val="136"/>
          </rPr>
          <t>，謝謝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C17" authorId="2" shapeId="0" xr:uid="{38058CB0-00ED-4953-9202-541160E2C4C0}">
      <text>
        <r>
          <rPr>
            <b/>
            <sz val="20"/>
            <color indexed="81"/>
            <rFont val="細明體"/>
            <family val="3"/>
            <charset val="136"/>
          </rPr>
          <t xml:space="preserve">病假回診
</t>
        </r>
      </text>
    </comment>
    <comment ref="AF17" authorId="2" shapeId="0" xr:uid="{016E150E-93F2-404A-9FF4-02DD18714A89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請排早或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b/>
            <sz val="14"/>
            <color indexed="81"/>
            <rFont val="細明體"/>
            <family val="3"/>
            <charset val="136"/>
          </rPr>
          <t>，謝謝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K17" authorId="2" shapeId="0" xr:uid="{0C037CA9-5280-4C9A-A9C2-F56450880D1D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請排早或</t>
        </r>
        <r>
          <rPr>
            <b/>
            <sz val="14"/>
            <color indexed="81"/>
            <rFont val="Tahoma"/>
            <family val="2"/>
          </rPr>
          <t>1</t>
        </r>
        <r>
          <rPr>
            <b/>
            <sz val="14"/>
            <color indexed="81"/>
            <rFont val="細明體"/>
            <family val="3"/>
            <charset val="136"/>
          </rPr>
          <t>，謝謝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J18" authorId="2" shapeId="0" xr:uid="{D86B4163-C266-4CE5-AA94-6A78E9D27CD1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排班如果許可的話，請幫我多排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 xml:space="preserve">，謝謝。
</t>
        </r>
      </text>
    </comment>
    <comment ref="J19" authorId="2" shapeId="0" xr:uid="{8DB82987-5EE1-490B-B691-E1098D9CE6F3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如果方便請多排我中或</t>
        </r>
        <r>
          <rPr>
            <b/>
            <sz val="12"/>
            <color indexed="81"/>
            <rFont val="Tahoma"/>
            <family val="2"/>
          </rPr>
          <t xml:space="preserve">2 </t>
        </r>
        <r>
          <rPr>
            <b/>
            <sz val="12"/>
            <color indexed="81"/>
            <rFont val="細明體"/>
            <family val="3"/>
            <charset val="136"/>
          </rPr>
          <t xml:space="preserve">謝謝
</t>
        </r>
      </text>
    </comment>
    <comment ref="M19" authorId="2" shapeId="0" xr:uid="{B91867AB-B909-40CE-9D95-211050F2102A}">
      <text>
        <r>
          <rPr>
            <sz val="12"/>
            <color indexed="81"/>
            <rFont val="細明體"/>
            <family val="3"/>
            <charset val="136"/>
          </rPr>
          <t>跟</t>
        </r>
        <r>
          <rPr>
            <sz val="12"/>
            <color indexed="81"/>
            <rFont val="Tahoma"/>
            <family val="2"/>
          </rPr>
          <t>joy</t>
        </r>
        <r>
          <rPr>
            <sz val="12"/>
            <color indexed="81"/>
            <rFont val="細明體"/>
            <family val="3"/>
            <charset val="136"/>
          </rPr>
          <t xml:space="preserve">互換
</t>
        </r>
      </text>
    </comment>
    <comment ref="Q19" authorId="2" shapeId="0" xr:uid="{313AAD0E-2D43-44C2-89FD-81E69F24A18C}">
      <text>
        <r>
          <rPr>
            <b/>
            <sz val="14"/>
            <color indexed="81"/>
            <rFont val="細明體"/>
            <family val="3"/>
            <charset val="136"/>
          </rPr>
          <t xml:space="preserve">Bras 
discuss
</t>
        </r>
      </text>
    </comment>
    <comment ref="X19" authorId="2" shapeId="0" xr:uid="{67405DAD-6B4D-4C13-BB17-080CC1839744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L20" authorId="2" shapeId="0" xr:uid="{B0A079FB-27E3-4392-85D3-B6C4E1A2AAD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早班"，謝謝。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0" authorId="2" shapeId="0" xr:uid="{8F66A77E-A163-42F4-B5FA-9C5D27183528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</t>
        </r>
      </text>
    </comment>
    <comment ref="T20" authorId="2" shapeId="0" xr:uid="{1FBA7A61-89C7-45AD-A30E-4E7F0AA7893D}">
      <text>
        <r>
          <rPr>
            <sz val="12"/>
            <color indexed="81"/>
            <rFont val="細明體"/>
            <family val="3"/>
            <charset val="136"/>
          </rPr>
          <t>跟</t>
        </r>
        <r>
          <rPr>
            <sz val="12"/>
            <color indexed="81"/>
            <rFont val="Tahoma"/>
            <family val="2"/>
          </rPr>
          <t>kevin</t>
        </r>
        <r>
          <rPr>
            <sz val="12"/>
            <color indexed="81"/>
            <rFont val="細明體"/>
            <family val="3"/>
            <charset val="136"/>
          </rPr>
          <t xml:space="preserve">互換
</t>
        </r>
      </text>
    </comment>
    <comment ref="AH20" authorId="2" shapeId="0" xr:uid="{4C2765DA-5ED8-4C94-B1B0-9B19898E8E51}">
      <text>
        <r>
          <rPr>
            <sz val="12"/>
            <color indexed="81"/>
            <rFont val="細明體"/>
            <family val="3"/>
            <charset val="136"/>
          </rPr>
          <t>跟</t>
        </r>
        <r>
          <rPr>
            <sz val="12"/>
            <color indexed="81"/>
            <rFont val="Tahoma"/>
            <family val="2"/>
          </rPr>
          <t>kevin</t>
        </r>
        <r>
          <rPr>
            <sz val="12"/>
            <color indexed="81"/>
            <rFont val="細明體"/>
            <family val="3"/>
            <charset val="136"/>
          </rPr>
          <t xml:space="preserve">互換
</t>
        </r>
      </text>
    </comment>
    <comment ref="J21" authorId="2" shapeId="0" xr:uid="{BAA88CCF-3366-4F0C-BEA6-A06F95ECEB83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1" authorId="2" shapeId="0" xr:uid="{1B3EB4BB-2303-4214-86EC-4238BC981E3A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A21" authorId="2" shapeId="0" xr:uid="{65B24DB7-5E4F-41FB-B625-56F216461937}">
      <text>
        <r>
          <rPr>
            <b/>
            <sz val="14"/>
            <color indexed="81"/>
            <rFont val="新細明體"/>
            <family val="1"/>
            <charset val="136"/>
          </rPr>
          <t>Dear Jason:
白天有事麻煩排3或晚
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21" authorId="2" shapeId="0" xr:uid="{3030AF9E-54DB-4735-B53F-3D19D97D177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G21" authorId="2" shapeId="0" xr:uid="{6DBFC160-4E35-4793-8F2F-91059F7806EF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L23" authorId="2" shapeId="0" xr:uid="{F68CD2CF-B909-48A9-B328-7B00C7D77B9D}">
      <text>
        <r>
          <rPr>
            <b/>
            <sz val="12"/>
            <color indexed="81"/>
            <rFont val="Tahoma"/>
            <family val="2"/>
          </rPr>
          <t>admin: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 xml:space="preserve">支援阿西並且下午可能請假需排N8班
</t>
        </r>
      </text>
    </comment>
    <comment ref="X23" authorId="2" shapeId="0" xr:uid="{C00F6486-CDBD-4AED-9464-9E703E32CC97}">
      <text>
        <r>
          <rPr>
            <b/>
            <sz val="14"/>
            <color indexed="81"/>
            <rFont val="細明體"/>
            <family val="3"/>
            <charset val="136"/>
          </rPr>
          <t xml:space="preserve">OTT discuss
</t>
        </r>
      </text>
    </comment>
    <comment ref="AL23" authorId="5" shapeId="0" xr:uid="{7AA9D245-0F2B-4C85-A3D6-C3102ABEB2A6}">
      <text>
        <r>
          <rPr>
            <b/>
            <sz val="9"/>
            <color indexed="81"/>
            <rFont val="Tahoma"/>
            <family val="2"/>
          </rPr>
          <t xml:space="preserve">Jiang, Tony </t>
        </r>
        <r>
          <rPr>
            <b/>
            <sz val="9"/>
            <color indexed="81"/>
            <rFont val="細明體"/>
            <family val="3"/>
            <charset val="136"/>
          </rPr>
          <t>江宇東</t>
        </r>
        <r>
          <rPr>
            <b/>
            <sz val="9"/>
            <color indexed="81"/>
            <rFont val="Tahoma"/>
            <family val="2"/>
          </rPr>
          <t xml:space="preserve"> (598753):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 xml:space="preserve">下午請假帶媽媽回診
</t>
        </r>
      </text>
    </comment>
    <comment ref="AM23" authorId="5" shapeId="0" xr:uid="{D3B70165-18D1-4897-86A6-7AE21837D02E}">
      <text>
        <r>
          <rPr>
            <b/>
            <sz val="11"/>
            <color indexed="81"/>
            <rFont val="Tahoma"/>
            <family val="2"/>
          </rPr>
          <t xml:space="preserve">Jiang, Tony </t>
        </r>
        <r>
          <rPr>
            <b/>
            <sz val="11"/>
            <color indexed="81"/>
            <rFont val="細明體"/>
            <family val="3"/>
            <charset val="136"/>
          </rPr>
          <t>江宇東</t>
        </r>
        <r>
          <rPr>
            <b/>
            <sz val="11"/>
            <color indexed="81"/>
            <rFont val="Tahoma"/>
            <family val="2"/>
          </rPr>
          <t xml:space="preserve"> (598753):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2026/10/29 09:30-17:30
</t>
        </r>
        <r>
          <rPr>
            <sz val="12"/>
            <color indexed="81"/>
            <rFont val="細明體"/>
            <family val="3"/>
            <charset val="136"/>
          </rPr>
          <t>課程名稱</t>
        </r>
        <r>
          <rPr>
            <sz val="12"/>
            <color indexed="81"/>
            <rFont val="Tahoma"/>
            <family val="2"/>
          </rPr>
          <t xml:space="preserve">: </t>
        </r>
        <r>
          <rPr>
            <sz val="12"/>
            <color indexed="81"/>
            <rFont val="細明體"/>
            <family val="3"/>
            <charset val="136"/>
          </rPr>
          <t xml:space="preserve">問題分析與決策制定
</t>
        </r>
      </text>
    </comment>
    <comment ref="V24" authorId="2" shapeId="0" xr:uid="{65674F5B-783C-4C71-933F-556397D02640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J25" authorId="2" shapeId="0" xr:uid="{BBEC93BF-1C72-4655-B8EC-4DDB88B1DC78}">
      <text>
        <r>
          <rPr>
            <b/>
            <sz val="12"/>
            <color indexed="81"/>
            <rFont val="Tahoma"/>
            <family val="2"/>
          </rPr>
          <t xml:space="preserve">Dear sir: 
</t>
        </r>
        <r>
          <rPr>
            <b/>
            <sz val="12"/>
            <color indexed="81"/>
            <rFont val="細明體"/>
            <family val="3"/>
            <charset val="136"/>
          </rPr>
          <t>如排班允許請多排</t>
        </r>
        <r>
          <rPr>
            <b/>
            <sz val="12"/>
            <color indexed="81"/>
            <rFont val="Tahoma"/>
            <family val="2"/>
          </rPr>
          <t>1 or 3</t>
        </r>
        <r>
          <rPr>
            <b/>
            <sz val="12"/>
            <color indexed="81"/>
            <rFont val="細明體"/>
            <family val="3"/>
            <charset val="136"/>
          </rPr>
          <t>，若1請盡量假日，謝謝。</t>
        </r>
      </text>
    </comment>
    <comment ref="L25" authorId="2" shapeId="0" xr:uid="{70711236-EAA1-4500-B60D-F02357B57A9C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P25" authorId="2" shapeId="0" xr:uid="{72134022-7A23-4605-B253-90DC9F971294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Q25" authorId="2" shapeId="0" xr:uid="{6A699C9B-75C8-4947-8FCF-AD5C67082FBF}">
      <text>
        <r>
          <rPr>
            <b/>
            <sz val="14"/>
            <color indexed="81"/>
            <rFont val="細明體"/>
            <family val="3"/>
            <charset val="136"/>
          </rPr>
          <t xml:space="preserve">Bras 
discuss
</t>
        </r>
      </text>
    </comment>
    <comment ref="X25" authorId="2" shapeId="0" xr:uid="{62E8F6CC-FF11-40E6-9B05-524B5CD99CC6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A25" authorId="2" shapeId="0" xr:uid="{A8A91552-283C-4CB2-B450-88033A606C01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與Howard換週
</t>
        </r>
      </text>
    </comment>
    <comment ref="AB25" authorId="2" shapeId="0" xr:uid="{A37B102C-8850-4371-8875-9E961A64E7E2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與Howard換週
</t>
        </r>
      </text>
    </comment>
    <comment ref="AD25" authorId="2" shapeId="0" xr:uid="{9386A6A8-E6AC-43D5-81C5-E6A803CF99A1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F25" authorId="2" shapeId="0" xr:uid="{223E286B-8367-4DEE-8283-3ED54745E85A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L25" authorId="2" shapeId="0" xr:uid="{356E7C9C-BA54-4B1A-81BB-10C4CF4C5A98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M25" authorId="2" shapeId="0" xr:uid="{3F24D452-3C9F-415B-B616-3F845D3D9A76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J26" authorId="2" shapeId="0" xr:uid="{9F29E8E0-B3B1-4DDE-8F41-65763D7C1C1F}">
      <text>
        <r>
          <rPr>
            <b/>
            <sz val="13"/>
            <color indexed="81"/>
            <rFont val="Tahoma"/>
            <family val="2"/>
          </rPr>
          <t xml:space="preserve">Dear sir: 
</t>
        </r>
        <r>
          <rPr>
            <b/>
            <sz val="13"/>
            <color indexed="81"/>
            <rFont val="細明體"/>
            <family val="3"/>
            <charset val="136"/>
          </rPr>
          <t>如排班允許請多排</t>
        </r>
        <r>
          <rPr>
            <b/>
            <sz val="13"/>
            <color indexed="81"/>
            <rFont val="Tahoma"/>
            <family val="2"/>
          </rPr>
          <t>3</t>
        </r>
        <r>
          <rPr>
            <b/>
            <sz val="13"/>
            <color indexed="81"/>
            <rFont val="細明體"/>
            <family val="3"/>
            <charset val="136"/>
          </rPr>
          <t xml:space="preserve">，謝謝。
</t>
        </r>
      </text>
    </comment>
    <comment ref="K26" authorId="2" shapeId="0" xr:uid="{9392DC93-12DA-4544-B7EE-8AB673ECDE85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轉正報到日
</t>
        </r>
      </text>
    </comment>
    <comment ref="M26" authorId="2" shapeId="0" xr:uid="{EC965443-85EE-4D1F-8C6A-85D9CE6BF35E}">
      <text>
        <r>
          <rPr>
            <b/>
            <sz val="16"/>
            <color indexed="81"/>
            <rFont val="細明體"/>
            <family val="3"/>
            <charset val="136"/>
          </rPr>
          <t xml:space="preserve">與Tommy換週
</t>
        </r>
      </text>
    </comment>
    <comment ref="P26" authorId="2" shapeId="0" xr:uid="{13905CD9-A0B9-4A53-93E8-2C7460FE749B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方便的話,請排3 or X，謝謝
</t>
        </r>
      </text>
    </comment>
    <comment ref="W26" authorId="2" shapeId="0" xr:uid="{D92E08F3-84D8-46D8-92CA-71BB211CC95B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方便的話,請排3 or X，謝謝
</t>
        </r>
      </text>
    </comment>
    <comment ref="AD26" authorId="2" shapeId="0" xr:uid="{40D82F68-39B2-4037-970E-034411CA9DE3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方便的話,請排3 or X，謝謝
</t>
        </r>
      </text>
    </comment>
    <comment ref="AK26" authorId="2" shapeId="0" xr:uid="{C2E222F4-B8A4-44AD-8084-83B8FBD7184C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方便的話,請排3 or X，謝謝
</t>
        </r>
      </text>
    </comment>
    <comment ref="T27" authorId="2" shapeId="0" xr:uid="{FAAC404F-77A7-4A0B-B1E7-E6ED7F8C9AF2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與Jimmy換週
</t>
        </r>
      </text>
    </comment>
    <comment ref="U27" authorId="2" shapeId="0" xr:uid="{40DEC879-2879-488A-9B9E-304CC434C24F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與Jimmy換週
</t>
        </r>
      </text>
    </comment>
    <comment ref="Z27" authorId="2" shapeId="0" xr:uid="{D38D9729-C5EB-458A-93A8-7FC69D93904F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若排班許可，請幫我排"3"，謝謝。
</t>
        </r>
      </text>
    </comment>
    <comment ref="AE27" authorId="2" shapeId="0" xr:uid="{2EFF07E1-0F78-48EB-92B5-7A6F8FBBCE7B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AO27" authorId="2" shapeId="0" xr:uid="{E364C3C3-C48F-44BB-B13D-173AEBE2F051}">
      <text>
        <r>
          <rPr>
            <b/>
            <sz val="14"/>
            <color indexed="81"/>
            <rFont val="Malgun Gothic Semilight"/>
            <family val="2"/>
            <charset val="136"/>
          </rPr>
          <t xml:space="preserve">Dear sir:
方便的話,請排3，謝謝
</t>
        </r>
      </text>
    </comment>
    <comment ref="J29" authorId="2" shapeId="0" xr:uid="{0FE8309D-A269-4F92-BBD0-4B33F035E097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
平日請盡量多排"2"or"3"，
需排"1"請排在假日，謝謝。
</t>
        </r>
      </text>
    </comment>
    <comment ref="AN30" authorId="2" shapeId="0" xr:uid="{4763C82D-EE28-44EF-B796-07BCFFA857A3}">
      <text>
        <r>
          <rPr>
            <b/>
            <sz val="20"/>
            <color indexed="81"/>
            <rFont val="細明體"/>
            <family val="3"/>
            <charset val="136"/>
          </rPr>
          <t xml:space="preserve">特休於10/6到期
</t>
        </r>
      </text>
    </comment>
    <comment ref="P31" authorId="2" shapeId="0" xr:uid="{5B7265F1-5017-4D42-BB93-F864E1ED84D9}">
      <text>
        <r>
          <rPr>
            <b/>
            <sz val="20"/>
            <color indexed="81"/>
            <rFont val="細明體"/>
            <family val="3"/>
            <charset val="136"/>
          </rPr>
          <t xml:space="preserve">特休於10/6到期
</t>
        </r>
      </text>
    </comment>
    <comment ref="AN31" authorId="2" shapeId="0" xr:uid="{90BE55B9-72CF-4C41-B241-AAA952C3604B}">
      <text>
        <r>
          <rPr>
            <b/>
            <sz val="20"/>
            <color indexed="81"/>
            <rFont val="細明體"/>
            <family val="3"/>
            <charset val="136"/>
          </rPr>
          <t xml:space="preserve">特休於10/6到期
</t>
        </r>
      </text>
    </comment>
    <comment ref="K32" authorId="6" shapeId="0" xr:uid="{2BAA4260-B03E-4B98-B63D-874E494F4090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>Dear Jason:</t>
        </r>
        <r>
          <rPr>
            <b/>
            <sz val="11"/>
            <color indexed="81"/>
            <rFont val="新細明體"/>
            <family val="1"/>
            <charset val="136"/>
            <scheme val="minor"/>
          </rPr>
          <t xml:space="preserve">
1~4希望能小夜(2)，中間不休假，謝謝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P32" authorId="6" shapeId="0" xr:uid="{A63463ED-4051-4127-8F7E-A95E4B522D59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 xml:space="preserve">6~9希望能小夜，中間不休假，謝謝
</t>
        </r>
      </text>
    </comment>
    <comment ref="V32" authorId="6" shapeId="0" xr:uid="{A0B6496A-4C71-4217-A41A-D532363535B0}">
      <text>
        <r>
          <rPr>
            <b/>
            <sz val="12"/>
            <color indexed="81"/>
            <rFont val="細明體"/>
            <family val="3"/>
            <charset val="136"/>
          </rPr>
          <t>希望12~18能小夜(2)，中間不休假</t>
        </r>
      </text>
    </comment>
    <comment ref="AD32" authorId="2" shapeId="0" xr:uid="{B010E349-4BFA-4D28-9D1F-FFB06068E20C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>希望20~23能小夜(2)，謝謝</t>
        </r>
      </text>
    </comment>
    <comment ref="AJ32" authorId="6" shapeId="0" xr:uid="{A827D3C9-0E67-44ED-9BB0-F72E7CE6A08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希望</t>
        </r>
        <r>
          <rPr>
            <b/>
            <sz val="11"/>
            <color indexed="81"/>
            <rFont val="Tahoma"/>
            <family val="2"/>
          </rPr>
          <t>26~31</t>
        </r>
        <r>
          <rPr>
            <b/>
            <sz val="11"/>
            <color indexed="81"/>
            <rFont val="細明體"/>
            <family val="3"/>
            <charset val="136"/>
          </rPr>
          <t>能早班(1)，中間可以有休假，謝謝</t>
        </r>
      </text>
    </comment>
    <comment ref="K33" authorId="1" shapeId="0" xr:uid="{2E0F633E-DC7B-4B4E-8E26-1D8850A2CBFA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L33" authorId="1" shapeId="0" xr:uid="{0E051E36-DB1D-4657-B936-5DEC6ACF6A85}">
      <text>
        <r>
          <rPr>
            <b/>
            <sz val="9"/>
            <color indexed="81"/>
            <rFont val="Tahoma"/>
            <family val="2"/>
          </rPr>
          <t>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33" authorId="1" shapeId="0" xr:uid="{F5D16205-AB2D-4509-8137-BE3B90F24C19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P33" authorId="1" shapeId="0" xr:uid="{1708F21F-CBB0-4EA0-8EDB-F14A240D0CFF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Q33" authorId="1" shapeId="0" xr:uid="{C5167C27-AC8C-4AF8-A39E-B288983429F2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R33" authorId="1" shapeId="0" xr:uid="{F21DC95C-6080-4FDF-B1B4-57C6974A3BA0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K34" authorId="1" shapeId="0" xr:uid="{9630685E-3341-4595-B257-DD78EA46324E}">
      <text>
        <r>
          <rPr>
            <b/>
            <sz val="14"/>
            <color indexed="81"/>
            <rFont val="Tahoma"/>
            <family val="2"/>
          </rPr>
          <t xml:space="preserve">新人教育訓練
</t>
        </r>
      </text>
    </comment>
    <comment ref="L34" authorId="1" shapeId="0" xr:uid="{BE7E5ACF-B217-4F00-BD8A-A5E6E1209FE1}">
      <text>
        <r>
          <rPr>
            <b/>
            <sz val="14"/>
            <color indexed="81"/>
            <rFont val="Tahoma"/>
            <family val="2"/>
          </rPr>
          <t xml:space="preserve">新人教育訓練
</t>
        </r>
      </text>
    </comment>
    <comment ref="O34" authorId="1" shapeId="0" xr:uid="{C674C2C1-3536-4A1E-9FFD-F3A8ADBF05A7}">
      <text>
        <r>
          <rPr>
            <b/>
            <sz val="14"/>
            <color indexed="81"/>
            <rFont val="Tahoma"/>
            <family val="2"/>
          </rPr>
          <t xml:space="preserve">新人教育訓練
</t>
        </r>
      </text>
    </comment>
    <comment ref="P34" authorId="1" shapeId="0" xr:uid="{E7453765-D7B0-4BA0-AC43-0D97FE95084B}">
      <text>
        <r>
          <rPr>
            <b/>
            <sz val="14"/>
            <color indexed="81"/>
            <rFont val="Tahoma"/>
            <family val="2"/>
          </rPr>
          <t xml:space="preserve">新人教育訓練
</t>
        </r>
      </text>
    </comment>
    <comment ref="Q34" authorId="1" shapeId="0" xr:uid="{9F450DD3-C66A-4E8B-BFDB-69390A3D6D03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R34" authorId="1" shapeId="0" xr:uid="{8E73E738-9BC1-4928-A178-D37E44B15BFC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V34" authorId="1" shapeId="0" xr:uid="{DE6BBE84-F520-4108-B1F1-E2CD410F9143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W34" authorId="1" shapeId="0" xr:uid="{7245BE69-AEE3-44DB-A9C6-A1ABA6B53C53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X34" authorId="1" shapeId="0" xr:uid="{824C2ECA-3D4F-4C1C-A99F-9B51C1783016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Y34" authorId="1" shapeId="0" xr:uid="{78CB7E3F-22FA-40DC-8A25-5457E451951C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Z34" authorId="1" shapeId="0" xr:uid="{C78EB625-7BFA-4805-ACED-3D27CEF9B73B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AC34" authorId="1" shapeId="0" xr:uid="{3F1F7AC7-09A9-4E83-AC99-52C5897CE3A7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AD34" authorId="1" shapeId="0" xr:uid="{2B33F818-6F33-4E98-B82A-C16603AA02A1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AE34" authorId="1" shapeId="0" xr:uid="{FD48F9CD-14A0-41CB-8745-BFA54F67E5BB}">
      <text>
        <r>
          <rPr>
            <b/>
            <sz val="9"/>
            <color indexed="81"/>
            <rFont val="Tahoma"/>
            <family val="2"/>
          </rPr>
          <t>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4" authorId="1" shapeId="0" xr:uid="{BA5F9F1E-830B-47A1-A7C0-4A3B8A2A449B}">
      <text>
        <r>
          <rPr>
            <b/>
            <sz val="9"/>
            <color indexed="81"/>
            <rFont val="Tahoma"/>
            <family val="2"/>
          </rPr>
          <t>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4" authorId="1" shapeId="0" xr:uid="{A71C1F6A-5CD7-4F75-836B-1AC04EE5FC9F}">
      <text>
        <r>
          <rPr>
            <b/>
            <sz val="9"/>
            <color indexed="81"/>
            <rFont val="Tahoma"/>
            <family val="2"/>
          </rPr>
          <t>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34" authorId="1" shapeId="0" xr:uid="{16D725B2-C10A-412A-B966-73341841C39A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AL34" authorId="1" shapeId="0" xr:uid="{E2178CF7-8B5D-49B8-8EA3-A81141C487E1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AM34" authorId="1" shapeId="0" xr:uid="{E8026B36-A808-4D8E-BD2C-23EBAE7F8D6A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AN34" authorId="1" shapeId="0" xr:uid="{09E8B000-0586-45A6-A5EA-603AF09F31E9}">
      <text>
        <r>
          <rPr>
            <b/>
            <sz val="9"/>
            <color indexed="81"/>
            <rFont val="Tahoma"/>
            <family val="2"/>
          </rPr>
          <t>on Job</t>
        </r>
      </text>
    </comment>
    <comment ref="M35" authorId="2" shapeId="0" xr:uid="{AB86DADD-879A-485D-B6C6-2D4187DD2796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5" authorId="2" shapeId="0" xr:uid="{E6126674-647A-4BEC-90C1-4C9662FE74F9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5" authorId="2" shapeId="0" xr:uid="{0136F0AB-B54A-448B-9B70-B4475889B3A2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中班"，謝謝。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5" authorId="2" shapeId="0" xr:uid="{31208B1D-E69F-464F-9BCB-DFC954026F67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中班"，謝謝。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35" authorId="2" shapeId="0" xr:uid="{6B21A815-F19A-4A64-88DA-9C42F6B2E121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35" authorId="2" shapeId="0" xr:uid="{56A20221-F96D-4CC8-B158-E4FA59B68321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5" authorId="2" shapeId="0" xr:uid="{E7C11CC2-9F68-4338-831E-93F09E4F739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中班"，謝謝。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5" authorId="2" shapeId="0" xr:uid="{B3FCA960-556F-4138-81BE-F2A13FB536FC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中班"，謝謝。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5" authorId="2" shapeId="0" xr:uid="{2423B4EC-56B3-451B-81B2-AEF32024DFC5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35" authorId="2" shapeId="0" xr:uid="{E2161447-C2D1-4358-B97F-FD6666172D2D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5" authorId="2" shapeId="0" xr:uid="{E4666BBE-C9B8-433E-B9D8-26ACD32D1BC1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7" authorId="2" shapeId="0" xr:uid="{1545D7EE-CFD2-4C01-859B-EDC7A42851F2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1.如果排班方便，因為接送小孩，請多排中班或2，謝謝。
2.如果排班方便，因為接送小孩，如有大夜請排在例假日沒有上課時，謝謝。</t>
        </r>
        <r>
          <rPr>
            <sz val="14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X37" authorId="2" shapeId="0" xr:uid="{A9E46411-CD99-4068-8AF1-3DE6EF5D865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上課時間: 2026/10/14 13:30-17:30
AI診療室系列_省時省力！AI讓您輕鬆搞定日常任務
講師: 潘庭莉 Tingli Pan / 柯成龍 Jackie Ko
班次: HR_20261014_板橋
聯絡人: 蔡亞玲 Rachel Tsai(597240)
活動地點: 板橋TPKC_7F_701教室
16:00~17:30 Tommy M1 代班</t>
        </r>
        <r>
          <rPr>
            <sz val="16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J38" authorId="7" shapeId="0" xr:uid="{80197AD9-DF1F-465F-BA84-F8A97E3958A4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admin:
admin:
admin:
</t>
        </r>
      </text>
    </comment>
    <comment ref="W39" authorId="2" shapeId="0" xr:uid="{6584CE71-85BA-4CF0-AA76-67EDE48E1D28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 TX結案
</t>
        </r>
      </text>
    </comment>
    <comment ref="AK39" authorId="2" shapeId="0" xr:uid="{2865CB0B-94B2-4268-9EF1-84ABA6E388C7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L40" authorId="2" shapeId="0" xr:uid="{625ADF3D-681D-4570-A41B-3239E60B387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S40" authorId="2" shapeId="0" xr:uid="{E1B56E0F-3E10-42EE-BF45-AB7959EB33C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T40" authorId="2" shapeId="0" xr:uid="{707EC900-820D-472D-9DB1-CA741090519E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U40" authorId="2" shapeId="0" xr:uid="{E666C4BC-8D41-489B-8175-1986FA1E08D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X40" authorId="2" shapeId="0" xr:uid="{2AF030DF-5699-4F99-A866-73204E9B577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Y40" authorId="2" shapeId="0" xr:uid="{368D2AA0-8536-4485-8014-5998AD0F55E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Z40" authorId="2" shapeId="0" xr:uid="{5CE34CD9-7F2E-4128-B860-8C84D1BF18D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E40" authorId="2" shapeId="0" xr:uid="{861AA979-2467-4B89-935E-9B0E4B30AD48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F40" authorId="2" shapeId="0" xr:uid="{AAA87F9D-1A33-41A1-83F9-A22D2165ED8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40" authorId="8" shapeId="0" xr:uid="{B8A848BE-C63B-4CA4-A937-7F1A01A47F46}">
      <text>
        <r>
          <rPr>
            <b/>
            <sz val="12"/>
            <color indexed="81"/>
            <rFont val="新細明體"/>
            <family val="1"/>
            <charset val="136"/>
          </rPr>
          <t>Lin, Key 林守麒 (597352):</t>
        </r>
        <r>
          <rPr>
            <sz val="12"/>
            <color indexed="81"/>
            <rFont val="新細明體"/>
            <family val="1"/>
            <charset val="136"/>
          </rPr>
          <t xml:space="preserve">
可以的話請排早班，謝謝。</t>
        </r>
      </text>
    </comment>
    <comment ref="AI40" authorId="8" shapeId="0" xr:uid="{C1B3FCB3-0621-46EB-A8D8-6F463313C211}">
      <text>
        <r>
          <rPr>
            <b/>
            <sz val="12"/>
            <color indexed="81"/>
            <rFont val="新細明體"/>
            <family val="1"/>
            <charset val="136"/>
          </rPr>
          <t>Lin, Key 林守麒 (597352):</t>
        </r>
        <r>
          <rPr>
            <sz val="12"/>
            <color indexed="81"/>
            <rFont val="新細明體"/>
            <family val="1"/>
            <charset val="136"/>
          </rPr>
          <t xml:space="preserve">
可以的話請排早班，謝謝。</t>
        </r>
      </text>
    </comment>
    <comment ref="AM40" authorId="2" shapeId="0" xr:uid="{7ACB250F-5312-4225-BD19-75591BC4209E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N40" authorId="2" shapeId="0" xr:uid="{7968E8A7-42DE-4B84-8A98-DE79FFC840C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O40" authorId="2" shapeId="0" xr:uid="{C94D98D6-413F-47B1-A815-341D6E05AC9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若排班方便請排"晚"or 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J41" authorId="2" shapeId="0" xr:uid="{5EB21A29-3CE1-44E6-AF5C-DFF1CD76C6C0}">
      <text>
        <r>
          <rPr>
            <sz val="9"/>
            <color indexed="81"/>
            <rFont val="細明體"/>
            <family val="3"/>
            <charset val="136"/>
          </rPr>
          <t xml:space="preserve">不要排小夜
</t>
        </r>
      </text>
    </comment>
    <comment ref="M41" authorId="2" shapeId="0" xr:uid="{FDBAA4AE-4223-4D2D-AA97-9245412B300F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R41" authorId="2" shapeId="0" xr:uid="{AFCBB156-2229-4A4F-9A2F-780A907763D6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AA41" authorId="2" shapeId="0" xr:uid="{C93B64F0-DB25-42A6-9F46-02EE87BE43C5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AO41" authorId="2" shapeId="0" xr:uid="{63ACCFC3-41E4-41C5-A5F1-4894B3E9A80C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AN42" authorId="2" shapeId="0" xr:uid="{18F2C43D-30C7-4293-B7E2-459427EB2552}">
      <text>
        <r>
          <rPr>
            <b/>
            <sz val="20"/>
            <color indexed="81"/>
            <rFont val="細明體"/>
            <family val="3"/>
            <charset val="136"/>
          </rPr>
          <t xml:space="preserve">特休於10/6到期
</t>
        </r>
      </text>
    </comment>
    <comment ref="O43" authorId="2" shapeId="0" xr:uid="{F1194F15-9350-4374-8D36-90C23867CC8E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K45" authorId="2" shapeId="0" xr:uid="{C263B305-9D74-4555-B44D-321703FA8B8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再麻煩排大夜謝謝
</t>
        </r>
      </text>
    </comment>
    <comment ref="P45" authorId="2" shapeId="0" xr:uid="{34EFCF88-D773-4493-B2B7-1BFE4D38A3CF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 學習
</t>
        </r>
      </text>
    </comment>
    <comment ref="Q45" authorId="2" shapeId="0" xr:uid="{2ED36101-742A-4807-82FA-451FC76310A1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 學習
</t>
        </r>
      </text>
    </comment>
    <comment ref="T45" authorId="2" shapeId="0" xr:uid="{D975F590-B866-4553-BF46-BDB310A8DCA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有事只能小夜
</t>
        </r>
      </text>
    </comment>
    <comment ref="U45" authorId="2" shapeId="0" xr:uid="{08F90519-0651-4917-B98B-A1FFB69E32B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有事只能小夜
</t>
        </r>
      </text>
    </comment>
    <comment ref="W45" authorId="2" shapeId="0" xr:uid="{7CB909E6-AC03-456F-813C-66915276CD8D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 學習
</t>
        </r>
      </text>
    </comment>
    <comment ref="Y45" authorId="2" shapeId="0" xr:uid="{F4DFF45A-9C62-4C90-BDAD-D015E7D361B0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 學習
</t>
        </r>
      </text>
    </comment>
    <comment ref="AF45" authorId="2" shapeId="0" xr:uid="{D6878817-9E9C-407A-8A43-9EF874D3D6B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有事只能大夜，謝謝
</t>
        </r>
      </text>
    </comment>
    <comment ref="AG45" authorId="2" shapeId="0" xr:uid="{AF760345-20F0-4DB7-807A-A1BF3B64821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有事只能大夜，謝謝
</t>
        </r>
      </text>
    </comment>
    <comment ref="AH45" authorId="2" shapeId="0" xr:uid="{98E02D5E-748B-4450-97D7-31C69F89373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有事只能大夜，謝謝
</t>
        </r>
      </text>
    </comment>
    <comment ref="AI45" authorId="2" shapeId="0" xr:uid="{297899C7-2878-42B9-B0B4-C18C5BA099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有事只能大夜，謝謝
</t>
        </r>
      </text>
    </comment>
    <comment ref="J46" authorId="2" shapeId="0" xr:uid="{53D8CAA7-8DDB-4750-AA71-FEA6C609973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請幫忙安排兩天特休來消化時數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K46" authorId="2" shapeId="0" xr:uid="{7222DBC4-1C36-4C4C-8FC1-3CBB17CB1D1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小孩成長科回診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可以大夜班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放假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O46" authorId="2" shapeId="0" xr:uid="{2DDCB8FE-5468-4523-B321-FAEDA2E8540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小孩過敏回診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可以小夜班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放假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P46" authorId="2" shapeId="0" xr:uid="{4800C0A1-EC72-4075-9B21-080466E207F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小孩看牙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可以早班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放假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R46" authorId="2" shapeId="0" xr:uid="{AC3ACF60-7463-4981-9F81-1DAD0069D52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小孩看牙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可以早班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放假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L46" authorId="2" shapeId="0" xr:uid="{725DEC3C-7508-4BB3-81AF-A6717EBAFD7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小孩成長科回診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可以大夜班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放假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M46" authorId="2" shapeId="0" xr:uid="{21371229-361C-4553-A13E-7E78E4EADAD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小孩成長科回診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可以大夜班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放假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2">
    <bk>
      <extLst>
        <ext uri="{bdbb8cdc-fa1e-496e-a857-3c3f30c029c3}">
          <xda:dynamicArrayProperties fDynamic="0" fCollapsed="0"/>
        </ext>
      </extLst>
    </bk>
    <bk>
      <extLst>
        <ext uri="{bdbb8cdc-fa1e-496e-a857-3c3f30c029c3}">
          <xda:dynamicArrayProperties fDynamic="1" fCollapsed="0"/>
        </ext>
      </extLst>
    </bk>
  </futureMetadata>
  <cellMetadata count="2">
    <bk>
      <rc t="1" v="0"/>
    </bk>
    <bk>
      <rc t="1" v="1"/>
    </bk>
  </cellMetadata>
</metadata>
</file>

<file path=xl/sharedStrings.xml><?xml version="1.0" encoding="utf-8"?>
<sst xmlns="http://schemas.openxmlformats.org/spreadsheetml/2006/main" count="11605" uniqueCount="179">
  <si>
    <t>X</t>
  </si>
  <si>
    <t>S</t>
  </si>
  <si>
    <t>David Lee</t>
  </si>
  <si>
    <t>N8</t>
  </si>
  <si>
    <t>Gary Wang</t>
  </si>
  <si>
    <t>M1</t>
  </si>
  <si>
    <t>Tommy Lee</t>
  </si>
  <si>
    <t>Alight Tzeng</t>
    <phoneticPr fontId="14" type="noConversion"/>
  </si>
  <si>
    <t>Jason Huang</t>
  </si>
  <si>
    <t>Moby Lee</t>
  </si>
  <si>
    <t>K.K. Yang</t>
  </si>
  <si>
    <t>Kevin Teng</t>
  </si>
  <si>
    <t>Joy Du</t>
  </si>
  <si>
    <t>William Chou</t>
  </si>
  <si>
    <t>Jason Chang</t>
  </si>
  <si>
    <t>Tony Jiang</t>
  </si>
  <si>
    <t>Sharon Hsu</t>
  </si>
  <si>
    <t>Arthur Chou</t>
  </si>
  <si>
    <t>Wilson Hsu</t>
  </si>
  <si>
    <t>Howard Yue</t>
  </si>
  <si>
    <t>Ming-Lin Yu</t>
  </si>
  <si>
    <t>David Ke</t>
  </si>
  <si>
    <t>Robert Tang</t>
  </si>
  <si>
    <t>Shih-Hua Tseng</t>
  </si>
  <si>
    <t>Ke-Chin Tsao</t>
  </si>
  <si>
    <t>Bryan Hsieh</t>
  </si>
  <si>
    <t>T中</t>
  </si>
  <si>
    <t>Fujio Huang</t>
  </si>
  <si>
    <t>Wayne Shen</t>
  </si>
  <si>
    <t>Camby Yang</t>
  </si>
  <si>
    <t>Li-Chang Kao</t>
  </si>
  <si>
    <t>Chung-Ming Pai</t>
  </si>
  <si>
    <t>Aaron Wei</t>
  </si>
  <si>
    <t>Josehow Huang</t>
  </si>
  <si>
    <t>TPKC</t>
  </si>
  <si>
    <t>NK</t>
  </si>
  <si>
    <t>早</t>
  </si>
  <si>
    <t>平日</t>
  </si>
  <si>
    <t>中</t>
  </si>
  <si>
    <t>假日</t>
  </si>
  <si>
    <t>晚</t>
  </si>
  <si>
    <t>N</t>
  </si>
  <si>
    <t>欠假</t>
  </si>
  <si>
    <t>OFF (X)</t>
  </si>
  <si>
    <t>OFF (S)</t>
  </si>
  <si>
    <t>OFF (T) 天災</t>
  </si>
  <si>
    <r>
      <rPr>
        <sz val="12"/>
        <rFont val="微軟正黑體"/>
        <family val="2"/>
        <charset val="136"/>
      </rPr>
      <t>剩餘</t>
    </r>
  </si>
  <si>
    <t>Leader</t>
  </si>
  <si>
    <t>六日</t>
  </si>
  <si>
    <t>當月</t>
  </si>
  <si>
    <r>
      <rPr>
        <sz val="12"/>
        <rFont val="細明體"/>
        <family val="3"/>
        <charset val="136"/>
      </rPr>
      <t>上月</t>
    </r>
  </si>
  <si>
    <r>
      <rPr>
        <sz val="12"/>
        <rFont val="細明體"/>
        <family val="3"/>
        <charset val="136"/>
      </rPr>
      <t>加總</t>
    </r>
  </si>
  <si>
    <t>Y</t>
  </si>
  <si>
    <t>Z</t>
  </si>
  <si>
    <t>日</t>
  </si>
  <si>
    <t>大夜</t>
  </si>
  <si>
    <t>小夜</t>
  </si>
  <si>
    <t>Key Lin</t>
    <phoneticPr fontId="2" type="noConversion"/>
  </si>
  <si>
    <t>T早</t>
  </si>
  <si>
    <t>當月應休天數：</t>
    <phoneticPr fontId="28" type="noConversion"/>
  </si>
  <si>
    <t>N</t>
    <phoneticPr fontId="28" type="noConversion"/>
  </si>
  <si>
    <t>S</t>
    <phoneticPr fontId="28" type="noConversion"/>
  </si>
  <si>
    <t>例</t>
    <phoneticPr fontId="28" type="noConversion"/>
  </si>
  <si>
    <t>休</t>
    <phoneticPr fontId="28" type="noConversion"/>
  </si>
  <si>
    <t>國</t>
    <phoneticPr fontId="28" type="noConversion"/>
  </si>
  <si>
    <t>Total</t>
    <phoneticPr fontId="28" type="noConversion"/>
  </si>
  <si>
    <r>
      <t xml:space="preserve">一月
</t>
    </r>
    <r>
      <rPr>
        <b/>
        <sz val="14"/>
        <color rgb="FFFF0000"/>
        <rFont val="新細明體"/>
        <family val="1"/>
        <charset val="136"/>
      </rPr>
      <t>12/22 鎖定</t>
    </r>
  </si>
  <si>
    <t>四</t>
    <phoneticPr fontId="28" type="noConversion"/>
  </si>
  <si>
    <t>五</t>
    <phoneticPr fontId="28" type="noConversion"/>
  </si>
  <si>
    <t>六</t>
    <phoneticPr fontId="28" type="noConversion"/>
  </si>
  <si>
    <t>日</t>
    <phoneticPr fontId="28" type="noConversion"/>
  </si>
  <si>
    <t>一</t>
    <phoneticPr fontId="28" type="noConversion"/>
  </si>
  <si>
    <t>二</t>
    <phoneticPr fontId="28" type="noConversion"/>
  </si>
  <si>
    <t>三</t>
    <phoneticPr fontId="28" type="noConversion"/>
  </si>
  <si>
    <t>X</t>
    <phoneticPr fontId="28" type="noConversion"/>
  </si>
  <si>
    <t>Y</t>
    <phoneticPr fontId="28" type="noConversion"/>
  </si>
  <si>
    <t>Z</t>
    <phoneticPr fontId="28" type="noConversion"/>
  </si>
  <si>
    <t>前月
欠補</t>
    <phoneticPr fontId="28" type="noConversion"/>
  </si>
  <si>
    <t>當月
欠補</t>
    <phoneticPr fontId="28" type="noConversion"/>
  </si>
  <si>
    <t>當月
調整</t>
    <phoneticPr fontId="28" type="noConversion"/>
  </si>
  <si>
    <t>周休</t>
    <phoneticPr fontId="28" type="noConversion"/>
  </si>
  <si>
    <t>Jimmy Chuang</t>
    <phoneticPr fontId="28" type="noConversion"/>
  </si>
  <si>
    <t>X</t>
    <phoneticPr fontId="54" type="noConversion"/>
  </si>
  <si>
    <t>(2/4)</t>
    <phoneticPr fontId="28" type="noConversion"/>
  </si>
  <si>
    <t>(1/3)</t>
    <phoneticPr fontId="28" type="noConversion"/>
  </si>
  <si>
    <t>Holmen Tseng</t>
    <phoneticPr fontId="28" type="noConversion"/>
  </si>
  <si>
    <t>S</t>
    <phoneticPr fontId="54" type="noConversion"/>
  </si>
  <si>
    <t>Winston Yu</t>
    <phoneticPr fontId="44" type="noConversion"/>
  </si>
  <si>
    <t>Will Tseng</t>
    <phoneticPr fontId="28" type="noConversion"/>
  </si>
  <si>
    <t>ALL</t>
    <phoneticPr fontId="28" type="noConversion"/>
  </si>
  <si>
    <t>Rain Chiu</t>
    <phoneticPr fontId="28" type="noConversion"/>
  </si>
  <si>
    <t>Fan Hsiao</t>
    <phoneticPr fontId="28" type="noConversion"/>
  </si>
  <si>
    <t>Simon Huang</t>
    <phoneticPr fontId="28" type="noConversion"/>
  </si>
  <si>
    <t>France Tin</t>
  </si>
  <si>
    <t>Stan Lu</t>
    <phoneticPr fontId="28" type="noConversion"/>
  </si>
  <si>
    <t>Jimmy Hong</t>
    <phoneticPr fontId="28" type="noConversion"/>
  </si>
  <si>
    <t>Glenn Lin</t>
    <phoneticPr fontId="28" type="noConversion"/>
  </si>
  <si>
    <t>Alan Wu</t>
    <phoneticPr fontId="28" type="noConversion"/>
  </si>
  <si>
    <t>Nick Wu</t>
    <phoneticPr fontId="28" type="noConversion"/>
  </si>
  <si>
    <t>小夜</t>
    <phoneticPr fontId="28" type="noConversion"/>
  </si>
  <si>
    <t>大夜</t>
    <phoneticPr fontId="28" type="noConversion"/>
  </si>
  <si>
    <t>On Job</t>
    <phoneticPr fontId="28" type="noConversion"/>
  </si>
  <si>
    <t>調整</t>
    <phoneticPr fontId="28" type="noConversion"/>
  </si>
  <si>
    <t>當月應休天數：</t>
    <phoneticPr fontId="30" type="noConversion"/>
  </si>
  <si>
    <t>N</t>
    <phoneticPr fontId="30" type="noConversion"/>
  </si>
  <si>
    <t>S</t>
    <phoneticPr fontId="30" type="noConversion"/>
  </si>
  <si>
    <t>例</t>
    <phoneticPr fontId="30" type="noConversion"/>
  </si>
  <si>
    <t>休</t>
    <phoneticPr fontId="30" type="noConversion"/>
  </si>
  <si>
    <t>國</t>
    <phoneticPr fontId="30" type="noConversion"/>
  </si>
  <si>
    <t>Total</t>
    <phoneticPr fontId="30" type="noConversion"/>
  </si>
  <si>
    <r>
      <t xml:space="preserve">二月
</t>
    </r>
    <r>
      <rPr>
        <b/>
        <sz val="14"/>
        <color rgb="FFFF0000"/>
        <rFont val="新細明體"/>
        <family val="1"/>
        <charset val="136"/>
      </rPr>
      <t>1/20 鎖定</t>
    </r>
  </si>
  <si>
    <t>日</t>
    <phoneticPr fontId="30" type="noConversion"/>
  </si>
  <si>
    <t>一</t>
    <phoneticPr fontId="30" type="noConversion"/>
  </si>
  <si>
    <t>二</t>
    <phoneticPr fontId="30" type="noConversion"/>
  </si>
  <si>
    <t>三</t>
    <phoneticPr fontId="30" type="noConversion"/>
  </si>
  <si>
    <t>四</t>
    <phoneticPr fontId="30" type="noConversion"/>
  </si>
  <si>
    <t>五</t>
    <phoneticPr fontId="30" type="noConversion"/>
  </si>
  <si>
    <t>六</t>
    <phoneticPr fontId="30" type="noConversion"/>
  </si>
  <si>
    <t>X</t>
    <phoneticPr fontId="30" type="noConversion"/>
  </si>
  <si>
    <t>Y</t>
    <phoneticPr fontId="30" type="noConversion"/>
  </si>
  <si>
    <t>Z</t>
    <phoneticPr fontId="30" type="noConversion"/>
  </si>
  <si>
    <t>前月
欠補</t>
    <phoneticPr fontId="30" type="noConversion"/>
  </si>
  <si>
    <t>當月
欠補</t>
    <phoneticPr fontId="30" type="noConversion"/>
  </si>
  <si>
    <t>當月
調整</t>
    <phoneticPr fontId="30" type="noConversion"/>
  </si>
  <si>
    <t>周休</t>
    <phoneticPr fontId="30" type="noConversion"/>
  </si>
  <si>
    <t>Jimmy Chuang</t>
    <phoneticPr fontId="30" type="noConversion"/>
  </si>
  <si>
    <t>(2/4)</t>
    <phoneticPr fontId="30" type="noConversion"/>
  </si>
  <si>
    <t>S</t>
    <phoneticPr fontId="58" type="noConversion"/>
  </si>
  <si>
    <t>(1/3)</t>
    <phoneticPr fontId="30" type="noConversion"/>
  </si>
  <si>
    <t>Holmen Tseng</t>
    <phoneticPr fontId="30" type="noConversion"/>
  </si>
  <si>
    <t>Winston Yu</t>
    <phoneticPr fontId="30" type="noConversion"/>
  </si>
  <si>
    <t>X</t>
    <phoneticPr fontId="18" type="noConversion"/>
  </si>
  <si>
    <t>Will Tseng</t>
    <phoneticPr fontId="30" type="noConversion"/>
  </si>
  <si>
    <t>ALL</t>
    <phoneticPr fontId="30" type="noConversion"/>
  </si>
  <si>
    <t>Rain Chiu</t>
    <phoneticPr fontId="30" type="noConversion"/>
  </si>
  <si>
    <t>Fan Hsiao</t>
    <phoneticPr fontId="30" type="noConversion"/>
  </si>
  <si>
    <t>Simon Huang</t>
    <phoneticPr fontId="30" type="noConversion"/>
  </si>
  <si>
    <t>Alan Wu</t>
    <phoneticPr fontId="30" type="noConversion"/>
  </si>
  <si>
    <t>Stan Lu</t>
    <phoneticPr fontId="30" type="noConversion"/>
  </si>
  <si>
    <t>Jimmy Hong</t>
    <phoneticPr fontId="30" type="noConversion"/>
  </si>
  <si>
    <t>Glenn Lin</t>
    <phoneticPr fontId="30" type="noConversion"/>
  </si>
  <si>
    <t>S</t>
    <phoneticPr fontId="81" type="noConversion"/>
  </si>
  <si>
    <t>Nick Wu</t>
    <phoneticPr fontId="30" type="noConversion"/>
  </si>
  <si>
    <t>小夜</t>
    <phoneticPr fontId="30" type="noConversion"/>
  </si>
  <si>
    <t>大夜</t>
    <phoneticPr fontId="30" type="noConversion"/>
  </si>
  <si>
    <t>On Job</t>
    <phoneticPr fontId="30" type="noConversion"/>
  </si>
  <si>
    <t>調整</t>
    <phoneticPr fontId="30" type="noConversion"/>
  </si>
  <si>
    <t>過年</t>
  </si>
  <si>
    <t>過年調整</t>
  </si>
  <si>
    <t>1=&gt;休假</t>
  </si>
  <si>
    <t>Z=&gt;晚班</t>
  </si>
  <si>
    <r>
      <t xml:space="preserve">三月
</t>
    </r>
    <r>
      <rPr>
        <b/>
        <sz val="14"/>
        <color rgb="FFFF0000"/>
        <rFont val="新細明體"/>
        <family val="1"/>
        <charset val="136"/>
      </rPr>
      <t>2/10 鎖定</t>
    </r>
  </si>
  <si>
    <t>Jimmy Chuang</t>
    <phoneticPr fontId="15" type="noConversion"/>
  </si>
  <si>
    <r>
      <t xml:space="preserve">四月
</t>
    </r>
    <r>
      <rPr>
        <b/>
        <sz val="14"/>
        <color rgb="FFFF0000"/>
        <rFont val="新細明體"/>
        <family val="1"/>
        <charset val="136"/>
      </rPr>
      <t>3/20 鎖定</t>
    </r>
  </si>
  <si>
    <t>S</t>
    <phoneticPr fontId="89" type="noConversion"/>
  </si>
  <si>
    <t>M1</t>
    <phoneticPr fontId="89" type="noConversion"/>
  </si>
  <si>
    <t>X</t>
    <phoneticPr fontId="89" type="noConversion"/>
  </si>
  <si>
    <r>
      <t xml:space="preserve">五月
</t>
    </r>
    <r>
      <rPr>
        <b/>
        <sz val="14"/>
        <color rgb="FFFF0000"/>
        <rFont val="新細明體"/>
        <family val="1"/>
        <charset val="136"/>
      </rPr>
      <t>4/20 鎖定</t>
    </r>
  </si>
  <si>
    <r>
      <t xml:space="preserve">六月
</t>
    </r>
    <r>
      <rPr>
        <b/>
        <sz val="14"/>
        <color rgb="FFFF0000"/>
        <rFont val="新細明體"/>
        <family val="1"/>
        <charset val="136"/>
      </rPr>
      <t>5/20 鎖定</t>
    </r>
  </si>
  <si>
    <t>N</t>
    <phoneticPr fontId="89" type="noConversion"/>
  </si>
  <si>
    <t xml:space="preserve"> </t>
    <phoneticPr fontId="89" type="noConversion"/>
  </si>
  <si>
    <r>
      <t xml:space="preserve">七月
</t>
    </r>
    <r>
      <rPr>
        <b/>
        <sz val="14"/>
        <color rgb="FFFF0000"/>
        <rFont val="新細明體"/>
        <family val="1"/>
        <charset val="136"/>
      </rPr>
      <t>6/22 鎖定</t>
    </r>
  </si>
  <si>
    <r>
      <t>T</t>
    </r>
    <r>
      <rPr>
        <sz val="12"/>
        <color rgb="FFFF0000"/>
        <rFont val="細明體"/>
        <family val="3"/>
        <charset val="136"/>
      </rPr>
      <t>早</t>
    </r>
  </si>
  <si>
    <t>T</t>
  </si>
  <si>
    <r>
      <t xml:space="preserve">八月
</t>
    </r>
    <r>
      <rPr>
        <b/>
        <sz val="14"/>
        <color rgb="FFFF0000"/>
        <rFont val="新細明體"/>
        <family val="1"/>
        <charset val="136"/>
      </rPr>
      <t>7/20 鎖定</t>
    </r>
  </si>
  <si>
    <t>Tony Jiang</t>
    <phoneticPr fontId="89" type="noConversion"/>
  </si>
  <si>
    <t>Zuo-Yu Wu</t>
  </si>
  <si>
    <t>Yong-Xiang Lai</t>
  </si>
  <si>
    <t>n</t>
  </si>
  <si>
    <r>
      <t>九月</t>
    </r>
    <r>
      <rPr>
        <b/>
        <sz val="14"/>
        <color rgb="FFFF0000"/>
        <rFont val="新細明體"/>
        <family val="1"/>
        <charset val="136"/>
      </rPr>
      <t xml:space="preserve">
8/20 鎖定</t>
    </r>
  </si>
  <si>
    <t>Richie Mao</t>
  </si>
  <si>
    <t>Charlie Liao</t>
  </si>
  <si>
    <r>
      <t>十月</t>
    </r>
    <r>
      <rPr>
        <b/>
        <sz val="14"/>
        <color rgb="FFFF0000"/>
        <rFont val="新細明體"/>
        <family val="1"/>
        <charset val="136"/>
      </rPr>
      <t xml:space="preserve">
9/21 鎖定</t>
    </r>
  </si>
  <si>
    <t>Jason Huang</t>
    <phoneticPr fontId="14" type="noConversion"/>
  </si>
  <si>
    <t>(1/3)</t>
  </si>
  <si>
    <t>Jet Lin</t>
  </si>
  <si>
    <r>
      <t>T</t>
    </r>
    <r>
      <rPr>
        <sz val="12"/>
        <color rgb="FFFF0000"/>
        <rFont val="Arial"/>
        <family val="2"/>
      </rPr>
      <t>早</t>
    </r>
  </si>
  <si>
    <t>(2/4)</t>
  </si>
  <si>
    <t>On 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</si>
</sst>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_);[Red]\(0\)"/>
    <numFmt numFmtId="166" formatCode="0_ "/>
  </numFmts>
  <fonts count="117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36"/>
      <name val="Arial"/>
      <family val="2"/>
    </font>
    <font>
      <b/>
      <sz val="14"/>
      <name val="新細明體"/>
      <family val="1"/>
      <charset val="136"/>
    </font>
    <font>
      <b/>
      <sz val="14"/>
      <name val="Arial"/>
      <family val="2"/>
    </font>
    <font>
      <sz val="14"/>
      <name val="Arial"/>
      <family val="2"/>
    </font>
    <font>
      <sz val="20"/>
      <name val="細明體"/>
      <family val="3"/>
      <charset val="136"/>
    </font>
    <font>
      <sz val="20"/>
      <name val="新細明體"/>
      <family val="1"/>
      <charset val="136"/>
    </font>
    <font>
      <b/>
      <sz val="24"/>
      <color rgb="FFFF0000"/>
      <name val="新細明體"/>
      <family val="1"/>
      <charset val="136"/>
    </font>
    <font>
      <sz val="10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細明體"/>
      <family val="3"/>
      <charset val="136"/>
    </font>
    <font>
      <b/>
      <sz val="14"/>
      <color rgb="FFFF0000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2"/>
      <color rgb="FFFF0000"/>
      <name val="Arial"/>
      <family val="2"/>
    </font>
    <font>
      <sz val="12"/>
      <name val="Arial"/>
      <family val="2"/>
    </font>
    <font>
      <b/>
      <sz val="10"/>
      <name val="微軟正黑體"/>
      <family val="2"/>
      <charset val="136"/>
    </font>
    <font>
      <b/>
      <sz val="11"/>
      <name val="微軟正黑體"/>
      <family val="2"/>
      <charset val="136"/>
    </font>
    <font>
      <sz val="12"/>
      <color indexed="8"/>
      <name val="Arial"/>
      <family val="2"/>
    </font>
    <font>
      <b/>
      <sz val="14"/>
      <color indexed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4"/>
      <color rgb="FF0000CC"/>
      <name val="Arial"/>
      <family val="2"/>
    </font>
    <font>
      <sz val="14"/>
      <color indexed="8"/>
      <name val="Arial"/>
      <family val="2"/>
    </font>
    <font>
      <sz val="14"/>
      <color theme="1"/>
      <name val="Arial"/>
      <family val="2"/>
    </font>
    <font>
      <sz val="12"/>
      <color theme="1"/>
      <name val="新細明體"/>
      <family val="1"/>
      <charset val="136"/>
    </font>
    <font>
      <sz val="14"/>
      <color rgb="FF000000"/>
      <name val="Arial"/>
      <family val="2"/>
    </font>
    <font>
      <sz val="10"/>
      <color rgb="FFFF0000"/>
      <name val="Arial"/>
      <family val="2"/>
    </font>
    <font>
      <sz val="14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indexed="10"/>
      <name val="Arial"/>
      <family val="2"/>
    </font>
    <font>
      <sz val="10"/>
      <color indexed="8"/>
      <name val="Arial"/>
      <family val="2"/>
    </font>
    <font>
      <sz val="12"/>
      <color indexed="57"/>
      <name val="Arial"/>
      <family val="2"/>
    </font>
    <font>
      <b/>
      <sz val="12"/>
      <name val="新細明體"/>
      <family val="1"/>
      <charset val="136"/>
    </font>
    <font>
      <sz val="12"/>
      <color indexed="12"/>
      <name val="Arial"/>
      <family val="2"/>
    </font>
    <font>
      <sz val="11"/>
      <name val="微軟正黑體"/>
      <family val="2"/>
      <charset val="136"/>
    </font>
    <font>
      <sz val="12"/>
      <color indexed="57"/>
      <name val="新細明體"/>
      <family val="1"/>
      <charset val="136"/>
    </font>
    <font>
      <b/>
      <sz val="10"/>
      <name val="Arial"/>
      <family val="2"/>
    </font>
    <font>
      <sz val="12"/>
      <color indexed="12"/>
      <name val="新細明體"/>
      <family val="1"/>
      <charset val="136"/>
    </font>
    <font>
      <sz val="12"/>
      <color indexed="10"/>
      <name val="微軟正黑體"/>
      <family val="2"/>
      <charset val="136"/>
    </font>
    <font>
      <sz val="12"/>
      <name val="微軟正黑體"/>
      <family val="2"/>
      <charset val="136"/>
    </font>
    <font>
      <sz val="12"/>
      <name val="細明體"/>
      <family val="3"/>
      <charset val="136"/>
    </font>
    <font>
      <sz val="14"/>
      <color rgb="FFFF0000"/>
      <name val="Arial"/>
      <family val="2"/>
    </font>
    <font>
      <b/>
      <sz val="14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16"/>
      <color indexed="81"/>
      <name val="Tahoma"/>
      <family val="2"/>
    </font>
    <font>
      <b/>
      <sz val="16"/>
      <color indexed="81"/>
      <name val="細明體"/>
      <family val="3"/>
      <charset val="136"/>
    </font>
    <font>
      <b/>
      <sz val="16"/>
      <color indexed="81"/>
      <name val="新細明體"/>
      <family val="1"/>
      <charset val="136"/>
      <scheme val="minor"/>
    </font>
    <font>
      <b/>
      <sz val="14"/>
      <color indexed="81"/>
      <name val="微軟正黑體"/>
      <family val="2"/>
      <charset val="136"/>
    </font>
    <font>
      <b/>
      <sz val="15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6"/>
      <color indexed="81"/>
      <name val="新細明體"/>
      <family val="1"/>
      <charset val="136"/>
    </font>
    <font>
      <sz val="12"/>
      <color indexed="81"/>
      <name val="微軟正黑體"/>
      <family val="2"/>
      <charset val="136"/>
    </font>
    <font>
      <b/>
      <sz val="12"/>
      <color indexed="8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12"/>
      <color indexed="81"/>
      <name val="細明體"/>
      <family val="3"/>
      <charset val="136"/>
    </font>
    <font>
      <sz val="12"/>
      <color indexed="81"/>
      <name val="Tahoma"/>
      <family val="2"/>
    </font>
    <font>
      <sz val="14"/>
      <color indexed="81"/>
      <name val="細明體"/>
      <family val="3"/>
      <charset val="136"/>
    </font>
    <font>
      <b/>
      <sz val="12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Microsoft YaHei"/>
      <family val="2"/>
    </font>
    <font>
      <b/>
      <sz val="13"/>
      <color indexed="81"/>
      <name val="Tahoma"/>
      <family val="2"/>
    </font>
    <font>
      <b/>
      <sz val="13"/>
      <color indexed="81"/>
      <name val="細明體"/>
      <family val="3"/>
      <charset val="136"/>
    </font>
    <font>
      <b/>
      <sz val="14"/>
      <color indexed="81"/>
      <name val="新細明體"/>
      <family val="1"/>
      <charset val="136"/>
      <scheme val="minor"/>
    </font>
    <font>
      <b/>
      <sz val="14"/>
      <color indexed="81"/>
      <name val="新細明體"/>
      <family val="1"/>
      <charset val="136"/>
    </font>
    <font>
      <sz val="16"/>
      <color indexed="81"/>
      <name val="新細明體"/>
      <family val="1"/>
      <charset val="136"/>
    </font>
    <font>
      <b/>
      <sz val="16"/>
      <color indexed="81"/>
      <name val="微軟正黑體"/>
      <family val="2"/>
      <charset val="136"/>
    </font>
    <font>
      <sz val="14"/>
      <color indexed="81"/>
      <name val="新細明體"/>
      <family val="1"/>
      <charset val="136"/>
      <scheme val="minor"/>
    </font>
    <font>
      <b/>
      <sz val="14"/>
      <color indexed="81"/>
      <name val="標楷體"/>
      <family val="4"/>
      <charset val="136"/>
    </font>
    <font>
      <b/>
      <sz val="14"/>
      <color rgb="FF0000FF"/>
      <name val="Arial"/>
      <family val="2"/>
    </font>
    <font>
      <b/>
      <sz val="14"/>
      <color indexed="10"/>
      <name val="細明體"/>
      <family val="3"/>
      <charset val="136"/>
    </font>
    <font>
      <b/>
      <sz val="14"/>
      <color indexed="10"/>
      <name val="Tahoma"/>
      <family val="2"/>
    </font>
    <font>
      <sz val="16"/>
      <color indexed="81"/>
      <name val="微軟正黑體"/>
      <family val="2"/>
      <charset val="136"/>
    </font>
    <font>
      <b/>
      <sz val="11"/>
      <color theme="3"/>
      <name val="新細明體"/>
      <family val="2"/>
      <charset val="136"/>
      <scheme val="minor"/>
    </font>
    <font>
      <b/>
      <sz val="10"/>
      <color indexed="81"/>
      <name val="Tahoma"/>
      <family val="2"/>
    </font>
    <font>
      <sz val="11"/>
      <color indexed="81"/>
      <name val="Tahoma"/>
      <family val="2"/>
    </font>
    <font>
      <b/>
      <sz val="14"/>
      <color indexed="81"/>
      <name val="Calibri"/>
      <family val="2"/>
    </font>
    <font>
      <sz val="12"/>
      <color indexed="81"/>
      <name val="細明體"/>
      <family val="3"/>
      <charset val="136"/>
    </font>
    <font>
      <sz val="11"/>
      <color indexed="81"/>
      <name val="細明體"/>
      <family val="3"/>
      <charset val="136"/>
    </font>
    <font>
      <sz val="12"/>
      <color theme="6" tint="-0.499984740745262"/>
      <name val="Arial"/>
      <family val="2"/>
    </font>
    <font>
      <b/>
      <sz val="22"/>
      <color indexed="81"/>
      <name val="細明體"/>
      <family val="3"/>
      <charset val="136"/>
    </font>
    <font>
      <b/>
      <sz val="18"/>
      <color indexed="81"/>
      <name val="Calibri"/>
      <family val="2"/>
    </font>
    <font>
      <b/>
      <sz val="18"/>
      <color indexed="81"/>
      <name val="微軟正黑體"/>
      <family val="2"/>
      <charset val="136"/>
    </font>
    <font>
      <b/>
      <sz val="13"/>
      <color indexed="81"/>
      <name val="新細明體"/>
      <family val="1"/>
      <charset val="136"/>
      <scheme val="minor"/>
    </font>
    <font>
      <sz val="20"/>
      <color indexed="81"/>
      <name val="Tahoma"/>
      <family val="2"/>
    </font>
    <font>
      <sz val="20"/>
      <color indexed="81"/>
      <name val="細明體"/>
      <family val="3"/>
      <charset val="136"/>
    </font>
    <font>
      <b/>
      <sz val="20"/>
      <color indexed="81"/>
      <name val="細明體"/>
      <family val="3"/>
      <charset val="136"/>
    </font>
    <font>
      <sz val="12"/>
      <color theme="1"/>
      <name val="Arial"/>
      <family val="2"/>
      <charset val="136"/>
    </font>
    <font>
      <sz val="12"/>
      <name val="Arial"/>
      <family val="2"/>
      <charset val="136"/>
    </font>
    <font>
      <sz val="12"/>
      <color rgb="FFFF0000"/>
      <name val="Arial"/>
      <family val="2"/>
      <charset val="136"/>
    </font>
    <font>
      <sz val="18"/>
      <color indexed="81"/>
      <name val="微軟正黑體"/>
      <family val="2"/>
      <charset val="136"/>
    </font>
    <font>
      <sz val="18"/>
      <color indexed="81"/>
      <name val="Arial"/>
      <family val="2"/>
    </font>
    <font>
      <sz val="18"/>
      <color indexed="81"/>
      <name val="細明體"/>
      <family val="3"/>
      <charset val="136"/>
    </font>
    <font>
      <b/>
      <sz val="14"/>
      <color indexed="81"/>
      <name val="新細明體"/>
      <family val="1"/>
      <charset val="136"/>
      <scheme val="major"/>
    </font>
    <font>
      <b/>
      <sz val="14"/>
      <color indexed="81"/>
      <name val="Malgun Gothic Semilight"/>
      <family val="2"/>
      <charset val="136"/>
    </font>
    <font>
      <sz val="12"/>
      <color rgb="FFFF0000"/>
      <name val="細明體"/>
      <family val="3"/>
      <charset val="136"/>
    </font>
    <font>
      <sz val="16"/>
      <color indexed="81"/>
      <name val="Tahoma"/>
      <family val="2"/>
    </font>
    <font>
      <sz val="16"/>
      <color indexed="81"/>
      <name val="細明體"/>
      <family val="3"/>
      <charset val="136"/>
    </font>
    <font>
      <b/>
      <sz val="18"/>
      <color indexed="81"/>
      <name val="細明體"/>
      <family val="3"/>
      <charset val="136"/>
    </font>
    <font>
      <b/>
      <sz val="12"/>
      <color indexed="10"/>
      <name val="新細明體"/>
      <family val="1"/>
      <charset val="136"/>
    </font>
    <font>
      <b/>
      <sz val="12"/>
      <color indexed="81"/>
      <name val="新細明體"/>
      <family val="1"/>
      <charset val="136"/>
      <scheme val="major"/>
    </font>
    <font>
      <b/>
      <sz val="14"/>
      <color indexed="81"/>
      <name val="Arial"/>
      <family val="2"/>
    </font>
    <font>
      <b/>
      <sz val="16"/>
      <color indexed="81"/>
      <name val="新細明體"/>
      <family val="1"/>
      <charset val="136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color indexed="81"/>
      <name val="新細明體"/>
      <family val="1"/>
      <charset val="136"/>
      <scheme val="minor"/>
    </font>
    <font>
      <b/>
      <sz val="11"/>
      <color indexed="81"/>
      <name val="新細明體"/>
      <family val="1"/>
      <charset val="136"/>
      <scheme val="minor"/>
    </font>
    <font>
      <sz val="16"/>
      <color indexed="81"/>
      <name val="新細明體"/>
      <family val="1"/>
      <charset val="136"/>
      <scheme val="minor"/>
    </font>
    <font>
      <sz val="12"/>
      <color indexed="81"/>
      <name val="新細明體"/>
      <family val="1"/>
      <charset val="136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EB4E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15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0" fontId="15" fillId="3" borderId="3" xfId="1" applyFont="1" applyFill="1" applyBorder="1" applyAlignment="1">
      <alignment horizontal="center" vertical="center"/>
    </xf>
    <xf numFmtId="0" fontId="16" fillId="3" borderId="3" xfId="1" applyFont="1" applyFill="1" applyBorder="1" applyAlignment="1">
      <alignment horizontal="center" vertical="center"/>
    </xf>
    <xf numFmtId="0" fontId="1" fillId="4" borderId="3" xfId="1" applyFill="1" applyBorder="1" applyAlignment="1">
      <alignment horizontal="center" vertical="center"/>
    </xf>
    <xf numFmtId="0" fontId="15" fillId="4" borderId="3" xfId="1" applyFont="1" applyFill="1" applyBorder="1" applyAlignment="1">
      <alignment horizontal="center" vertical="center"/>
    </xf>
    <xf numFmtId="0" fontId="16" fillId="4" borderId="3" xfId="1" applyFont="1" applyFill="1" applyBorder="1" applyAlignment="1">
      <alignment horizontal="center" vertical="center"/>
    </xf>
    <xf numFmtId="0" fontId="17" fillId="0" borderId="6" xfId="1" applyFont="1" applyBorder="1" applyAlignment="1">
      <alignment horizontal="center" vertical="center" shrinkToFit="1"/>
    </xf>
    <xf numFmtId="0" fontId="17" fillId="0" borderId="6" xfId="1" applyFont="1" applyBorder="1" applyAlignment="1">
      <alignment horizontal="center" vertical="center"/>
    </xf>
    <xf numFmtId="0" fontId="18" fillId="0" borderId="6" xfId="1" applyFont="1" applyBorder="1" applyAlignment="1">
      <alignment horizontal="center" vertical="center"/>
    </xf>
    <xf numFmtId="0" fontId="18" fillId="5" borderId="6" xfId="1" applyFont="1" applyFill="1" applyBorder="1" applyAlignment="1">
      <alignment horizontal="center" vertical="center"/>
    </xf>
    <xf numFmtId="0" fontId="19" fillId="0" borderId="8" xfId="1" applyFont="1" applyBorder="1" applyAlignment="1">
      <alignment horizontal="center" vertical="center" wrapText="1"/>
    </xf>
    <xf numFmtId="0" fontId="19" fillId="0" borderId="9" xfId="1" applyFont="1" applyBorder="1" applyAlignment="1">
      <alignment horizontal="center" vertical="center" wrapText="1"/>
    </xf>
    <xf numFmtId="0" fontId="19" fillId="0" borderId="10" xfId="1" applyFont="1" applyBorder="1" applyAlignment="1">
      <alignment horizontal="center" vertical="center" wrapText="1"/>
    </xf>
    <xf numFmtId="0" fontId="20" fillId="6" borderId="11" xfId="1" applyFont="1" applyFill="1" applyBorder="1" applyAlignment="1">
      <alignment horizontal="center" vertical="center" wrapText="1"/>
    </xf>
    <xf numFmtId="165" fontId="21" fillId="0" borderId="2" xfId="1" applyNumberFormat="1" applyFont="1" applyBorder="1" applyAlignment="1">
      <alignment horizontal="center" vertical="center"/>
    </xf>
    <xf numFmtId="0" fontId="21" fillId="0" borderId="3" xfId="1" applyFont="1" applyBorder="1" applyAlignment="1">
      <alignment horizontal="center" vertical="center"/>
    </xf>
    <xf numFmtId="165" fontId="21" fillId="0" borderId="3" xfId="1" applyNumberFormat="1" applyFont="1" applyBorder="1" applyAlignment="1">
      <alignment horizontal="center" vertical="center"/>
    </xf>
    <xf numFmtId="0" fontId="18" fillId="0" borderId="3" xfId="1" applyFont="1" applyBorder="1" applyAlignment="1">
      <alignment horizontal="center" vertical="center"/>
    </xf>
    <xf numFmtId="165" fontId="21" fillId="0" borderId="12" xfId="1" applyNumberFormat="1" applyFont="1" applyBorder="1" applyAlignment="1">
      <alignment horizontal="center" vertical="center"/>
    </xf>
    <xf numFmtId="0" fontId="23" fillId="0" borderId="2" xfId="1" applyFont="1" applyBorder="1" applyAlignment="1">
      <alignment horizontal="center" vertical="center"/>
    </xf>
    <xf numFmtId="0" fontId="23" fillId="0" borderId="3" xfId="1" applyFont="1" applyBorder="1" applyAlignment="1">
      <alignment horizontal="center" vertical="center"/>
    </xf>
    <xf numFmtId="0" fontId="23" fillId="0" borderId="13" xfId="1" applyFont="1" applyBorder="1" applyAlignment="1">
      <alignment horizontal="center" vertical="center"/>
    </xf>
    <xf numFmtId="0" fontId="23" fillId="5" borderId="3" xfId="1" applyFont="1" applyFill="1" applyBorder="1" applyAlignment="1">
      <alignment horizontal="center" vertical="center"/>
    </xf>
    <xf numFmtId="0" fontId="23" fillId="8" borderId="13" xfId="1" applyFont="1" applyFill="1" applyBorder="1" applyAlignment="1">
      <alignment horizontal="center" vertical="center"/>
    </xf>
    <xf numFmtId="0" fontId="23" fillId="8" borderId="3" xfId="1" applyFont="1" applyFill="1" applyBorder="1" applyAlignment="1">
      <alignment horizontal="center" vertical="center"/>
    </xf>
    <xf numFmtId="0" fontId="23" fillId="0" borderId="4" xfId="1" applyFont="1" applyBorder="1" applyAlignment="1">
      <alignment horizontal="center" vertical="center"/>
    </xf>
    <xf numFmtId="0" fontId="18" fillId="0" borderId="14" xfId="1" applyFont="1" applyBorder="1" applyAlignment="1">
      <alignment horizontal="center" vertical="center"/>
    </xf>
    <xf numFmtId="0" fontId="18" fillId="0" borderId="3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165" fontId="21" fillId="0" borderId="16" xfId="1" applyNumberFormat="1" applyFont="1" applyBorder="1" applyAlignment="1">
      <alignment horizontal="center" vertical="center"/>
    </xf>
    <xf numFmtId="0" fontId="21" fillId="0" borderId="13" xfId="1" applyFont="1" applyBorder="1" applyAlignment="1">
      <alignment horizontal="center" vertical="center"/>
    </xf>
    <xf numFmtId="165" fontId="21" fillId="0" borderId="13" xfId="1" applyNumberFormat="1" applyFont="1" applyBorder="1" applyAlignment="1">
      <alignment horizontal="center" vertical="center"/>
    </xf>
    <xf numFmtId="0" fontId="18" fillId="0" borderId="13" xfId="1" applyFont="1" applyBorder="1" applyAlignment="1">
      <alignment horizontal="center" vertical="center"/>
    </xf>
    <xf numFmtId="165" fontId="21" fillId="0" borderId="17" xfId="1" applyNumberFormat="1" applyFont="1" applyBorder="1" applyAlignment="1">
      <alignment horizontal="center" vertical="center"/>
    </xf>
    <xf numFmtId="0" fontId="22" fillId="9" borderId="18" xfId="1" applyFont="1" applyFill="1" applyBorder="1" applyAlignment="1">
      <alignment horizontal="center" vertical="center"/>
    </xf>
    <xf numFmtId="0" fontId="23" fillId="5" borderId="13" xfId="1" applyFont="1" applyFill="1" applyBorder="1" applyAlignment="1">
      <alignment horizontal="center" vertical="center"/>
    </xf>
    <xf numFmtId="0" fontId="18" fillId="0" borderId="19" xfId="1" applyFont="1" applyBorder="1" applyAlignment="1">
      <alignment horizontal="center" vertical="center"/>
    </xf>
    <xf numFmtId="0" fontId="18" fillId="0" borderId="13" xfId="1" applyFont="1" applyBorder="1" applyAlignment="1">
      <alignment horizontal="center" vertical="center" wrapText="1"/>
    </xf>
    <xf numFmtId="0" fontId="22" fillId="7" borderId="18" xfId="1" applyFont="1" applyFill="1" applyBorder="1" applyAlignment="1">
      <alignment horizontal="center" vertical="center"/>
    </xf>
    <xf numFmtId="0" fontId="23" fillId="0" borderId="21" xfId="1" applyFont="1" applyBorder="1" applyAlignment="1">
      <alignment horizontal="center" vertical="center"/>
    </xf>
    <xf numFmtId="0" fontId="23" fillId="0" borderId="16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 wrapText="1"/>
    </xf>
    <xf numFmtId="0" fontId="25" fillId="7" borderId="18" xfId="1" applyFont="1" applyFill="1" applyBorder="1" applyAlignment="1">
      <alignment horizontal="center" vertical="center"/>
    </xf>
    <xf numFmtId="0" fontId="23" fillId="8" borderId="22" xfId="1" applyFont="1" applyFill="1" applyBorder="1" applyAlignment="1">
      <alignment horizontal="center" vertical="center"/>
    </xf>
    <xf numFmtId="0" fontId="23" fillId="10" borderId="13" xfId="1" applyFont="1" applyFill="1" applyBorder="1" applyAlignment="1">
      <alignment horizontal="center" vertical="center"/>
    </xf>
    <xf numFmtId="165" fontId="21" fillId="0" borderId="5" xfId="1" applyNumberFormat="1" applyFont="1" applyBorder="1" applyAlignment="1">
      <alignment horizontal="center" vertical="center"/>
    </xf>
    <xf numFmtId="0" fontId="21" fillId="0" borderId="6" xfId="1" applyFont="1" applyBorder="1" applyAlignment="1">
      <alignment horizontal="center" vertical="center"/>
    </xf>
    <xf numFmtId="165" fontId="21" fillId="0" borderId="6" xfId="1" applyNumberFormat="1" applyFont="1" applyBorder="1" applyAlignment="1">
      <alignment horizontal="center" vertical="center"/>
    </xf>
    <xf numFmtId="165" fontId="21" fillId="0" borderId="23" xfId="1" applyNumberFormat="1" applyFont="1" applyBorder="1" applyAlignment="1">
      <alignment horizontal="center" vertical="center"/>
    </xf>
    <xf numFmtId="0" fontId="23" fillId="0" borderId="24" xfId="1" applyFont="1" applyBorder="1" applyAlignment="1">
      <alignment horizontal="center" vertical="center"/>
    </xf>
    <xf numFmtId="0" fontId="23" fillId="5" borderId="22" xfId="1" applyFont="1" applyFill="1" applyBorder="1" applyAlignment="1">
      <alignment horizontal="center" vertical="center"/>
    </xf>
    <xf numFmtId="0" fontId="23" fillId="0" borderId="22" xfId="1" applyFont="1" applyBorder="1" applyAlignment="1">
      <alignment horizontal="center" vertical="center"/>
    </xf>
    <xf numFmtId="0" fontId="23" fillId="0" borderId="25" xfId="1" applyFont="1" applyBorder="1" applyAlignment="1">
      <alignment horizontal="center" vertical="center"/>
    </xf>
    <xf numFmtId="0" fontId="18" fillId="12" borderId="19" xfId="1" applyFont="1" applyFill="1" applyBorder="1" applyAlignment="1">
      <alignment horizontal="center" vertical="center"/>
    </xf>
    <xf numFmtId="0" fontId="18" fillId="0" borderId="22" xfId="1" applyFont="1" applyBorder="1" applyAlignment="1">
      <alignment horizontal="center" vertical="center"/>
    </xf>
    <xf numFmtId="0" fontId="23" fillId="12" borderId="22" xfId="1" applyFont="1" applyFill="1" applyBorder="1" applyAlignment="1">
      <alignment horizontal="center" vertical="center"/>
    </xf>
    <xf numFmtId="0" fontId="18" fillId="12" borderId="14" xfId="1" applyFont="1" applyFill="1" applyBorder="1" applyAlignment="1">
      <alignment horizontal="center" vertical="center"/>
    </xf>
    <xf numFmtId="0" fontId="31" fillId="9" borderId="15" xfId="1" applyFont="1" applyFill="1" applyBorder="1" applyAlignment="1">
      <alignment horizontal="center" vertical="center"/>
    </xf>
    <xf numFmtId="0" fontId="32" fillId="7" borderId="20" xfId="1" applyFont="1" applyFill="1" applyBorder="1" applyAlignment="1">
      <alignment horizontal="center" vertical="center"/>
    </xf>
    <xf numFmtId="0" fontId="31" fillId="9" borderId="20" xfId="1" applyFont="1" applyFill="1" applyBorder="1" applyAlignment="1">
      <alignment horizontal="center" vertical="center"/>
    </xf>
    <xf numFmtId="165" fontId="21" fillId="0" borderId="24" xfId="1" applyNumberFormat="1" applyFont="1" applyBorder="1" applyAlignment="1">
      <alignment horizontal="center" vertical="center"/>
    </xf>
    <xf numFmtId="0" fontId="21" fillId="0" borderId="22" xfId="1" applyFont="1" applyBorder="1" applyAlignment="1">
      <alignment horizontal="center" vertical="center"/>
    </xf>
    <xf numFmtId="165" fontId="21" fillId="0" borderId="22" xfId="1" applyNumberFormat="1" applyFont="1" applyBorder="1" applyAlignment="1">
      <alignment horizontal="center" vertical="center"/>
    </xf>
    <xf numFmtId="0" fontId="31" fillId="9" borderId="26" xfId="1" applyFont="1" applyFill="1" applyBorder="1" applyAlignment="1">
      <alignment horizontal="center" vertical="center"/>
    </xf>
    <xf numFmtId="0" fontId="18" fillId="0" borderId="28" xfId="1" applyFont="1" applyBorder="1" applyAlignment="1">
      <alignment horizontal="center" vertical="center"/>
    </xf>
    <xf numFmtId="0" fontId="18" fillId="0" borderId="22" xfId="1" applyFont="1" applyBorder="1" applyAlignment="1">
      <alignment horizontal="center" vertical="center" wrapText="1"/>
    </xf>
    <xf numFmtId="0" fontId="18" fillId="0" borderId="0" xfId="1" applyFont="1" applyAlignment="1">
      <alignment horizontal="center" vertical="center"/>
    </xf>
    <xf numFmtId="0" fontId="33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33" fillId="0" borderId="29" xfId="1" applyFont="1" applyBorder="1" applyAlignment="1">
      <alignment horizontal="center" vertical="center"/>
    </xf>
    <xf numFmtId="0" fontId="1" fillId="0" borderId="0" xfId="1" applyAlignment="1">
      <alignment vertical="center"/>
    </xf>
    <xf numFmtId="0" fontId="34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35" fillId="0" borderId="20" xfId="1" applyFont="1" applyBorder="1" applyAlignment="1">
      <alignment horizontal="center" vertical="center"/>
    </xf>
    <xf numFmtId="0" fontId="21" fillId="0" borderId="21" xfId="1" applyFont="1" applyBorder="1" applyAlignment="1">
      <alignment horizontal="center" vertical="center"/>
    </xf>
    <xf numFmtId="0" fontId="36" fillId="0" borderId="0" xfId="1" applyFont="1" applyAlignment="1">
      <alignment vertical="center"/>
    </xf>
    <xf numFmtId="0" fontId="37" fillId="0" borderId="26" xfId="1" applyFont="1" applyBorder="1" applyAlignment="1">
      <alignment horizontal="center" vertical="center"/>
    </xf>
    <xf numFmtId="0" fontId="16" fillId="0" borderId="29" xfId="1" applyFont="1" applyBorder="1" applyAlignment="1">
      <alignment horizontal="center" vertical="center"/>
    </xf>
    <xf numFmtId="0" fontId="38" fillId="0" borderId="0" xfId="1" applyFont="1" applyAlignment="1">
      <alignment horizontal="center" vertical="center"/>
    </xf>
    <xf numFmtId="0" fontId="39" fillId="0" borderId="20" xfId="1" applyFont="1" applyBorder="1" applyAlignment="1">
      <alignment horizontal="center" vertical="center"/>
    </xf>
    <xf numFmtId="0" fontId="40" fillId="0" borderId="0" xfId="1" applyFont="1" applyAlignment="1">
      <alignment horizontal="center" vertical="center"/>
    </xf>
    <xf numFmtId="0" fontId="41" fillId="0" borderId="26" xfId="1" applyFont="1" applyBorder="1" applyAlignment="1">
      <alignment horizontal="center" vertical="center"/>
    </xf>
    <xf numFmtId="165" fontId="18" fillId="0" borderId="0" xfId="1" applyNumberFormat="1" applyFont="1" applyAlignment="1">
      <alignment horizontal="center" vertical="center"/>
    </xf>
    <xf numFmtId="165" fontId="18" fillId="0" borderId="0" xfId="1" applyNumberFormat="1" applyFont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165" fontId="24" fillId="0" borderId="0" xfId="1" applyNumberFormat="1" applyFont="1" applyAlignment="1">
      <alignment horizontal="center" vertical="center" wrapText="1"/>
    </xf>
    <xf numFmtId="0" fontId="18" fillId="0" borderId="30" xfId="1" applyFont="1" applyBorder="1" applyAlignment="1">
      <alignment horizontal="center" vertical="center"/>
    </xf>
    <xf numFmtId="0" fontId="21" fillId="0" borderId="31" xfId="1" applyFont="1" applyBorder="1" applyAlignment="1">
      <alignment horizontal="center" vertical="center"/>
    </xf>
    <xf numFmtId="0" fontId="21" fillId="0" borderId="32" xfId="1" applyFont="1" applyBorder="1" applyAlignment="1">
      <alignment horizontal="center" vertical="center"/>
    </xf>
    <xf numFmtId="0" fontId="21" fillId="0" borderId="33" xfId="1" applyFont="1" applyBorder="1" applyAlignment="1">
      <alignment horizontal="center" vertical="center"/>
    </xf>
    <xf numFmtId="0" fontId="21" fillId="0" borderId="34" xfId="1" applyFont="1" applyBorder="1" applyAlignment="1">
      <alignment horizontal="center" vertical="center"/>
    </xf>
    <xf numFmtId="0" fontId="42" fillId="0" borderId="0" xfId="1" applyFont="1" applyAlignment="1">
      <alignment horizontal="center" vertical="center" wrapText="1"/>
    </xf>
    <xf numFmtId="166" fontId="18" fillId="0" borderId="0" xfId="1" applyNumberFormat="1" applyFont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33" fillId="0" borderId="20" xfId="1" applyFont="1" applyBorder="1" applyAlignment="1">
      <alignment horizontal="center" vertical="center"/>
    </xf>
    <xf numFmtId="0" fontId="43" fillId="0" borderId="0" xfId="1" applyFont="1" applyAlignment="1">
      <alignment horizontal="center" vertical="center" wrapText="1"/>
    </xf>
    <xf numFmtId="164" fontId="18" fillId="0" borderId="0" xfId="1" applyNumberFormat="1" applyFont="1" applyAlignment="1">
      <alignment horizontal="center" vertical="center" wrapText="1"/>
    </xf>
    <xf numFmtId="164" fontId="18" fillId="13" borderId="0" xfId="1" applyNumberFormat="1" applyFont="1" applyFill="1" applyAlignment="1">
      <alignment horizontal="center" vertical="center" wrapText="1"/>
    </xf>
    <xf numFmtId="0" fontId="44" fillId="0" borderId="0" xfId="1" applyFont="1" applyAlignment="1">
      <alignment horizontal="center" vertical="center" wrapText="1"/>
    </xf>
    <xf numFmtId="0" fontId="18" fillId="14" borderId="26" xfId="1" applyFont="1" applyFill="1" applyBorder="1" applyAlignment="1">
      <alignment horizontal="center" vertical="center"/>
    </xf>
    <xf numFmtId="165" fontId="21" fillId="14" borderId="22" xfId="1" applyNumberFormat="1" applyFont="1" applyFill="1" applyBorder="1" applyAlignment="1">
      <alignment horizontal="center" vertical="center"/>
    </xf>
    <xf numFmtId="165" fontId="21" fillId="14" borderId="25" xfId="1" applyNumberFormat="1" applyFont="1" applyFill="1" applyBorder="1" applyAlignment="1">
      <alignment horizontal="center" vertical="center"/>
    </xf>
    <xf numFmtId="0" fontId="45" fillId="0" borderId="0" xfId="1" applyFont="1" applyAlignment="1">
      <alignment horizontal="center" vertical="center"/>
    </xf>
    <xf numFmtId="49" fontId="33" fillId="0" borderId="0" xfId="1" applyNumberFormat="1" applyFont="1" applyAlignment="1">
      <alignment horizontal="center" vertical="center"/>
    </xf>
    <xf numFmtId="0" fontId="21" fillId="0" borderId="0" xfId="1" applyFont="1" applyAlignment="1">
      <alignment horizontal="center" vertical="center" wrapText="1"/>
    </xf>
    <xf numFmtId="49" fontId="33" fillId="0" borderId="1" xfId="1" applyNumberFormat="1" applyFont="1" applyBorder="1" applyAlignment="1">
      <alignment horizontal="center" vertical="center"/>
    </xf>
    <xf numFmtId="165" fontId="23" fillId="0" borderId="35" xfId="1" applyNumberFormat="1" applyFont="1" applyBorder="1" applyAlignment="1">
      <alignment horizontal="center" vertical="center"/>
    </xf>
    <xf numFmtId="0" fontId="34" fillId="0" borderId="0" xfId="1" applyFont="1" applyAlignment="1">
      <alignment horizontal="center" vertical="center" wrapText="1"/>
    </xf>
    <xf numFmtId="0" fontId="18" fillId="15" borderId="13" xfId="1" applyFont="1" applyFill="1" applyBorder="1" applyAlignment="1">
      <alignment horizontal="center" vertical="center" wrapText="1"/>
    </xf>
    <xf numFmtId="0" fontId="23" fillId="6" borderId="3" xfId="1" applyFont="1" applyFill="1" applyBorder="1" applyAlignment="1">
      <alignment horizontal="center" vertical="center"/>
    </xf>
    <xf numFmtId="0" fontId="23" fillId="6" borderId="4" xfId="1" applyFont="1" applyFill="1" applyBorder="1" applyAlignment="1">
      <alignment horizontal="center" vertical="center"/>
    </xf>
    <xf numFmtId="0" fontId="18" fillId="6" borderId="13" xfId="1" applyFont="1" applyFill="1" applyBorder="1" applyAlignment="1">
      <alignment horizontal="center" vertical="center"/>
    </xf>
    <xf numFmtId="0" fontId="23" fillId="6" borderId="13" xfId="1" applyFont="1" applyFill="1" applyBorder="1" applyAlignment="1">
      <alignment horizontal="center" vertical="center"/>
    </xf>
    <xf numFmtId="0" fontId="23" fillId="8" borderId="16" xfId="1" applyFont="1" applyFill="1" applyBorder="1" applyAlignment="1">
      <alignment horizontal="center" vertical="center"/>
    </xf>
    <xf numFmtId="0" fontId="23" fillId="5" borderId="21" xfId="1" applyFont="1" applyFill="1" applyBorder="1" applyAlignment="1">
      <alignment horizontal="center" vertical="center"/>
    </xf>
    <xf numFmtId="0" fontId="24" fillId="6" borderId="13" xfId="1" applyFont="1" applyFill="1" applyBorder="1" applyAlignment="1">
      <alignment horizontal="center" vertical="center"/>
    </xf>
    <xf numFmtId="0" fontId="24" fillId="6" borderId="21" xfId="1" applyFont="1" applyFill="1" applyBorder="1" applyAlignment="1">
      <alignment horizontal="center" vertical="center"/>
    </xf>
    <xf numFmtId="0" fontId="23" fillId="6" borderId="21" xfId="1" applyFont="1" applyFill="1" applyBorder="1" applyAlignment="1">
      <alignment horizontal="center" vertical="center"/>
    </xf>
    <xf numFmtId="0" fontId="18" fillId="0" borderId="25" xfId="1" applyFont="1" applyBorder="1" applyAlignment="1">
      <alignment horizontal="center" vertical="center"/>
    </xf>
    <xf numFmtId="165" fontId="21" fillId="11" borderId="29" xfId="1" applyNumberFormat="1" applyFont="1" applyFill="1" applyBorder="1" applyAlignment="1">
      <alignment horizontal="center" vertical="center"/>
    </xf>
    <xf numFmtId="0" fontId="21" fillId="11" borderId="20" xfId="1" applyFont="1" applyFill="1" applyBorder="1" applyAlignment="1">
      <alignment horizontal="center" vertical="center"/>
    </xf>
    <xf numFmtId="165" fontId="21" fillId="11" borderId="26" xfId="1" applyNumberFormat="1" applyFont="1" applyFill="1" applyBorder="1" applyAlignment="1">
      <alignment horizontal="center" vertical="center"/>
    </xf>
    <xf numFmtId="165" fontId="23" fillId="16" borderId="35" xfId="1" applyNumberFormat="1" applyFont="1" applyFill="1" applyBorder="1" applyAlignment="1">
      <alignment horizontal="center" vertical="center"/>
    </xf>
    <xf numFmtId="0" fontId="18" fillId="5" borderId="7" xfId="1" applyFont="1" applyFill="1" applyBorder="1" applyAlignment="1">
      <alignment horizontal="center" vertical="center"/>
    </xf>
    <xf numFmtId="0" fontId="18" fillId="0" borderId="4" xfId="1" applyFont="1" applyBorder="1" applyAlignment="1">
      <alignment horizontal="center" vertical="center"/>
    </xf>
    <xf numFmtId="0" fontId="18" fillId="0" borderId="21" xfId="1" applyFont="1" applyBorder="1" applyAlignment="1">
      <alignment horizontal="center" vertical="center"/>
    </xf>
    <xf numFmtId="0" fontId="23" fillId="5" borderId="4" xfId="1" applyFont="1" applyFill="1" applyBorder="1" applyAlignment="1">
      <alignment horizontal="center" vertical="center"/>
    </xf>
    <xf numFmtId="0" fontId="23" fillId="12" borderId="13" xfId="1" applyFont="1" applyFill="1" applyBorder="1" applyAlignment="1">
      <alignment horizontal="center" vertical="center"/>
    </xf>
    <xf numFmtId="0" fontId="23" fillId="5" borderId="16" xfId="1" applyFont="1" applyFill="1" applyBorder="1" applyAlignment="1">
      <alignment horizontal="center" vertical="center"/>
    </xf>
    <xf numFmtId="0" fontId="9" fillId="0" borderId="36" xfId="1" applyFont="1" applyBorder="1" applyAlignment="1">
      <alignment horizontal="center" vertical="center" wrapText="1"/>
    </xf>
    <xf numFmtId="0" fontId="9" fillId="0" borderId="37" xfId="1" applyFont="1" applyBorder="1" applyAlignment="1">
      <alignment horizontal="center" vertical="center" wrapText="1"/>
    </xf>
    <xf numFmtId="0" fontId="9" fillId="0" borderId="38" xfId="1" applyFont="1" applyBorder="1" applyAlignment="1">
      <alignment horizontal="center" vertical="center" wrapText="1"/>
    </xf>
    <xf numFmtId="0" fontId="22" fillId="7" borderId="27" xfId="1" applyFont="1" applyFill="1" applyBorder="1" applyAlignment="1">
      <alignment horizontal="center" vertical="center"/>
    </xf>
    <xf numFmtId="0" fontId="18" fillId="12" borderId="28" xfId="1" applyFont="1" applyFill="1" applyBorder="1" applyAlignment="1">
      <alignment horizontal="center" vertical="center"/>
    </xf>
    <xf numFmtId="0" fontId="21" fillId="0" borderId="19" xfId="1" applyFont="1" applyBorder="1" applyAlignment="1">
      <alignment horizontal="center" vertical="center"/>
    </xf>
    <xf numFmtId="0" fontId="18" fillId="5" borderId="5" xfId="1" applyFont="1" applyFill="1" applyBorder="1" applyAlignment="1">
      <alignment horizontal="center" vertical="center"/>
    </xf>
    <xf numFmtId="0" fontId="27" fillId="7" borderId="18" xfId="1" applyFont="1" applyFill="1" applyBorder="1" applyAlignment="1">
      <alignment horizontal="center" vertical="center"/>
    </xf>
    <xf numFmtId="0" fontId="26" fillId="7" borderId="18" xfId="1" applyFont="1" applyFill="1" applyBorder="1" applyAlignment="1">
      <alignment horizontal="center" vertical="center"/>
    </xf>
    <xf numFmtId="0" fontId="27" fillId="9" borderId="18" xfId="1" applyFont="1" applyFill="1" applyBorder="1" applyAlignment="1">
      <alignment horizontal="center" vertical="center"/>
    </xf>
    <xf numFmtId="0" fontId="29" fillId="7" borderId="18" xfId="1" applyFont="1" applyFill="1" applyBorder="1" applyAlignment="1">
      <alignment horizontal="center" vertical="center"/>
    </xf>
    <xf numFmtId="0" fontId="21" fillId="0" borderId="14" xfId="1" applyFont="1" applyBorder="1" applyAlignment="1">
      <alignment horizontal="center" vertical="center"/>
    </xf>
    <xf numFmtId="165" fontId="21" fillId="14" borderId="28" xfId="1" applyNumberFormat="1" applyFont="1" applyFill="1" applyBorder="1" applyAlignment="1">
      <alignment horizontal="center" vertical="center"/>
    </xf>
    <xf numFmtId="0" fontId="77" fillId="7" borderId="18" xfId="1" applyFont="1" applyFill="1" applyBorder="1" applyAlignment="1">
      <alignment horizontal="center" vertical="center"/>
    </xf>
    <xf numFmtId="0" fontId="25" fillId="7" borderId="18" xfId="0" applyFont="1" applyFill="1" applyBorder="1" applyAlignment="1">
      <alignment horizontal="center" vertical="center"/>
    </xf>
    <xf numFmtId="0" fontId="22" fillId="7" borderId="40" xfId="1" applyFont="1" applyFill="1" applyBorder="1" applyAlignment="1">
      <alignment horizontal="center" vertical="center"/>
    </xf>
    <xf numFmtId="0" fontId="26" fillId="7" borderId="27" xfId="1" applyFont="1" applyFill="1" applyBorder="1" applyAlignment="1">
      <alignment horizontal="center" vertical="center"/>
    </xf>
    <xf numFmtId="0" fontId="26" fillId="9" borderId="18" xfId="1" applyFont="1" applyFill="1" applyBorder="1" applyAlignment="1">
      <alignment horizontal="center" vertical="center"/>
    </xf>
    <xf numFmtId="0" fontId="27" fillId="9" borderId="40" xfId="1" applyFont="1" applyFill="1" applyBorder="1" applyAlignment="1">
      <alignment horizontal="center" vertical="center"/>
    </xf>
    <xf numFmtId="0" fontId="27" fillId="9" borderId="41" xfId="1" applyFont="1" applyFill="1" applyBorder="1" applyAlignment="1">
      <alignment horizontal="center" vertical="center"/>
    </xf>
    <xf numFmtId="0" fontId="27" fillId="9" borderId="39" xfId="1" applyFont="1" applyFill="1" applyBorder="1" applyAlignment="1">
      <alignment horizontal="center" vertical="center"/>
    </xf>
    <xf numFmtId="0" fontId="26" fillId="7" borderId="39" xfId="1" applyFont="1" applyFill="1" applyBorder="1" applyAlignment="1">
      <alignment horizontal="center" vertical="center"/>
    </xf>
    <xf numFmtId="0" fontId="23" fillId="0" borderId="6" xfId="1" applyFont="1" applyBorder="1" applyAlignment="1">
      <alignment horizontal="center" vertical="center"/>
    </xf>
    <xf numFmtId="0" fontId="23" fillId="8" borderId="6" xfId="1" applyFont="1" applyFill="1" applyBorder="1" applyAlignment="1">
      <alignment horizontal="center" vertical="center"/>
    </xf>
    <xf numFmtId="0" fontId="23" fillId="5" borderId="6" xfId="1" applyFont="1" applyFill="1" applyBorder="1" applyAlignment="1">
      <alignment horizontal="center" vertical="center"/>
    </xf>
    <xf numFmtId="0" fontId="23" fillId="0" borderId="42" xfId="1" applyFont="1" applyBorder="1" applyAlignment="1">
      <alignment horizontal="center" vertical="center"/>
    </xf>
    <xf numFmtId="0" fontId="23" fillId="0" borderId="43" xfId="1" applyFont="1" applyBorder="1" applyAlignment="1">
      <alignment horizontal="center" vertical="center"/>
    </xf>
    <xf numFmtId="0" fontId="23" fillId="5" borderId="43" xfId="1" applyFont="1" applyFill="1" applyBorder="1" applyAlignment="1">
      <alignment horizontal="center" vertical="center"/>
    </xf>
    <xf numFmtId="0" fontId="23" fillId="0" borderId="45" xfId="1" applyFont="1" applyBorder="1" applyAlignment="1">
      <alignment horizontal="center" vertical="center"/>
    </xf>
    <xf numFmtId="0" fontId="18" fillId="0" borderId="43" xfId="1" applyFont="1" applyBorder="1" applyAlignment="1">
      <alignment horizontal="center" vertical="center" wrapText="1"/>
    </xf>
    <xf numFmtId="0" fontId="18" fillId="0" borderId="44" xfId="1" applyFont="1" applyBorder="1" applyAlignment="1">
      <alignment horizontal="center" vertical="center"/>
    </xf>
    <xf numFmtId="0" fontId="9" fillId="0" borderId="46" xfId="1" applyFont="1" applyBorder="1" applyAlignment="1">
      <alignment horizontal="center" vertical="center" wrapText="1"/>
    </xf>
    <xf numFmtId="0" fontId="27" fillId="8" borderId="13" xfId="1" applyFont="1" applyFill="1" applyBorder="1" applyAlignment="1">
      <alignment horizontal="center" vertical="center"/>
    </xf>
    <xf numFmtId="0" fontId="23" fillId="6" borderId="6" xfId="1" applyFont="1" applyFill="1" applyBorder="1" applyAlignment="1">
      <alignment horizontal="center" vertical="center"/>
    </xf>
    <xf numFmtId="0" fontId="18" fillId="6" borderId="6" xfId="1" applyFont="1" applyFill="1" applyBorder="1" applyAlignment="1">
      <alignment horizontal="center" vertical="center"/>
    </xf>
    <xf numFmtId="0" fontId="23" fillId="5" borderId="7" xfId="1" applyFont="1" applyFill="1" applyBorder="1" applyAlignment="1">
      <alignment horizontal="center" vertical="center"/>
    </xf>
    <xf numFmtId="0" fontId="23" fillId="5" borderId="44" xfId="1" applyFont="1" applyFill="1" applyBorder="1" applyAlignment="1">
      <alignment horizontal="center" vertical="center"/>
    </xf>
    <xf numFmtId="0" fontId="18" fillId="0" borderId="16" xfId="1" applyFont="1" applyBorder="1" applyAlignment="1">
      <alignment horizontal="center" vertical="center"/>
    </xf>
    <xf numFmtId="165" fontId="21" fillId="0" borderId="4" xfId="1" applyNumberFormat="1" applyFont="1" applyBorder="1" applyAlignment="1">
      <alignment horizontal="center" vertical="center"/>
    </xf>
    <xf numFmtId="165" fontId="21" fillId="0" borderId="21" xfId="1" applyNumberFormat="1" applyFont="1" applyBorder="1" applyAlignment="1">
      <alignment horizontal="center" vertical="center"/>
    </xf>
    <xf numFmtId="165" fontId="21" fillId="0" borderId="25" xfId="1" applyNumberFormat="1" applyFont="1" applyBorder="1" applyAlignment="1">
      <alignment horizontal="center" vertical="center"/>
    </xf>
    <xf numFmtId="0" fontId="23" fillId="0" borderId="9" xfId="1" applyFont="1" applyBorder="1" applyAlignment="1">
      <alignment horizontal="center" vertical="center"/>
    </xf>
    <xf numFmtId="0" fontId="23" fillId="0" borderId="5" xfId="1" applyFont="1" applyBorder="1" applyAlignment="1">
      <alignment horizontal="center" vertical="center"/>
    </xf>
    <xf numFmtId="0" fontId="23" fillId="0" borderId="7" xfId="1" applyFont="1" applyBorder="1" applyAlignment="1">
      <alignment horizontal="center" vertical="center"/>
    </xf>
    <xf numFmtId="0" fontId="23" fillId="10" borderId="22" xfId="1" applyFont="1" applyFill="1" applyBorder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0" fontId="23" fillId="18" borderId="3" xfId="1" applyFont="1" applyFill="1" applyBorder="1" applyAlignment="1">
      <alignment horizontal="center" vertical="center"/>
    </xf>
    <xf numFmtId="0" fontId="9" fillId="0" borderId="47" xfId="1" applyFont="1" applyBorder="1" applyAlignment="1">
      <alignment horizontal="center" vertical="center" wrapText="1"/>
    </xf>
    <xf numFmtId="0" fontId="23" fillId="5" borderId="24" xfId="1" applyFont="1" applyFill="1" applyBorder="1" applyAlignment="1">
      <alignment horizontal="center" vertical="center"/>
    </xf>
    <xf numFmtId="0" fontId="23" fillId="8" borderId="22" xfId="0" applyFont="1" applyFill="1" applyBorder="1" applyAlignment="1">
      <alignment horizontal="center" vertical="center"/>
    </xf>
    <xf numFmtId="0" fontId="23" fillId="5" borderId="25" xfId="1" applyFont="1" applyFill="1" applyBorder="1" applyAlignment="1">
      <alignment horizontal="center" vertical="center"/>
    </xf>
    <xf numFmtId="0" fontId="26" fillId="7" borderId="15" xfId="1" applyFont="1" applyFill="1" applyBorder="1" applyAlignment="1">
      <alignment horizontal="center" vertical="center"/>
    </xf>
    <xf numFmtId="0" fontId="27" fillId="7" borderId="20" xfId="1" applyFont="1" applyFill="1" applyBorder="1" applyAlignment="1">
      <alignment horizontal="center" vertical="center"/>
    </xf>
    <xf numFmtId="0" fontId="23" fillId="8" borderId="13" xfId="0" applyFont="1" applyFill="1" applyBorder="1" applyAlignment="1">
      <alignment horizontal="center" vertical="center"/>
    </xf>
    <xf numFmtId="0" fontId="26" fillId="9" borderId="20" xfId="1" applyFont="1" applyFill="1" applyBorder="1" applyAlignment="1">
      <alignment horizontal="center" vertical="center"/>
    </xf>
    <xf numFmtId="0" fontId="26" fillId="7" borderId="20" xfId="1" applyFont="1" applyFill="1" applyBorder="1" applyAlignment="1">
      <alignment horizontal="center" vertical="center"/>
    </xf>
    <xf numFmtId="0" fontId="27" fillId="9" borderId="20" xfId="1" applyFont="1" applyFill="1" applyBorder="1" applyAlignment="1">
      <alignment horizontal="center" vertical="center"/>
    </xf>
    <xf numFmtId="0" fontId="27" fillId="9" borderId="26" xfId="1" applyFont="1" applyFill="1" applyBorder="1" applyAlignment="1">
      <alignment horizontal="center" vertical="center"/>
    </xf>
    <xf numFmtId="0" fontId="23" fillId="18" borderId="13" xfId="1" applyFont="1" applyFill="1" applyBorder="1" applyAlignment="1">
      <alignment horizontal="center" vertical="center"/>
    </xf>
    <xf numFmtId="0" fontId="23" fillId="0" borderId="13" xfId="1" applyFont="1" applyBorder="1" applyAlignment="1">
      <alignment horizontal="center" vertical="center" wrapText="1"/>
    </xf>
    <xf numFmtId="0" fontId="23" fillId="6" borderId="2" xfId="1" applyFont="1" applyFill="1" applyBorder="1" applyAlignment="1">
      <alignment horizontal="center" vertical="center"/>
    </xf>
    <xf numFmtId="0" fontId="23" fillId="6" borderId="22" xfId="1" applyFont="1" applyFill="1" applyBorder="1" applyAlignment="1">
      <alignment horizontal="center" vertical="center"/>
    </xf>
    <xf numFmtId="0" fontId="23" fillId="6" borderId="16" xfId="1" applyFont="1" applyFill="1" applyBorder="1" applyAlignment="1">
      <alignment horizontal="center" vertical="center"/>
    </xf>
    <xf numFmtId="0" fontId="23" fillId="17" borderId="3" xfId="1" applyFont="1" applyFill="1" applyBorder="1" applyAlignment="1">
      <alignment horizontal="center" vertical="center"/>
    </xf>
    <xf numFmtId="0" fontId="23" fillId="17" borderId="13" xfId="1" applyFont="1" applyFill="1" applyBorder="1" applyAlignment="1">
      <alignment horizontal="center" vertical="center"/>
    </xf>
    <xf numFmtId="0" fontId="23" fillId="0" borderId="24" xfId="1" applyFont="1" applyBorder="1" applyAlignment="1">
      <alignment horizontal="center" vertical="center" wrapText="1"/>
    </xf>
    <xf numFmtId="0" fontId="87" fillId="0" borderId="13" xfId="1" applyFont="1" applyBorder="1" applyAlignment="1">
      <alignment horizontal="center" vertical="center"/>
    </xf>
    <xf numFmtId="0" fontId="23" fillId="8" borderId="2" xfId="1" applyFont="1" applyFill="1" applyBorder="1" applyAlignment="1">
      <alignment horizontal="center" vertical="center"/>
    </xf>
    <xf numFmtId="0" fontId="23" fillId="0" borderId="48" xfId="1" applyFont="1" applyBorder="1" applyAlignment="1">
      <alignment horizontal="center" vertical="center" wrapText="1"/>
    </xf>
    <xf numFmtId="0" fontId="22" fillId="7" borderId="15" xfId="1" applyFont="1" applyFill="1" applyBorder="1" applyAlignment="1">
      <alignment horizontal="center" vertical="center"/>
    </xf>
    <xf numFmtId="0" fontId="22" fillId="9" borderId="20" xfId="1" applyFont="1" applyFill="1" applyBorder="1" applyAlignment="1">
      <alignment horizontal="center" vertical="center"/>
    </xf>
    <xf numFmtId="0" fontId="22" fillId="7" borderId="20" xfId="1" applyFont="1" applyFill="1" applyBorder="1" applyAlignment="1">
      <alignment horizontal="center" vertical="center"/>
    </xf>
    <xf numFmtId="0" fontId="25" fillId="7" borderId="20" xfId="1" applyFont="1" applyFill="1" applyBorder="1" applyAlignment="1">
      <alignment horizontal="center" vertical="center"/>
    </xf>
    <xf numFmtId="0" fontId="77" fillId="7" borderId="20" xfId="1" applyFont="1" applyFill="1" applyBorder="1" applyAlignment="1">
      <alignment horizontal="center" vertical="center"/>
    </xf>
    <xf numFmtId="0" fontId="25" fillId="7" borderId="20" xfId="0" applyFont="1" applyFill="1" applyBorder="1" applyAlignment="1">
      <alignment horizontal="center" vertical="center"/>
    </xf>
    <xf numFmtId="0" fontId="22" fillId="7" borderId="49" xfId="1" applyFont="1" applyFill="1" applyBorder="1" applyAlignment="1">
      <alignment horizontal="center" vertical="center"/>
    </xf>
    <xf numFmtId="0" fontId="29" fillId="7" borderId="20" xfId="1" applyFont="1" applyFill="1" applyBorder="1" applyAlignment="1">
      <alignment horizontal="center" vertical="center"/>
    </xf>
    <xf numFmtId="0" fontId="26" fillId="7" borderId="26" xfId="1" applyFont="1" applyFill="1" applyBorder="1" applyAlignment="1">
      <alignment horizontal="center" vertical="center"/>
    </xf>
    <xf numFmtId="0" fontId="23" fillId="6" borderId="43" xfId="1" applyFont="1" applyFill="1" applyBorder="1" applyAlignment="1">
      <alignment horizontal="center" vertical="center"/>
    </xf>
    <xf numFmtId="0" fontId="16" fillId="4" borderId="4" xfId="1" applyFont="1" applyFill="1" applyBorder="1" applyAlignment="1">
      <alignment horizontal="center" vertical="center"/>
    </xf>
    <xf numFmtId="0" fontId="18" fillId="5" borderId="25" xfId="1" applyFont="1" applyFill="1" applyBorder="1" applyAlignment="1">
      <alignment horizontal="center" vertical="center"/>
    </xf>
    <xf numFmtId="0" fontId="16" fillId="4" borderId="2" xfId="1" applyFont="1" applyFill="1" applyBorder="1" applyAlignment="1">
      <alignment horizontal="center" vertical="center"/>
    </xf>
    <xf numFmtId="0" fontId="18" fillId="5" borderId="24" xfId="1" applyFont="1" applyFill="1" applyBorder="1" applyAlignment="1">
      <alignment horizontal="center" vertical="center"/>
    </xf>
    <xf numFmtId="0" fontId="18" fillId="5" borderId="22" xfId="1" applyFont="1" applyFill="1" applyBorder="1" applyAlignment="1">
      <alignment horizontal="center" vertical="center"/>
    </xf>
    <xf numFmtId="0" fontId="23" fillId="6" borderId="50" xfId="1" applyFont="1" applyFill="1" applyBorder="1" applyAlignment="1">
      <alignment horizontal="center" vertical="center"/>
    </xf>
    <xf numFmtId="0" fontId="23" fillId="6" borderId="0" xfId="1" applyFont="1" applyFill="1" applyAlignment="1">
      <alignment horizontal="center" vertical="center" wrapText="1"/>
    </xf>
    <xf numFmtId="0" fontId="22" fillId="7" borderId="26" xfId="1" applyFont="1" applyFill="1" applyBorder="1" applyAlignment="1">
      <alignment horizontal="center" vertical="center"/>
    </xf>
    <xf numFmtId="0" fontId="1" fillId="3" borderId="4" xfId="1" applyFill="1" applyBorder="1" applyAlignment="1">
      <alignment horizontal="center" vertical="center"/>
    </xf>
    <xf numFmtId="0" fontId="23" fillId="5" borderId="2" xfId="1" applyFont="1" applyFill="1" applyBorder="1" applyAlignment="1">
      <alignment horizontal="center" vertical="center"/>
    </xf>
    <xf numFmtId="0" fontId="18" fillId="0" borderId="24" xfId="1" applyFont="1" applyBorder="1" applyAlignment="1">
      <alignment horizontal="center" vertical="center" wrapText="1"/>
    </xf>
    <xf numFmtId="49" fontId="33" fillId="0" borderId="51" xfId="1" applyNumberFormat="1" applyFont="1" applyBorder="1" applyAlignment="1">
      <alignment horizontal="center" vertical="center"/>
    </xf>
    <xf numFmtId="165" fontId="23" fillId="16" borderId="52" xfId="1" applyNumberFormat="1" applyFont="1" applyFill="1" applyBorder="1" applyAlignment="1">
      <alignment horizontal="center" vertical="center"/>
    </xf>
    <xf numFmtId="165" fontId="23" fillId="0" borderId="53" xfId="1" applyNumberFormat="1" applyFont="1" applyBorder="1" applyAlignment="1">
      <alignment horizontal="center" vertical="center"/>
    </xf>
    <xf numFmtId="165" fontId="23" fillId="16" borderId="53" xfId="1" applyNumberFormat="1" applyFont="1" applyFill="1" applyBorder="1" applyAlignment="1">
      <alignment horizontal="center" vertical="center"/>
    </xf>
    <xf numFmtId="165" fontId="23" fillId="0" borderId="34" xfId="1" applyNumberFormat="1" applyFont="1" applyBorder="1" applyAlignment="1">
      <alignment horizontal="center" vertical="center"/>
    </xf>
    <xf numFmtId="0" fontId="95" fillId="5" borderId="3" xfId="1" applyFont="1" applyFill="1" applyBorder="1" applyAlignment="1">
      <alignment horizontal="center" vertical="center"/>
    </xf>
    <xf numFmtId="0" fontId="95" fillId="8" borderId="13" xfId="1" applyFont="1" applyFill="1" applyBorder="1" applyAlignment="1">
      <alignment horizontal="center" vertical="center"/>
    </xf>
    <xf numFmtId="0" fontId="95" fillId="0" borderId="3" xfId="1" applyFont="1" applyBorder="1" applyAlignment="1">
      <alignment horizontal="center" vertical="center"/>
    </xf>
    <xf numFmtId="0" fontId="95" fillId="0" borderId="4" xfId="1" applyFont="1" applyBorder="1" applyAlignment="1">
      <alignment horizontal="center" vertical="center"/>
    </xf>
    <xf numFmtId="0" fontId="95" fillId="5" borderId="16" xfId="1" applyFont="1" applyFill="1" applyBorder="1" applyAlignment="1">
      <alignment horizontal="center" vertical="center"/>
    </xf>
    <xf numFmtId="0" fontId="95" fillId="0" borderId="13" xfId="1" applyFont="1" applyBorder="1" applyAlignment="1">
      <alignment horizontal="center" vertical="center"/>
    </xf>
    <xf numFmtId="0" fontId="95" fillId="5" borderId="13" xfId="1" applyFont="1" applyFill="1" applyBorder="1" applyAlignment="1">
      <alignment horizontal="center" vertical="center"/>
    </xf>
    <xf numFmtId="0" fontId="96" fillId="0" borderId="13" xfId="1" applyFont="1" applyBorder="1" applyAlignment="1">
      <alignment horizontal="center" vertical="center"/>
    </xf>
    <xf numFmtId="0" fontId="95" fillId="0" borderId="21" xfId="1" applyFont="1" applyBorder="1" applyAlignment="1">
      <alignment horizontal="center" vertical="center"/>
    </xf>
    <xf numFmtId="0" fontId="95" fillId="10" borderId="13" xfId="1" applyFont="1" applyFill="1" applyBorder="1" applyAlignment="1">
      <alignment horizontal="center" vertical="center"/>
    </xf>
    <xf numFmtId="0" fontId="95" fillId="12" borderId="13" xfId="1" applyFont="1" applyFill="1" applyBorder="1" applyAlignment="1">
      <alignment horizontal="center" vertical="center"/>
    </xf>
    <xf numFmtId="0" fontId="97" fillId="0" borderId="13" xfId="1" applyFont="1" applyBorder="1" applyAlignment="1">
      <alignment horizontal="center" vertical="center"/>
    </xf>
    <xf numFmtId="0" fontId="95" fillId="0" borderId="16" xfId="1" applyFont="1" applyBorder="1" applyAlignment="1">
      <alignment horizontal="center" vertical="center"/>
    </xf>
    <xf numFmtId="0" fontId="96" fillId="0" borderId="13" xfId="1" applyFont="1" applyBorder="1" applyAlignment="1">
      <alignment horizontal="center" vertical="center" wrapText="1"/>
    </xf>
    <xf numFmtId="0" fontId="95" fillId="0" borderId="24" xfId="1" applyFont="1" applyBorder="1" applyAlignment="1">
      <alignment horizontal="center" vertical="center"/>
    </xf>
    <xf numFmtId="0" fontId="95" fillId="0" borderId="22" xfId="1" applyFont="1" applyBorder="1" applyAlignment="1">
      <alignment horizontal="center" vertical="center"/>
    </xf>
    <xf numFmtId="0" fontId="95" fillId="5" borderId="22" xfId="1" applyFont="1" applyFill="1" applyBorder="1" applyAlignment="1">
      <alignment horizontal="center" vertical="center"/>
    </xf>
    <xf numFmtId="0" fontId="95" fillId="12" borderId="22" xfId="1" applyFont="1" applyFill="1" applyBorder="1" applyAlignment="1">
      <alignment horizontal="center" vertical="center"/>
    </xf>
    <xf numFmtId="0" fontId="95" fillId="8" borderId="22" xfId="1" applyFont="1" applyFill="1" applyBorder="1" applyAlignment="1">
      <alignment horizontal="center" vertical="center"/>
    </xf>
    <xf numFmtId="0" fontId="95" fillId="0" borderId="25" xfId="1" applyFont="1" applyBorder="1" applyAlignment="1">
      <alignment horizontal="center" vertical="center"/>
    </xf>
    <xf numFmtId="0" fontId="95" fillId="5" borderId="2" xfId="1" applyFont="1" applyFill="1" applyBorder="1" applyAlignment="1">
      <alignment horizontal="center" vertical="center"/>
    </xf>
    <xf numFmtId="0" fontId="95" fillId="8" borderId="3" xfId="1" applyFont="1" applyFill="1" applyBorder="1" applyAlignment="1">
      <alignment horizontal="center" vertical="center"/>
    </xf>
    <xf numFmtId="0" fontId="95" fillId="0" borderId="22" xfId="1" applyFont="1" applyBorder="1" applyAlignment="1">
      <alignment horizontal="center" vertical="center" wrapText="1"/>
    </xf>
    <xf numFmtId="0" fontId="97" fillId="6" borderId="13" xfId="1" applyFont="1" applyFill="1" applyBorder="1" applyAlignment="1">
      <alignment horizontal="center" vertical="center"/>
    </xf>
    <xf numFmtId="0" fontId="97" fillId="6" borderId="21" xfId="1" applyFont="1" applyFill="1" applyBorder="1" applyAlignment="1">
      <alignment horizontal="center" vertical="center"/>
    </xf>
    <xf numFmtId="0" fontId="95" fillId="6" borderId="16" xfId="1" applyFont="1" applyFill="1" applyBorder="1" applyAlignment="1">
      <alignment horizontal="center" vertical="center"/>
    </xf>
    <xf numFmtId="0" fontId="95" fillId="6" borderId="13" xfId="1" applyFont="1" applyFill="1" applyBorder="1" applyAlignment="1">
      <alignment horizontal="center" vertical="center"/>
    </xf>
    <xf numFmtId="0" fontId="95" fillId="6" borderId="21" xfId="1" applyFont="1" applyFill="1" applyBorder="1" applyAlignment="1">
      <alignment horizontal="center" vertical="center"/>
    </xf>
    <xf numFmtId="0" fontId="95" fillId="8" borderId="21" xfId="1" applyFont="1" applyFill="1" applyBorder="1" applyAlignment="1">
      <alignment horizontal="center" vertical="center"/>
    </xf>
    <xf numFmtId="0" fontId="95" fillId="5" borderId="24" xfId="1" applyFont="1" applyFill="1" applyBorder="1" applyAlignment="1">
      <alignment horizontal="center" vertical="center"/>
    </xf>
    <xf numFmtId="0" fontId="95" fillId="6" borderId="22" xfId="1" applyFont="1" applyFill="1" applyBorder="1" applyAlignment="1">
      <alignment horizontal="center" vertical="center"/>
    </xf>
    <xf numFmtId="0" fontId="96" fillId="6" borderId="22" xfId="1" applyFont="1" applyFill="1" applyBorder="1" applyAlignment="1">
      <alignment horizontal="center" vertical="center"/>
    </xf>
    <xf numFmtId="0" fontId="23" fillId="10" borderId="21" xfId="1" applyFont="1" applyFill="1" applyBorder="1" applyAlignment="1">
      <alignment horizontal="center" vertical="center"/>
    </xf>
    <xf numFmtId="0" fontId="26" fillId="9" borderId="26" xfId="1" applyFont="1" applyFill="1" applyBorder="1" applyAlignment="1">
      <alignment horizontal="center" vertical="center"/>
    </xf>
    <xf numFmtId="0" fontId="77" fillId="7" borderId="27" xfId="1" applyFont="1" applyFill="1" applyBorder="1" applyAlignment="1">
      <alignment horizontal="center" vertical="center"/>
    </xf>
    <xf numFmtId="0" fontId="22" fillId="7" borderId="39" xfId="1" applyFont="1" applyFill="1" applyBorder="1" applyAlignment="1">
      <alignment horizontal="center" vertical="center"/>
    </xf>
    <xf numFmtId="0" fontId="95" fillId="0" borderId="42" xfId="1" applyFont="1" applyBorder="1" applyAlignment="1">
      <alignment horizontal="center" vertical="center"/>
    </xf>
    <xf numFmtId="0" fontId="95" fillId="0" borderId="43" xfId="1" applyFont="1" applyBorder="1" applyAlignment="1">
      <alignment horizontal="center" vertical="center"/>
    </xf>
    <xf numFmtId="0" fontId="95" fillId="8" borderId="43" xfId="1" applyFont="1" applyFill="1" applyBorder="1" applyAlignment="1">
      <alignment horizontal="center" vertical="center"/>
    </xf>
    <xf numFmtId="0" fontId="95" fillId="5" borderId="43" xfId="1" applyFont="1" applyFill="1" applyBorder="1" applyAlignment="1">
      <alignment horizontal="center" vertical="center"/>
    </xf>
    <xf numFmtId="0" fontId="96" fillId="0" borderId="43" xfId="1" applyFont="1" applyBorder="1" applyAlignment="1">
      <alignment horizontal="center" vertical="center"/>
    </xf>
    <xf numFmtId="0" fontId="95" fillId="0" borderId="44" xfId="1" applyFont="1" applyBorder="1" applyAlignment="1">
      <alignment horizontal="center" vertical="center"/>
    </xf>
    <xf numFmtId="0" fontId="31" fillId="9" borderId="18" xfId="1" applyFont="1" applyFill="1" applyBorder="1" applyAlignment="1">
      <alignment horizontal="center" vertical="center"/>
    </xf>
    <xf numFmtId="0" fontId="32" fillId="7" borderId="18" xfId="1" applyFont="1" applyFill="1" applyBorder="1" applyAlignment="1">
      <alignment horizontal="center" vertical="center"/>
    </xf>
    <xf numFmtId="0" fontId="31" fillId="9" borderId="39" xfId="1" applyFont="1" applyFill="1" applyBorder="1" applyAlignment="1">
      <alignment horizontal="center" vertical="center"/>
    </xf>
    <xf numFmtId="0" fontId="31" fillId="9" borderId="41" xfId="1" applyFont="1" applyFill="1" applyBorder="1" applyAlignment="1">
      <alignment horizontal="center" vertical="center"/>
    </xf>
    <xf numFmtId="0" fontId="95" fillId="5" borderId="42" xfId="1" applyFont="1" applyFill="1" applyBorder="1" applyAlignment="1">
      <alignment horizontal="center" vertical="center"/>
    </xf>
    <xf numFmtId="0" fontId="95" fillId="6" borderId="43" xfId="1" applyFont="1" applyFill="1" applyBorder="1" applyAlignment="1">
      <alignment horizontal="center" vertical="center"/>
    </xf>
    <xf numFmtId="0" fontId="1" fillId="3" borderId="2" xfId="1" applyFill="1" applyBorder="1" applyAlignment="1">
      <alignment horizontal="center" vertical="center"/>
    </xf>
    <xf numFmtId="0" fontId="77" fillId="7" borderId="15" xfId="1" applyFont="1" applyFill="1" applyBorder="1" applyAlignment="1">
      <alignment horizontal="center" vertical="center"/>
    </xf>
    <xf numFmtId="0" fontId="18" fillId="0" borderId="2" xfId="1" applyFont="1" applyBorder="1" applyAlignment="1">
      <alignment horizontal="center" vertical="center"/>
    </xf>
    <xf numFmtId="0" fontId="9" fillId="0" borderId="20" xfId="1" applyFont="1" applyBorder="1" applyAlignment="1">
      <alignment horizontal="center" vertical="center" wrapText="1"/>
    </xf>
    <xf numFmtId="0" fontId="24" fillId="0" borderId="13" xfId="1" applyFont="1" applyBorder="1" applyAlignment="1">
      <alignment horizontal="center" vertical="center"/>
    </xf>
    <xf numFmtId="0" fontId="18" fillId="0" borderId="24" xfId="1" applyFont="1" applyBorder="1" applyAlignment="1">
      <alignment horizontal="center" vertical="center"/>
    </xf>
    <xf numFmtId="0" fontId="9" fillId="0" borderId="26" xfId="1" applyFont="1" applyBorder="1" applyAlignment="1">
      <alignment horizontal="center" vertical="center" wrapText="1"/>
    </xf>
    <xf numFmtId="0" fontId="24" fillId="0" borderId="3" xfId="1" applyFont="1" applyBorder="1" applyAlignment="1">
      <alignment horizontal="center" vertical="center"/>
    </xf>
    <xf numFmtId="0" fontId="23" fillId="19" borderId="13" xfId="1" applyFont="1" applyFill="1" applyBorder="1" applyAlignment="1">
      <alignment horizontal="center" vertical="center"/>
    </xf>
    <xf numFmtId="0" fontId="23" fillId="8" borderId="21" xfId="1" applyFont="1" applyFill="1" applyBorder="1" applyAlignment="1">
      <alignment horizontal="center" vertical="center"/>
    </xf>
    <xf numFmtId="0" fontId="18" fillId="12" borderId="16" xfId="1" applyFont="1" applyFill="1" applyBorder="1" applyAlignment="1">
      <alignment horizontal="center" vertical="center"/>
    </xf>
    <xf numFmtId="0" fontId="18" fillId="12" borderId="24" xfId="1" applyFont="1" applyFill="1" applyBorder="1" applyAlignment="1">
      <alignment horizontal="center" vertical="center"/>
    </xf>
    <xf numFmtId="0" fontId="18" fillId="12" borderId="2" xfId="1" applyFont="1" applyFill="1" applyBorder="1" applyAlignment="1">
      <alignment horizontal="center" vertical="center"/>
    </xf>
    <xf numFmtId="0" fontId="21" fillId="0" borderId="16" xfId="1" applyFont="1" applyBorder="1" applyAlignment="1">
      <alignment horizontal="center" vertical="center"/>
    </xf>
    <xf numFmtId="0" fontId="21" fillId="0" borderId="52" xfId="1" applyFont="1" applyBorder="1" applyAlignment="1">
      <alignment horizontal="center" vertical="center"/>
    </xf>
    <xf numFmtId="0" fontId="21" fillId="0" borderId="53" xfId="1" applyFont="1" applyBorder="1" applyAlignment="1">
      <alignment horizontal="center" vertical="center"/>
    </xf>
    <xf numFmtId="0" fontId="21" fillId="0" borderId="2" xfId="1" applyFont="1" applyBorder="1" applyAlignment="1">
      <alignment horizontal="center" vertical="center"/>
    </xf>
    <xf numFmtId="165" fontId="21" fillId="14" borderId="24" xfId="1" applyNumberFormat="1" applyFont="1" applyFill="1" applyBorder="1" applyAlignment="1">
      <alignment horizontal="center" vertical="center"/>
    </xf>
    <xf numFmtId="165" fontId="23" fillId="0" borderId="52" xfId="1" applyNumberFormat="1" applyFont="1" applyBorder="1" applyAlignment="1">
      <alignment horizontal="center" vertical="center"/>
    </xf>
    <xf numFmtId="0" fontId="23" fillId="20" borderId="13" xfId="1" applyFont="1" applyFill="1" applyBorder="1" applyAlignment="1">
      <alignment horizontal="center" vertical="center"/>
    </xf>
    <xf numFmtId="0" fontId="26" fillId="7" borderId="29" xfId="1" applyFont="1" applyFill="1" applyBorder="1" applyAlignment="1">
      <alignment horizontal="center" vertical="center"/>
    </xf>
    <xf numFmtId="0" fontId="27" fillId="9" borderId="49" xfId="1" applyFont="1" applyFill="1" applyBorder="1" applyAlignment="1">
      <alignment horizontal="center" vertical="center"/>
    </xf>
    <xf numFmtId="0" fontId="23" fillId="10" borderId="6" xfId="1" applyFont="1" applyFill="1" applyBorder="1" applyAlignment="1">
      <alignment horizontal="center" vertical="center"/>
    </xf>
    <xf numFmtId="0" fontId="23" fillId="8" borderId="14" xfId="1" applyFont="1" applyFill="1" applyBorder="1" applyAlignment="1">
      <alignment horizontal="center" vertical="center"/>
    </xf>
    <xf numFmtId="0" fontId="23" fillId="6" borderId="19" xfId="1" applyFont="1" applyFill="1" applyBorder="1" applyAlignment="1">
      <alignment horizontal="center" vertical="center"/>
    </xf>
    <xf numFmtId="0" fontId="23" fillId="0" borderId="19" xfId="1" applyFont="1" applyBorder="1" applyAlignment="1">
      <alignment horizontal="center" vertical="center"/>
    </xf>
    <xf numFmtId="0" fontId="24" fillId="6" borderId="19" xfId="1" applyFont="1" applyFill="1" applyBorder="1" applyAlignment="1">
      <alignment horizontal="center" vertical="center"/>
    </xf>
    <xf numFmtId="0" fontId="23" fillId="10" borderId="19" xfId="1" applyFont="1" applyFill="1" applyBorder="1" applyAlignment="1">
      <alignment horizontal="center" vertical="center"/>
    </xf>
    <xf numFmtId="0" fontId="23" fillId="8" borderId="28" xfId="1" applyFont="1" applyFill="1" applyBorder="1" applyAlignment="1">
      <alignment horizontal="center" vertical="center"/>
    </xf>
    <xf numFmtId="0" fontId="23" fillId="8" borderId="19" xfId="1" applyFont="1" applyFill="1" applyBorder="1" applyAlignment="1">
      <alignment horizontal="center" vertical="center"/>
    </xf>
    <xf numFmtId="0" fontId="23" fillId="0" borderId="28" xfId="1" applyFont="1" applyBorder="1" applyAlignment="1">
      <alignment horizontal="center" vertical="center"/>
    </xf>
    <xf numFmtId="0" fontId="23" fillId="0" borderId="55" xfId="1" applyFont="1" applyBorder="1" applyAlignment="1">
      <alignment horizontal="center" vertical="center"/>
    </xf>
    <xf numFmtId="0" fontId="23" fillId="0" borderId="14" xfId="1" applyFont="1" applyBorder="1" applyAlignment="1">
      <alignment horizontal="center" vertical="center"/>
    </xf>
    <xf numFmtId="0" fontId="18" fillId="0" borderId="28" xfId="1" applyFont="1" applyBorder="1" applyAlignment="1">
      <alignment horizontal="center" vertical="center" wrapText="1"/>
    </xf>
    <xf numFmtId="0" fontId="23" fillId="8" borderId="45" xfId="1" applyFont="1" applyFill="1" applyBorder="1" applyAlignment="1">
      <alignment horizontal="center" vertical="center"/>
    </xf>
    <xf numFmtId="0" fontId="23" fillId="8" borderId="43" xfId="1" applyFont="1" applyFill="1" applyBorder="1" applyAlignment="1">
      <alignment horizontal="center" vertical="center"/>
    </xf>
    <xf numFmtId="0" fontId="23" fillId="13" borderId="13" xfId="1" applyFont="1" applyFill="1" applyBorder="1" applyAlignment="1">
      <alignment horizontal="center" vertical="center"/>
    </xf>
    <xf numFmtId="0" fontId="26" fillId="7" borderId="41" xfId="1" applyFont="1" applyFill="1" applyBorder="1" applyAlignment="1">
      <alignment horizontal="center" vertical="center"/>
    </xf>
    <xf numFmtId="0" fontId="23" fillId="15" borderId="13" xfId="1" applyFont="1" applyFill="1" applyBorder="1" applyAlignment="1">
      <alignment horizontal="center" vertical="center"/>
    </xf>
    <xf numFmtId="165" fontId="23" fillId="16" borderId="34" xfId="1" applyNumberFormat="1" applyFont="1" applyFill="1" applyBorder="1" applyAlignment="1">
      <alignment horizontal="center" vertical="center"/>
    </xf>
    <xf numFmtId="0" fontId="23" fillId="8" borderId="5" xfId="1" applyFont="1" applyFill="1" applyBorder="1" applyAlignment="1">
      <alignment horizontal="center" vertical="center"/>
    </xf>
    <xf numFmtId="0" fontId="23" fillId="21" borderId="13" xfId="1" applyFont="1" applyFill="1" applyBorder="1" applyAlignment="1">
      <alignment horizontal="center" vertical="center"/>
    </xf>
    <xf numFmtId="0" fontId="31" fillId="9" borderId="27" xfId="1" applyFont="1" applyFill="1" applyBorder="1" applyAlignment="1">
      <alignment horizontal="center" vertical="center"/>
    </xf>
    <xf numFmtId="0" fontId="23" fillId="15" borderId="21" xfId="1" applyFont="1" applyFill="1" applyBorder="1" applyAlignment="1">
      <alignment horizontal="center" vertical="center"/>
    </xf>
    <xf numFmtId="0" fontId="23" fillId="8" borderId="24" xfId="1" applyFont="1" applyFill="1" applyBorder="1" applyAlignment="1">
      <alignment horizontal="center" vertical="center"/>
    </xf>
    <xf numFmtId="0" fontId="23" fillId="8" borderId="42" xfId="1" applyFont="1" applyFill="1" applyBorder="1" applyAlignment="1">
      <alignment horizontal="center" vertical="center"/>
    </xf>
    <xf numFmtId="0" fontId="23" fillId="0" borderId="44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0" fontId="9" fillId="0" borderId="25" xfId="1" applyFont="1" applyBorder="1" applyAlignment="1">
      <alignment horizontal="center" vertical="center" wrapText="1"/>
    </xf>
    <xf numFmtId="0" fontId="18" fillId="0" borderId="43" xfId="1" applyFont="1" applyBorder="1" applyAlignment="1">
      <alignment horizontal="center" vertical="center"/>
    </xf>
    <xf numFmtId="0" fontId="9" fillId="0" borderId="44" xfId="1" applyFont="1" applyBorder="1" applyAlignment="1">
      <alignment horizontal="center" vertical="center" wrapText="1"/>
    </xf>
    <xf numFmtId="0" fontId="26" fillId="9" borderId="49" xfId="1" applyFont="1" applyFill="1" applyBorder="1" applyAlignment="1">
      <alignment horizontal="center" vertical="center"/>
    </xf>
    <xf numFmtId="0" fontId="18" fillId="0" borderId="45" xfId="1" applyFont="1" applyBorder="1" applyAlignment="1">
      <alignment horizontal="center" vertical="center"/>
    </xf>
    <xf numFmtId="0" fontId="24" fillId="6" borderId="16" xfId="1" applyFont="1" applyFill="1" applyBorder="1" applyAlignment="1">
      <alignment horizontal="center" vertical="center"/>
    </xf>
    <xf numFmtId="0" fontId="23" fillId="10" borderId="16" xfId="1" applyFont="1" applyFill="1" applyBorder="1" applyAlignment="1">
      <alignment horizontal="center" vertical="center"/>
    </xf>
    <xf numFmtId="0" fontId="23" fillId="0" borderId="50" xfId="1" applyFont="1" applyBorder="1" applyAlignment="1">
      <alignment horizontal="center" vertical="center"/>
    </xf>
    <xf numFmtId="0" fontId="18" fillId="12" borderId="45" xfId="1" applyFont="1" applyFill="1" applyBorder="1" applyAlignment="1">
      <alignment horizontal="center" vertical="center"/>
    </xf>
    <xf numFmtId="0" fontId="24" fillId="0" borderId="43" xfId="1" applyFont="1" applyBorder="1" applyAlignment="1">
      <alignment horizontal="center" vertical="center"/>
    </xf>
    <xf numFmtId="0" fontId="1" fillId="4" borderId="2" xfId="1" applyFill="1" applyBorder="1" applyAlignment="1">
      <alignment horizontal="center" vertical="center"/>
    </xf>
    <xf numFmtId="0" fontId="1" fillId="4" borderId="4" xfId="1" applyFill="1" applyBorder="1" applyAlignment="1">
      <alignment horizontal="center" vertical="center"/>
    </xf>
    <xf numFmtId="0" fontId="24" fillId="0" borderId="6" xfId="1" applyFont="1" applyBorder="1" applyAlignment="1">
      <alignment horizontal="center" vertical="center"/>
    </xf>
    <xf numFmtId="0" fontId="23" fillId="6" borderId="9" xfId="1" applyFont="1" applyFill="1" applyBorder="1" applyAlignment="1">
      <alignment horizontal="center" vertical="center"/>
    </xf>
    <xf numFmtId="0" fontId="23" fillId="6" borderId="42" xfId="1" applyFont="1" applyFill="1" applyBorder="1" applyAlignment="1">
      <alignment horizontal="center" vertical="center"/>
    </xf>
    <xf numFmtId="0" fontId="23" fillId="6" borderId="57" xfId="1" applyFont="1" applyFill="1" applyBorder="1" applyAlignment="1">
      <alignment horizontal="center" vertical="center"/>
    </xf>
    <xf numFmtId="165" fontId="21" fillId="11" borderId="15" xfId="1" applyNumberFormat="1" applyFont="1" applyFill="1" applyBorder="1" applyAlignment="1">
      <alignment horizontal="center" vertical="center"/>
    </xf>
    <xf numFmtId="0" fontId="21" fillId="0" borderId="58" xfId="1" applyFont="1" applyBorder="1" applyAlignment="1">
      <alignment horizontal="center" vertical="center"/>
    </xf>
    <xf numFmtId="0" fontId="23" fillId="22" borderId="13" xfId="1" applyFont="1" applyFill="1" applyBorder="1" applyAlignment="1">
      <alignment horizontal="center" vertical="center"/>
    </xf>
    <xf numFmtId="0" fontId="15" fillId="4" borderId="4" xfId="1" applyFont="1" applyFill="1" applyBorder="1" applyAlignment="1">
      <alignment horizontal="center" vertical="center"/>
    </xf>
    <xf numFmtId="165" fontId="23" fillId="12" borderId="52" xfId="1" applyNumberFormat="1" applyFont="1" applyFill="1" applyBorder="1" applyAlignment="1">
      <alignment horizontal="center" vertical="center"/>
    </xf>
    <xf numFmtId="165" fontId="23" fillId="12" borderId="53" xfId="1" applyNumberFormat="1" applyFont="1" applyFill="1" applyBorder="1" applyAlignment="1">
      <alignment horizontal="center" vertical="center"/>
    </xf>
    <xf numFmtId="165" fontId="23" fillId="12" borderId="34" xfId="1" applyNumberFormat="1" applyFont="1" applyFill="1" applyBorder="1" applyAlignment="1">
      <alignment horizontal="center" vertical="center"/>
    </xf>
    <xf numFmtId="0" fontId="18" fillId="8" borderId="24" xfId="1" applyFont="1" applyFill="1" applyBorder="1" applyAlignment="1">
      <alignment horizontal="center" vertical="center" wrapText="1"/>
    </xf>
    <xf numFmtId="0" fontId="18" fillId="0" borderId="5" xfId="1" applyFont="1" applyBorder="1" applyAlignment="1">
      <alignment horizontal="center" vertical="center"/>
    </xf>
    <xf numFmtId="0" fontId="18" fillId="0" borderId="7" xfId="1" applyFont="1" applyBorder="1" applyAlignment="1">
      <alignment horizontal="center" vertical="center"/>
    </xf>
    <xf numFmtId="0" fontId="23" fillId="22" borderId="16" xfId="1" applyFont="1" applyFill="1" applyBorder="1" applyAlignment="1">
      <alignment horizontal="center" vertical="center"/>
    </xf>
    <xf numFmtId="0" fontId="23" fillId="6" borderId="24" xfId="1" applyFont="1" applyFill="1" applyBorder="1" applyAlignment="1">
      <alignment horizontal="center" vertical="center"/>
    </xf>
    <xf numFmtId="0" fontId="23" fillId="8" borderId="44" xfId="1" applyFont="1" applyFill="1" applyBorder="1" applyAlignment="1">
      <alignment horizontal="center" vertical="center"/>
    </xf>
    <xf numFmtId="0" fontId="23" fillId="8" borderId="25" xfId="1" applyFont="1" applyFill="1" applyBorder="1" applyAlignment="1">
      <alignment horizontal="center" vertical="center"/>
    </xf>
    <xf numFmtId="0" fontId="103" fillId="6" borderId="13" xfId="1" applyFont="1" applyFill="1" applyBorder="1" applyAlignment="1">
      <alignment horizontal="center" vertical="center"/>
    </xf>
    <xf numFmtId="0" fontId="77" fillId="7" borderId="59" xfId="1" applyFont="1" applyFill="1" applyBorder="1" applyAlignment="1">
      <alignment horizontal="center" vertical="center"/>
    </xf>
    <xf numFmtId="0" fontId="22" fillId="9" borderId="56" xfId="1" applyFont="1" applyFill="1" applyBorder="1" applyAlignment="1">
      <alignment horizontal="center" vertical="center"/>
    </xf>
    <xf numFmtId="0" fontId="22" fillId="7" borderId="56" xfId="1" applyFont="1" applyFill="1" applyBorder="1" applyAlignment="1">
      <alignment horizontal="center" vertical="center"/>
    </xf>
    <xf numFmtId="0" fontId="25" fillId="7" borderId="56" xfId="1" applyFont="1" applyFill="1" applyBorder="1" applyAlignment="1">
      <alignment horizontal="center" vertical="center"/>
    </xf>
    <xf numFmtId="0" fontId="77" fillId="7" borderId="56" xfId="1" applyFont="1" applyFill="1" applyBorder="1" applyAlignment="1">
      <alignment horizontal="center" vertical="center"/>
    </xf>
    <xf numFmtId="0" fontId="25" fillId="7" borderId="56" xfId="0" applyFont="1" applyFill="1" applyBorder="1" applyAlignment="1">
      <alignment horizontal="center" vertical="center"/>
    </xf>
    <xf numFmtId="0" fontId="22" fillId="7" borderId="60" xfId="1" applyFont="1" applyFill="1" applyBorder="1" applyAlignment="1">
      <alignment horizontal="center" vertical="center"/>
    </xf>
    <xf numFmtId="0" fontId="26" fillId="7" borderId="61" xfId="1" applyFont="1" applyFill="1" applyBorder="1" applyAlignment="1">
      <alignment horizontal="center" vertical="center"/>
    </xf>
    <xf numFmtId="0" fontId="27" fillId="7" borderId="56" xfId="1" applyFont="1" applyFill="1" applyBorder="1" applyAlignment="1">
      <alignment horizontal="center" vertical="center"/>
    </xf>
    <xf numFmtId="0" fontId="26" fillId="9" borderId="56" xfId="1" applyFont="1" applyFill="1" applyBorder="1" applyAlignment="1">
      <alignment horizontal="center" vertical="center"/>
    </xf>
    <xf numFmtId="0" fontId="26" fillId="7" borderId="56" xfId="1" applyFont="1" applyFill="1" applyBorder="1" applyAlignment="1">
      <alignment horizontal="center" vertical="center"/>
    </xf>
    <xf numFmtId="0" fontId="27" fillId="9" borderId="56" xfId="1" applyFont="1" applyFill="1" applyBorder="1" applyAlignment="1">
      <alignment horizontal="center" vertical="center"/>
    </xf>
    <xf numFmtId="0" fontId="27" fillId="9" borderId="60" xfId="1" applyFont="1" applyFill="1" applyBorder="1" applyAlignment="1">
      <alignment horizontal="center" vertical="center"/>
    </xf>
    <xf numFmtId="0" fontId="26" fillId="7" borderId="59" xfId="1" applyFont="1" applyFill="1" applyBorder="1" applyAlignment="1">
      <alignment horizontal="center" vertical="center"/>
    </xf>
    <xf numFmtId="0" fontId="29" fillId="7" borderId="56" xfId="1" applyFont="1" applyFill="1" applyBorder="1" applyAlignment="1">
      <alignment horizontal="center" vertical="center"/>
    </xf>
    <xf numFmtId="0" fontId="26" fillId="7" borderId="60" xfId="1" applyFont="1" applyFill="1" applyBorder="1" applyAlignment="1">
      <alignment horizontal="center" vertical="center"/>
    </xf>
    <xf numFmtId="0" fontId="31" fillId="9" borderId="36" xfId="1" applyFont="1" applyFill="1" applyBorder="1" applyAlignment="1">
      <alignment horizontal="center" vertical="center"/>
    </xf>
    <xf numFmtId="0" fontId="32" fillId="7" borderId="37" xfId="1" applyFont="1" applyFill="1" applyBorder="1" applyAlignment="1">
      <alignment horizontal="center" vertical="center"/>
    </xf>
    <xf numFmtId="0" fontId="31" fillId="9" borderId="37" xfId="1" applyFont="1" applyFill="1" applyBorder="1" applyAlignment="1">
      <alignment horizontal="center" vertical="center"/>
    </xf>
    <xf numFmtId="0" fontId="31" fillId="9" borderId="38" xfId="1" applyFont="1" applyFill="1" applyBorder="1" applyAlignment="1">
      <alignment horizontal="center" vertical="center"/>
    </xf>
    <xf numFmtId="165" fontId="21" fillId="0" borderId="42" xfId="1" applyNumberFormat="1" applyFont="1" applyBorder="1" applyAlignment="1">
      <alignment horizontal="center" vertical="center"/>
    </xf>
    <xf numFmtId="0" fontId="21" fillId="0" borderId="43" xfId="1" applyFont="1" applyBorder="1" applyAlignment="1">
      <alignment horizontal="center" vertical="center"/>
    </xf>
    <xf numFmtId="165" fontId="21" fillId="0" borderId="43" xfId="1" applyNumberFormat="1" applyFont="1" applyBorder="1" applyAlignment="1">
      <alignment horizontal="center" vertical="center"/>
    </xf>
    <xf numFmtId="165" fontId="21" fillId="0" borderId="44" xfId="1" applyNumberFormat="1" applyFont="1" applyBorder="1" applyAlignment="1">
      <alignment horizontal="center" vertical="center"/>
    </xf>
    <xf numFmtId="0" fontId="18" fillId="0" borderId="55" xfId="1" applyFont="1" applyBorder="1" applyAlignment="1">
      <alignment horizontal="center" vertical="center"/>
    </xf>
    <xf numFmtId="0" fontId="18" fillId="0" borderId="6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165" fontId="21" fillId="0" borderId="7" xfId="1" applyNumberFormat="1" applyFont="1" applyBorder="1" applyAlignment="1">
      <alignment horizontal="center" vertical="center"/>
    </xf>
    <xf numFmtId="0" fontId="95" fillId="6" borderId="2" xfId="1" applyFont="1" applyFill="1" applyBorder="1" applyAlignment="1">
      <alignment horizontal="center" vertical="center"/>
    </xf>
    <xf numFmtId="0" fontId="95" fillId="6" borderId="3" xfId="1" applyFont="1" applyFill="1" applyBorder="1" applyAlignment="1">
      <alignment horizontal="center" vertical="center"/>
    </xf>
    <xf numFmtId="0" fontId="95" fillId="8" borderId="4" xfId="1" applyFont="1" applyFill="1" applyBorder="1" applyAlignment="1">
      <alignment horizontal="center" vertical="center"/>
    </xf>
    <xf numFmtId="0" fontId="96" fillId="6" borderId="13" xfId="1" applyFont="1" applyFill="1" applyBorder="1" applyAlignment="1">
      <alignment horizontal="center" vertical="center"/>
    </xf>
    <xf numFmtId="0" fontId="95" fillId="22" borderId="13" xfId="1" applyFont="1" applyFill="1" applyBorder="1" applyAlignment="1">
      <alignment horizontal="center" vertical="center"/>
    </xf>
    <xf numFmtId="0" fontId="95" fillId="10" borderId="22" xfId="1" applyFont="1" applyFill="1" applyBorder="1" applyAlignment="1">
      <alignment horizontal="center" vertical="center"/>
    </xf>
    <xf numFmtId="0" fontId="95" fillId="0" borderId="2" xfId="1" applyFont="1" applyBorder="1" applyAlignment="1">
      <alignment horizontal="center" vertical="center"/>
    </xf>
    <xf numFmtId="0" fontId="95" fillId="22" borderId="3" xfId="1" applyFont="1" applyFill="1" applyBorder="1" applyAlignment="1">
      <alignment horizontal="center" vertical="center"/>
    </xf>
    <xf numFmtId="0" fontId="95" fillId="5" borderId="21" xfId="1" applyFont="1" applyFill="1" applyBorder="1" applyAlignment="1">
      <alignment horizontal="center" vertical="center"/>
    </xf>
    <xf numFmtId="0" fontId="95" fillId="5" borderId="25" xfId="1" applyFont="1" applyFill="1" applyBorder="1" applyAlignment="1">
      <alignment horizontal="center" vertical="center"/>
    </xf>
    <xf numFmtId="0" fontId="95" fillId="5" borderId="4" xfId="1" applyFont="1" applyFill="1" applyBorder="1" applyAlignment="1">
      <alignment horizontal="center" vertical="center"/>
    </xf>
    <xf numFmtId="165" fontId="21" fillId="11" borderId="52" xfId="1" applyNumberFormat="1" applyFont="1" applyFill="1" applyBorder="1" applyAlignment="1">
      <alignment horizontal="center" vertical="center"/>
    </xf>
    <xf numFmtId="165" fontId="21" fillId="11" borderId="53" xfId="1" applyNumberFormat="1" applyFont="1" applyFill="1" applyBorder="1" applyAlignment="1">
      <alignment horizontal="center" vertical="center"/>
    </xf>
    <xf numFmtId="165" fontId="21" fillId="11" borderId="34" xfId="1" applyNumberFormat="1" applyFont="1" applyFill="1" applyBorder="1" applyAlignment="1">
      <alignment horizontal="center" vertical="center"/>
    </xf>
    <xf numFmtId="0" fontId="21" fillId="11" borderId="42" xfId="1" applyFont="1" applyFill="1" applyBorder="1" applyAlignment="1">
      <alignment horizontal="center" vertical="center"/>
    </xf>
    <xf numFmtId="0" fontId="21" fillId="11" borderId="43" xfId="1" applyFont="1" applyFill="1" applyBorder="1" applyAlignment="1">
      <alignment horizontal="center" vertical="center"/>
    </xf>
    <xf numFmtId="0" fontId="21" fillId="11" borderId="44" xfId="1" applyFont="1" applyFill="1" applyBorder="1" applyAlignment="1">
      <alignment horizontal="center" vertical="center"/>
    </xf>
    <xf numFmtId="165" fontId="21" fillId="11" borderId="24" xfId="1" applyNumberFormat="1" applyFont="1" applyFill="1" applyBorder="1" applyAlignment="1">
      <alignment horizontal="center" vertical="center"/>
    </xf>
    <xf numFmtId="165" fontId="21" fillId="11" borderId="22" xfId="1" applyNumberFormat="1" applyFont="1" applyFill="1" applyBorder="1" applyAlignment="1">
      <alignment horizontal="center" vertical="center"/>
    </xf>
    <xf numFmtId="165" fontId="21" fillId="11" borderId="25" xfId="1" applyNumberFormat="1" applyFont="1" applyFill="1" applyBorder="1" applyAlignment="1">
      <alignment horizontal="center" vertical="center"/>
    </xf>
    <xf numFmtId="165" fontId="21" fillId="11" borderId="42" xfId="1" applyNumberFormat="1" applyFont="1" applyFill="1" applyBorder="1" applyAlignment="1">
      <alignment horizontal="center" vertical="center"/>
    </xf>
    <xf numFmtId="165" fontId="21" fillId="11" borderId="43" xfId="1" applyNumberFormat="1" applyFont="1" applyFill="1" applyBorder="1" applyAlignment="1">
      <alignment horizontal="center" vertical="center"/>
    </xf>
    <xf numFmtId="165" fontId="21" fillId="11" borderId="44" xfId="1" applyNumberFormat="1" applyFont="1" applyFill="1" applyBorder="1" applyAlignment="1">
      <alignment horizontal="center" vertical="center"/>
    </xf>
    <xf numFmtId="0" fontId="21" fillId="11" borderId="16" xfId="1" applyFont="1" applyFill="1" applyBorder="1" applyAlignment="1">
      <alignment horizontal="center" vertical="center"/>
    </xf>
    <xf numFmtId="0" fontId="21" fillId="11" borderId="13" xfId="1" applyFont="1" applyFill="1" applyBorder="1" applyAlignment="1">
      <alignment horizontal="center" vertical="center"/>
    </xf>
    <xf numFmtId="0" fontId="21" fillId="11" borderId="21" xfId="1" applyFont="1" applyFill="1" applyBorder="1" applyAlignment="1">
      <alignment horizontal="center" vertical="center"/>
    </xf>
    <xf numFmtId="0" fontId="21" fillId="0" borderId="50" xfId="1" applyFont="1" applyBorder="1" applyAlignment="1">
      <alignment horizontal="center" vertical="center"/>
    </xf>
    <xf numFmtId="0" fontId="21" fillId="0" borderId="57" xfId="1" applyFont="1" applyBorder="1" applyAlignment="1">
      <alignment horizontal="center" vertical="center"/>
    </xf>
    <xf numFmtId="0" fontId="20" fillId="6" borderId="0" xfId="1" applyFont="1" applyFill="1" applyAlignment="1">
      <alignment horizontal="center" vertical="center" wrapText="1"/>
    </xf>
    <xf numFmtId="0" fontId="95" fillId="11" borderId="22" xfId="1" applyFont="1" applyFill="1" applyBorder="1" applyAlignment="1">
      <alignment horizontal="center" vertical="center"/>
    </xf>
    <xf numFmtId="0" fontId="95" fillId="11" borderId="25" xfId="1" applyFont="1" applyFill="1" applyBorder="1" applyAlignment="1">
      <alignment horizontal="center" vertical="center"/>
    </xf>
    <xf numFmtId="0" fontId="95" fillId="6" borderId="4" xfId="1" applyFont="1" applyFill="1" applyBorder="1" applyAlignment="1">
      <alignment horizontal="center" vertical="center"/>
    </xf>
    <xf numFmtId="0" fontId="95" fillId="8" borderId="50" xfId="1" applyFont="1" applyFill="1" applyBorder="1" applyAlignment="1">
      <alignment horizontal="center" vertical="center"/>
    </xf>
    <xf numFmtId="0" fontId="23" fillId="8" borderId="50" xfId="1" applyFont="1" applyFill="1" applyBorder="1" applyAlignment="1">
      <alignment horizontal="center" vertical="center"/>
    </xf>
    <xf numFmtId="0" fontId="23" fillId="5" borderId="50" xfId="1" applyFont="1" applyFill="1" applyBorder="1" applyAlignment="1">
      <alignment horizontal="center" vertical="center"/>
    </xf>
    <xf numFmtId="0" fontId="95" fillId="8" borderId="42" xfId="1" applyFont="1" applyFill="1" applyBorder="1" applyAlignment="1">
      <alignment horizontal="center" vertical="center"/>
    </xf>
    <xf numFmtId="0" fontId="95" fillId="10" borderId="16" xfId="1" applyFont="1" applyFill="1" applyBorder="1" applyAlignment="1">
      <alignment horizontal="center" vertical="center"/>
    </xf>
    <xf numFmtId="0" fontId="95" fillId="22" borderId="21" xfId="1" applyFont="1" applyFill="1" applyBorder="1" applyAlignment="1">
      <alignment horizontal="center" vertical="center"/>
    </xf>
    <xf numFmtId="0" fontId="97" fillId="6" borderId="16" xfId="1" applyFont="1" applyFill="1" applyBorder="1" applyAlignment="1">
      <alignment horizontal="center" vertical="center"/>
    </xf>
    <xf numFmtId="0" fontId="18" fillId="0" borderId="42" xfId="1" applyFont="1" applyBorder="1" applyAlignment="1">
      <alignment horizontal="center" vertical="center"/>
    </xf>
    <xf numFmtId="165" fontId="21" fillId="11" borderId="35" xfId="1" applyNumberFormat="1" applyFont="1" applyFill="1" applyBorder="1" applyAlignment="1">
      <alignment horizontal="center" vertical="center"/>
    </xf>
    <xf numFmtId="0" fontId="21" fillId="11" borderId="46" xfId="1" applyFont="1" applyFill="1" applyBorder="1" applyAlignment="1">
      <alignment horizontal="center" vertical="center"/>
    </xf>
    <xf numFmtId="165" fontId="21" fillId="11" borderId="38" xfId="1" applyNumberFormat="1" applyFont="1" applyFill="1" applyBorder="1" applyAlignment="1">
      <alignment horizontal="center" vertical="center"/>
    </xf>
    <xf numFmtId="165" fontId="21" fillId="11" borderId="46" xfId="1" applyNumberFormat="1" applyFont="1" applyFill="1" applyBorder="1" applyAlignment="1">
      <alignment horizontal="center" vertical="center"/>
    </xf>
    <xf numFmtId="0" fontId="21" fillId="11" borderId="37" xfId="1" applyFont="1" applyFill="1" applyBorder="1" applyAlignment="1">
      <alignment horizontal="center" vertical="center"/>
    </xf>
    <xf numFmtId="0" fontId="33" fillId="0" borderId="15" xfId="1" applyFont="1" applyBorder="1" applyAlignment="1">
      <alignment horizontal="center" vertical="center"/>
    </xf>
    <xf numFmtId="0" fontId="95" fillId="0" borderId="5" xfId="1" applyFont="1" applyBorder="1" applyAlignment="1">
      <alignment horizontal="center" vertical="center"/>
    </xf>
    <xf numFmtId="0" fontId="95" fillId="10" borderId="6" xfId="1" applyFont="1" applyFill="1" applyBorder="1" applyAlignment="1">
      <alignment horizontal="center" vertical="center"/>
    </xf>
    <xf numFmtId="0" fontId="95" fillId="0" borderId="62" xfId="1" applyFont="1" applyBorder="1" applyAlignment="1">
      <alignment horizontal="center" vertical="center"/>
    </xf>
    <xf numFmtId="0" fontId="95" fillId="10" borderId="62" xfId="1" applyFont="1" applyFill="1" applyBorder="1" applyAlignment="1">
      <alignment horizontal="center" vertical="center"/>
    </xf>
    <xf numFmtId="0" fontId="95" fillId="0" borderId="6" xfId="1" applyFont="1" applyBorder="1" applyAlignment="1">
      <alignment horizontal="center" vertical="center"/>
    </xf>
    <xf numFmtId="0" fontId="95" fillId="5" borderId="62" xfId="1" applyFont="1" applyFill="1" applyBorder="1" applyAlignment="1">
      <alignment horizontal="center" vertical="center"/>
    </xf>
    <xf numFmtId="0" fontId="95" fillId="6" borderId="62" xfId="1" applyFont="1" applyFill="1" applyBorder="1" applyAlignment="1">
      <alignment horizontal="center" vertical="center"/>
    </xf>
    <xf numFmtId="0" fontId="95" fillId="8" borderId="62" xfId="1" applyFont="1" applyFill="1" applyBorder="1" applyAlignment="1">
      <alignment horizontal="center" vertical="center"/>
    </xf>
    <xf numFmtId="0" fontId="95" fillId="5" borderId="6" xfId="1" applyFont="1" applyFill="1" applyBorder="1" applyAlignment="1">
      <alignment horizontal="center" vertical="center"/>
    </xf>
    <xf numFmtId="0" fontId="95" fillId="8" borderId="6" xfId="1" applyFont="1" applyFill="1" applyBorder="1" applyAlignment="1">
      <alignment horizontal="center" vertical="center"/>
    </xf>
    <xf numFmtId="0" fontId="95" fillId="22" borderId="7" xfId="1" applyFont="1" applyFill="1" applyBorder="1" applyAlignment="1">
      <alignment horizontal="center" vertical="center"/>
    </xf>
    <xf numFmtId="0" fontId="18" fillId="12" borderId="42" xfId="1" applyFont="1" applyFill="1" applyBorder="1" applyAlignment="1">
      <alignment horizontal="center" vertical="center"/>
    </xf>
    <xf numFmtId="0" fontId="95" fillId="10" borderId="21" xfId="1" applyFont="1" applyFill="1" applyBorder="1" applyAlignment="1">
      <alignment horizontal="center" vertical="center"/>
    </xf>
    <xf numFmtId="0" fontId="95" fillId="16" borderId="24" xfId="1" applyFont="1" applyFill="1" applyBorder="1" applyAlignment="1">
      <alignment horizontal="center" vertical="center"/>
    </xf>
    <xf numFmtId="0" fontId="95" fillId="16" borderId="28" xfId="1" applyFont="1" applyFill="1" applyBorder="1" applyAlignment="1">
      <alignment horizontal="center" vertical="center"/>
    </xf>
    <xf numFmtId="0" fontId="95" fillId="16" borderId="22" xfId="1" applyFont="1" applyFill="1" applyBorder="1" applyAlignment="1">
      <alignment horizontal="center" vertical="center"/>
    </xf>
    <xf numFmtId="0" fontId="95" fillId="10" borderId="25" xfId="1" applyFont="1" applyFill="1" applyBorder="1" applyAlignment="1">
      <alignment horizontal="center" vertical="center"/>
    </xf>
    <xf numFmtId="0" fontId="16" fillId="3" borderId="4" xfId="1" applyFont="1" applyFill="1" applyBorder="1" applyAlignment="1">
      <alignment horizontal="center" vertical="center"/>
    </xf>
    <xf numFmtId="0" fontId="22" fillId="9" borderId="37" xfId="1" applyFont="1" applyFill="1" applyBorder="1" applyAlignment="1">
      <alignment horizontal="center" vertical="center"/>
    </xf>
    <xf numFmtId="0" fontId="22" fillId="7" borderId="37" xfId="1" applyFont="1" applyFill="1" applyBorder="1" applyAlignment="1">
      <alignment horizontal="center" vertical="center"/>
    </xf>
    <xf numFmtId="0" fontId="25" fillId="7" borderId="37" xfId="1" applyFont="1" applyFill="1" applyBorder="1" applyAlignment="1">
      <alignment horizontal="center" vertical="center"/>
    </xf>
    <xf numFmtId="0" fontId="22" fillId="7" borderId="47" xfId="1" applyFont="1" applyFill="1" applyBorder="1" applyAlignment="1">
      <alignment horizontal="center" vertical="center"/>
    </xf>
    <xf numFmtId="0" fontId="95" fillId="0" borderId="7" xfId="1" applyFont="1" applyBorder="1" applyAlignment="1">
      <alignment horizontal="center" vertical="center"/>
    </xf>
    <xf numFmtId="0" fontId="95" fillId="8" borderId="2" xfId="1" applyFont="1" applyFill="1" applyBorder="1" applyAlignment="1">
      <alignment horizontal="center" vertical="center"/>
    </xf>
    <xf numFmtId="0" fontId="95" fillId="19" borderId="13" xfId="1" applyFont="1" applyFill="1" applyBorder="1" applyAlignment="1">
      <alignment horizontal="center" vertical="center"/>
    </xf>
    <xf numFmtId="0" fontId="96" fillId="19" borderId="13" xfId="1" applyFont="1" applyFill="1" applyBorder="1" applyAlignment="1">
      <alignment horizontal="center" vertical="center"/>
    </xf>
    <xf numFmtId="165" fontId="21" fillId="0" borderId="67" xfId="1" applyNumberFormat="1" applyFont="1" applyBorder="1" applyAlignment="1">
      <alignment horizontal="center" vertical="center"/>
    </xf>
    <xf numFmtId="0" fontId="26" fillId="7" borderId="46" xfId="1" applyFont="1" applyFill="1" applyBorder="1" applyAlignment="1">
      <alignment horizontal="center" vertical="center"/>
    </xf>
    <xf numFmtId="0" fontId="26" fillId="7" borderId="37" xfId="1" applyFont="1" applyFill="1" applyBorder="1" applyAlignment="1">
      <alignment horizontal="center" vertical="center"/>
    </xf>
    <xf numFmtId="0" fontId="95" fillId="6" borderId="6" xfId="1" applyFont="1" applyFill="1" applyBorder="1" applyAlignment="1">
      <alignment horizontal="center" vertical="center"/>
    </xf>
    <xf numFmtId="165" fontId="21" fillId="11" borderId="57" xfId="1" applyNumberFormat="1" applyFont="1" applyFill="1" applyBorder="1" applyAlignment="1">
      <alignment horizontal="center" vertical="center"/>
    </xf>
    <xf numFmtId="0" fontId="95" fillId="22" borderId="16" xfId="1" applyFont="1" applyFill="1" applyBorder="1" applyAlignment="1">
      <alignment horizontal="center" vertical="center"/>
    </xf>
    <xf numFmtId="0" fontId="95" fillId="8" borderId="16" xfId="1" applyFont="1" applyFill="1" applyBorder="1" applyAlignment="1">
      <alignment horizontal="center" vertical="center"/>
    </xf>
    <xf numFmtId="0" fontId="95" fillId="22" borderId="24" xfId="1" applyFont="1" applyFill="1" applyBorder="1" applyAlignment="1">
      <alignment horizontal="center" vertical="center"/>
    </xf>
    <xf numFmtId="0" fontId="95" fillId="22" borderId="22" xfId="1" applyFont="1" applyFill="1" applyBorder="1" applyAlignment="1">
      <alignment horizontal="center" vertical="center"/>
    </xf>
    <xf numFmtId="0" fontId="95" fillId="5" borderId="12" xfId="1" applyFont="1" applyFill="1" applyBorder="1" applyAlignment="1">
      <alignment horizontal="center" vertical="center"/>
    </xf>
    <xf numFmtId="0" fontId="30" fillId="15" borderId="17" xfId="1" applyFont="1" applyFill="1" applyBorder="1" applyAlignment="1">
      <alignment horizontal="center" vertical="center" wrapText="1"/>
    </xf>
    <xf numFmtId="0" fontId="30" fillId="15" borderId="56" xfId="1" applyFont="1" applyFill="1" applyBorder="1" applyAlignment="1">
      <alignment horizontal="center" vertical="center" wrapText="1"/>
    </xf>
    <xf numFmtId="0" fontId="30" fillId="15" borderId="19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7" fillId="0" borderId="0" xfId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3" fillId="0" borderId="66" xfId="1" applyFont="1" applyBorder="1" applyAlignment="1">
      <alignment horizontal="center" vertical="center" wrapText="1"/>
    </xf>
    <xf numFmtId="0" fontId="4" fillId="0" borderId="63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 shrinkToFit="1"/>
    </xf>
    <xf numFmtId="0" fontId="11" fillId="0" borderId="6" xfId="1" applyFont="1" applyBorder="1" applyAlignment="1">
      <alignment horizontal="center" vertical="center" shrinkToFit="1"/>
    </xf>
    <xf numFmtId="0" fontId="12" fillId="0" borderId="3" xfId="1" applyFont="1" applyBorder="1" applyAlignment="1">
      <alignment horizontal="center" vertical="center" shrinkToFit="1"/>
    </xf>
    <xf numFmtId="0" fontId="12" fillId="0" borderId="6" xfId="1" applyFont="1" applyBorder="1" applyAlignment="1">
      <alignment horizontal="center" vertical="center" shrinkToFit="1"/>
    </xf>
    <xf numFmtId="0" fontId="30" fillId="15" borderId="13" xfId="1" applyFont="1" applyFill="1" applyBorder="1" applyAlignment="1">
      <alignment horizontal="center" vertical="center" wrapText="1"/>
    </xf>
    <xf numFmtId="0" fontId="23" fillId="0" borderId="13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4" fillId="0" borderId="30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0" fontId="4" fillId="0" borderId="26" xfId="1" applyFont="1" applyBorder="1" applyAlignment="1">
      <alignment horizontal="center" vertical="center" wrapText="1"/>
    </xf>
    <xf numFmtId="0" fontId="3" fillId="0" borderId="27" xfId="1" applyFont="1" applyBorder="1" applyAlignment="1">
      <alignment horizontal="center" vertical="center" wrapText="1"/>
    </xf>
    <xf numFmtId="0" fontId="4" fillId="0" borderId="39" xfId="1" applyFont="1" applyBorder="1" applyAlignment="1">
      <alignment horizontal="center" vertical="center" wrapText="1"/>
    </xf>
    <xf numFmtId="0" fontId="4" fillId="0" borderId="54" xfId="1" applyFont="1" applyBorder="1" applyAlignment="1">
      <alignment horizontal="center" vertical="center" wrapText="1"/>
    </xf>
    <xf numFmtId="0" fontId="6" fillId="0" borderId="63" xfId="1" applyFont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164" fontId="8" fillId="0" borderId="32" xfId="1" applyNumberFormat="1" applyFont="1" applyBorder="1" applyAlignment="1">
      <alignment horizontal="center" vertical="center"/>
    </xf>
    <xf numFmtId="0" fontId="11" fillId="0" borderId="65" xfId="1" applyFont="1" applyBorder="1" applyAlignment="1">
      <alignment horizontal="center" vertical="center"/>
    </xf>
    <xf numFmtId="0" fontId="11" fillId="0" borderId="57" xfId="1" applyFont="1" applyBorder="1" applyAlignment="1">
      <alignment horizontal="center" vertical="center"/>
    </xf>
    <xf numFmtId="0" fontId="3" fillId="0" borderId="30" xfId="1" applyFont="1" applyBorder="1" applyAlignment="1">
      <alignment horizontal="center" vertical="center" wrapText="1"/>
    </xf>
    <xf numFmtId="0" fontId="11" fillId="0" borderId="64" xfId="1" applyFont="1" applyBorder="1" applyAlignment="1">
      <alignment horizontal="center" vertical="center"/>
    </xf>
    <xf numFmtId="0" fontId="11" fillId="0" borderId="5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50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 shrinkToFit="1"/>
    </xf>
    <xf numFmtId="0" fontId="11" fillId="0" borderId="50" xfId="1" applyFont="1" applyBorder="1" applyAlignment="1">
      <alignment horizontal="center" vertical="center" shrinkToFit="1"/>
    </xf>
    <xf numFmtId="0" fontId="12" fillId="0" borderId="9" xfId="1" applyFont="1" applyBorder="1" applyAlignment="1">
      <alignment horizontal="center" vertical="center" shrinkToFit="1"/>
    </xf>
    <xf numFmtId="0" fontId="12" fillId="0" borderId="50" xfId="1" applyFont="1" applyBorder="1" applyAlignment="1">
      <alignment horizontal="center" vertical="center" shrinkToFit="1"/>
    </xf>
  </cellXfs>
  <cellStyles count="2">
    <cellStyle name="一般" xfId="0" builtinId="0"/>
    <cellStyle name="一般 2" xfId="1" xr:uid="{49B4DAFB-6DB6-4F0B-A98F-E68CAA2AC64E}"/>
  </cellStyles>
  <dxfs count="376">
    <dxf>
      <font>
        <color theme="6" tint="-0.499984740745262"/>
      </font>
    </dxf>
    <dxf>
      <font>
        <color rgb="FF0000FF"/>
      </font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FF"/>
      </font>
    </dxf>
    <dxf>
      <font>
        <color theme="0"/>
      </font>
      <fill>
        <patternFill>
          <bgColor theme="1"/>
        </patternFill>
      </fill>
    </dxf>
    <dxf>
      <font>
        <color rgb="FF0000FF"/>
      </font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rgb="FF0000FF"/>
      </font>
    </dxf>
    <dxf>
      <font>
        <color rgb="FF0000FF"/>
      </font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rgb="FF0000FF"/>
      </font>
    </dxf>
    <dxf>
      <font>
        <color theme="0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FF"/>
      </font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FF"/>
      </font>
    </dxf>
    <dxf>
      <font>
        <color theme="6" tint="-0.499984740745262"/>
      </font>
    </dxf>
    <dxf>
      <font>
        <color rgb="FF0000FF"/>
      </font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theme="6" tint="-0.499984740745262"/>
      </font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FF"/>
      </font>
    </dxf>
    <dxf>
      <font>
        <color theme="0"/>
      </font>
      <fill>
        <patternFill>
          <bgColor theme="1"/>
        </patternFill>
      </fill>
    </dxf>
    <dxf>
      <font>
        <color rgb="FF0000FF"/>
      </font>
    </dxf>
    <dxf>
      <font>
        <color rgb="FFFF0000"/>
      </font>
    </dxf>
    <dxf>
      <font>
        <color theme="6" tint="-0.499984740745262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89996032593768116"/>
        </patternFill>
      </fill>
    </dxf>
    <dxf>
      <font>
        <color theme="0"/>
      </font>
      <fill>
        <patternFill>
          <bgColor theme="1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theme="6" tint="-0.499984740745262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3" tint="0.89996032593768116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0000FF"/>
      </font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theme="6" tint="-0.499984740745262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3" tint="0.89996032593768116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0000FF"/>
      </font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FF"/>
      </font>
    </dxf>
    <dxf>
      <font>
        <color theme="6" tint="-0.499984740745262"/>
      </font>
    </dxf>
    <dxf>
      <font>
        <color rgb="FFFF0000"/>
      </font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0000FF"/>
      </font>
    </dxf>
    <dxf>
      <font>
        <color rgb="FFFF0000"/>
      </font>
    </dxf>
    <dxf>
      <font>
        <color theme="6" tint="-0.499984740745262"/>
      </font>
    </dxf>
    <dxf>
      <font>
        <color rgb="FF0000FF"/>
      </font>
    </dxf>
    <dxf>
      <font>
        <color theme="0"/>
      </font>
      <fill>
        <patternFill>
          <bgColor theme="1"/>
        </patternFill>
      </fill>
    </dxf>
    <dxf>
      <font>
        <color theme="6" tint="-0.499984740745262"/>
      </font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ont>
        <color rgb="FF0000FF"/>
      </font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FF"/>
      </font>
    </dxf>
    <dxf>
      <font>
        <color rgb="FFFF0000"/>
      </font>
    </dxf>
    <dxf>
      <font>
        <color theme="6" tint="-0.499984740745262"/>
      </font>
    </dxf>
    <dxf>
      <font>
        <color rgb="FF0000FF"/>
      </font>
    </dxf>
    <dxf>
      <font>
        <color rgb="FFFF0000"/>
      </font>
    </dxf>
    <dxf>
      <font>
        <color theme="6" tint="-0.499984740745262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theme="6" tint="-0.499984740745262"/>
      </font>
    </dxf>
    <dxf>
      <font>
        <color rgb="FF0000FF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0000FF"/>
      </font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rgb="FF0000FF"/>
      </font>
    </dxf>
    <dxf>
      <font>
        <color rgb="FFFF0000"/>
      </font>
    </dxf>
    <dxf>
      <font>
        <color theme="6" tint="-0.499984740745262"/>
      </font>
    </dxf>
    <dxf>
      <font>
        <color theme="0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rgb="FF0000FF"/>
      </font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0000FF"/>
      </font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rgb="FFFF0000"/>
      </font>
    </dxf>
    <dxf>
      <font>
        <color theme="6" tint="-0.499984740745262"/>
      </font>
    </dxf>
    <dxf>
      <font>
        <color rgb="FF0000FF"/>
      </font>
    </dxf>
    <dxf>
      <font>
        <color theme="0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FF"/>
      </font>
    </dxf>
    <dxf>
      <font>
        <color rgb="FF0000FF"/>
      </font>
    </dxf>
    <dxf>
      <font>
        <color rgb="FF0000FF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05935-F50D-41D2-B285-0F6C3E6D40C0}">
  <sheetPr>
    <pageSetUpPr fitToPage="1"/>
  </sheetPr>
  <dimension ref="A1:HR65"/>
  <sheetViews>
    <sheetView zoomScale="70" zoomScaleNormal="7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U15" sqref="U15"/>
    </sheetView>
  </sheetViews>
  <sheetFormatPr defaultColWidth="9" defaultRowHeight="24.6" customHeight="1"/>
  <cols>
    <col min="1" max="9" width="4.109375" style="77" customWidth="1"/>
    <col min="10" max="10" width="23.109375" style="6" customWidth="1"/>
    <col min="11" max="38" width="6.109375" style="6" customWidth="1"/>
    <col min="39" max="39" width="6" style="6" customWidth="1"/>
    <col min="40" max="41" width="6.109375" style="6" customWidth="1"/>
    <col min="42" max="43" width="7.88671875" style="6" customWidth="1"/>
    <col min="44" max="44" width="7.88671875" style="7" customWidth="1"/>
    <col min="45" max="45" width="5.88671875" style="6" customWidth="1"/>
    <col min="46" max="233" width="9" style="6" customWidth="1"/>
    <col min="234" max="234" width="7.109375" style="6" customWidth="1"/>
    <col min="235" max="16384" width="9" style="6"/>
  </cols>
  <sheetData>
    <row r="1" spans="1:226" ht="24.6" customHeight="1" thickBot="1">
      <c r="A1" s="1"/>
      <c r="B1" s="2" t="s">
        <v>59</v>
      </c>
      <c r="C1" s="1"/>
      <c r="D1" s="1"/>
      <c r="E1" s="1"/>
      <c r="F1" s="1"/>
      <c r="G1" s="1"/>
      <c r="H1" s="1"/>
      <c r="I1" s="3">
        <v>10</v>
      </c>
      <c r="J1" s="4"/>
      <c r="K1" s="474" t="str">
        <f>"TPKC剩餘人力："&amp;AR59&amp;" / NK剩餘人力："&amp;AS59&amp;" /  N班人力："&amp;AR53</f>
        <v>TPKC剩餘人力：0 / NK剩餘人力：0 /  N班人力：92</v>
      </c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6"/>
      <c r="AJ1" s="475"/>
      <c r="AK1" s="475"/>
      <c r="AL1" s="477"/>
      <c r="AM1" s="478"/>
      <c r="AN1" s="478"/>
      <c r="AO1" s="5"/>
      <c r="AR1" s="6"/>
      <c r="AS1" s="7"/>
    </row>
    <row r="2" spans="1:226" ht="23.25" customHeight="1" thickBot="1">
      <c r="A2" s="483">
        <v>1</v>
      </c>
      <c r="B2" s="485">
        <v>2</v>
      </c>
      <c r="C2" s="485">
        <v>3</v>
      </c>
      <c r="D2" s="487" t="s">
        <v>60</v>
      </c>
      <c r="E2" s="489" t="s">
        <v>61</v>
      </c>
      <c r="F2" s="8" t="s">
        <v>62</v>
      </c>
      <c r="G2" s="8" t="s">
        <v>63</v>
      </c>
      <c r="H2" s="8" t="s">
        <v>64</v>
      </c>
      <c r="I2" s="479" t="s">
        <v>65</v>
      </c>
      <c r="J2" s="493" t="s">
        <v>66</v>
      </c>
      <c r="K2" s="12" t="s">
        <v>67</v>
      </c>
      <c r="L2" s="13" t="s">
        <v>68</v>
      </c>
      <c r="M2" s="14" t="s">
        <v>69</v>
      </c>
      <c r="N2" s="14" t="s">
        <v>70</v>
      </c>
      <c r="O2" s="9" t="s">
        <v>71</v>
      </c>
      <c r="P2" s="9" t="s">
        <v>72</v>
      </c>
      <c r="Q2" s="9" t="s">
        <v>73</v>
      </c>
      <c r="R2" s="9" t="s">
        <v>67</v>
      </c>
      <c r="S2" s="10" t="s">
        <v>68</v>
      </c>
      <c r="T2" s="11" t="s">
        <v>69</v>
      </c>
      <c r="U2" s="11" t="s">
        <v>70</v>
      </c>
      <c r="V2" s="12" t="s">
        <v>71</v>
      </c>
      <c r="W2" s="12" t="s">
        <v>72</v>
      </c>
      <c r="X2" s="12" t="s">
        <v>73</v>
      </c>
      <c r="Y2" s="12" t="s">
        <v>67</v>
      </c>
      <c r="Z2" s="13" t="s">
        <v>68</v>
      </c>
      <c r="AA2" s="14" t="s">
        <v>69</v>
      </c>
      <c r="AB2" s="14" t="s">
        <v>70</v>
      </c>
      <c r="AC2" s="9" t="s">
        <v>71</v>
      </c>
      <c r="AD2" s="9" t="s">
        <v>72</v>
      </c>
      <c r="AE2" s="9" t="s">
        <v>73</v>
      </c>
      <c r="AF2" s="9" t="s">
        <v>67</v>
      </c>
      <c r="AG2" s="10" t="s">
        <v>68</v>
      </c>
      <c r="AH2" s="11" t="s">
        <v>69</v>
      </c>
      <c r="AI2" s="11" t="s">
        <v>70</v>
      </c>
      <c r="AJ2" s="12" t="s">
        <v>71</v>
      </c>
      <c r="AK2" s="12" t="s">
        <v>72</v>
      </c>
      <c r="AL2" s="12" t="s">
        <v>73</v>
      </c>
      <c r="AM2" s="12" t="s">
        <v>67</v>
      </c>
      <c r="AN2" s="13" t="s">
        <v>68</v>
      </c>
      <c r="AO2" s="14" t="s">
        <v>69</v>
      </c>
      <c r="AR2" s="6"/>
      <c r="AV2" s="491" t="s">
        <v>48</v>
      </c>
      <c r="AW2" s="492"/>
      <c r="AX2" s="492"/>
    </row>
    <row r="3" spans="1:226" ht="24.6" customHeight="1" thickBot="1">
      <c r="A3" s="484"/>
      <c r="B3" s="486"/>
      <c r="C3" s="486"/>
      <c r="D3" s="488"/>
      <c r="E3" s="490"/>
      <c r="F3" s="15" t="s">
        <v>74</v>
      </c>
      <c r="G3" s="15" t="s">
        <v>75</v>
      </c>
      <c r="H3" s="16" t="s">
        <v>76</v>
      </c>
      <c r="I3" s="480"/>
      <c r="J3" s="494"/>
      <c r="K3" s="144">
        <v>1</v>
      </c>
      <c r="L3" s="17">
        <v>2</v>
      </c>
      <c r="M3" s="18">
        <v>3</v>
      </c>
      <c r="N3" s="18">
        <v>4</v>
      </c>
      <c r="O3" s="17">
        <v>5</v>
      </c>
      <c r="P3" s="17">
        <v>6</v>
      </c>
      <c r="Q3" s="17">
        <v>7</v>
      </c>
      <c r="R3" s="17">
        <v>8</v>
      </c>
      <c r="S3" s="17">
        <v>9</v>
      </c>
      <c r="T3" s="18">
        <v>10</v>
      </c>
      <c r="U3" s="18">
        <v>11</v>
      </c>
      <c r="V3" s="17">
        <v>12</v>
      </c>
      <c r="W3" s="17">
        <v>13</v>
      </c>
      <c r="X3" s="17">
        <v>14</v>
      </c>
      <c r="Y3" s="17">
        <v>15</v>
      </c>
      <c r="Z3" s="17">
        <v>16</v>
      </c>
      <c r="AA3" s="18">
        <v>17</v>
      </c>
      <c r="AB3" s="18">
        <v>18</v>
      </c>
      <c r="AC3" s="17">
        <v>19</v>
      </c>
      <c r="AD3" s="17">
        <v>20</v>
      </c>
      <c r="AE3" s="17">
        <v>21</v>
      </c>
      <c r="AF3" s="17">
        <v>22</v>
      </c>
      <c r="AG3" s="17">
        <v>23</v>
      </c>
      <c r="AH3" s="18">
        <v>24</v>
      </c>
      <c r="AI3" s="18">
        <v>25</v>
      </c>
      <c r="AJ3" s="17">
        <v>26</v>
      </c>
      <c r="AK3" s="17">
        <v>27</v>
      </c>
      <c r="AL3" s="17">
        <v>28</v>
      </c>
      <c r="AM3" s="17">
        <v>29</v>
      </c>
      <c r="AN3" s="17">
        <v>30</v>
      </c>
      <c r="AO3" s="132">
        <v>31</v>
      </c>
      <c r="AP3" s="19" t="s">
        <v>77</v>
      </c>
      <c r="AQ3" s="19" t="s">
        <v>78</v>
      </c>
      <c r="AR3" s="20" t="s">
        <v>79</v>
      </c>
      <c r="AS3" s="21" t="s">
        <v>65</v>
      </c>
      <c r="AT3" s="22" t="s">
        <v>80</v>
      </c>
      <c r="AV3" s="117" t="s">
        <v>49</v>
      </c>
      <c r="AW3" s="117" t="s">
        <v>50</v>
      </c>
      <c r="AX3" s="117" t="s">
        <v>51</v>
      </c>
    </row>
    <row r="4" spans="1:226" ht="25.5" customHeight="1">
      <c r="A4" s="23">
        <f>COUNTIF(K4:AO4,1)+COUNTIF(K4:AO4,"早")+COUNTIF(K4:AO4,"M1")+COUNTIF(K4:AO4,"T早")+COUNTIF(K4:AO4,"日")</f>
        <v>0</v>
      </c>
      <c r="B4" s="24">
        <f>COUNTIF(K4:AO4,2)+COUNTIF(K4:AO4,"中")+COUNTIF(K4:AO4,"M2")+COUNTIF(K4:AO4,"T中")+COUNTIF(K4:AO4,"小夜")</f>
        <v>0</v>
      </c>
      <c r="C4" s="25">
        <f>COUNTIF(K4:AO4,3)+COUNTIF(K4:AO4,"晚")+COUNTIF(K4:AO4,"大夜")</f>
        <v>20</v>
      </c>
      <c r="D4" s="24">
        <f>COUNTIF(K4:AO4,"N")+COUNTIF(K4:AO4,"N8")</f>
        <v>0</v>
      </c>
      <c r="E4" s="26">
        <f>COUNTIF(K4:AO4,"S")</f>
        <v>1</v>
      </c>
      <c r="F4" s="26">
        <f>COUNTIF(K4:AO4,"X")</f>
        <v>4</v>
      </c>
      <c r="G4" s="26">
        <f>COUNTIF(K4:AO4,"Y")</f>
        <v>5</v>
      </c>
      <c r="H4" s="26">
        <f>COUNTIF(K4:AO4,"Z")</f>
        <v>1</v>
      </c>
      <c r="I4" s="27">
        <f t="shared" ref="I4:I40" si="0">SUM(A4:H4)</f>
        <v>31</v>
      </c>
      <c r="J4" s="141" t="s">
        <v>81</v>
      </c>
      <c r="K4" s="118">
        <v>3</v>
      </c>
      <c r="L4" s="118">
        <v>3</v>
      </c>
      <c r="M4" s="29" t="s">
        <v>0</v>
      </c>
      <c r="N4" s="118">
        <v>3</v>
      </c>
      <c r="O4" s="118">
        <v>3</v>
      </c>
      <c r="P4" s="118">
        <v>3</v>
      </c>
      <c r="Q4" s="118">
        <v>3</v>
      </c>
      <c r="R4" s="118" t="s">
        <v>40</v>
      </c>
      <c r="S4" s="118" t="s">
        <v>40</v>
      </c>
      <c r="T4" s="31" t="s">
        <v>52</v>
      </c>
      <c r="U4" s="31" t="s">
        <v>0</v>
      </c>
      <c r="V4" s="118">
        <v>3</v>
      </c>
      <c r="W4" s="118">
        <v>3</v>
      </c>
      <c r="X4" s="118">
        <v>3</v>
      </c>
      <c r="Y4" s="118">
        <v>3</v>
      </c>
      <c r="Z4" s="118">
        <v>3</v>
      </c>
      <c r="AA4" s="29" t="s">
        <v>52</v>
      </c>
      <c r="AB4" s="29" t="s">
        <v>52</v>
      </c>
      <c r="AC4" s="121">
        <v>3</v>
      </c>
      <c r="AD4" s="118">
        <v>3</v>
      </c>
      <c r="AE4" s="29" t="s">
        <v>40</v>
      </c>
      <c r="AF4" s="29" t="s">
        <v>40</v>
      </c>
      <c r="AG4" s="33" t="s">
        <v>52</v>
      </c>
      <c r="AH4" s="31" t="s">
        <v>53</v>
      </c>
      <c r="AI4" s="31" t="s">
        <v>0</v>
      </c>
      <c r="AJ4" s="33" t="s">
        <v>1</v>
      </c>
      <c r="AK4" s="29" t="s">
        <v>0</v>
      </c>
      <c r="AL4" s="29" t="s">
        <v>52</v>
      </c>
      <c r="AM4" s="118" t="s">
        <v>40</v>
      </c>
      <c r="AN4" s="118">
        <v>3</v>
      </c>
      <c r="AO4" s="119">
        <v>3</v>
      </c>
      <c r="AP4" s="35">
        <v>0</v>
      </c>
      <c r="AQ4" s="36">
        <f t="shared" ref="AQ4:AQ46" si="1">$F4+$G4+H4-$I$1</f>
        <v>0</v>
      </c>
      <c r="AR4" s="36">
        <v>0</v>
      </c>
      <c r="AS4" s="133">
        <f>SUM(AP4:AR4)</f>
        <v>0</v>
      </c>
      <c r="AT4" s="138" t="s">
        <v>83</v>
      </c>
      <c r="AV4" s="6" cm="2">
        <f t="array" ref="AV4">SUMPRODUCT(COUNTIF(M4:N4,{"X";"Y";"Z";"S"}))+SUMPRODUCT(COUNTIF(T4:U4,{"X";"Y";"Z";"S"}))+SUMPRODUCT(COUNTIF(AA4:AB4,{"X";"Y";"Z";"S"}))+SUMPRODUCT(COUNTIF(AH4:AI4,{"X";"Y";"Z";"S"}))+SUMPRODUCT(COUNTIF(AO4,{"X";"Y";"Z";"S"}))-5</f>
        <v>2</v>
      </c>
      <c r="AW4" s="6">
        <v>0</v>
      </c>
      <c r="AX4" s="6">
        <f t="shared" ref="AX4" si="2">AV4+AW4</f>
        <v>2</v>
      </c>
    </row>
    <row r="5" spans="1:226" ht="25.5" customHeight="1">
      <c r="A5" s="38">
        <f t="shared" ref="A5:A40" si="3">COUNTIF(K5:AO5,1)+COUNTIF(K5:AO5,"早")+COUNTIF(K5:AO5,"M1")+COUNTIF(K5:AO5,"T早")+COUNTIF(K5:AO5,"日")</f>
        <v>2</v>
      </c>
      <c r="B5" s="39">
        <f t="shared" ref="B5:B40" si="4">COUNTIF(K5:AO5,2)+COUNTIF(K5:AO5,"中")+COUNTIF(K5:AO5,"M2")+COUNTIF(K5:AO5,"T中")+COUNTIF(K5:AO5,"小夜")</f>
        <v>9</v>
      </c>
      <c r="C5" s="40">
        <f t="shared" ref="C5:C40" si="5">COUNTIF(K5:AO5,3)+COUNTIF(K5:AO5,"晚")+COUNTIF(K5:AO5,"大夜")</f>
        <v>7</v>
      </c>
      <c r="D5" s="39">
        <f t="shared" ref="D5:D40" si="6">COUNTIF(K5:AO5,"N")+COUNTIF(K5:AO5,"N8")</f>
        <v>2</v>
      </c>
      <c r="E5" s="41">
        <f t="shared" ref="E5:E40" si="7">COUNTIF(K5:AO5,"S")</f>
        <v>1</v>
      </c>
      <c r="F5" s="41">
        <f t="shared" ref="F5:F40" si="8">COUNTIF(K5:AO5,"X")</f>
        <v>4</v>
      </c>
      <c r="G5" s="41">
        <f t="shared" ref="G5:G40" si="9">COUNTIF(K5:AO5,"Y")</f>
        <v>5</v>
      </c>
      <c r="H5" s="41">
        <f t="shared" ref="H5:H40" si="10">COUNTIF(K5:AO5,"Z")</f>
        <v>1</v>
      </c>
      <c r="I5" s="42">
        <f t="shared" si="0"/>
        <v>31</v>
      </c>
      <c r="J5" s="43" t="s">
        <v>2</v>
      </c>
      <c r="K5" s="32" t="s">
        <v>52</v>
      </c>
      <c r="L5" s="32" t="s">
        <v>1</v>
      </c>
      <c r="M5" s="30" t="s">
        <v>36</v>
      </c>
      <c r="N5" s="30">
        <v>2</v>
      </c>
      <c r="O5" s="30">
        <v>2</v>
      </c>
      <c r="P5" s="30">
        <v>2</v>
      </c>
      <c r="Q5" s="30">
        <v>2</v>
      </c>
      <c r="R5" s="30" t="s">
        <v>0</v>
      </c>
      <c r="S5" s="53" t="s">
        <v>3</v>
      </c>
      <c r="T5" s="44" t="s">
        <v>52</v>
      </c>
      <c r="U5" s="44" t="s">
        <v>53</v>
      </c>
      <c r="V5" s="30" t="s">
        <v>3</v>
      </c>
      <c r="W5" s="121">
        <v>2</v>
      </c>
      <c r="X5" s="121">
        <v>2</v>
      </c>
      <c r="Y5" s="121">
        <v>2</v>
      </c>
      <c r="Z5" s="32" t="s">
        <v>0</v>
      </c>
      <c r="AA5" s="121">
        <v>3</v>
      </c>
      <c r="AB5" s="121">
        <v>3</v>
      </c>
      <c r="AC5" s="30" t="s">
        <v>0</v>
      </c>
      <c r="AD5" s="30" t="s">
        <v>36</v>
      </c>
      <c r="AE5" s="30">
        <v>2</v>
      </c>
      <c r="AF5" s="30">
        <v>2</v>
      </c>
      <c r="AG5" s="32" t="s">
        <v>52</v>
      </c>
      <c r="AH5" s="120">
        <v>3</v>
      </c>
      <c r="AI5" s="120">
        <v>3</v>
      </c>
      <c r="AJ5" s="121" t="s">
        <v>40</v>
      </c>
      <c r="AK5" s="121" t="s">
        <v>40</v>
      </c>
      <c r="AL5" s="121">
        <v>3</v>
      </c>
      <c r="AM5" s="30" t="s">
        <v>52</v>
      </c>
      <c r="AN5" s="32" t="s">
        <v>0</v>
      </c>
      <c r="AO5" s="123" t="s">
        <v>52</v>
      </c>
      <c r="AP5" s="45">
        <v>0</v>
      </c>
      <c r="AQ5" s="46">
        <f t="shared" si="1"/>
        <v>0</v>
      </c>
      <c r="AR5" s="46">
        <v>0</v>
      </c>
      <c r="AS5" s="134">
        <f t="shared" ref="AS5:AS46" si="11">SUM(AP5:AR5)</f>
        <v>0</v>
      </c>
      <c r="AT5" s="139" t="s">
        <v>84</v>
      </c>
    </row>
    <row r="6" spans="1:226" ht="25.5" customHeight="1">
      <c r="A6" s="38">
        <f t="shared" si="3"/>
        <v>7</v>
      </c>
      <c r="B6" s="39">
        <f t="shared" si="4"/>
        <v>1</v>
      </c>
      <c r="C6" s="40">
        <f t="shared" si="5"/>
        <v>0</v>
      </c>
      <c r="D6" s="39">
        <f t="shared" si="6"/>
        <v>13</v>
      </c>
      <c r="E6" s="41">
        <f t="shared" si="7"/>
        <v>0</v>
      </c>
      <c r="F6" s="41">
        <f t="shared" si="8"/>
        <v>4</v>
      </c>
      <c r="G6" s="41">
        <f t="shared" si="9"/>
        <v>5</v>
      </c>
      <c r="H6" s="41">
        <f t="shared" si="10"/>
        <v>1</v>
      </c>
      <c r="I6" s="42">
        <f t="shared" si="0"/>
        <v>31</v>
      </c>
      <c r="J6" s="47" t="s">
        <v>85</v>
      </c>
      <c r="K6" s="32" t="s">
        <v>52</v>
      </c>
      <c r="L6" s="30" t="s">
        <v>3</v>
      </c>
      <c r="M6" s="44" t="s">
        <v>52</v>
      </c>
      <c r="N6" s="44" t="s">
        <v>53</v>
      </c>
      <c r="O6" s="30" t="s">
        <v>3</v>
      </c>
      <c r="P6" s="30" t="s">
        <v>3</v>
      </c>
      <c r="Q6" s="30" t="s">
        <v>0</v>
      </c>
      <c r="R6" s="30" t="s">
        <v>36</v>
      </c>
      <c r="S6" s="53" t="s">
        <v>3</v>
      </c>
      <c r="T6" s="30" t="s">
        <v>36</v>
      </c>
      <c r="U6" s="30" t="s">
        <v>36</v>
      </c>
      <c r="V6" s="30" t="s">
        <v>52</v>
      </c>
      <c r="W6" s="30" t="s">
        <v>3</v>
      </c>
      <c r="X6" s="41" t="s">
        <v>0</v>
      </c>
      <c r="Y6" s="53" t="s">
        <v>3</v>
      </c>
      <c r="Z6" s="120">
        <v>1</v>
      </c>
      <c r="AA6" s="44" t="s">
        <v>52</v>
      </c>
      <c r="AB6" s="44" t="s">
        <v>0</v>
      </c>
      <c r="AC6" s="53" t="s">
        <v>3</v>
      </c>
      <c r="AD6" s="53" t="s">
        <v>3</v>
      </c>
      <c r="AE6" s="53" t="s">
        <v>3</v>
      </c>
      <c r="AF6" s="30" t="s">
        <v>3</v>
      </c>
      <c r="AG6" s="30" t="s">
        <v>3</v>
      </c>
      <c r="AH6" s="121">
        <v>2</v>
      </c>
      <c r="AI6" s="41" t="s">
        <v>0</v>
      </c>
      <c r="AJ6" s="121">
        <v>1</v>
      </c>
      <c r="AK6" s="53" t="s">
        <v>3</v>
      </c>
      <c r="AL6" s="41">
        <v>1</v>
      </c>
      <c r="AM6" s="41">
        <v>1</v>
      </c>
      <c r="AN6" s="30" t="s">
        <v>41</v>
      </c>
      <c r="AO6" s="123" t="s">
        <v>52</v>
      </c>
      <c r="AP6" s="45">
        <v>0</v>
      </c>
      <c r="AQ6" s="46">
        <f t="shared" si="1"/>
        <v>0</v>
      </c>
      <c r="AR6" s="46">
        <v>0</v>
      </c>
      <c r="AS6" s="134">
        <f t="shared" si="11"/>
        <v>0</v>
      </c>
      <c r="AT6" s="139" t="s">
        <v>84</v>
      </c>
      <c r="AV6" s="6" cm="2">
        <f t="array" ref="AV6">SUMPRODUCT(COUNTIF(M6:N6,{"X";"Y";"Z";"S"}))+SUMPRODUCT(COUNTIF(T6:U6,{"X";"Y";"Z";"S"}))+SUMPRODUCT(COUNTIF(AA6:AB6,{"X";"Y";"Z";"S"}))+SUMPRODUCT(COUNTIF(AH6:AI6,{"X";"Y";"Z";"S"}))+SUMPRODUCT(COUNTIF(AO6,{"X";"Y";"Z";"S"}))-5</f>
        <v>1</v>
      </c>
      <c r="AW6" s="6">
        <v>0</v>
      </c>
      <c r="AX6" s="6">
        <f t="shared" ref="AX6:AX7" si="12">AV6+AW6</f>
        <v>1</v>
      </c>
    </row>
    <row r="7" spans="1:226" ht="25.5" customHeight="1">
      <c r="A7" s="38">
        <f t="shared" si="3"/>
        <v>17</v>
      </c>
      <c r="B7" s="39">
        <f t="shared" si="4"/>
        <v>1</v>
      </c>
      <c r="C7" s="40">
        <f t="shared" si="5"/>
        <v>0</v>
      </c>
      <c r="D7" s="39">
        <f t="shared" si="6"/>
        <v>2</v>
      </c>
      <c r="E7" s="41">
        <f t="shared" si="7"/>
        <v>1</v>
      </c>
      <c r="F7" s="41">
        <f t="shared" si="8"/>
        <v>4</v>
      </c>
      <c r="G7" s="41">
        <f t="shared" si="9"/>
        <v>5</v>
      </c>
      <c r="H7" s="41">
        <f t="shared" si="10"/>
        <v>1</v>
      </c>
      <c r="I7" s="42">
        <f t="shared" si="0"/>
        <v>31</v>
      </c>
      <c r="J7" s="47" t="s">
        <v>87</v>
      </c>
      <c r="K7" s="121">
        <v>1</v>
      </c>
      <c r="L7" s="30" t="s">
        <v>36</v>
      </c>
      <c r="M7" s="44" t="s">
        <v>52</v>
      </c>
      <c r="N7" s="44" t="s">
        <v>53</v>
      </c>
      <c r="O7" s="30" t="s">
        <v>3</v>
      </c>
      <c r="P7" s="30">
        <v>1</v>
      </c>
      <c r="Q7" s="30" t="s">
        <v>52</v>
      </c>
      <c r="R7" s="30" t="s">
        <v>36</v>
      </c>
      <c r="S7" s="30" t="s">
        <v>36</v>
      </c>
      <c r="T7" s="120">
        <v>1</v>
      </c>
      <c r="U7" s="41" t="s">
        <v>0</v>
      </c>
      <c r="V7" s="30" t="s">
        <v>3</v>
      </c>
      <c r="W7" s="41">
        <v>1</v>
      </c>
      <c r="X7" s="120">
        <v>1</v>
      </c>
      <c r="Y7" s="30" t="s">
        <v>36</v>
      </c>
      <c r="Z7" s="30" t="s">
        <v>36</v>
      </c>
      <c r="AA7" s="44" t="s">
        <v>52</v>
      </c>
      <c r="AB7" s="44" t="s">
        <v>0</v>
      </c>
      <c r="AC7" s="41" t="s">
        <v>0</v>
      </c>
      <c r="AD7" s="32" t="s">
        <v>1</v>
      </c>
      <c r="AE7" s="121">
        <v>1</v>
      </c>
      <c r="AF7" s="41">
        <v>1</v>
      </c>
      <c r="AG7" s="121">
        <v>1</v>
      </c>
      <c r="AH7" s="30" t="s">
        <v>52</v>
      </c>
      <c r="AI7" s="120">
        <v>2</v>
      </c>
      <c r="AJ7" s="41" t="s">
        <v>0</v>
      </c>
      <c r="AK7" s="121" t="s">
        <v>36</v>
      </c>
      <c r="AL7" s="121" t="s">
        <v>36</v>
      </c>
      <c r="AM7" s="30" t="s">
        <v>36</v>
      </c>
      <c r="AN7" s="30" t="s">
        <v>36</v>
      </c>
      <c r="AO7" s="123" t="s">
        <v>52</v>
      </c>
      <c r="AP7" s="45">
        <v>0</v>
      </c>
      <c r="AQ7" s="46">
        <f t="shared" si="1"/>
        <v>0</v>
      </c>
      <c r="AR7" s="46">
        <v>0</v>
      </c>
      <c r="AS7" s="134">
        <f t="shared" si="11"/>
        <v>0</v>
      </c>
      <c r="AT7" s="139" t="s">
        <v>84</v>
      </c>
      <c r="AV7" s="6" cm="2">
        <f t="array" ref="AV7">SUMPRODUCT(COUNTIF(M7:N7,{"X";"Y";"Z";"S"}))+SUMPRODUCT(COUNTIF(T7:U7,{"X";"Y";"Z";"S"}))+SUMPRODUCT(COUNTIF(AA7:AB7,{"X";"Y";"Z";"S"}))+SUMPRODUCT(COUNTIF(AH7:AI7,{"X";"Y";"Z";"S"}))+SUMPRODUCT(COUNTIF(AO7,{"X";"Y";"Z";"S"}))-5</f>
        <v>2</v>
      </c>
      <c r="AW7" s="6">
        <v>0</v>
      </c>
      <c r="AX7" s="6">
        <f t="shared" si="12"/>
        <v>2</v>
      </c>
    </row>
    <row r="8" spans="1:226" ht="24" customHeight="1">
      <c r="A8" s="38">
        <f t="shared" si="3"/>
        <v>2</v>
      </c>
      <c r="B8" s="39">
        <f t="shared" si="4"/>
        <v>0</v>
      </c>
      <c r="C8" s="40">
        <f t="shared" si="5"/>
        <v>0</v>
      </c>
      <c r="D8" s="39">
        <f t="shared" si="6"/>
        <v>16</v>
      </c>
      <c r="E8" s="41">
        <f t="shared" si="7"/>
        <v>3</v>
      </c>
      <c r="F8" s="41">
        <f t="shared" si="8"/>
        <v>4</v>
      </c>
      <c r="G8" s="41">
        <f t="shared" si="9"/>
        <v>5</v>
      </c>
      <c r="H8" s="41">
        <f t="shared" si="10"/>
        <v>1</v>
      </c>
      <c r="I8" s="42">
        <f t="shared" si="0"/>
        <v>31</v>
      </c>
      <c r="J8" s="47" t="s">
        <v>88</v>
      </c>
      <c r="K8" s="44" t="s">
        <v>0</v>
      </c>
      <c r="L8" s="32" t="s">
        <v>1</v>
      </c>
      <c r="M8" s="44" t="s">
        <v>52</v>
      </c>
      <c r="N8" s="44" t="s">
        <v>53</v>
      </c>
      <c r="O8" s="30" t="s">
        <v>3</v>
      </c>
      <c r="P8" s="30" t="s">
        <v>3</v>
      </c>
      <c r="Q8" s="30" t="s">
        <v>3</v>
      </c>
      <c r="R8" s="30" t="s">
        <v>3</v>
      </c>
      <c r="S8" s="121">
        <v>1</v>
      </c>
      <c r="T8" s="44" t="s">
        <v>52</v>
      </c>
      <c r="U8" s="44" t="s">
        <v>0</v>
      </c>
      <c r="V8" s="30" t="s">
        <v>3</v>
      </c>
      <c r="W8" s="30" t="s">
        <v>3</v>
      </c>
      <c r="X8" s="30" t="s">
        <v>3</v>
      </c>
      <c r="Y8" s="30" t="s">
        <v>3</v>
      </c>
      <c r="Z8" s="30" t="s">
        <v>3</v>
      </c>
      <c r="AA8" s="44" t="s">
        <v>52</v>
      </c>
      <c r="AB8" s="44" t="s">
        <v>0</v>
      </c>
      <c r="AC8" s="30" t="s">
        <v>3</v>
      </c>
      <c r="AD8" s="30" t="s">
        <v>3</v>
      </c>
      <c r="AE8" s="30" t="s">
        <v>3</v>
      </c>
      <c r="AF8" s="30" t="s">
        <v>3</v>
      </c>
      <c r="AG8" s="30" t="s">
        <v>3</v>
      </c>
      <c r="AH8" s="44" t="s">
        <v>52</v>
      </c>
      <c r="AI8" s="44" t="s">
        <v>0</v>
      </c>
      <c r="AJ8" s="32" t="s">
        <v>86</v>
      </c>
      <c r="AK8" s="41">
        <v>1</v>
      </c>
      <c r="AL8" s="30" t="s">
        <v>3</v>
      </c>
      <c r="AM8" s="32" t="s">
        <v>86</v>
      </c>
      <c r="AN8" s="30" t="s">
        <v>3</v>
      </c>
      <c r="AO8" s="123" t="s">
        <v>52</v>
      </c>
      <c r="AP8" s="45">
        <v>0</v>
      </c>
      <c r="AQ8" s="46">
        <f t="shared" si="1"/>
        <v>0</v>
      </c>
      <c r="AR8" s="46">
        <v>0</v>
      </c>
      <c r="AS8" s="134">
        <f t="shared" si="11"/>
        <v>0</v>
      </c>
      <c r="AT8" s="139" t="s">
        <v>89</v>
      </c>
    </row>
    <row r="9" spans="1:226" s="50" customFormat="1" ht="24.75" customHeight="1">
      <c r="A9" s="38">
        <f t="shared" si="3"/>
        <v>18</v>
      </c>
      <c r="B9" s="39">
        <f t="shared" si="4"/>
        <v>0</v>
      </c>
      <c r="C9" s="40">
        <f t="shared" si="5"/>
        <v>0</v>
      </c>
      <c r="D9" s="39">
        <f t="shared" si="6"/>
        <v>1</v>
      </c>
      <c r="E9" s="41">
        <f t="shared" si="7"/>
        <v>2</v>
      </c>
      <c r="F9" s="41">
        <f t="shared" si="8"/>
        <v>4</v>
      </c>
      <c r="G9" s="41">
        <f t="shared" si="9"/>
        <v>5</v>
      </c>
      <c r="H9" s="41">
        <f t="shared" si="10"/>
        <v>1</v>
      </c>
      <c r="I9" s="42">
        <f t="shared" si="0"/>
        <v>31</v>
      </c>
      <c r="J9" s="47" t="s">
        <v>4</v>
      </c>
      <c r="K9" s="32" t="s">
        <v>1</v>
      </c>
      <c r="L9" s="30" t="s">
        <v>36</v>
      </c>
      <c r="M9" s="44" t="s">
        <v>52</v>
      </c>
      <c r="N9" s="44" t="s">
        <v>53</v>
      </c>
      <c r="O9" s="30" t="s">
        <v>36</v>
      </c>
      <c r="P9" s="30" t="s">
        <v>36</v>
      </c>
      <c r="Q9" s="30" t="s">
        <v>3</v>
      </c>
      <c r="R9" s="124" t="s">
        <v>5</v>
      </c>
      <c r="S9" s="32" t="s">
        <v>52</v>
      </c>
      <c r="T9" s="30" t="s">
        <v>36</v>
      </c>
      <c r="U9" s="120">
        <v>1</v>
      </c>
      <c r="V9" s="120">
        <v>1</v>
      </c>
      <c r="W9" s="41" t="s">
        <v>0</v>
      </c>
      <c r="X9" s="41">
        <v>1</v>
      </c>
      <c r="Y9" s="32" t="s">
        <v>86</v>
      </c>
      <c r="Z9" s="30" t="s">
        <v>36</v>
      </c>
      <c r="AA9" s="44" t="s">
        <v>52</v>
      </c>
      <c r="AB9" s="44" t="s">
        <v>0</v>
      </c>
      <c r="AC9" s="30" t="s">
        <v>36</v>
      </c>
      <c r="AD9" s="30" t="s">
        <v>36</v>
      </c>
      <c r="AE9" s="30" t="s">
        <v>36</v>
      </c>
      <c r="AF9" s="30" t="s">
        <v>36</v>
      </c>
      <c r="AG9" s="30" t="s">
        <v>36</v>
      </c>
      <c r="AH9" s="44" t="s">
        <v>52</v>
      </c>
      <c r="AI9" s="44" t="s">
        <v>0</v>
      </c>
      <c r="AJ9" s="41" t="s">
        <v>0</v>
      </c>
      <c r="AK9" s="41" t="s">
        <v>52</v>
      </c>
      <c r="AL9" s="121">
        <v>1</v>
      </c>
      <c r="AM9" s="41">
        <v>1</v>
      </c>
      <c r="AN9" s="121">
        <v>1</v>
      </c>
      <c r="AO9" s="41">
        <v>1</v>
      </c>
      <c r="AP9" s="45">
        <v>0</v>
      </c>
      <c r="AQ9" s="46">
        <f t="shared" si="1"/>
        <v>0</v>
      </c>
      <c r="AR9" s="46">
        <v>0</v>
      </c>
      <c r="AS9" s="134">
        <f t="shared" si="11"/>
        <v>0</v>
      </c>
      <c r="AT9" s="139" t="s">
        <v>83</v>
      </c>
      <c r="AU9" s="6"/>
      <c r="AV9" s="6" cm="2">
        <f t="array" ref="AV9">SUMPRODUCT(COUNTIF(M9:N9,{"X";"Y";"Z";"S"}))+SUMPRODUCT(COUNTIF(T9:U9,{"X";"Y";"Z";"S"}))+SUMPRODUCT(COUNTIF(AA9:AB9,{"X";"Y";"Z";"S"}))+SUMPRODUCT(COUNTIF(AH9:AI9,{"X";"Y";"Z";"S"}))+SUMPRODUCT(COUNTIF(AO9,{"X";"Y";"Z";"S"}))-5</f>
        <v>1</v>
      </c>
      <c r="AW9" s="6">
        <v>0</v>
      </c>
      <c r="AX9" s="6">
        <f t="shared" ref="AX9:AX13" si="13">AV9+AW9</f>
        <v>1</v>
      </c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1:226" s="50" customFormat="1" ht="24" customHeight="1">
      <c r="A10" s="38">
        <f t="shared" si="3"/>
        <v>17</v>
      </c>
      <c r="B10" s="39">
        <f t="shared" si="4"/>
        <v>2</v>
      </c>
      <c r="C10" s="40">
        <f t="shared" si="5"/>
        <v>0</v>
      </c>
      <c r="D10" s="39">
        <f t="shared" si="6"/>
        <v>2</v>
      </c>
      <c r="E10" s="41">
        <f t="shared" si="7"/>
        <v>0</v>
      </c>
      <c r="F10" s="41">
        <f t="shared" si="8"/>
        <v>4</v>
      </c>
      <c r="G10" s="41">
        <f t="shared" si="9"/>
        <v>5</v>
      </c>
      <c r="H10" s="41">
        <f t="shared" si="10"/>
        <v>1</v>
      </c>
      <c r="I10" s="42">
        <f t="shared" si="0"/>
        <v>31</v>
      </c>
      <c r="J10" s="51" t="s">
        <v>90</v>
      </c>
      <c r="K10" s="170" t="s">
        <v>0</v>
      </c>
      <c r="L10" s="30" t="s">
        <v>36</v>
      </c>
      <c r="M10" s="44" t="s">
        <v>52</v>
      </c>
      <c r="N10" s="44" t="s">
        <v>53</v>
      </c>
      <c r="O10" s="30" t="s">
        <v>36</v>
      </c>
      <c r="P10" s="30" t="s">
        <v>36</v>
      </c>
      <c r="Q10" s="30" t="s">
        <v>36</v>
      </c>
      <c r="R10" s="121">
        <v>2</v>
      </c>
      <c r="S10" s="121">
        <v>2</v>
      </c>
      <c r="T10" s="30" t="s">
        <v>52</v>
      </c>
      <c r="U10" s="30" t="s">
        <v>36</v>
      </c>
      <c r="V10" s="30" t="s">
        <v>36</v>
      </c>
      <c r="W10" s="30" t="s">
        <v>3</v>
      </c>
      <c r="X10" s="30" t="s">
        <v>36</v>
      </c>
      <c r="Y10" s="30" t="s">
        <v>36</v>
      </c>
      <c r="Z10" s="32" t="s">
        <v>0</v>
      </c>
      <c r="AA10" s="44" t="s">
        <v>52</v>
      </c>
      <c r="AB10" s="44" t="s">
        <v>0</v>
      </c>
      <c r="AC10" s="121" t="s">
        <v>36</v>
      </c>
      <c r="AD10" s="121" t="s">
        <v>36</v>
      </c>
      <c r="AE10" s="121" t="s">
        <v>36</v>
      </c>
      <c r="AF10" s="41" t="s">
        <v>52</v>
      </c>
      <c r="AG10" s="30" t="s">
        <v>3</v>
      </c>
      <c r="AH10" s="121" t="s">
        <v>36</v>
      </c>
      <c r="AI10" s="30" t="s">
        <v>36</v>
      </c>
      <c r="AJ10" s="121" t="s">
        <v>36</v>
      </c>
      <c r="AK10" s="41" t="s">
        <v>0</v>
      </c>
      <c r="AL10" s="30" t="s">
        <v>36</v>
      </c>
      <c r="AM10" s="30" t="s">
        <v>36</v>
      </c>
      <c r="AN10" s="30" t="s">
        <v>36</v>
      </c>
      <c r="AO10" s="123" t="s">
        <v>52</v>
      </c>
      <c r="AP10" s="45">
        <v>0</v>
      </c>
      <c r="AQ10" s="46">
        <f t="shared" si="1"/>
        <v>0</v>
      </c>
      <c r="AR10" s="46">
        <v>0</v>
      </c>
      <c r="AS10" s="134">
        <f t="shared" si="11"/>
        <v>0</v>
      </c>
      <c r="AT10" s="139" t="s">
        <v>84</v>
      </c>
      <c r="AU10" s="6"/>
      <c r="AV10" s="6" cm="2">
        <f t="array" ref="AV10">SUMPRODUCT(COUNTIF(M10:N10,{"X";"Y";"Z";"S"}))+SUMPRODUCT(COUNTIF(T10:U10,{"X";"Y";"Z";"S"}))+SUMPRODUCT(COUNTIF(AA10:AB10,{"X";"Y";"Z";"S"}))+SUMPRODUCT(COUNTIF(AH10:AI10,{"X";"Y";"Z";"S"}))+SUMPRODUCT(COUNTIF(AO10,{"X";"Y";"Z";"S"}))-5</f>
        <v>1</v>
      </c>
      <c r="AW10" s="6">
        <v>0</v>
      </c>
      <c r="AX10" s="6">
        <f t="shared" si="13"/>
        <v>1</v>
      </c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1:226" s="50" customFormat="1" ht="25.5" customHeight="1">
      <c r="A11" s="38">
        <f>COUNTIF(K11:AO11,1)+COUNTIF(K11:AO11,"早")+COUNTIF(K11:AO11,"M1")+COUNTIF(K11:AO11,"T早")+COUNTIF(K11:AO11,"日")</f>
        <v>13</v>
      </c>
      <c r="B11" s="39">
        <f>COUNTIF(K11:AO11,2)+COUNTIF(K11:AO11,"中")+COUNTIF(K11:AO11,"M2")+COUNTIF(K11:AO11,"T中")+COUNTIF(K11:AO11,"小夜")</f>
        <v>3</v>
      </c>
      <c r="C11" s="40">
        <f>COUNTIF(K11:AO11,3)+COUNTIF(K11:AO11,"晚")+COUNTIF(K11:AO11,"大夜")</f>
        <v>0</v>
      </c>
      <c r="D11" s="39">
        <f>COUNTIF(K11:AO11,"N")+COUNTIF(K11:AO11,"N8")</f>
        <v>1</v>
      </c>
      <c r="E11" s="41">
        <f>COUNTIF(K11:AO11,"S")</f>
        <v>4</v>
      </c>
      <c r="F11" s="41">
        <f>COUNTIF(K11:AO11,"X")</f>
        <v>4</v>
      </c>
      <c r="G11" s="41">
        <f>COUNTIF(K11:AO11,"Y")</f>
        <v>5</v>
      </c>
      <c r="H11" s="41">
        <f>COUNTIF(K11:AO11,"Z")</f>
        <v>1</v>
      </c>
      <c r="I11" s="42">
        <f t="shared" si="0"/>
        <v>31</v>
      </c>
      <c r="J11" s="47" t="s">
        <v>6</v>
      </c>
      <c r="K11" s="32" t="s">
        <v>86</v>
      </c>
      <c r="L11" s="124" t="s">
        <v>5</v>
      </c>
      <c r="M11" s="121">
        <v>2</v>
      </c>
      <c r="N11" s="121">
        <v>2</v>
      </c>
      <c r="O11" s="30" t="s">
        <v>52</v>
      </c>
      <c r="P11" s="41" t="s">
        <v>0</v>
      </c>
      <c r="Q11" s="30" t="s">
        <v>3</v>
      </c>
      <c r="R11" s="30" t="s">
        <v>36</v>
      </c>
      <c r="S11" s="30" t="s">
        <v>36</v>
      </c>
      <c r="T11" s="44" t="s">
        <v>52</v>
      </c>
      <c r="U11" s="44" t="s">
        <v>53</v>
      </c>
      <c r="V11" s="32" t="s">
        <v>0</v>
      </c>
      <c r="W11" s="30" t="s">
        <v>36</v>
      </c>
      <c r="X11" s="30" t="s">
        <v>36</v>
      </c>
      <c r="Y11" s="124" t="s">
        <v>5</v>
      </c>
      <c r="Z11" s="32" t="s">
        <v>52</v>
      </c>
      <c r="AA11" s="121">
        <v>2</v>
      </c>
      <c r="AB11" s="30" t="s">
        <v>0</v>
      </c>
      <c r="AC11" s="32" t="s">
        <v>86</v>
      </c>
      <c r="AD11" s="30" t="s">
        <v>36</v>
      </c>
      <c r="AE11" s="41">
        <v>1</v>
      </c>
      <c r="AF11" s="124" t="s">
        <v>5</v>
      </c>
      <c r="AG11" s="32" t="s">
        <v>86</v>
      </c>
      <c r="AH11" s="44" t="s">
        <v>52</v>
      </c>
      <c r="AI11" s="44" t="s">
        <v>0</v>
      </c>
      <c r="AJ11" s="41">
        <v>1</v>
      </c>
      <c r="AK11" s="41">
        <v>1</v>
      </c>
      <c r="AL11" s="30">
        <v>1</v>
      </c>
      <c r="AM11" s="124" t="s">
        <v>5</v>
      </c>
      <c r="AN11" s="32" t="s">
        <v>86</v>
      </c>
      <c r="AO11" s="48" t="s">
        <v>52</v>
      </c>
      <c r="AP11" s="45">
        <v>0</v>
      </c>
      <c r="AQ11" s="46">
        <f t="shared" si="1"/>
        <v>0</v>
      </c>
      <c r="AR11" s="46">
        <v>0</v>
      </c>
      <c r="AS11" s="134">
        <f t="shared" si="11"/>
        <v>0</v>
      </c>
      <c r="AT11" s="139" t="s">
        <v>83</v>
      </c>
      <c r="AU11" s="6"/>
      <c r="AV11" s="6" cm="2">
        <f t="array" ref="AV11">SUMPRODUCT(COUNTIF(M11:N11,{"X";"Y";"Z";"S"}))+SUMPRODUCT(COUNTIF(T11:U11,{"X";"Y";"Z";"S"}))+SUMPRODUCT(COUNTIF(AA11:AB11,{"X";"Y";"Z";"S"}))+SUMPRODUCT(COUNTIF(AH11:AI11,{"X";"Y";"Z";"S"}))+SUMPRODUCT(COUNTIF(AO11,{"X";"Y";"Z";"S"}))-5</f>
        <v>1</v>
      </c>
      <c r="AW11" s="6">
        <v>0</v>
      </c>
      <c r="AX11" s="6">
        <f t="shared" si="13"/>
        <v>1</v>
      </c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1:226" s="50" customFormat="1" ht="25.5" customHeight="1">
      <c r="A12" s="38">
        <f t="shared" si="3"/>
        <v>11</v>
      </c>
      <c r="B12" s="39">
        <f t="shared" si="4"/>
        <v>3</v>
      </c>
      <c r="C12" s="40">
        <f t="shared" si="5"/>
        <v>0</v>
      </c>
      <c r="D12" s="39">
        <f t="shared" si="6"/>
        <v>2</v>
      </c>
      <c r="E12" s="41">
        <f t="shared" si="7"/>
        <v>5</v>
      </c>
      <c r="F12" s="41">
        <f t="shared" si="8"/>
        <v>4</v>
      </c>
      <c r="G12" s="41">
        <f t="shared" si="9"/>
        <v>5</v>
      </c>
      <c r="H12" s="41">
        <f t="shared" si="10"/>
        <v>1</v>
      </c>
      <c r="I12" s="42">
        <f t="shared" si="0"/>
        <v>31</v>
      </c>
      <c r="J12" s="47" t="s">
        <v>91</v>
      </c>
      <c r="K12" s="32" t="s">
        <v>0</v>
      </c>
      <c r="L12" s="30" t="s">
        <v>36</v>
      </c>
      <c r="M12" s="44" t="s">
        <v>52</v>
      </c>
      <c r="N12" s="44" t="s">
        <v>53</v>
      </c>
      <c r="O12" s="120">
        <v>1</v>
      </c>
      <c r="P12" s="30" t="s">
        <v>3</v>
      </c>
      <c r="Q12" s="121">
        <v>1</v>
      </c>
      <c r="R12" s="30" t="s">
        <v>0</v>
      </c>
      <c r="S12" s="30" t="s">
        <v>36</v>
      </c>
      <c r="T12" s="121">
        <v>2</v>
      </c>
      <c r="U12" s="121">
        <v>2</v>
      </c>
      <c r="V12" s="30" t="s">
        <v>52</v>
      </c>
      <c r="W12" s="41" t="s">
        <v>0</v>
      </c>
      <c r="X12" s="30" t="s">
        <v>3</v>
      </c>
      <c r="Y12" s="41">
        <v>1</v>
      </c>
      <c r="Z12" s="30" t="s">
        <v>36</v>
      </c>
      <c r="AA12" s="44" t="s">
        <v>52</v>
      </c>
      <c r="AB12" s="44" t="s">
        <v>0</v>
      </c>
      <c r="AC12" s="30" t="s">
        <v>36</v>
      </c>
      <c r="AD12" s="30" t="s">
        <v>36</v>
      </c>
      <c r="AE12" s="30" t="s">
        <v>36</v>
      </c>
      <c r="AF12" s="30" t="s">
        <v>36</v>
      </c>
      <c r="AG12" s="30" t="s">
        <v>36</v>
      </c>
      <c r="AH12" s="44" t="s">
        <v>52</v>
      </c>
      <c r="AI12" s="30" t="s">
        <v>52</v>
      </c>
      <c r="AJ12" s="32" t="s">
        <v>86</v>
      </c>
      <c r="AK12" s="32" t="s">
        <v>86</v>
      </c>
      <c r="AL12" s="32" t="s">
        <v>86</v>
      </c>
      <c r="AM12" s="32" t="s">
        <v>86</v>
      </c>
      <c r="AN12" s="32" t="s">
        <v>86</v>
      </c>
      <c r="AO12" s="126">
        <v>2</v>
      </c>
      <c r="AP12" s="45">
        <v>0</v>
      </c>
      <c r="AQ12" s="46">
        <f t="shared" si="1"/>
        <v>0</v>
      </c>
      <c r="AR12" s="46">
        <v>0</v>
      </c>
      <c r="AS12" s="134">
        <f t="shared" si="11"/>
        <v>0</v>
      </c>
      <c r="AT12" s="139" t="s">
        <v>84</v>
      </c>
      <c r="AU12" s="6"/>
      <c r="AV12" s="6" cm="2">
        <f t="array" ref="AV12">SUMPRODUCT(COUNTIF(M12:N12,{"X";"Y";"Z";"S"}))+SUMPRODUCT(COUNTIF(T12:U12,{"X";"Y";"Z";"S"}))+SUMPRODUCT(COUNTIF(AA12:AB12,{"X";"Y";"Z";"S"}))+SUMPRODUCT(COUNTIF(AH12:AI12,{"X";"Y";"Z";"S"}))+SUMPRODUCT(COUNTIF(AO12,{"X";"Y";"Z";"S"}))-5</f>
        <v>1</v>
      </c>
      <c r="AW12" s="6">
        <v>0</v>
      </c>
      <c r="AX12" s="6">
        <f t="shared" si="13"/>
        <v>1</v>
      </c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</row>
    <row r="13" spans="1:226" s="50" customFormat="1" ht="28.2" customHeight="1">
      <c r="A13" s="38">
        <f t="shared" si="3"/>
        <v>14</v>
      </c>
      <c r="B13" s="39">
        <f t="shared" si="4"/>
        <v>0</v>
      </c>
      <c r="C13" s="40">
        <f t="shared" si="5"/>
        <v>0</v>
      </c>
      <c r="D13" s="39">
        <f t="shared" si="6"/>
        <v>6</v>
      </c>
      <c r="E13" s="41">
        <f t="shared" si="7"/>
        <v>1</v>
      </c>
      <c r="F13" s="41">
        <f t="shared" si="8"/>
        <v>4</v>
      </c>
      <c r="G13" s="41">
        <f t="shared" si="9"/>
        <v>5</v>
      </c>
      <c r="H13" s="41">
        <f t="shared" si="10"/>
        <v>1</v>
      </c>
      <c r="I13" s="42">
        <f t="shared" si="0"/>
        <v>31</v>
      </c>
      <c r="J13" s="51" t="s">
        <v>92</v>
      </c>
      <c r="K13" s="32" t="s">
        <v>86</v>
      </c>
      <c r="L13" s="124" t="s">
        <v>58</v>
      </c>
      <c r="M13" s="30" t="s">
        <v>0</v>
      </c>
      <c r="N13" s="30" t="s">
        <v>53</v>
      </c>
      <c r="O13" s="30">
        <v>1</v>
      </c>
      <c r="P13" s="30" t="s">
        <v>3</v>
      </c>
      <c r="Q13" s="32" t="s">
        <v>52</v>
      </c>
      <c r="R13" s="30">
        <v>1</v>
      </c>
      <c r="S13" s="124" t="s">
        <v>58</v>
      </c>
      <c r="T13" s="44" t="s">
        <v>52</v>
      </c>
      <c r="U13" s="44" t="s">
        <v>0</v>
      </c>
      <c r="V13" s="121" t="s">
        <v>36</v>
      </c>
      <c r="W13" s="30" t="s">
        <v>3</v>
      </c>
      <c r="X13" s="30" t="s">
        <v>3</v>
      </c>
      <c r="Y13" s="41" t="s">
        <v>0</v>
      </c>
      <c r="Z13" s="124" t="s">
        <v>58</v>
      </c>
      <c r="AA13" s="121" t="s">
        <v>36</v>
      </c>
      <c r="AB13" s="121" t="s">
        <v>36</v>
      </c>
      <c r="AC13" s="30">
        <v>1</v>
      </c>
      <c r="AD13" s="32" t="s">
        <v>52</v>
      </c>
      <c r="AE13" s="30" t="s">
        <v>3</v>
      </c>
      <c r="AF13" s="30" t="s">
        <v>3</v>
      </c>
      <c r="AG13" s="124" t="s">
        <v>58</v>
      </c>
      <c r="AH13" s="44" t="s">
        <v>52</v>
      </c>
      <c r="AI13" s="44" t="s">
        <v>0</v>
      </c>
      <c r="AJ13" s="30" t="s">
        <v>36</v>
      </c>
      <c r="AK13" s="30" t="s">
        <v>36</v>
      </c>
      <c r="AL13" s="30" t="s">
        <v>52</v>
      </c>
      <c r="AM13" s="30" t="s">
        <v>3</v>
      </c>
      <c r="AN13" s="124" t="s">
        <v>58</v>
      </c>
      <c r="AO13" s="125" t="s">
        <v>36</v>
      </c>
      <c r="AP13" s="45">
        <v>0</v>
      </c>
      <c r="AQ13" s="46">
        <f t="shared" si="1"/>
        <v>0</v>
      </c>
      <c r="AR13" s="46">
        <v>0</v>
      </c>
      <c r="AS13" s="134">
        <f t="shared" si="11"/>
        <v>0</v>
      </c>
      <c r="AT13" s="139" t="s">
        <v>83</v>
      </c>
      <c r="AU13" s="6"/>
      <c r="AV13" s="6" cm="2">
        <f t="array" ref="AV13">SUMPRODUCT(COUNTIF(M13:N13,{"X";"Y";"Z";"S"}))+SUMPRODUCT(COUNTIF(T13:U13,{"X";"Y";"Z";"S"}))+SUMPRODUCT(COUNTIF(AA13:AB13,{"X";"Y";"Z";"S"}))+SUMPRODUCT(COUNTIF(AH13:AI13,{"X";"Y";"Z";"S"}))+SUMPRODUCT(COUNTIF(AO13,{"X";"Y";"Z";"S"}))-5</f>
        <v>1</v>
      </c>
      <c r="AW13" s="6">
        <v>0</v>
      </c>
      <c r="AX13" s="6">
        <f t="shared" si="13"/>
        <v>1</v>
      </c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</row>
    <row r="14" spans="1:226" s="50" customFormat="1" ht="25.5" customHeight="1">
      <c r="A14" s="38">
        <f t="shared" si="3"/>
        <v>0</v>
      </c>
      <c r="B14" s="39">
        <f t="shared" si="4"/>
        <v>11</v>
      </c>
      <c r="C14" s="40">
        <f t="shared" si="5"/>
        <v>5</v>
      </c>
      <c r="D14" s="39">
        <f t="shared" si="6"/>
        <v>0</v>
      </c>
      <c r="E14" s="41">
        <f t="shared" si="7"/>
        <v>5</v>
      </c>
      <c r="F14" s="41">
        <f t="shared" si="8"/>
        <v>5</v>
      </c>
      <c r="G14" s="41">
        <f t="shared" si="9"/>
        <v>5</v>
      </c>
      <c r="H14" s="41">
        <f t="shared" si="10"/>
        <v>0</v>
      </c>
      <c r="I14" s="42">
        <f t="shared" si="0"/>
        <v>31</v>
      </c>
      <c r="J14" s="151" t="s">
        <v>7</v>
      </c>
      <c r="K14" s="32" t="s">
        <v>1</v>
      </c>
      <c r="L14" s="44" t="s">
        <v>52</v>
      </c>
      <c r="M14" s="121">
        <v>3</v>
      </c>
      <c r="N14" s="32" t="s">
        <v>1</v>
      </c>
      <c r="O14" s="121">
        <v>2</v>
      </c>
      <c r="P14" s="121">
        <v>2</v>
      </c>
      <c r="Q14" s="121">
        <v>2</v>
      </c>
      <c r="R14" s="30" t="s">
        <v>0</v>
      </c>
      <c r="S14" s="32" t="s">
        <v>52</v>
      </c>
      <c r="T14" s="121">
        <v>3</v>
      </c>
      <c r="U14" s="121" t="s">
        <v>40</v>
      </c>
      <c r="V14" s="121">
        <v>2</v>
      </c>
      <c r="W14" s="32">
        <v>2</v>
      </c>
      <c r="X14" s="32" t="s">
        <v>0</v>
      </c>
      <c r="Y14" s="32" t="s">
        <v>86</v>
      </c>
      <c r="Z14" s="32" t="s">
        <v>1</v>
      </c>
      <c r="AA14" s="32" t="s">
        <v>1</v>
      </c>
      <c r="AB14" s="44" t="s">
        <v>52</v>
      </c>
      <c r="AC14" s="121">
        <v>2</v>
      </c>
      <c r="AD14" s="121">
        <v>2</v>
      </c>
      <c r="AE14" s="121">
        <v>2</v>
      </c>
      <c r="AF14" s="32" t="s">
        <v>0</v>
      </c>
      <c r="AG14" s="32" t="s">
        <v>52</v>
      </c>
      <c r="AH14" s="30">
        <v>3</v>
      </c>
      <c r="AI14" s="30">
        <v>3</v>
      </c>
      <c r="AJ14" s="121">
        <v>2</v>
      </c>
      <c r="AK14" s="120">
        <v>2</v>
      </c>
      <c r="AL14" s="121">
        <v>2</v>
      </c>
      <c r="AM14" s="30" t="s">
        <v>0</v>
      </c>
      <c r="AN14" s="32" t="s">
        <v>0</v>
      </c>
      <c r="AO14" s="123" t="s">
        <v>52</v>
      </c>
      <c r="AP14" s="45">
        <v>0</v>
      </c>
      <c r="AQ14" s="46">
        <f t="shared" si="1"/>
        <v>0</v>
      </c>
      <c r="AR14" s="46">
        <v>0</v>
      </c>
      <c r="AS14" s="134">
        <f t="shared" si="11"/>
        <v>0</v>
      </c>
      <c r="AT14" s="139" t="s">
        <v>84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</row>
    <row r="15" spans="1:226" s="50" customFormat="1" ht="25.5" customHeight="1">
      <c r="A15" s="38">
        <f t="shared" si="3"/>
        <v>13</v>
      </c>
      <c r="B15" s="39">
        <f t="shared" si="4"/>
        <v>1</v>
      </c>
      <c r="C15" s="40">
        <f t="shared" si="5"/>
        <v>0</v>
      </c>
      <c r="D15" s="39">
        <f t="shared" si="6"/>
        <v>4</v>
      </c>
      <c r="E15" s="41">
        <f t="shared" si="7"/>
        <v>3</v>
      </c>
      <c r="F15" s="41">
        <f t="shared" si="8"/>
        <v>4</v>
      </c>
      <c r="G15" s="41">
        <f t="shared" si="9"/>
        <v>5</v>
      </c>
      <c r="H15" s="41">
        <f t="shared" si="10"/>
        <v>1</v>
      </c>
      <c r="I15" s="42">
        <f t="shared" si="0"/>
        <v>31</v>
      </c>
      <c r="J15" s="47" t="s">
        <v>8</v>
      </c>
      <c r="K15" s="32" t="s">
        <v>52</v>
      </c>
      <c r="L15" s="53" t="s">
        <v>3</v>
      </c>
      <c r="M15" s="121" t="s">
        <v>36</v>
      </c>
      <c r="N15" s="30" t="s">
        <v>36</v>
      </c>
      <c r="O15" s="30" t="s">
        <v>52</v>
      </c>
      <c r="P15" s="32" t="s">
        <v>1</v>
      </c>
      <c r="Q15" s="30" t="s">
        <v>36</v>
      </c>
      <c r="R15" s="124" t="s">
        <v>58</v>
      </c>
      <c r="S15" s="53" t="s">
        <v>3</v>
      </c>
      <c r="T15" s="44" t="s">
        <v>52</v>
      </c>
      <c r="U15" s="44" t="s">
        <v>53</v>
      </c>
      <c r="V15" s="32" t="s">
        <v>86</v>
      </c>
      <c r="W15" s="121" t="s">
        <v>36</v>
      </c>
      <c r="X15" s="121" t="s">
        <v>36</v>
      </c>
      <c r="Y15" s="124" t="s">
        <v>58</v>
      </c>
      <c r="Z15" s="41">
        <v>1</v>
      </c>
      <c r="AA15" s="30" t="s">
        <v>52</v>
      </c>
      <c r="AB15" s="121">
        <v>2</v>
      </c>
      <c r="AC15" s="30" t="s">
        <v>0</v>
      </c>
      <c r="AD15" s="41">
        <v>1</v>
      </c>
      <c r="AE15" s="41">
        <v>1</v>
      </c>
      <c r="AF15" s="124" t="s">
        <v>58</v>
      </c>
      <c r="AG15" s="53" t="s">
        <v>3</v>
      </c>
      <c r="AH15" s="44" t="s">
        <v>52</v>
      </c>
      <c r="AI15" s="44" t="s">
        <v>0</v>
      </c>
      <c r="AJ15" s="32" t="s">
        <v>86</v>
      </c>
      <c r="AK15" s="30" t="s">
        <v>0</v>
      </c>
      <c r="AL15" s="30" t="s">
        <v>3</v>
      </c>
      <c r="AM15" s="124" t="s">
        <v>58</v>
      </c>
      <c r="AN15" s="30" t="s">
        <v>36</v>
      </c>
      <c r="AO15" s="30" t="s">
        <v>0</v>
      </c>
      <c r="AP15" s="45">
        <v>0</v>
      </c>
      <c r="AQ15" s="46">
        <f t="shared" si="1"/>
        <v>0</v>
      </c>
      <c r="AR15" s="46">
        <v>0</v>
      </c>
      <c r="AS15" s="134">
        <f t="shared" si="11"/>
        <v>0</v>
      </c>
      <c r="AT15" s="139" t="s">
        <v>83</v>
      </c>
      <c r="AU15" s="6"/>
      <c r="AV15" s="6" cm="2">
        <f t="array" ref="AV15">SUMPRODUCT(COUNTIF(M15:N15,{"X";"Y";"Z";"S"}))+SUMPRODUCT(COUNTIF(T15:U15,{"X";"Y";"Z";"S"}))+SUMPRODUCT(COUNTIF(AA15:AB15,{"X";"Y";"Z";"S"}))+SUMPRODUCT(COUNTIF(AH15:AI15,{"X";"Y";"Z";"S"}))+SUMPRODUCT(COUNTIF(AO15,{"X";"Y";"Z";"S"}))-5</f>
        <v>1</v>
      </c>
      <c r="AW15" s="6">
        <v>0</v>
      </c>
      <c r="AX15" s="6">
        <f t="shared" ref="AX15:AX17" si="14">AV15+AW15</f>
        <v>1</v>
      </c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1:226" s="50" customFormat="1" ht="25.5" customHeight="1">
      <c r="A16" s="38">
        <f t="shared" si="3"/>
        <v>13</v>
      </c>
      <c r="B16" s="39">
        <f t="shared" si="4"/>
        <v>3</v>
      </c>
      <c r="C16" s="40">
        <f t="shared" si="5"/>
        <v>0</v>
      </c>
      <c r="D16" s="39">
        <f t="shared" si="6"/>
        <v>4</v>
      </c>
      <c r="E16" s="41">
        <f t="shared" si="7"/>
        <v>1</v>
      </c>
      <c r="F16" s="41">
        <f t="shared" si="8"/>
        <v>4</v>
      </c>
      <c r="G16" s="41">
        <f t="shared" si="9"/>
        <v>5</v>
      </c>
      <c r="H16" s="41">
        <f t="shared" si="10"/>
        <v>1</v>
      </c>
      <c r="I16" s="42">
        <f t="shared" si="0"/>
        <v>31</v>
      </c>
      <c r="J16" s="152" t="s">
        <v>93</v>
      </c>
      <c r="K16" s="121">
        <v>2</v>
      </c>
      <c r="L16" s="121">
        <v>2</v>
      </c>
      <c r="M16" s="44" t="s">
        <v>52</v>
      </c>
      <c r="N16" s="44" t="s">
        <v>53</v>
      </c>
      <c r="O16" s="32" t="s">
        <v>0</v>
      </c>
      <c r="P16" s="124" t="s">
        <v>5</v>
      </c>
      <c r="Q16" s="30">
        <v>1</v>
      </c>
      <c r="R16" s="30" t="s">
        <v>52</v>
      </c>
      <c r="S16" s="30" t="s">
        <v>3</v>
      </c>
      <c r="T16" s="44" t="s">
        <v>0</v>
      </c>
      <c r="U16" s="30" t="s">
        <v>36</v>
      </c>
      <c r="V16" s="30" t="s">
        <v>36</v>
      </c>
      <c r="W16" s="124" t="s">
        <v>5</v>
      </c>
      <c r="X16" s="30" t="s">
        <v>0</v>
      </c>
      <c r="Y16" s="53" t="s">
        <v>3</v>
      </c>
      <c r="Z16" s="32" t="s">
        <v>1</v>
      </c>
      <c r="AA16" s="44" t="s">
        <v>52</v>
      </c>
      <c r="AB16" s="30" t="s">
        <v>36</v>
      </c>
      <c r="AC16" s="32" t="s">
        <v>0</v>
      </c>
      <c r="AD16" s="124" t="s">
        <v>5</v>
      </c>
      <c r="AE16" s="30" t="s">
        <v>3</v>
      </c>
      <c r="AF16" s="30" t="s">
        <v>3</v>
      </c>
      <c r="AG16" s="30">
        <v>2</v>
      </c>
      <c r="AH16" s="30" t="s">
        <v>52</v>
      </c>
      <c r="AI16" s="30" t="s">
        <v>36</v>
      </c>
      <c r="AJ16" s="30" t="s">
        <v>36</v>
      </c>
      <c r="AK16" s="124" t="s">
        <v>5</v>
      </c>
      <c r="AL16" s="30" t="s">
        <v>36</v>
      </c>
      <c r="AM16" s="30" t="s">
        <v>36</v>
      </c>
      <c r="AN16" s="41">
        <v>1</v>
      </c>
      <c r="AO16" s="123" t="s">
        <v>52</v>
      </c>
      <c r="AP16" s="45">
        <v>0</v>
      </c>
      <c r="AQ16" s="46">
        <f t="shared" si="1"/>
        <v>0</v>
      </c>
      <c r="AR16" s="46">
        <v>0</v>
      </c>
      <c r="AS16" s="134">
        <f t="shared" si="11"/>
        <v>0</v>
      </c>
      <c r="AT16" s="139" t="s">
        <v>84</v>
      </c>
      <c r="AU16" s="6"/>
      <c r="AV16" s="6" cm="2">
        <f t="array" ref="AV16">SUMPRODUCT(COUNTIF(M16:N16,{"X";"Y";"Z";"S"}))+SUMPRODUCT(COUNTIF(T16:U16,{"X";"Y";"Z";"S"}))+SUMPRODUCT(COUNTIF(AA16:AB16,{"X";"Y";"Z";"S"}))+SUMPRODUCT(COUNTIF(AH16:AI16,{"X";"Y";"Z";"S"}))+SUMPRODUCT(COUNTIF(AO16,{"X";"Y";"Z";"S"}))-5</f>
        <v>1</v>
      </c>
      <c r="AW16" s="6">
        <v>0</v>
      </c>
      <c r="AX16" s="6">
        <f t="shared" si="14"/>
        <v>1</v>
      </c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</row>
    <row r="17" spans="1:226" ht="25.5" customHeight="1">
      <c r="A17" s="54">
        <f>COUNTIF(K17:AO17,1)+COUNTIF(K17:AO17,"早")+COUNTIF(K17:AO17,"M1")+COUNTIF(K17:AO17,"T早")+COUNTIF(K17:AO17,"日")</f>
        <v>8</v>
      </c>
      <c r="B17" s="55">
        <f>COUNTIF(K17:AO17,2)+COUNTIF(K17:AO17,"中")+COUNTIF(K17:AO17,"M2")+COUNTIF(K17:AO17,"T中")+COUNTIF(K17:AO17,"小夜")</f>
        <v>5</v>
      </c>
      <c r="C17" s="56">
        <f>COUNTIF(K17:AO17,3)+COUNTIF(K17:AO17,"晚")+COUNTIF(K17:AO17,"大夜")</f>
        <v>3</v>
      </c>
      <c r="D17" s="55">
        <f>COUNTIF(K17:AO17,"N")+COUNTIF(K17:AO17,"N8")</f>
        <v>3</v>
      </c>
      <c r="E17" s="17">
        <f>COUNTIF(K17:AO17,"S")</f>
        <v>2</v>
      </c>
      <c r="F17" s="17">
        <f>COUNTIF(K17:AO17,"X")</f>
        <v>4</v>
      </c>
      <c r="G17" s="17">
        <f>COUNTIF(K17:AO17,"Y")</f>
        <v>5</v>
      </c>
      <c r="H17" s="17">
        <f>COUNTIF(K17:AO17,"Z")</f>
        <v>1</v>
      </c>
      <c r="I17" s="57">
        <f>SUM(A17:H17)</f>
        <v>31</v>
      </c>
      <c r="J17" s="153" t="s">
        <v>9</v>
      </c>
      <c r="K17" s="32" t="s">
        <v>1</v>
      </c>
      <c r="L17" s="30" t="s">
        <v>53</v>
      </c>
      <c r="M17" s="30" t="s">
        <v>52</v>
      </c>
      <c r="N17" s="121" t="s">
        <v>36</v>
      </c>
      <c r="O17" s="30" t="s">
        <v>36</v>
      </c>
      <c r="P17" s="30" t="s">
        <v>36</v>
      </c>
      <c r="Q17" s="30" t="s">
        <v>36</v>
      </c>
      <c r="R17" s="30" t="s">
        <v>3</v>
      </c>
      <c r="S17" s="53" t="s">
        <v>3</v>
      </c>
      <c r="T17" s="44" t="s">
        <v>52</v>
      </c>
      <c r="U17" s="44" t="s">
        <v>0</v>
      </c>
      <c r="V17" s="32" t="s">
        <v>1</v>
      </c>
      <c r="W17" s="30" t="s">
        <v>36</v>
      </c>
      <c r="X17" s="30" t="s">
        <v>3</v>
      </c>
      <c r="Y17" s="30" t="s">
        <v>0</v>
      </c>
      <c r="Z17" s="121">
        <v>2</v>
      </c>
      <c r="AA17" s="30">
        <v>2</v>
      </c>
      <c r="AB17" s="30">
        <v>2</v>
      </c>
      <c r="AC17" s="30" t="s">
        <v>52</v>
      </c>
      <c r="AD17" s="30" t="s">
        <v>0</v>
      </c>
      <c r="AE17" s="121">
        <v>3</v>
      </c>
      <c r="AF17" s="121">
        <v>3</v>
      </c>
      <c r="AG17" s="121" t="s">
        <v>40</v>
      </c>
      <c r="AH17" s="44" t="s">
        <v>52</v>
      </c>
      <c r="AI17" s="44" t="s">
        <v>0</v>
      </c>
      <c r="AJ17" s="30" t="s">
        <v>36</v>
      </c>
      <c r="AK17" s="30" t="s">
        <v>36</v>
      </c>
      <c r="AL17" s="30" t="s">
        <v>36</v>
      </c>
      <c r="AM17" s="121">
        <v>2</v>
      </c>
      <c r="AN17" s="121">
        <v>2</v>
      </c>
      <c r="AO17" s="48" t="s">
        <v>52</v>
      </c>
      <c r="AP17" s="45">
        <v>0</v>
      </c>
      <c r="AQ17" s="46">
        <f t="shared" si="1"/>
        <v>0</v>
      </c>
      <c r="AR17" s="46">
        <v>0</v>
      </c>
      <c r="AS17" s="134">
        <f>SUM(AP17:AR17)</f>
        <v>0</v>
      </c>
      <c r="AT17" s="139" t="s">
        <v>83</v>
      </c>
      <c r="AV17" s="6" cm="2">
        <f t="array" ref="AV17">SUMPRODUCT(COUNTIF(M17:N17,{"X";"Y";"Z";"S"}))+SUMPRODUCT(COUNTIF(T17:U17,{"X";"Y";"Z";"S"}))+SUMPRODUCT(COUNTIF(AA17:AB17,{"X";"Y";"Z";"S"}))+SUMPRODUCT(COUNTIF(AH17:AI17,{"X";"Y";"Z";"S"}))+SUMPRODUCT(COUNTIF(AO17,{"X";"Y";"Z";"S"}))-5</f>
        <v>1</v>
      </c>
      <c r="AW17" s="6">
        <v>0</v>
      </c>
      <c r="AX17" s="6">
        <f t="shared" si="14"/>
        <v>1</v>
      </c>
    </row>
    <row r="18" spans="1:226" ht="25.5" customHeight="1" thickBot="1">
      <c r="A18" s="38">
        <f t="shared" ref="A18" si="15">COUNTIF(K18:AO18,1)+COUNTIF(K18:AO18,"早")+COUNTIF(K18:AO18,"M1")+COUNTIF(K18:AO18,"T早")+COUNTIF(K18:AO18,"日")</f>
        <v>15</v>
      </c>
      <c r="B18" s="39">
        <f t="shared" ref="B18" si="16">COUNTIF(K18:AO18,2)+COUNTIF(K18:AO18,"中")+COUNTIF(K18:AO18,"M2")+COUNTIF(K18:AO18,"T中")+COUNTIF(K18:AO18,"小夜")</f>
        <v>2</v>
      </c>
      <c r="C18" s="40">
        <f t="shared" ref="C18" si="17">COUNTIF(K18:AO18,3)+COUNTIF(K18:AO18,"晚")+COUNTIF(K18:AO18,"大夜")</f>
        <v>0</v>
      </c>
      <c r="D18" s="39">
        <f t="shared" ref="D18" si="18">COUNTIF(K18:AO18,"N")+COUNTIF(K18:AO18,"N8")</f>
        <v>1</v>
      </c>
      <c r="E18" s="41">
        <f t="shared" ref="E18" si="19">COUNTIF(K18:AO18,"S")</f>
        <v>2</v>
      </c>
      <c r="F18" s="41">
        <f t="shared" ref="F18" si="20">COUNTIF(K18:AO18,"X")</f>
        <v>5</v>
      </c>
      <c r="G18" s="41">
        <f t="shared" ref="G18" si="21">COUNTIF(K18:AO18,"Y")</f>
        <v>5</v>
      </c>
      <c r="H18" s="41">
        <f t="shared" ref="H18" si="22">COUNTIF(K18:AO18,"Z")</f>
        <v>1</v>
      </c>
      <c r="I18" s="42">
        <f t="shared" ref="I18" si="23">SUM(A18:H18)</f>
        <v>31</v>
      </c>
      <c r="J18" s="153" t="s">
        <v>97</v>
      </c>
      <c r="K18" s="161" t="s">
        <v>1</v>
      </c>
      <c r="L18" s="161" t="s">
        <v>1</v>
      </c>
      <c r="M18" s="162" t="s">
        <v>53</v>
      </c>
      <c r="N18" s="162" t="s">
        <v>0</v>
      </c>
      <c r="O18" s="171" t="s">
        <v>36</v>
      </c>
      <c r="P18" s="171" t="s">
        <v>36</v>
      </c>
      <c r="Q18" s="171" t="s">
        <v>36</v>
      </c>
      <c r="R18" s="160" t="s">
        <v>52</v>
      </c>
      <c r="S18" s="160" t="s">
        <v>0</v>
      </c>
      <c r="T18" s="160">
        <v>1</v>
      </c>
      <c r="U18" s="160">
        <v>1</v>
      </c>
      <c r="V18" s="160" t="s">
        <v>36</v>
      </c>
      <c r="W18" s="160" t="s">
        <v>0</v>
      </c>
      <c r="X18" s="160" t="s">
        <v>52</v>
      </c>
      <c r="Y18" s="30" t="s">
        <v>36</v>
      </c>
      <c r="Z18" s="160">
        <v>1</v>
      </c>
      <c r="AA18" s="162" t="s">
        <v>52</v>
      </c>
      <c r="AB18" s="162" t="s">
        <v>0</v>
      </c>
      <c r="AC18" s="172">
        <v>1</v>
      </c>
      <c r="AD18" s="160" t="s">
        <v>3</v>
      </c>
      <c r="AE18" s="160" t="s">
        <v>0</v>
      </c>
      <c r="AF18" s="171">
        <v>2</v>
      </c>
      <c r="AG18" s="171">
        <v>2</v>
      </c>
      <c r="AH18" s="17" t="s">
        <v>52</v>
      </c>
      <c r="AI18" s="171">
        <v>1</v>
      </c>
      <c r="AJ18" s="160" t="s">
        <v>36</v>
      </c>
      <c r="AK18" s="160" t="s">
        <v>36</v>
      </c>
      <c r="AL18" s="160" t="s">
        <v>36</v>
      </c>
      <c r="AM18" s="160" t="s">
        <v>36</v>
      </c>
      <c r="AN18" s="160" t="s">
        <v>36</v>
      </c>
      <c r="AO18" s="173" t="s">
        <v>52</v>
      </c>
      <c r="AP18" s="73">
        <v>-1</v>
      </c>
      <c r="AQ18" s="74">
        <f t="shared" si="1"/>
        <v>1</v>
      </c>
      <c r="AR18" s="74">
        <v>0</v>
      </c>
      <c r="AS18" s="127">
        <f t="shared" ref="AS18" si="24">SUM(AP18:AR18)</f>
        <v>0</v>
      </c>
      <c r="AT18" s="140" t="s">
        <v>84</v>
      </c>
      <c r="AV18" s="6" cm="2">
        <f t="array" ref="AV18">SUMPRODUCT(COUNTIF(M18:N18,{"X";"Y";"Z";"S"}))+SUMPRODUCT(COUNTIF(T18:U18,{"X";"Y";"Z";"S"}))+SUMPRODUCT(COUNTIF(AA18:AB18,{"X";"Y";"Z";"S"}))+SUMPRODUCT(COUNTIF(AH18:AI18,{"X";"Y";"Z";"S"}))+SUMPRODUCT(COUNTIF(AO18,{"X";"Y";"Z";"S"}))-5</f>
        <v>1</v>
      </c>
      <c r="AW18" s="6">
        <v>0</v>
      </c>
      <c r="AX18" s="6">
        <f t="shared" ref="AX18" si="25">AV18+AW18</f>
        <v>1</v>
      </c>
    </row>
    <row r="19" spans="1:226" s="50" customFormat="1" ht="25.5" customHeight="1">
      <c r="A19" s="23">
        <f t="shared" si="3"/>
        <v>6</v>
      </c>
      <c r="B19" s="24">
        <f t="shared" si="4"/>
        <v>5</v>
      </c>
      <c r="C19" s="25">
        <f t="shared" si="5"/>
        <v>8</v>
      </c>
      <c r="D19" s="24">
        <f t="shared" si="6"/>
        <v>0</v>
      </c>
      <c r="E19" s="26">
        <f t="shared" si="7"/>
        <v>2</v>
      </c>
      <c r="F19" s="26">
        <f t="shared" si="8"/>
        <v>4</v>
      </c>
      <c r="G19" s="26">
        <f t="shared" si="9"/>
        <v>5</v>
      </c>
      <c r="H19" s="26">
        <f t="shared" si="10"/>
        <v>1</v>
      </c>
      <c r="I19" s="27">
        <f t="shared" si="0"/>
        <v>31</v>
      </c>
      <c r="J19" s="154" t="s">
        <v>10</v>
      </c>
      <c r="K19" s="28">
        <v>1</v>
      </c>
      <c r="L19" s="29">
        <v>1</v>
      </c>
      <c r="M19" s="29">
        <v>1</v>
      </c>
      <c r="N19" s="31" t="s">
        <v>0</v>
      </c>
      <c r="O19" s="33" t="s">
        <v>53</v>
      </c>
      <c r="P19" s="33" t="s">
        <v>52</v>
      </c>
      <c r="Q19" s="29">
        <v>3</v>
      </c>
      <c r="R19" s="29">
        <v>3</v>
      </c>
      <c r="S19" s="29" t="s">
        <v>0</v>
      </c>
      <c r="T19" s="29">
        <v>2</v>
      </c>
      <c r="U19" s="29">
        <v>2</v>
      </c>
      <c r="V19" s="26">
        <v>2</v>
      </c>
      <c r="W19" s="26">
        <v>2</v>
      </c>
      <c r="X19" s="26">
        <v>2</v>
      </c>
      <c r="Y19" s="29" t="s">
        <v>52</v>
      </c>
      <c r="Z19" s="29">
        <v>3</v>
      </c>
      <c r="AA19" s="29">
        <v>3</v>
      </c>
      <c r="AB19" s="29">
        <v>3</v>
      </c>
      <c r="AC19" s="33" t="s">
        <v>52</v>
      </c>
      <c r="AD19" s="33" t="s">
        <v>86</v>
      </c>
      <c r="AE19" s="33" t="s">
        <v>86</v>
      </c>
      <c r="AF19" s="33" t="s">
        <v>82</v>
      </c>
      <c r="AG19" s="33" t="s">
        <v>52</v>
      </c>
      <c r="AH19" s="29">
        <v>1</v>
      </c>
      <c r="AI19" s="26">
        <v>1</v>
      </c>
      <c r="AJ19" s="26" t="s">
        <v>0</v>
      </c>
      <c r="AK19" s="26">
        <v>3</v>
      </c>
      <c r="AL19" s="26">
        <v>3</v>
      </c>
      <c r="AM19" s="26">
        <v>3</v>
      </c>
      <c r="AN19" s="26" t="s">
        <v>52</v>
      </c>
      <c r="AO19" s="34">
        <v>1</v>
      </c>
      <c r="AP19" s="166">
        <v>0</v>
      </c>
      <c r="AQ19" s="167">
        <f t="shared" si="1"/>
        <v>0</v>
      </c>
      <c r="AR19" s="167">
        <v>0</v>
      </c>
      <c r="AS19" s="168">
        <f t="shared" si="11"/>
        <v>0</v>
      </c>
      <c r="AT19" s="169" t="s">
        <v>84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</row>
    <row r="20" spans="1:226" s="50" customFormat="1" ht="25.5" customHeight="1">
      <c r="A20" s="38">
        <f t="shared" si="3"/>
        <v>3</v>
      </c>
      <c r="B20" s="39">
        <f t="shared" si="4"/>
        <v>11</v>
      </c>
      <c r="C20" s="40">
        <f t="shared" si="5"/>
        <v>5</v>
      </c>
      <c r="D20" s="39">
        <f t="shared" si="6"/>
        <v>0</v>
      </c>
      <c r="E20" s="41">
        <f t="shared" si="7"/>
        <v>2</v>
      </c>
      <c r="F20" s="41">
        <f t="shared" si="8"/>
        <v>4</v>
      </c>
      <c r="G20" s="41">
        <f t="shared" si="9"/>
        <v>5</v>
      </c>
      <c r="H20" s="41">
        <f t="shared" si="10"/>
        <v>1</v>
      </c>
      <c r="I20" s="42">
        <f t="shared" si="0"/>
        <v>31</v>
      </c>
      <c r="J20" s="145" t="s">
        <v>11</v>
      </c>
      <c r="K20" s="122" t="s">
        <v>52</v>
      </c>
      <c r="L20" s="32" t="s">
        <v>1</v>
      </c>
      <c r="M20" s="44" t="s">
        <v>53</v>
      </c>
      <c r="N20" s="44" t="s">
        <v>0</v>
      </c>
      <c r="O20" s="30" t="s">
        <v>40</v>
      </c>
      <c r="P20" s="30" t="s">
        <v>40</v>
      </c>
      <c r="Q20" s="30" t="s">
        <v>0</v>
      </c>
      <c r="R20" s="30" t="s">
        <v>38</v>
      </c>
      <c r="S20" s="30" t="s">
        <v>38</v>
      </c>
      <c r="T20" s="30" t="s">
        <v>38</v>
      </c>
      <c r="U20" s="30" t="s">
        <v>38</v>
      </c>
      <c r="V20" s="32" t="s">
        <v>52</v>
      </c>
      <c r="W20" s="32" t="s">
        <v>1</v>
      </c>
      <c r="X20" s="30">
        <v>2</v>
      </c>
      <c r="Y20" s="30">
        <v>2</v>
      </c>
      <c r="Z20" s="30">
        <v>2</v>
      </c>
      <c r="AA20" s="44" t="s">
        <v>52</v>
      </c>
      <c r="AB20" s="44" t="s">
        <v>0</v>
      </c>
      <c r="AC20" s="30" t="s">
        <v>40</v>
      </c>
      <c r="AD20" s="30" t="s">
        <v>40</v>
      </c>
      <c r="AE20" s="30" t="s">
        <v>40</v>
      </c>
      <c r="AF20" s="41" t="s">
        <v>52</v>
      </c>
      <c r="AG20" s="30">
        <v>1</v>
      </c>
      <c r="AH20" s="30" t="s">
        <v>36</v>
      </c>
      <c r="AI20" s="41">
        <v>2</v>
      </c>
      <c r="AJ20" s="41" t="s">
        <v>0</v>
      </c>
      <c r="AK20" s="30" t="s">
        <v>36</v>
      </c>
      <c r="AL20" s="30">
        <v>2</v>
      </c>
      <c r="AM20" s="30">
        <v>2</v>
      </c>
      <c r="AN20" s="30">
        <v>2</v>
      </c>
      <c r="AO20" s="123" t="s">
        <v>52</v>
      </c>
      <c r="AP20" s="45">
        <v>0</v>
      </c>
      <c r="AQ20" s="46">
        <f t="shared" si="1"/>
        <v>0</v>
      </c>
      <c r="AR20" s="46">
        <v>0</v>
      </c>
      <c r="AS20" s="134">
        <f t="shared" si="11"/>
        <v>0</v>
      </c>
      <c r="AT20" s="139" t="s">
        <v>84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</row>
    <row r="21" spans="1:226" ht="25.5" customHeight="1">
      <c r="A21" s="38">
        <f>COUNTIF(K21:AO21,1)+COUNTIF(K21:AO21,"早")+COUNTIF(K21:AO21,"M1")+COUNTIF(K21:AO21,"T早")+COUNTIF(K21:AO21,"日")</f>
        <v>2</v>
      </c>
      <c r="B21" s="39">
        <f>COUNTIF(K21:AO21,2)+COUNTIF(K21:AO21,"中")+COUNTIF(K21:AO21,"M2")+COUNTIF(K21:AO21,"T中")+COUNTIF(K21:AO21,"小夜")</f>
        <v>9</v>
      </c>
      <c r="C21" s="40">
        <f>COUNTIF(K21:AO21,3)+COUNTIF(K21:AO21,"晚")+COUNTIF(K21:AO21,"大夜")</f>
        <v>10</v>
      </c>
      <c r="D21" s="39">
        <f>COUNTIF(K21:AO21,"N")+COUNTIF(K21:AO21,"N8")</f>
        <v>0</v>
      </c>
      <c r="E21" s="41">
        <f>COUNTIF(K21:AO21,"S")</f>
        <v>0</v>
      </c>
      <c r="F21" s="41">
        <f>COUNTIF(K21:AO21,"X")</f>
        <v>4</v>
      </c>
      <c r="G21" s="41">
        <f>COUNTIF(K21:AO21,"Y")</f>
        <v>5</v>
      </c>
      <c r="H21" s="41">
        <f>COUNTIF(K21:AO21,"Z")</f>
        <v>1</v>
      </c>
      <c r="I21" s="42">
        <f t="shared" si="0"/>
        <v>31</v>
      </c>
      <c r="J21" s="155" t="s">
        <v>12</v>
      </c>
      <c r="K21" s="49" t="s">
        <v>52</v>
      </c>
      <c r="L21" s="41">
        <v>3</v>
      </c>
      <c r="M21" s="30" t="s">
        <v>38</v>
      </c>
      <c r="N21" s="30" t="s">
        <v>38</v>
      </c>
      <c r="O21" s="30">
        <v>2</v>
      </c>
      <c r="P21" s="30" t="s">
        <v>0</v>
      </c>
      <c r="Q21" s="30" t="s">
        <v>52</v>
      </c>
      <c r="R21" s="30" t="s">
        <v>40</v>
      </c>
      <c r="S21" s="30" t="s">
        <v>40</v>
      </c>
      <c r="T21" s="30" t="s">
        <v>36</v>
      </c>
      <c r="U21" s="44" t="s">
        <v>0</v>
      </c>
      <c r="V21" s="30">
        <v>2</v>
      </c>
      <c r="W21" s="30" t="s">
        <v>38</v>
      </c>
      <c r="X21" s="30" t="s">
        <v>38</v>
      </c>
      <c r="Y21" s="30" t="s">
        <v>38</v>
      </c>
      <c r="Z21" s="30" t="s">
        <v>0</v>
      </c>
      <c r="AA21" s="30" t="s">
        <v>36</v>
      </c>
      <c r="AB21" s="44" t="s">
        <v>52</v>
      </c>
      <c r="AC21" s="30" t="s">
        <v>52</v>
      </c>
      <c r="AD21" s="30" t="s">
        <v>40</v>
      </c>
      <c r="AE21" s="30" t="s">
        <v>40</v>
      </c>
      <c r="AF21" s="30" t="s">
        <v>40</v>
      </c>
      <c r="AG21" s="30" t="s">
        <v>40</v>
      </c>
      <c r="AH21" s="44" t="s">
        <v>53</v>
      </c>
      <c r="AI21" s="44" t="s">
        <v>0</v>
      </c>
      <c r="AJ21" s="30" t="s">
        <v>40</v>
      </c>
      <c r="AK21" s="30" t="s">
        <v>40</v>
      </c>
      <c r="AL21" s="30" t="s">
        <v>40</v>
      </c>
      <c r="AM21" s="30" t="s">
        <v>52</v>
      </c>
      <c r="AN21" s="30" t="s">
        <v>38</v>
      </c>
      <c r="AO21" s="48" t="s">
        <v>38</v>
      </c>
      <c r="AP21" s="45">
        <v>0</v>
      </c>
      <c r="AQ21" s="46">
        <f t="shared" si="1"/>
        <v>0</v>
      </c>
      <c r="AR21" s="46">
        <v>0</v>
      </c>
      <c r="AS21" s="134">
        <f t="shared" si="11"/>
        <v>0</v>
      </c>
      <c r="AT21" s="139" t="s">
        <v>83</v>
      </c>
    </row>
    <row r="22" spans="1:226" ht="25.5" customHeight="1">
      <c r="A22" s="38">
        <f t="shared" si="3"/>
        <v>0</v>
      </c>
      <c r="B22" s="39">
        <f t="shared" si="4"/>
        <v>0</v>
      </c>
      <c r="C22" s="40">
        <f t="shared" si="5"/>
        <v>17</v>
      </c>
      <c r="D22" s="39">
        <f t="shared" si="6"/>
        <v>0</v>
      </c>
      <c r="E22" s="41">
        <f t="shared" si="7"/>
        <v>4</v>
      </c>
      <c r="F22" s="41">
        <f t="shared" si="8"/>
        <v>4</v>
      </c>
      <c r="G22" s="41">
        <f t="shared" si="9"/>
        <v>5</v>
      </c>
      <c r="H22" s="41">
        <f t="shared" si="10"/>
        <v>1</v>
      </c>
      <c r="I22" s="42">
        <f t="shared" si="0"/>
        <v>31</v>
      </c>
      <c r="J22" s="145" t="s">
        <v>13</v>
      </c>
      <c r="K22" s="49" t="s">
        <v>40</v>
      </c>
      <c r="L22" s="41" t="s">
        <v>40</v>
      </c>
      <c r="M22" s="44" t="s">
        <v>52</v>
      </c>
      <c r="N22" s="32" t="s">
        <v>86</v>
      </c>
      <c r="O22" s="32" t="s">
        <v>86</v>
      </c>
      <c r="P22" s="44" t="s">
        <v>53</v>
      </c>
      <c r="Q22" s="30" t="s">
        <v>52</v>
      </c>
      <c r="R22" s="30" t="s">
        <v>0</v>
      </c>
      <c r="S22" s="30">
        <v>3</v>
      </c>
      <c r="T22" s="41">
        <v>3</v>
      </c>
      <c r="U22" s="30">
        <v>3</v>
      </c>
      <c r="V22" s="30" t="s">
        <v>40</v>
      </c>
      <c r="W22" s="30" t="s">
        <v>0</v>
      </c>
      <c r="X22" s="30" t="s">
        <v>40</v>
      </c>
      <c r="Y22" s="30" t="s">
        <v>40</v>
      </c>
      <c r="Z22" s="30" t="s">
        <v>40</v>
      </c>
      <c r="AA22" s="44" t="s">
        <v>52</v>
      </c>
      <c r="AB22" s="32" t="s">
        <v>86</v>
      </c>
      <c r="AC22" s="32" t="s">
        <v>86</v>
      </c>
      <c r="AD22" s="44" t="s">
        <v>0</v>
      </c>
      <c r="AE22" s="30" t="s">
        <v>52</v>
      </c>
      <c r="AF22" s="30" t="s">
        <v>40</v>
      </c>
      <c r="AG22" s="30" t="s">
        <v>40</v>
      </c>
      <c r="AH22" s="30" t="s">
        <v>40</v>
      </c>
      <c r="AI22" s="30" t="s">
        <v>40</v>
      </c>
      <c r="AJ22" s="30" t="s">
        <v>40</v>
      </c>
      <c r="AK22" s="41" t="s">
        <v>0</v>
      </c>
      <c r="AL22" s="30" t="s">
        <v>40</v>
      </c>
      <c r="AM22" s="30" t="s">
        <v>40</v>
      </c>
      <c r="AN22" s="30" t="s">
        <v>40</v>
      </c>
      <c r="AO22" s="123" t="s">
        <v>52</v>
      </c>
      <c r="AP22" s="45">
        <v>0</v>
      </c>
      <c r="AQ22" s="46">
        <f t="shared" si="1"/>
        <v>0</v>
      </c>
      <c r="AR22" s="46">
        <v>0</v>
      </c>
      <c r="AS22" s="134">
        <f t="shared" si="11"/>
        <v>0</v>
      </c>
      <c r="AT22" s="139" t="s">
        <v>84</v>
      </c>
    </row>
    <row r="23" spans="1:226" s="50" customFormat="1" ht="25.5" customHeight="1">
      <c r="A23" s="38">
        <f t="shared" si="3"/>
        <v>3</v>
      </c>
      <c r="B23" s="39">
        <f t="shared" si="4"/>
        <v>11</v>
      </c>
      <c r="C23" s="40">
        <f t="shared" si="5"/>
        <v>4</v>
      </c>
      <c r="D23" s="39">
        <f t="shared" si="6"/>
        <v>0</v>
      </c>
      <c r="E23" s="41">
        <f t="shared" si="7"/>
        <v>3</v>
      </c>
      <c r="F23" s="41">
        <f t="shared" si="8"/>
        <v>4</v>
      </c>
      <c r="G23" s="41">
        <f t="shared" si="9"/>
        <v>5</v>
      </c>
      <c r="H23" s="41">
        <f t="shared" si="10"/>
        <v>1</v>
      </c>
      <c r="I23" s="42">
        <f t="shared" si="0"/>
        <v>31</v>
      </c>
      <c r="J23" s="146" t="s">
        <v>94</v>
      </c>
      <c r="K23" s="122" t="s">
        <v>1</v>
      </c>
      <c r="L23" s="32" t="s">
        <v>1</v>
      </c>
      <c r="M23" s="30" t="s">
        <v>52</v>
      </c>
      <c r="N23" s="30">
        <v>2</v>
      </c>
      <c r="O23" s="30" t="s">
        <v>38</v>
      </c>
      <c r="P23" s="30" t="s">
        <v>38</v>
      </c>
      <c r="Q23" s="30" t="s">
        <v>38</v>
      </c>
      <c r="R23" s="30">
        <v>2</v>
      </c>
      <c r="S23" s="30">
        <v>2</v>
      </c>
      <c r="T23" s="32" t="s">
        <v>52</v>
      </c>
      <c r="U23" s="44" t="s">
        <v>53</v>
      </c>
      <c r="V23" s="30" t="s">
        <v>0</v>
      </c>
      <c r="W23" s="30">
        <v>3</v>
      </c>
      <c r="X23" s="30">
        <v>3</v>
      </c>
      <c r="Y23" s="30" t="s">
        <v>52</v>
      </c>
      <c r="Z23" s="30" t="s">
        <v>36</v>
      </c>
      <c r="AA23" s="30" t="s">
        <v>36</v>
      </c>
      <c r="AB23" s="30" t="s">
        <v>36</v>
      </c>
      <c r="AC23" s="44" t="s">
        <v>0</v>
      </c>
      <c r="AD23" s="32" t="s">
        <v>86</v>
      </c>
      <c r="AE23" s="30">
        <v>2</v>
      </c>
      <c r="AF23" s="30">
        <v>2</v>
      </c>
      <c r="AG23" s="30">
        <v>2</v>
      </c>
      <c r="AH23" s="44" t="s">
        <v>52</v>
      </c>
      <c r="AI23" s="44" t="s">
        <v>0</v>
      </c>
      <c r="AJ23" s="30">
        <v>2</v>
      </c>
      <c r="AK23" s="30">
        <v>2</v>
      </c>
      <c r="AL23" s="30" t="s">
        <v>0</v>
      </c>
      <c r="AM23" s="30" t="s">
        <v>52</v>
      </c>
      <c r="AN23" s="30" t="s">
        <v>40</v>
      </c>
      <c r="AO23" s="48" t="s">
        <v>40</v>
      </c>
      <c r="AP23" s="45">
        <v>0</v>
      </c>
      <c r="AQ23" s="46">
        <f t="shared" si="1"/>
        <v>0</v>
      </c>
      <c r="AR23" s="46">
        <v>0</v>
      </c>
      <c r="AS23" s="134">
        <f t="shared" si="11"/>
        <v>0</v>
      </c>
      <c r="AT23" s="139" t="s">
        <v>83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</row>
    <row r="24" spans="1:226" s="50" customFormat="1" ht="25.5" customHeight="1">
      <c r="A24" s="38">
        <f t="shared" si="3"/>
        <v>1</v>
      </c>
      <c r="B24" s="39">
        <f t="shared" si="4"/>
        <v>8</v>
      </c>
      <c r="C24" s="40">
        <f t="shared" si="5"/>
        <v>2</v>
      </c>
      <c r="D24" s="39">
        <f t="shared" si="6"/>
        <v>8</v>
      </c>
      <c r="E24" s="41">
        <f t="shared" si="7"/>
        <v>2</v>
      </c>
      <c r="F24" s="41">
        <f t="shared" si="8"/>
        <v>4</v>
      </c>
      <c r="G24" s="41">
        <f t="shared" si="9"/>
        <v>5</v>
      </c>
      <c r="H24" s="41">
        <f t="shared" si="10"/>
        <v>1</v>
      </c>
      <c r="I24" s="42">
        <f t="shared" si="0"/>
        <v>31</v>
      </c>
      <c r="J24" s="147" t="s">
        <v>14</v>
      </c>
      <c r="K24" s="49" t="s">
        <v>38</v>
      </c>
      <c r="L24" s="30" t="s">
        <v>38</v>
      </c>
      <c r="M24" s="44" t="s">
        <v>52</v>
      </c>
      <c r="N24" s="44" t="s">
        <v>53</v>
      </c>
      <c r="O24" s="53" t="s">
        <v>3</v>
      </c>
      <c r="P24" s="53" t="s">
        <v>3</v>
      </c>
      <c r="Q24" s="30" t="s">
        <v>38</v>
      </c>
      <c r="R24" s="30" t="s">
        <v>52</v>
      </c>
      <c r="S24" s="53" t="s">
        <v>3</v>
      </c>
      <c r="T24" s="30">
        <v>2</v>
      </c>
      <c r="U24" s="30">
        <v>2</v>
      </c>
      <c r="V24" s="30" t="s">
        <v>0</v>
      </c>
      <c r="W24" s="53" t="s">
        <v>3</v>
      </c>
      <c r="X24" s="32" t="s">
        <v>86</v>
      </c>
      <c r="Y24" s="30" t="s">
        <v>36</v>
      </c>
      <c r="Z24" s="30" t="s">
        <v>38</v>
      </c>
      <c r="AA24" s="44" t="s">
        <v>52</v>
      </c>
      <c r="AB24" s="44" t="s">
        <v>0</v>
      </c>
      <c r="AC24" s="30" t="s">
        <v>40</v>
      </c>
      <c r="AD24" s="30" t="s">
        <v>40</v>
      </c>
      <c r="AE24" s="53" t="s">
        <v>3</v>
      </c>
      <c r="AF24" s="32" t="s">
        <v>86</v>
      </c>
      <c r="AG24" s="30" t="s">
        <v>52</v>
      </c>
      <c r="AH24" s="30" t="s">
        <v>38</v>
      </c>
      <c r="AI24" s="30" t="s">
        <v>38</v>
      </c>
      <c r="AJ24" s="41" t="s">
        <v>0</v>
      </c>
      <c r="AK24" s="53" t="s">
        <v>3</v>
      </c>
      <c r="AL24" s="53" t="s">
        <v>3</v>
      </c>
      <c r="AM24" s="53" t="s">
        <v>3</v>
      </c>
      <c r="AN24" s="30" t="s">
        <v>0</v>
      </c>
      <c r="AO24" s="123" t="s">
        <v>52</v>
      </c>
      <c r="AP24" s="45">
        <v>0</v>
      </c>
      <c r="AQ24" s="46">
        <f t="shared" si="1"/>
        <v>0</v>
      </c>
      <c r="AR24" s="46">
        <v>0</v>
      </c>
      <c r="AS24" s="134">
        <f t="shared" si="11"/>
        <v>0</v>
      </c>
      <c r="AT24" s="139" t="s">
        <v>84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</row>
    <row r="25" spans="1:226" s="50" customFormat="1" ht="25.5" customHeight="1">
      <c r="A25" s="38">
        <f t="shared" si="3"/>
        <v>8</v>
      </c>
      <c r="B25" s="39">
        <f t="shared" si="4"/>
        <v>0</v>
      </c>
      <c r="C25" s="40">
        <f t="shared" si="5"/>
        <v>0</v>
      </c>
      <c r="D25" s="39">
        <f t="shared" si="6"/>
        <v>12</v>
      </c>
      <c r="E25" s="41">
        <f t="shared" si="7"/>
        <v>1</v>
      </c>
      <c r="F25" s="41">
        <f t="shared" si="8"/>
        <v>4</v>
      </c>
      <c r="G25" s="41">
        <f t="shared" si="9"/>
        <v>5</v>
      </c>
      <c r="H25" s="41">
        <f t="shared" si="10"/>
        <v>1</v>
      </c>
      <c r="I25" s="42">
        <f t="shared" si="0"/>
        <v>31</v>
      </c>
      <c r="J25" s="147" t="s">
        <v>15</v>
      </c>
      <c r="K25" s="137" t="s">
        <v>0</v>
      </c>
      <c r="L25" s="30" t="s">
        <v>3</v>
      </c>
      <c r="M25" s="44" t="s">
        <v>52</v>
      </c>
      <c r="N25" s="44" t="s">
        <v>53</v>
      </c>
      <c r="O25" s="30">
        <v>1</v>
      </c>
      <c r="P25" s="30">
        <v>1</v>
      </c>
      <c r="Q25" s="30" t="s">
        <v>3</v>
      </c>
      <c r="R25" s="30" t="s">
        <v>3</v>
      </c>
      <c r="S25" s="30">
        <v>1</v>
      </c>
      <c r="T25" s="44" t="s">
        <v>52</v>
      </c>
      <c r="U25" s="44" t="s">
        <v>0</v>
      </c>
      <c r="V25" s="30" t="s">
        <v>3</v>
      </c>
      <c r="W25" s="30" t="s">
        <v>3</v>
      </c>
      <c r="X25" s="30" t="s">
        <v>3</v>
      </c>
      <c r="Y25" s="30" t="s">
        <v>3</v>
      </c>
      <c r="Z25" s="30" t="s">
        <v>3</v>
      </c>
      <c r="AA25" s="44" t="s">
        <v>52</v>
      </c>
      <c r="AB25" s="44" t="s">
        <v>0</v>
      </c>
      <c r="AC25" s="32" t="s">
        <v>86</v>
      </c>
      <c r="AD25" s="30">
        <v>1</v>
      </c>
      <c r="AE25" s="30">
        <v>1</v>
      </c>
      <c r="AF25" s="30">
        <v>1</v>
      </c>
      <c r="AG25" s="30" t="s">
        <v>3</v>
      </c>
      <c r="AH25" s="44" t="s">
        <v>52</v>
      </c>
      <c r="AI25" s="44" t="s">
        <v>0</v>
      </c>
      <c r="AJ25" s="30">
        <v>1</v>
      </c>
      <c r="AK25" s="30" t="s">
        <v>3</v>
      </c>
      <c r="AL25" s="30">
        <v>1</v>
      </c>
      <c r="AM25" s="30" t="s">
        <v>3</v>
      </c>
      <c r="AN25" s="30" t="s">
        <v>3</v>
      </c>
      <c r="AO25" s="123" t="s">
        <v>52</v>
      </c>
      <c r="AP25" s="45">
        <v>0</v>
      </c>
      <c r="AQ25" s="46">
        <f t="shared" si="1"/>
        <v>0</v>
      </c>
      <c r="AR25" s="46">
        <v>0</v>
      </c>
      <c r="AS25" s="134">
        <f t="shared" si="11"/>
        <v>0</v>
      </c>
      <c r="AT25" s="139" t="s">
        <v>89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</row>
    <row r="26" spans="1:226" s="50" customFormat="1" ht="25.2" customHeight="1">
      <c r="A26" s="38">
        <f>COUNTIF(K26:AO26,1)+COUNTIF(K26:AO26,"早")+COUNTIF(K26:AO26,"M1")+COUNTIF(K26:AO26,"T早")+COUNTIF(K26:AO26,"日")</f>
        <v>4</v>
      </c>
      <c r="B26" s="39">
        <f>COUNTIF(K26:AO26,2)+COUNTIF(K26:AO26,"中")+COUNTIF(K26:AO26,"M2")+COUNTIF(K26:AO26,"T中")+COUNTIF(K26:AO26,"小夜")</f>
        <v>14</v>
      </c>
      <c r="C26" s="40">
        <f>COUNTIF(K26:AO26,3)+COUNTIF(K26:AO26,"晚")+COUNTIF(K26:AO26,"大夜")</f>
        <v>3</v>
      </c>
      <c r="D26" s="39">
        <f>COUNTIF(K26:AO26,"N")+COUNTIF(K26:AO26,"N8")</f>
        <v>0</v>
      </c>
      <c r="E26" s="41">
        <f>COUNTIF(K26:AO26,"S")</f>
        <v>0</v>
      </c>
      <c r="F26" s="41">
        <f>COUNTIF(K26:AO26,"X")</f>
        <v>4</v>
      </c>
      <c r="G26" s="41">
        <f>COUNTIF(K26:AO26,"Y")</f>
        <v>5</v>
      </c>
      <c r="H26" s="41">
        <f>COUNTIF(K26:AO26,"Z")</f>
        <v>1</v>
      </c>
      <c r="I26" s="42">
        <f t="shared" si="0"/>
        <v>31</v>
      </c>
      <c r="J26" s="147" t="s">
        <v>16</v>
      </c>
      <c r="K26" s="122" t="s">
        <v>0</v>
      </c>
      <c r="L26" s="30" t="s">
        <v>38</v>
      </c>
      <c r="M26" s="30" t="s">
        <v>38</v>
      </c>
      <c r="N26" s="30" t="s">
        <v>38</v>
      </c>
      <c r="O26" s="30" t="s">
        <v>52</v>
      </c>
      <c r="P26" s="30">
        <v>1</v>
      </c>
      <c r="Q26" s="30">
        <v>1</v>
      </c>
      <c r="R26" s="30">
        <v>1</v>
      </c>
      <c r="S26" s="30" t="s">
        <v>38</v>
      </c>
      <c r="T26" s="44" t="s">
        <v>52</v>
      </c>
      <c r="U26" s="44" t="s">
        <v>53</v>
      </c>
      <c r="V26" s="32" t="s">
        <v>0</v>
      </c>
      <c r="W26" s="30" t="s">
        <v>40</v>
      </c>
      <c r="X26" s="30" t="s">
        <v>40</v>
      </c>
      <c r="Y26" s="30" t="s">
        <v>40</v>
      </c>
      <c r="Z26" s="30" t="s">
        <v>0</v>
      </c>
      <c r="AA26" s="30" t="s">
        <v>52</v>
      </c>
      <c r="AB26" s="30" t="s">
        <v>38</v>
      </c>
      <c r="AC26" s="30" t="s">
        <v>38</v>
      </c>
      <c r="AD26" s="30">
        <v>2</v>
      </c>
      <c r="AE26" s="30">
        <v>2</v>
      </c>
      <c r="AF26" s="30" t="s">
        <v>38</v>
      </c>
      <c r="AG26" s="30" t="s">
        <v>38</v>
      </c>
      <c r="AH26" s="44" t="s">
        <v>52</v>
      </c>
      <c r="AI26" s="44" t="s">
        <v>0</v>
      </c>
      <c r="AJ26" s="30">
        <v>2</v>
      </c>
      <c r="AK26" s="30">
        <v>2</v>
      </c>
      <c r="AL26" s="30" t="s">
        <v>38</v>
      </c>
      <c r="AM26" s="30" t="s">
        <v>38</v>
      </c>
      <c r="AN26" s="30" t="s">
        <v>52</v>
      </c>
      <c r="AO26" s="48" t="s">
        <v>36</v>
      </c>
      <c r="AP26" s="45">
        <v>0</v>
      </c>
      <c r="AQ26" s="46">
        <f t="shared" si="1"/>
        <v>0</v>
      </c>
      <c r="AR26" s="46">
        <v>0</v>
      </c>
      <c r="AS26" s="134">
        <f t="shared" si="11"/>
        <v>0</v>
      </c>
      <c r="AT26" s="139" t="s">
        <v>83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</row>
    <row r="27" spans="1:226" s="50" customFormat="1" ht="25.2" customHeight="1">
      <c r="A27" s="38">
        <f t="shared" si="3"/>
        <v>19</v>
      </c>
      <c r="B27" s="39">
        <f t="shared" si="4"/>
        <v>0</v>
      </c>
      <c r="C27" s="40">
        <f t="shared" si="5"/>
        <v>0</v>
      </c>
      <c r="D27" s="39">
        <f t="shared" si="6"/>
        <v>0</v>
      </c>
      <c r="E27" s="41">
        <f t="shared" si="7"/>
        <v>2</v>
      </c>
      <c r="F27" s="41">
        <f t="shared" si="8"/>
        <v>5</v>
      </c>
      <c r="G27" s="41">
        <f t="shared" si="9"/>
        <v>4</v>
      </c>
      <c r="H27" s="41">
        <f t="shared" si="10"/>
        <v>1</v>
      </c>
      <c r="I27" s="42">
        <f t="shared" si="0"/>
        <v>31</v>
      </c>
      <c r="J27" s="146" t="s">
        <v>17</v>
      </c>
      <c r="K27" s="175">
        <v>1</v>
      </c>
      <c r="L27" s="30">
        <v>1</v>
      </c>
      <c r="M27" s="30">
        <v>1</v>
      </c>
      <c r="N27" s="30">
        <v>1</v>
      </c>
      <c r="O27" s="30" t="s">
        <v>0</v>
      </c>
      <c r="P27" s="30" t="s">
        <v>52</v>
      </c>
      <c r="Q27" s="32" t="s">
        <v>86</v>
      </c>
      <c r="R27" s="30">
        <v>1</v>
      </c>
      <c r="S27" s="30">
        <v>1</v>
      </c>
      <c r="T27" s="44" t="s">
        <v>53</v>
      </c>
      <c r="U27" s="44" t="s">
        <v>0</v>
      </c>
      <c r="V27" s="30">
        <v>1</v>
      </c>
      <c r="W27" s="30">
        <v>1</v>
      </c>
      <c r="X27" s="32" t="s">
        <v>1</v>
      </c>
      <c r="Y27" s="30">
        <v>1</v>
      </c>
      <c r="Z27" s="30">
        <v>1</v>
      </c>
      <c r="AA27" s="30" t="s">
        <v>52</v>
      </c>
      <c r="AB27" s="30" t="s">
        <v>0</v>
      </c>
      <c r="AC27" s="30">
        <v>1</v>
      </c>
      <c r="AD27" s="30">
        <v>1</v>
      </c>
      <c r="AE27" s="32" t="s">
        <v>0</v>
      </c>
      <c r="AF27" s="30">
        <v>1</v>
      </c>
      <c r="AG27" s="30">
        <v>1</v>
      </c>
      <c r="AH27" s="30">
        <v>1</v>
      </c>
      <c r="AI27" s="44" t="s">
        <v>0</v>
      </c>
      <c r="AJ27" s="30">
        <v>1</v>
      </c>
      <c r="AK27" s="30">
        <v>1</v>
      </c>
      <c r="AL27" s="32" t="s">
        <v>52</v>
      </c>
      <c r="AM27" s="30">
        <v>1</v>
      </c>
      <c r="AN27" s="30">
        <v>1</v>
      </c>
      <c r="AO27" s="44" t="s">
        <v>52</v>
      </c>
      <c r="AP27" s="45">
        <v>0</v>
      </c>
      <c r="AQ27" s="46">
        <f t="shared" si="1"/>
        <v>0</v>
      </c>
      <c r="AR27" s="46">
        <v>0</v>
      </c>
      <c r="AS27" s="134">
        <f t="shared" si="11"/>
        <v>0</v>
      </c>
      <c r="AT27" s="139" t="s">
        <v>83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</row>
    <row r="28" spans="1:226" s="50" customFormat="1" ht="25.35" customHeight="1">
      <c r="A28" s="38">
        <f t="shared" si="3"/>
        <v>5</v>
      </c>
      <c r="B28" s="39">
        <f t="shared" si="4"/>
        <v>1</v>
      </c>
      <c r="C28" s="40">
        <f t="shared" si="5"/>
        <v>15</v>
      </c>
      <c r="D28" s="39">
        <f t="shared" si="6"/>
        <v>0</v>
      </c>
      <c r="E28" s="41">
        <f t="shared" si="7"/>
        <v>0</v>
      </c>
      <c r="F28" s="41">
        <f t="shared" si="8"/>
        <v>4</v>
      </c>
      <c r="G28" s="41">
        <f t="shared" si="9"/>
        <v>5</v>
      </c>
      <c r="H28" s="41">
        <f t="shared" si="10"/>
        <v>1</v>
      </c>
      <c r="I28" s="42">
        <f t="shared" si="0"/>
        <v>31</v>
      </c>
      <c r="J28" s="147" t="s">
        <v>95</v>
      </c>
      <c r="K28" s="122" t="s">
        <v>52</v>
      </c>
      <c r="L28" s="41">
        <v>3</v>
      </c>
      <c r="M28" s="41">
        <v>3</v>
      </c>
      <c r="N28" s="41">
        <v>3</v>
      </c>
      <c r="O28" s="41">
        <v>3</v>
      </c>
      <c r="P28" s="41">
        <v>3</v>
      </c>
      <c r="Q28" s="41" t="s">
        <v>0</v>
      </c>
      <c r="R28" s="41">
        <v>3</v>
      </c>
      <c r="S28" s="41">
        <v>3</v>
      </c>
      <c r="T28" s="44" t="s">
        <v>52</v>
      </c>
      <c r="U28" s="44" t="s">
        <v>53</v>
      </c>
      <c r="V28" s="32" t="s">
        <v>0</v>
      </c>
      <c r="W28" s="30">
        <v>1</v>
      </c>
      <c r="X28" s="30">
        <v>1</v>
      </c>
      <c r="Y28" s="30">
        <v>1</v>
      </c>
      <c r="Z28" s="41" t="s">
        <v>52</v>
      </c>
      <c r="AA28" s="41">
        <v>1</v>
      </c>
      <c r="AB28" s="41">
        <v>1</v>
      </c>
      <c r="AC28" s="41">
        <v>2</v>
      </c>
      <c r="AD28" s="41" t="s">
        <v>0</v>
      </c>
      <c r="AE28" s="41">
        <v>3</v>
      </c>
      <c r="AF28" s="41">
        <v>3</v>
      </c>
      <c r="AG28" s="41">
        <v>3</v>
      </c>
      <c r="AH28" s="44" t="s">
        <v>52</v>
      </c>
      <c r="AI28" s="44" t="s">
        <v>0</v>
      </c>
      <c r="AJ28" s="41">
        <v>3</v>
      </c>
      <c r="AK28" s="41">
        <v>3</v>
      </c>
      <c r="AL28" s="41" t="s">
        <v>52</v>
      </c>
      <c r="AM28" s="41">
        <v>3</v>
      </c>
      <c r="AN28" s="41">
        <v>3</v>
      </c>
      <c r="AO28" s="48">
        <v>3</v>
      </c>
      <c r="AP28" s="45">
        <v>0</v>
      </c>
      <c r="AQ28" s="46">
        <f t="shared" si="1"/>
        <v>0</v>
      </c>
      <c r="AR28" s="46">
        <v>0</v>
      </c>
      <c r="AS28" s="134">
        <f t="shared" si="11"/>
        <v>0</v>
      </c>
      <c r="AT28" s="139" t="s">
        <v>83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</row>
    <row r="29" spans="1:226" s="50" customFormat="1" ht="25.5" customHeight="1">
      <c r="A29" s="38">
        <f>COUNTIF(K29:AO29,1)+COUNTIF(K29:AO29,"早")+COUNTIF(K29:AO29,"M1")+COUNTIF(K29:AO29,"T早")+COUNTIF(K29:AO29,"日")</f>
        <v>3</v>
      </c>
      <c r="B29" s="39">
        <f>COUNTIF(K29:AO29,2)+COUNTIF(K29:AO29,"中")+COUNTIF(K29:AO29,"M2")+COUNTIF(K29:AO29,"T中")+COUNTIF(K29:AO29,"小夜")</f>
        <v>7</v>
      </c>
      <c r="C29" s="40">
        <f>COUNTIF(K29:AO29,3)+COUNTIF(K29:AO29,"晚")+COUNTIF(K29:AO29,"大夜")</f>
        <v>1</v>
      </c>
      <c r="D29" s="39">
        <f>COUNTIF(K29:AO29,"N")+COUNTIF(K29:AO29,"N8")</f>
        <v>9</v>
      </c>
      <c r="E29" s="41">
        <f>COUNTIF(K29:AO29,"S")</f>
        <v>1</v>
      </c>
      <c r="F29" s="41">
        <f>COUNTIF(K29:AO29,"X")</f>
        <v>4</v>
      </c>
      <c r="G29" s="41">
        <f>COUNTIF(K29:AO29,"Y")</f>
        <v>5</v>
      </c>
      <c r="H29" s="41">
        <f>COUNTIF(K29:AO29,"Z")</f>
        <v>1</v>
      </c>
      <c r="I29" s="42">
        <f t="shared" si="0"/>
        <v>31</v>
      </c>
      <c r="J29" s="156" t="s">
        <v>18</v>
      </c>
      <c r="K29" s="122" t="s">
        <v>0</v>
      </c>
      <c r="L29" s="41">
        <v>1</v>
      </c>
      <c r="M29" s="30">
        <v>2</v>
      </c>
      <c r="N29" s="30" t="s">
        <v>52</v>
      </c>
      <c r="O29" s="53" t="s">
        <v>3</v>
      </c>
      <c r="P29" s="53" t="s">
        <v>3</v>
      </c>
      <c r="Q29" s="30">
        <v>2</v>
      </c>
      <c r="R29" s="30" t="s">
        <v>0</v>
      </c>
      <c r="S29" s="53" t="s">
        <v>3</v>
      </c>
      <c r="T29" s="44" t="s">
        <v>52</v>
      </c>
      <c r="U29" s="44" t="s">
        <v>53</v>
      </c>
      <c r="V29" s="30">
        <v>1</v>
      </c>
      <c r="W29" s="53" t="s">
        <v>3</v>
      </c>
      <c r="X29" s="32" t="s">
        <v>86</v>
      </c>
      <c r="Y29" s="30" t="s">
        <v>0</v>
      </c>
      <c r="Z29" s="30">
        <v>2</v>
      </c>
      <c r="AA29" s="30">
        <v>2</v>
      </c>
      <c r="AB29" s="30">
        <v>2</v>
      </c>
      <c r="AC29" s="30">
        <v>2</v>
      </c>
      <c r="AD29" s="30" t="s">
        <v>52</v>
      </c>
      <c r="AE29" s="53" t="s">
        <v>3</v>
      </c>
      <c r="AF29" s="32" t="s">
        <v>3</v>
      </c>
      <c r="AG29" s="30">
        <v>1</v>
      </c>
      <c r="AH29" s="44" t="s">
        <v>52</v>
      </c>
      <c r="AI29" s="44" t="s">
        <v>0</v>
      </c>
      <c r="AJ29" s="30">
        <v>3</v>
      </c>
      <c r="AK29" s="53" t="s">
        <v>3</v>
      </c>
      <c r="AL29" s="53" t="s">
        <v>3</v>
      </c>
      <c r="AM29" s="53" t="s">
        <v>3</v>
      </c>
      <c r="AN29" s="30" t="s">
        <v>52</v>
      </c>
      <c r="AO29" s="48">
        <v>2</v>
      </c>
      <c r="AP29" s="45">
        <v>0</v>
      </c>
      <c r="AQ29" s="46">
        <f t="shared" si="1"/>
        <v>0</v>
      </c>
      <c r="AR29" s="46">
        <v>0</v>
      </c>
      <c r="AS29" s="134">
        <f t="shared" si="11"/>
        <v>0</v>
      </c>
      <c r="AT29" s="139" t="s">
        <v>83</v>
      </c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</row>
    <row r="30" spans="1:226" s="50" customFormat="1" ht="25.5" customHeight="1">
      <c r="A30" s="38">
        <f t="shared" ref="A30:A31" si="26">COUNTIF(K30:AO30,1)+COUNTIF(K30:AO30,"早")+COUNTIF(K30:AO30,"M1")+COUNTIF(K30:AO30,"T早")+COUNTIF(K30:AO30,"日")</f>
        <v>0</v>
      </c>
      <c r="B30" s="39">
        <f t="shared" ref="B30:B31" si="27">COUNTIF(K30:AO30,2)+COUNTIF(K30:AO30,"中")+COUNTIF(K30:AO30,"M2")+COUNTIF(K30:AO30,"T中")+COUNTIF(K30:AO30,"小夜")</f>
        <v>5</v>
      </c>
      <c r="C30" s="40">
        <f t="shared" ref="C30:C31" si="28">COUNTIF(K30:AO30,3)+COUNTIF(K30:AO30,"晚")+COUNTIF(K30:AO30,"大夜")</f>
        <v>16</v>
      </c>
      <c r="D30" s="39">
        <f t="shared" ref="D30:D31" si="29">COUNTIF(K30:AO30,"N")+COUNTIF(K30:AO30,"N8")</f>
        <v>0</v>
      </c>
      <c r="E30" s="41">
        <f t="shared" ref="E30:E31" si="30">COUNTIF(K30:AO30,"S")</f>
        <v>0</v>
      </c>
      <c r="F30" s="41">
        <f t="shared" ref="F30:F31" si="31">COUNTIF(K30:AO30,"X")</f>
        <v>4</v>
      </c>
      <c r="G30" s="41">
        <f t="shared" ref="G30:G31" si="32">COUNTIF(K30:AO30,"Y")</f>
        <v>5</v>
      </c>
      <c r="H30" s="41">
        <f t="shared" ref="H30:H31" si="33">COUNTIF(K30:AO30,"Z")</f>
        <v>1</v>
      </c>
      <c r="I30" s="42">
        <f t="shared" ref="I30:I31" si="34">SUM(A30:H30)</f>
        <v>31</v>
      </c>
      <c r="J30" s="147" t="s">
        <v>96</v>
      </c>
      <c r="K30" s="49">
        <v>2</v>
      </c>
      <c r="L30" s="30">
        <v>2</v>
      </c>
      <c r="M30" s="44" t="s">
        <v>52</v>
      </c>
      <c r="N30" s="44" t="s">
        <v>0</v>
      </c>
      <c r="O30" s="30">
        <v>3</v>
      </c>
      <c r="P30" s="30">
        <v>3</v>
      </c>
      <c r="Q30" s="30">
        <v>3</v>
      </c>
      <c r="R30" s="30">
        <v>3</v>
      </c>
      <c r="S30" s="30">
        <v>3</v>
      </c>
      <c r="T30" s="44" t="s">
        <v>52</v>
      </c>
      <c r="U30" s="30">
        <v>3</v>
      </c>
      <c r="V30" s="30">
        <v>3</v>
      </c>
      <c r="W30" s="30" t="s">
        <v>0</v>
      </c>
      <c r="X30" s="30" t="s">
        <v>52</v>
      </c>
      <c r="Y30" s="30">
        <v>3</v>
      </c>
      <c r="Z30" s="30">
        <v>3</v>
      </c>
      <c r="AA30" s="44" t="s">
        <v>53</v>
      </c>
      <c r="AB30" s="44" t="s">
        <v>0</v>
      </c>
      <c r="AC30" s="30">
        <v>3</v>
      </c>
      <c r="AD30" s="30">
        <v>3</v>
      </c>
      <c r="AE30" s="30" t="s">
        <v>52</v>
      </c>
      <c r="AF30" s="30">
        <v>2</v>
      </c>
      <c r="AG30" s="30">
        <v>2</v>
      </c>
      <c r="AH30" s="30">
        <v>2</v>
      </c>
      <c r="AI30" s="41" t="s">
        <v>0</v>
      </c>
      <c r="AJ30" s="41">
        <v>3</v>
      </c>
      <c r="AK30" s="41">
        <v>3</v>
      </c>
      <c r="AL30" s="41">
        <v>3</v>
      </c>
      <c r="AM30" s="30">
        <v>3</v>
      </c>
      <c r="AN30" s="30">
        <v>3</v>
      </c>
      <c r="AO30" s="48" t="s">
        <v>52</v>
      </c>
      <c r="AP30" s="62">
        <v>0</v>
      </c>
      <c r="AQ30" s="46">
        <f t="shared" si="1"/>
        <v>0</v>
      </c>
      <c r="AR30" s="46">
        <v>0</v>
      </c>
      <c r="AS30" s="134">
        <f t="shared" si="11"/>
        <v>0</v>
      </c>
      <c r="AT30" s="139" t="s">
        <v>84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</row>
    <row r="31" spans="1:226" s="50" customFormat="1" ht="25.5" customHeight="1">
      <c r="A31" s="38">
        <f t="shared" si="26"/>
        <v>3</v>
      </c>
      <c r="B31" s="39">
        <f t="shared" si="27"/>
        <v>14</v>
      </c>
      <c r="C31" s="40">
        <f t="shared" si="28"/>
        <v>4</v>
      </c>
      <c r="D31" s="39">
        <f t="shared" si="29"/>
        <v>0</v>
      </c>
      <c r="E31" s="41">
        <f t="shared" si="30"/>
        <v>0</v>
      </c>
      <c r="F31" s="41">
        <f t="shared" si="31"/>
        <v>4</v>
      </c>
      <c r="G31" s="41">
        <f t="shared" si="32"/>
        <v>5</v>
      </c>
      <c r="H31" s="41">
        <f t="shared" si="33"/>
        <v>1</v>
      </c>
      <c r="I31" s="42">
        <f t="shared" si="34"/>
        <v>31</v>
      </c>
      <c r="J31" s="157" t="s">
        <v>19</v>
      </c>
      <c r="K31" s="49" t="s">
        <v>53</v>
      </c>
      <c r="L31" s="30">
        <v>2</v>
      </c>
      <c r="M31" s="136">
        <v>2</v>
      </c>
      <c r="N31" s="44" t="s">
        <v>0</v>
      </c>
      <c r="O31" s="30">
        <v>2</v>
      </c>
      <c r="P31" s="30">
        <v>2</v>
      </c>
      <c r="Q31" s="30">
        <v>2</v>
      </c>
      <c r="R31" s="30">
        <v>2</v>
      </c>
      <c r="S31" s="30">
        <v>2</v>
      </c>
      <c r="T31" s="44" t="s">
        <v>52</v>
      </c>
      <c r="U31" s="136">
        <v>1</v>
      </c>
      <c r="V31" s="30">
        <v>1</v>
      </c>
      <c r="W31" s="30" t="s">
        <v>0</v>
      </c>
      <c r="X31" s="30">
        <v>1</v>
      </c>
      <c r="Y31" s="30">
        <v>2</v>
      </c>
      <c r="Z31" s="30">
        <v>2</v>
      </c>
      <c r="AA31" s="44" t="s">
        <v>52</v>
      </c>
      <c r="AB31" s="44" t="s">
        <v>0</v>
      </c>
      <c r="AC31" s="30">
        <v>3</v>
      </c>
      <c r="AD31" s="30">
        <v>3</v>
      </c>
      <c r="AE31" s="30">
        <v>3</v>
      </c>
      <c r="AF31" s="30" t="s">
        <v>0</v>
      </c>
      <c r="AG31" s="30">
        <v>3</v>
      </c>
      <c r="AH31" s="30">
        <v>2</v>
      </c>
      <c r="AI31" s="41">
        <v>2</v>
      </c>
      <c r="AJ31" s="32" t="s">
        <v>52</v>
      </c>
      <c r="AK31" s="30" t="s">
        <v>52</v>
      </c>
      <c r="AL31" s="41">
        <v>2</v>
      </c>
      <c r="AM31" s="30">
        <v>2</v>
      </c>
      <c r="AN31" s="30">
        <v>2</v>
      </c>
      <c r="AO31" s="123" t="s">
        <v>52</v>
      </c>
      <c r="AP31" s="62">
        <v>0</v>
      </c>
      <c r="AQ31" s="46">
        <f t="shared" si="1"/>
        <v>0</v>
      </c>
      <c r="AR31" s="46">
        <v>0</v>
      </c>
      <c r="AS31" s="134">
        <f t="shared" si="11"/>
        <v>0</v>
      </c>
      <c r="AT31" s="139" t="s">
        <v>84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</row>
    <row r="32" spans="1:226" s="50" customFormat="1" ht="25.2" customHeight="1">
      <c r="A32" s="38">
        <f>COUNTIF(K32:AO32,1)+COUNTIF(K32:AO32,"早")+COUNTIF(K32:AO32,"M1")+COUNTIF(K32:AO32,"T早")+COUNTIF(K32:AO32,"日")</f>
        <v>8</v>
      </c>
      <c r="B32" s="39">
        <f>COUNTIF(K32:AO32,2)+COUNTIF(K32:AO32,"中")+COUNTIF(K32:AO32,"M2")+COUNTIF(K32:AO32,"T中")+COUNTIF(K32:AO32,"小夜")</f>
        <v>6</v>
      </c>
      <c r="C32" s="40">
        <f>COUNTIF(K32:AO32,3)+COUNTIF(K32:AO32,"晚")+COUNTIF(K32:AO32,"大夜")</f>
        <v>7</v>
      </c>
      <c r="D32" s="39">
        <f>COUNTIF(K32:AO32,"N")+COUNTIF(K32:AO32,"N8")</f>
        <v>0</v>
      </c>
      <c r="E32" s="41">
        <f>COUNTIF(K32:AO32,"S")</f>
        <v>0</v>
      </c>
      <c r="F32" s="41">
        <f>COUNTIF(K32:AO32,"X")</f>
        <v>4</v>
      </c>
      <c r="G32" s="41">
        <f>COUNTIF(K32:AO32,"Y")</f>
        <v>5</v>
      </c>
      <c r="H32" s="41">
        <f>COUNTIF(K32:AO32,"Z")</f>
        <v>1</v>
      </c>
      <c r="I32" s="42">
        <f>SUM(A32:H32)</f>
        <v>31</v>
      </c>
      <c r="J32" s="147" t="s">
        <v>20</v>
      </c>
      <c r="K32" s="49">
        <v>3</v>
      </c>
      <c r="L32" s="30" t="s">
        <v>52</v>
      </c>
      <c r="M32" s="30">
        <v>1</v>
      </c>
      <c r="N32" s="30">
        <v>1</v>
      </c>
      <c r="O32" s="30" t="s">
        <v>53</v>
      </c>
      <c r="P32" s="30" t="s">
        <v>0</v>
      </c>
      <c r="Q32" s="30">
        <v>1</v>
      </c>
      <c r="R32" s="30">
        <v>2</v>
      </c>
      <c r="S32" s="30">
        <v>2</v>
      </c>
      <c r="T32" s="44" t="s">
        <v>52</v>
      </c>
      <c r="U32" s="44" t="s">
        <v>0</v>
      </c>
      <c r="V32" s="30">
        <v>3</v>
      </c>
      <c r="W32" s="30">
        <v>3</v>
      </c>
      <c r="X32" s="30">
        <v>3</v>
      </c>
      <c r="Y32" s="30">
        <v>3</v>
      </c>
      <c r="Z32" s="30" t="s">
        <v>52</v>
      </c>
      <c r="AA32" s="30">
        <v>1</v>
      </c>
      <c r="AB32" s="30">
        <v>1</v>
      </c>
      <c r="AC32" s="30">
        <v>1</v>
      </c>
      <c r="AD32" s="30">
        <v>2</v>
      </c>
      <c r="AE32" s="30" t="s">
        <v>0</v>
      </c>
      <c r="AF32" s="30">
        <v>3</v>
      </c>
      <c r="AG32" s="30">
        <v>3</v>
      </c>
      <c r="AH32" s="44" t="s">
        <v>52</v>
      </c>
      <c r="AI32" s="44" t="s">
        <v>0</v>
      </c>
      <c r="AJ32" s="30">
        <v>2</v>
      </c>
      <c r="AK32" s="30">
        <v>2</v>
      </c>
      <c r="AL32" s="30">
        <v>2</v>
      </c>
      <c r="AM32" s="30" t="s">
        <v>52</v>
      </c>
      <c r="AN32" s="30">
        <v>1</v>
      </c>
      <c r="AO32" s="48">
        <v>1</v>
      </c>
      <c r="AP32" s="62">
        <v>0</v>
      </c>
      <c r="AQ32" s="46">
        <f t="shared" si="1"/>
        <v>0</v>
      </c>
      <c r="AR32" s="46">
        <v>0</v>
      </c>
      <c r="AS32" s="134">
        <f>SUM(AP32:AR32)</f>
        <v>0</v>
      </c>
      <c r="AT32" s="139" t="s">
        <v>83</v>
      </c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</row>
    <row r="33" spans="1:226" s="50" customFormat="1" ht="25.5" customHeight="1" thickBot="1">
      <c r="A33" s="54">
        <f t="shared" si="3"/>
        <v>8</v>
      </c>
      <c r="B33" s="55">
        <f t="shared" si="4"/>
        <v>12</v>
      </c>
      <c r="C33" s="56">
        <f t="shared" si="5"/>
        <v>0</v>
      </c>
      <c r="D33" s="55">
        <f t="shared" si="6"/>
        <v>0</v>
      </c>
      <c r="E33" s="17">
        <f t="shared" si="7"/>
        <v>1</v>
      </c>
      <c r="F33" s="17">
        <f t="shared" si="8"/>
        <v>4</v>
      </c>
      <c r="G33" s="17">
        <f t="shared" si="9"/>
        <v>5</v>
      </c>
      <c r="H33" s="17">
        <f t="shared" si="10"/>
        <v>1</v>
      </c>
      <c r="I33" s="57">
        <f t="shared" si="0"/>
        <v>31</v>
      </c>
      <c r="J33" s="158" t="s">
        <v>21</v>
      </c>
      <c r="K33" s="58">
        <v>2</v>
      </c>
      <c r="L33" s="63">
        <v>2</v>
      </c>
      <c r="M33" s="59" t="s">
        <v>52</v>
      </c>
      <c r="N33" s="64">
        <v>1</v>
      </c>
      <c r="O33" s="60">
        <v>1</v>
      </c>
      <c r="P33" s="60">
        <v>2</v>
      </c>
      <c r="Q33" s="60" t="s">
        <v>0</v>
      </c>
      <c r="R33" s="60" t="s">
        <v>52</v>
      </c>
      <c r="S33" s="60">
        <v>1</v>
      </c>
      <c r="T33" s="64">
        <v>1</v>
      </c>
      <c r="U33" s="59" t="s">
        <v>0</v>
      </c>
      <c r="V33" s="60">
        <v>2</v>
      </c>
      <c r="W33" s="60">
        <v>2</v>
      </c>
      <c r="X33" s="60">
        <v>2</v>
      </c>
      <c r="Y33" s="60">
        <v>2</v>
      </c>
      <c r="Z33" s="60" t="s">
        <v>52</v>
      </c>
      <c r="AA33" s="60">
        <v>1</v>
      </c>
      <c r="AB33" s="60">
        <v>1</v>
      </c>
      <c r="AC33" s="60">
        <v>2</v>
      </c>
      <c r="AD33" s="60">
        <v>2</v>
      </c>
      <c r="AE33" s="60" t="s">
        <v>52</v>
      </c>
      <c r="AF33" s="52" t="s">
        <v>53</v>
      </c>
      <c r="AG33" s="52" t="s">
        <v>1</v>
      </c>
      <c r="AH33" s="64">
        <v>1</v>
      </c>
      <c r="AI33" s="64">
        <v>1</v>
      </c>
      <c r="AJ33" s="52" t="s">
        <v>82</v>
      </c>
      <c r="AK33" s="52" t="s">
        <v>82</v>
      </c>
      <c r="AL33" s="60" t="s">
        <v>52</v>
      </c>
      <c r="AM33" s="60">
        <v>2</v>
      </c>
      <c r="AN33" s="63">
        <v>2</v>
      </c>
      <c r="AO33" s="61">
        <v>2</v>
      </c>
      <c r="AP33" s="142">
        <v>0</v>
      </c>
      <c r="AQ33" s="74">
        <f t="shared" si="1"/>
        <v>0</v>
      </c>
      <c r="AR33" s="74">
        <v>0</v>
      </c>
      <c r="AS33" s="127">
        <f t="shared" si="11"/>
        <v>0</v>
      </c>
      <c r="AT33" s="140" t="s">
        <v>83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</row>
    <row r="34" spans="1:226" s="50" customFormat="1" ht="25.5" customHeight="1">
      <c r="A34" s="23">
        <f t="shared" si="3"/>
        <v>2</v>
      </c>
      <c r="B34" s="24">
        <f t="shared" si="4"/>
        <v>0</v>
      </c>
      <c r="C34" s="25">
        <f t="shared" si="5"/>
        <v>15</v>
      </c>
      <c r="D34" s="24">
        <f t="shared" si="6"/>
        <v>0</v>
      </c>
      <c r="E34" s="26">
        <f t="shared" si="7"/>
        <v>4</v>
      </c>
      <c r="F34" s="26">
        <f t="shared" si="8"/>
        <v>4</v>
      </c>
      <c r="G34" s="26">
        <f t="shared" si="9"/>
        <v>5</v>
      </c>
      <c r="H34" s="26">
        <f t="shared" si="10"/>
        <v>1</v>
      </c>
      <c r="I34" s="176">
        <f t="shared" si="0"/>
        <v>31</v>
      </c>
      <c r="J34" s="154" t="s">
        <v>22</v>
      </c>
      <c r="K34" s="28" t="s">
        <v>40</v>
      </c>
      <c r="L34" s="29" t="s">
        <v>40</v>
      </c>
      <c r="M34" s="31" t="s">
        <v>53</v>
      </c>
      <c r="N34" s="31" t="s">
        <v>52</v>
      </c>
      <c r="O34" s="29" t="s">
        <v>40</v>
      </c>
      <c r="P34" s="29" t="s">
        <v>40</v>
      </c>
      <c r="Q34" s="29" t="s">
        <v>40</v>
      </c>
      <c r="R34" s="29" t="s">
        <v>0</v>
      </c>
      <c r="S34" s="31" t="s">
        <v>52</v>
      </c>
      <c r="T34" s="29" t="s">
        <v>40</v>
      </c>
      <c r="U34" s="29" t="s">
        <v>40</v>
      </c>
      <c r="V34" s="29" t="s">
        <v>40</v>
      </c>
      <c r="W34" s="29" t="s">
        <v>40</v>
      </c>
      <c r="X34" s="179" t="s">
        <v>0</v>
      </c>
      <c r="Y34" s="29" t="s">
        <v>40</v>
      </c>
      <c r="Z34" s="29" t="s">
        <v>40</v>
      </c>
      <c r="AA34" s="31" t="s">
        <v>52</v>
      </c>
      <c r="AB34" s="33" t="s">
        <v>86</v>
      </c>
      <c r="AC34" s="33" t="s">
        <v>86</v>
      </c>
      <c r="AD34" s="31" t="s">
        <v>82</v>
      </c>
      <c r="AE34" s="179" t="s">
        <v>36</v>
      </c>
      <c r="AF34" s="179" t="s">
        <v>36</v>
      </c>
      <c r="AG34" s="29" t="s">
        <v>52</v>
      </c>
      <c r="AH34" s="29" t="s">
        <v>40</v>
      </c>
      <c r="AI34" s="29" t="s">
        <v>40</v>
      </c>
      <c r="AJ34" s="33" t="s">
        <v>86</v>
      </c>
      <c r="AK34" s="33" t="s">
        <v>86</v>
      </c>
      <c r="AL34" s="31" t="s">
        <v>52</v>
      </c>
      <c r="AM34" s="29" t="s">
        <v>40</v>
      </c>
      <c r="AN34" s="29" t="s">
        <v>40</v>
      </c>
      <c r="AO34" s="135" t="s">
        <v>0</v>
      </c>
      <c r="AP34" s="65">
        <v>0</v>
      </c>
      <c r="AQ34" s="36">
        <f t="shared" si="1"/>
        <v>0</v>
      </c>
      <c r="AR34" s="36">
        <v>0</v>
      </c>
      <c r="AS34" s="133">
        <f t="shared" si="11"/>
        <v>0</v>
      </c>
      <c r="AT34" s="138" t="s">
        <v>84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</row>
    <row r="35" spans="1:226" s="50" customFormat="1" ht="27.75" customHeight="1">
      <c r="A35" s="38">
        <f>COUNTIF(K35:AO35,1)+COUNTIF(K35:AO35,"早")+COUNTIF(K35:AO35,"M1")+COUNTIF(K35:AO35,"T早")+COUNTIF(K35:AO35,"日")</f>
        <v>2</v>
      </c>
      <c r="B35" s="39">
        <f>COUNTIF(K35:AO35,2)+COUNTIF(K35:AO35,"中")+COUNTIF(K35:AO35,"M2")+COUNTIF(K35:AO35,"T中")+COUNTIF(K35:AO35,"小夜")</f>
        <v>19</v>
      </c>
      <c r="C35" s="40">
        <f>COUNTIF(K35:AO35,3)+COUNTIF(K35:AO35,"晚")+COUNTIF(K35:AO35,"大夜")</f>
        <v>0</v>
      </c>
      <c r="D35" s="39">
        <f>COUNTIF(K35:AO35,"N")+COUNTIF(K35:AO35,"N8")</f>
        <v>0</v>
      </c>
      <c r="E35" s="41">
        <f>COUNTIF(K35:AO35,"S")</f>
        <v>0</v>
      </c>
      <c r="F35" s="41">
        <f>COUNTIF(K35:AO35,"X")</f>
        <v>4</v>
      </c>
      <c r="G35" s="41">
        <f>COUNTIF(K35:AO35,"Y")</f>
        <v>5</v>
      </c>
      <c r="H35" s="41">
        <f>COUNTIF(K35:AO35,"Z")</f>
        <v>1</v>
      </c>
      <c r="I35" s="177">
        <f t="shared" si="0"/>
        <v>31</v>
      </c>
      <c r="J35" s="146" t="s">
        <v>23</v>
      </c>
      <c r="K35" s="49" t="s">
        <v>38</v>
      </c>
      <c r="L35" s="30" t="s">
        <v>52</v>
      </c>
      <c r="M35" s="44" t="s">
        <v>53</v>
      </c>
      <c r="N35" s="44" t="s">
        <v>0</v>
      </c>
      <c r="O35" s="160" t="s">
        <v>36</v>
      </c>
      <c r="P35" s="30" t="s">
        <v>38</v>
      </c>
      <c r="Q35" s="30" t="s">
        <v>38</v>
      </c>
      <c r="R35" s="30" t="s">
        <v>38</v>
      </c>
      <c r="S35" s="30" t="s">
        <v>52</v>
      </c>
      <c r="T35" s="30" t="s">
        <v>38</v>
      </c>
      <c r="U35" s="30" t="s">
        <v>38</v>
      </c>
      <c r="V35" s="30" t="s">
        <v>38</v>
      </c>
      <c r="W35" s="30" t="s">
        <v>0</v>
      </c>
      <c r="X35" s="30" t="s">
        <v>38</v>
      </c>
      <c r="Y35" s="30" t="s">
        <v>38</v>
      </c>
      <c r="Z35" s="30" t="s">
        <v>38</v>
      </c>
      <c r="AA35" s="44" t="s">
        <v>52</v>
      </c>
      <c r="AB35" s="44" t="s">
        <v>0</v>
      </c>
      <c r="AC35" s="160" t="s">
        <v>36</v>
      </c>
      <c r="AD35" s="30" t="s">
        <v>38</v>
      </c>
      <c r="AE35" s="30" t="s">
        <v>38</v>
      </c>
      <c r="AF35" s="30" t="s">
        <v>38</v>
      </c>
      <c r="AG35" s="30" t="s">
        <v>52</v>
      </c>
      <c r="AH35" s="30" t="s">
        <v>38</v>
      </c>
      <c r="AI35" s="30" t="s">
        <v>38</v>
      </c>
      <c r="AJ35" s="30" t="s">
        <v>38</v>
      </c>
      <c r="AK35" s="30" t="s">
        <v>38</v>
      </c>
      <c r="AL35" s="41" t="s">
        <v>0</v>
      </c>
      <c r="AM35" s="30" t="s">
        <v>38</v>
      </c>
      <c r="AN35" s="30" t="s">
        <v>38</v>
      </c>
      <c r="AO35" s="123" t="s">
        <v>52</v>
      </c>
      <c r="AP35" s="45">
        <v>0</v>
      </c>
      <c r="AQ35" s="46">
        <f t="shared" si="1"/>
        <v>0</v>
      </c>
      <c r="AR35" s="46">
        <v>0</v>
      </c>
      <c r="AS35" s="134">
        <f t="shared" si="11"/>
        <v>0</v>
      </c>
      <c r="AT35" s="139" t="s">
        <v>84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</row>
    <row r="36" spans="1:226" s="50" customFormat="1" ht="27.75" customHeight="1">
      <c r="A36" s="38">
        <f t="shared" si="3"/>
        <v>3</v>
      </c>
      <c r="B36" s="39">
        <f t="shared" si="4"/>
        <v>18</v>
      </c>
      <c r="C36" s="40">
        <f t="shared" si="5"/>
        <v>0</v>
      </c>
      <c r="D36" s="39">
        <f t="shared" si="6"/>
        <v>0</v>
      </c>
      <c r="E36" s="41">
        <f t="shared" si="7"/>
        <v>0</v>
      </c>
      <c r="F36" s="41">
        <f t="shared" si="8"/>
        <v>4</v>
      </c>
      <c r="G36" s="41">
        <f t="shared" si="9"/>
        <v>5</v>
      </c>
      <c r="H36" s="41">
        <f t="shared" si="10"/>
        <v>1</v>
      </c>
      <c r="I36" s="177">
        <f t="shared" si="0"/>
        <v>31</v>
      </c>
      <c r="J36" s="146" t="s">
        <v>24</v>
      </c>
      <c r="K36" s="49" t="s">
        <v>38</v>
      </c>
      <c r="L36" s="30" t="s">
        <v>52</v>
      </c>
      <c r="M36" s="160" t="s">
        <v>36</v>
      </c>
      <c r="N36" s="160" t="s">
        <v>36</v>
      </c>
      <c r="O36" s="30" t="s">
        <v>38</v>
      </c>
      <c r="P36" s="30" t="s">
        <v>52</v>
      </c>
      <c r="Q36" s="30" t="s">
        <v>0</v>
      </c>
      <c r="R36" s="30" t="s">
        <v>38</v>
      </c>
      <c r="S36" s="30" t="s">
        <v>38</v>
      </c>
      <c r="T36" s="44" t="s">
        <v>0</v>
      </c>
      <c r="U36" s="44" t="s">
        <v>52</v>
      </c>
      <c r="V36" s="30" t="s">
        <v>38</v>
      </c>
      <c r="W36" s="30" t="s">
        <v>38</v>
      </c>
      <c r="X36" s="30" t="s">
        <v>38</v>
      </c>
      <c r="Y36" s="30" t="s">
        <v>38</v>
      </c>
      <c r="Z36" s="30" t="s">
        <v>38</v>
      </c>
      <c r="AA36" s="30" t="s">
        <v>38</v>
      </c>
      <c r="AB36" s="30" t="s">
        <v>0</v>
      </c>
      <c r="AC36" s="160" t="s">
        <v>36</v>
      </c>
      <c r="AD36" s="30" t="s">
        <v>38</v>
      </c>
      <c r="AE36" s="30" t="s">
        <v>38</v>
      </c>
      <c r="AF36" s="30" t="s">
        <v>38</v>
      </c>
      <c r="AG36" s="30" t="s">
        <v>38</v>
      </c>
      <c r="AH36" s="44" t="s">
        <v>52</v>
      </c>
      <c r="AI36" s="44" t="s">
        <v>53</v>
      </c>
      <c r="AJ36" s="30" t="s">
        <v>38</v>
      </c>
      <c r="AK36" s="30" t="s">
        <v>38</v>
      </c>
      <c r="AL36" s="41" t="s">
        <v>0</v>
      </c>
      <c r="AM36" s="41" t="s">
        <v>52</v>
      </c>
      <c r="AN36" s="30" t="s">
        <v>38</v>
      </c>
      <c r="AO36" s="48" t="s">
        <v>38</v>
      </c>
      <c r="AP36" s="45">
        <v>0</v>
      </c>
      <c r="AQ36" s="46">
        <f t="shared" si="1"/>
        <v>0</v>
      </c>
      <c r="AR36" s="46">
        <v>0</v>
      </c>
      <c r="AS36" s="134">
        <f t="shared" si="11"/>
        <v>0</v>
      </c>
      <c r="AT36" s="139" t="s">
        <v>83</v>
      </c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</row>
    <row r="37" spans="1:226" s="50" customFormat="1" ht="27.6" customHeight="1">
      <c r="A37" s="38">
        <f t="shared" si="3"/>
        <v>2</v>
      </c>
      <c r="B37" s="39">
        <f t="shared" si="4"/>
        <v>15</v>
      </c>
      <c r="C37" s="40">
        <f t="shared" si="5"/>
        <v>2</v>
      </c>
      <c r="D37" s="39">
        <f t="shared" si="6"/>
        <v>0</v>
      </c>
      <c r="E37" s="41">
        <f t="shared" si="7"/>
        <v>2</v>
      </c>
      <c r="F37" s="41">
        <f t="shared" si="8"/>
        <v>4</v>
      </c>
      <c r="G37" s="41">
        <f t="shared" si="9"/>
        <v>5</v>
      </c>
      <c r="H37" s="41">
        <f t="shared" si="10"/>
        <v>1</v>
      </c>
      <c r="I37" s="177">
        <f t="shared" si="0"/>
        <v>31</v>
      </c>
      <c r="J37" s="148" t="s">
        <v>25</v>
      </c>
      <c r="K37" s="180" t="s">
        <v>36</v>
      </c>
      <c r="L37" s="30" t="s">
        <v>52</v>
      </c>
      <c r="M37" s="30" t="s">
        <v>26</v>
      </c>
      <c r="N37" s="30" t="s">
        <v>38</v>
      </c>
      <c r="O37" s="30" t="s">
        <v>38</v>
      </c>
      <c r="P37" s="30" t="s">
        <v>38</v>
      </c>
      <c r="Q37" s="30" t="s">
        <v>52</v>
      </c>
      <c r="R37" s="30" t="s">
        <v>53</v>
      </c>
      <c r="S37" s="160" t="s">
        <v>36</v>
      </c>
      <c r="T37" s="30" t="s">
        <v>26</v>
      </c>
      <c r="U37" s="30" t="s">
        <v>38</v>
      </c>
      <c r="V37" s="30" t="s">
        <v>38</v>
      </c>
      <c r="W37" s="30" t="s">
        <v>38</v>
      </c>
      <c r="X37" s="30" t="s">
        <v>0</v>
      </c>
      <c r="Y37" s="30" t="s">
        <v>0</v>
      </c>
      <c r="Z37" s="30" t="s">
        <v>52</v>
      </c>
      <c r="AA37" s="30" t="s">
        <v>38</v>
      </c>
      <c r="AB37" s="30" t="s">
        <v>38</v>
      </c>
      <c r="AC37" s="30" t="s">
        <v>38</v>
      </c>
      <c r="AD37" s="32" t="s">
        <v>52</v>
      </c>
      <c r="AE37" s="32" t="s">
        <v>1</v>
      </c>
      <c r="AF37" s="30" t="s">
        <v>0</v>
      </c>
      <c r="AG37" s="30" t="s">
        <v>38</v>
      </c>
      <c r="AH37" s="30" t="s">
        <v>26</v>
      </c>
      <c r="AI37" s="30" t="s">
        <v>38</v>
      </c>
      <c r="AJ37" s="41" t="s">
        <v>0</v>
      </c>
      <c r="AK37" s="30" t="s">
        <v>40</v>
      </c>
      <c r="AL37" s="30" t="s">
        <v>40</v>
      </c>
      <c r="AM37" s="32" t="s">
        <v>1</v>
      </c>
      <c r="AN37" s="30" t="s">
        <v>52</v>
      </c>
      <c r="AO37" s="48" t="s">
        <v>38</v>
      </c>
      <c r="AP37" s="45">
        <v>0</v>
      </c>
      <c r="AQ37" s="46">
        <f t="shared" si="1"/>
        <v>0</v>
      </c>
      <c r="AR37" s="46">
        <v>0</v>
      </c>
      <c r="AS37" s="134">
        <f t="shared" si="11"/>
        <v>0</v>
      </c>
      <c r="AT37" s="139" t="s">
        <v>84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</row>
    <row r="38" spans="1:226" s="50" customFormat="1" ht="24" customHeight="1">
      <c r="A38" s="38">
        <f t="shared" si="3"/>
        <v>7</v>
      </c>
      <c r="B38" s="39">
        <f t="shared" si="4"/>
        <v>9</v>
      </c>
      <c r="C38" s="40">
        <f t="shared" si="5"/>
        <v>3</v>
      </c>
      <c r="D38" s="39">
        <f t="shared" si="6"/>
        <v>1</v>
      </c>
      <c r="E38" s="41">
        <f t="shared" si="7"/>
        <v>1</v>
      </c>
      <c r="F38" s="41">
        <f t="shared" si="8"/>
        <v>4</v>
      </c>
      <c r="G38" s="41">
        <f t="shared" si="9"/>
        <v>5</v>
      </c>
      <c r="H38" s="41">
        <f t="shared" si="10"/>
        <v>1</v>
      </c>
      <c r="I38" s="177">
        <f t="shared" si="0"/>
        <v>31</v>
      </c>
      <c r="J38" s="146" t="s">
        <v>27</v>
      </c>
      <c r="K38" s="180" t="s">
        <v>36</v>
      </c>
      <c r="L38" s="30" t="s">
        <v>38</v>
      </c>
      <c r="M38" s="30" t="s">
        <v>52</v>
      </c>
      <c r="N38" s="30" t="s">
        <v>0</v>
      </c>
      <c r="O38" s="30" t="s">
        <v>40</v>
      </c>
      <c r="P38" s="30" t="s">
        <v>40</v>
      </c>
      <c r="Q38" s="30" t="s">
        <v>40</v>
      </c>
      <c r="R38" s="32" t="s">
        <v>52</v>
      </c>
      <c r="S38" s="32" t="s">
        <v>1</v>
      </c>
      <c r="T38" s="44" t="s">
        <v>53</v>
      </c>
      <c r="U38" s="44" t="s">
        <v>0</v>
      </c>
      <c r="V38" s="32" t="s">
        <v>82</v>
      </c>
      <c r="W38" s="160" t="s">
        <v>36</v>
      </c>
      <c r="X38" s="160" t="s">
        <v>36</v>
      </c>
      <c r="Y38" s="53" t="s">
        <v>3</v>
      </c>
      <c r="Z38" s="30" t="s">
        <v>52</v>
      </c>
      <c r="AA38" s="30" t="s">
        <v>38</v>
      </c>
      <c r="AB38" s="30" t="s">
        <v>38</v>
      </c>
      <c r="AC38" s="30" t="s">
        <v>38</v>
      </c>
      <c r="AD38" s="30" t="s">
        <v>38</v>
      </c>
      <c r="AE38" s="30" t="s">
        <v>38</v>
      </c>
      <c r="AF38" s="41" t="s">
        <v>52</v>
      </c>
      <c r="AG38" s="160" t="s">
        <v>36</v>
      </c>
      <c r="AH38" s="160" t="s">
        <v>36</v>
      </c>
      <c r="AI38" s="160" t="s">
        <v>36</v>
      </c>
      <c r="AJ38" s="30" t="s">
        <v>38</v>
      </c>
      <c r="AK38" s="30" t="s">
        <v>38</v>
      </c>
      <c r="AL38" s="30" t="s">
        <v>38</v>
      </c>
      <c r="AM38" s="30" t="s">
        <v>0</v>
      </c>
      <c r="AN38" s="32" t="s">
        <v>52</v>
      </c>
      <c r="AO38" s="181" t="s">
        <v>36</v>
      </c>
      <c r="AP38" s="45">
        <v>0</v>
      </c>
      <c r="AQ38" s="46">
        <f t="shared" si="1"/>
        <v>0</v>
      </c>
      <c r="AR38" s="46">
        <v>0</v>
      </c>
      <c r="AS38" s="134">
        <f t="shared" si="11"/>
        <v>0</v>
      </c>
      <c r="AT38" s="139" t="s">
        <v>83</v>
      </c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</row>
    <row r="39" spans="1:226" ht="25.5" customHeight="1">
      <c r="A39" s="38">
        <f t="shared" si="3"/>
        <v>3</v>
      </c>
      <c r="B39" s="39">
        <f t="shared" si="4"/>
        <v>0</v>
      </c>
      <c r="C39" s="40">
        <f t="shared" si="5"/>
        <v>14</v>
      </c>
      <c r="D39" s="39">
        <f t="shared" si="6"/>
        <v>0</v>
      </c>
      <c r="E39" s="41">
        <f t="shared" si="7"/>
        <v>4</v>
      </c>
      <c r="F39" s="41">
        <f t="shared" si="8"/>
        <v>4</v>
      </c>
      <c r="G39" s="41">
        <f t="shared" si="9"/>
        <v>5</v>
      </c>
      <c r="H39" s="41">
        <f t="shared" si="10"/>
        <v>1</v>
      </c>
      <c r="I39" s="177">
        <f t="shared" si="0"/>
        <v>31</v>
      </c>
      <c r="J39" s="146" t="s">
        <v>57</v>
      </c>
      <c r="K39" s="122" t="s">
        <v>52</v>
      </c>
      <c r="L39" s="30" t="s">
        <v>40</v>
      </c>
      <c r="M39" s="30" t="s">
        <v>40</v>
      </c>
      <c r="N39" s="30" t="s">
        <v>40</v>
      </c>
      <c r="O39" s="30" t="s">
        <v>53</v>
      </c>
      <c r="P39" s="32" t="s">
        <v>82</v>
      </c>
      <c r="Q39" s="30" t="s">
        <v>40</v>
      </c>
      <c r="R39" s="30" t="s">
        <v>40</v>
      </c>
      <c r="S39" s="30" t="s">
        <v>40</v>
      </c>
      <c r="T39" s="30" t="s">
        <v>40</v>
      </c>
      <c r="U39" s="44" t="s">
        <v>0</v>
      </c>
      <c r="V39" s="30" t="s">
        <v>40</v>
      </c>
      <c r="W39" s="30" t="s">
        <v>40</v>
      </c>
      <c r="X39" s="30" t="s">
        <v>40</v>
      </c>
      <c r="Y39" s="160" t="s">
        <v>52</v>
      </c>
      <c r="Z39" s="30" t="s">
        <v>40</v>
      </c>
      <c r="AA39" s="30" t="s">
        <v>40</v>
      </c>
      <c r="AB39" s="30" t="s">
        <v>40</v>
      </c>
      <c r="AC39" s="30" t="s">
        <v>40</v>
      </c>
      <c r="AD39" s="30" t="s">
        <v>52</v>
      </c>
      <c r="AE39" s="30" t="s">
        <v>36</v>
      </c>
      <c r="AF39" s="30" t="s">
        <v>36</v>
      </c>
      <c r="AG39" s="30" t="s">
        <v>36</v>
      </c>
      <c r="AH39" s="44" t="s">
        <v>52</v>
      </c>
      <c r="AI39" s="44" t="s">
        <v>0</v>
      </c>
      <c r="AJ39" s="32" t="s">
        <v>1</v>
      </c>
      <c r="AK39" s="32" t="s">
        <v>1</v>
      </c>
      <c r="AL39" s="32" t="s">
        <v>1</v>
      </c>
      <c r="AM39" s="32" t="s">
        <v>1</v>
      </c>
      <c r="AN39" s="32" t="s">
        <v>82</v>
      </c>
      <c r="AO39" s="123" t="s">
        <v>52</v>
      </c>
      <c r="AP39" s="45">
        <v>0</v>
      </c>
      <c r="AQ39" s="46">
        <f t="shared" si="1"/>
        <v>0</v>
      </c>
      <c r="AR39" s="46">
        <v>0</v>
      </c>
      <c r="AS39" s="134">
        <f t="shared" si="11"/>
        <v>0</v>
      </c>
      <c r="AT39" s="139" t="s">
        <v>83</v>
      </c>
    </row>
    <row r="40" spans="1:226" ht="25.5" customHeight="1" thickBot="1">
      <c r="A40" s="69">
        <f t="shared" si="3"/>
        <v>7</v>
      </c>
      <c r="B40" s="70">
        <f t="shared" si="4"/>
        <v>2</v>
      </c>
      <c r="C40" s="71">
        <f t="shared" si="5"/>
        <v>5</v>
      </c>
      <c r="D40" s="70">
        <f t="shared" si="6"/>
        <v>5</v>
      </c>
      <c r="E40" s="63">
        <f t="shared" si="7"/>
        <v>2</v>
      </c>
      <c r="F40" s="63">
        <f t="shared" si="8"/>
        <v>4</v>
      </c>
      <c r="G40" s="63">
        <f t="shared" si="9"/>
        <v>5</v>
      </c>
      <c r="H40" s="63">
        <f t="shared" si="10"/>
        <v>1</v>
      </c>
      <c r="I40" s="178">
        <f t="shared" si="0"/>
        <v>31</v>
      </c>
      <c r="J40" s="159" t="s">
        <v>28</v>
      </c>
      <c r="K40" s="58" t="s">
        <v>36</v>
      </c>
      <c r="L40" s="60" t="s">
        <v>52</v>
      </c>
      <c r="M40" s="60" t="s">
        <v>40</v>
      </c>
      <c r="N40" s="60" t="s">
        <v>40</v>
      </c>
      <c r="O40" s="60" t="s">
        <v>0</v>
      </c>
      <c r="P40" s="60" t="s">
        <v>36</v>
      </c>
      <c r="Q40" s="60" t="s">
        <v>36</v>
      </c>
      <c r="R40" s="60" t="s">
        <v>36</v>
      </c>
      <c r="S40" s="52" t="s">
        <v>52</v>
      </c>
      <c r="T40" s="59" t="s">
        <v>53</v>
      </c>
      <c r="U40" s="59" t="s">
        <v>0</v>
      </c>
      <c r="V40" s="60" t="s">
        <v>36</v>
      </c>
      <c r="W40" s="60" t="s">
        <v>36</v>
      </c>
      <c r="X40" s="60" t="s">
        <v>36</v>
      </c>
      <c r="Y40" s="32" t="s">
        <v>86</v>
      </c>
      <c r="Z40" s="60" t="s">
        <v>52</v>
      </c>
      <c r="AA40" s="60" t="s">
        <v>40</v>
      </c>
      <c r="AB40" s="60" t="s">
        <v>40</v>
      </c>
      <c r="AC40" s="60" t="s">
        <v>0</v>
      </c>
      <c r="AD40" s="182" t="s">
        <v>3</v>
      </c>
      <c r="AE40" s="182" t="s">
        <v>3</v>
      </c>
      <c r="AF40" s="182" t="s">
        <v>3</v>
      </c>
      <c r="AG40" s="52" t="s">
        <v>86</v>
      </c>
      <c r="AH40" s="59" t="s">
        <v>52</v>
      </c>
      <c r="AI40" s="59" t="s">
        <v>0</v>
      </c>
      <c r="AJ40" s="182" t="s">
        <v>3</v>
      </c>
      <c r="AK40" s="182" t="s">
        <v>3</v>
      </c>
      <c r="AL40" s="60" t="s">
        <v>38</v>
      </c>
      <c r="AM40" s="60" t="s">
        <v>38</v>
      </c>
      <c r="AN40" s="60" t="s">
        <v>52</v>
      </c>
      <c r="AO40" s="60" t="s">
        <v>40</v>
      </c>
      <c r="AP40" s="73">
        <v>0</v>
      </c>
      <c r="AQ40" s="74">
        <f t="shared" si="1"/>
        <v>0</v>
      </c>
      <c r="AR40" s="74">
        <v>0</v>
      </c>
      <c r="AS40" s="127">
        <f t="shared" si="11"/>
        <v>0</v>
      </c>
      <c r="AT40" s="140" t="s">
        <v>83</v>
      </c>
    </row>
    <row r="41" spans="1:226" s="50" customFormat="1" ht="24.75" customHeight="1">
      <c r="A41" s="23">
        <f>COUNTIF(K41:AO41,1)+COUNTIF(K41:AO41,"早")+COUNTIF(K41:AO41,"M1")+COUNTIF(K41:AO41,"T早")+COUNTIF(K41:AO41,"日")</f>
        <v>3</v>
      </c>
      <c r="B41" s="24">
        <f>COUNTIF(K41:AO41,2)+COUNTIF(K41:AO41,"中")+COUNTIF(K41:AO41,"M2")+COUNTIF(K41:AO41,"T中")+COUNTIF(K41:AO41,"小夜")</f>
        <v>0</v>
      </c>
      <c r="C41" s="25">
        <f>COUNTIF(K41:AO41,3)+COUNTIF(K41:AO41,"晚")+COUNTIF(K41:AO41,"大夜")</f>
        <v>11</v>
      </c>
      <c r="D41" s="24">
        <f>COUNTIF(K41:AO41,"N")+COUNTIF(K41:AO41,"N8")</f>
        <v>3</v>
      </c>
      <c r="E41" s="26">
        <f>COUNTIF(K41:AO41,"S")</f>
        <v>4</v>
      </c>
      <c r="F41" s="26">
        <f>COUNTIF(K41:AO41,"X")</f>
        <v>10</v>
      </c>
      <c r="G41" s="26">
        <f>COUNTIF(K41:AO41,"Y")</f>
        <v>0</v>
      </c>
      <c r="H41" s="26">
        <f>COUNTIF(K41:AO41,"Z")</f>
        <v>0</v>
      </c>
      <c r="I41" s="27">
        <f>SUM(A41:H41)</f>
        <v>31</v>
      </c>
      <c r="J41" s="66" t="s">
        <v>98</v>
      </c>
      <c r="K41" s="163" t="s">
        <v>0</v>
      </c>
      <c r="L41" s="164" t="s">
        <v>55</v>
      </c>
      <c r="M41" s="164" t="s">
        <v>55</v>
      </c>
      <c r="N41" s="164" t="s">
        <v>55</v>
      </c>
      <c r="O41" s="164" t="s">
        <v>55</v>
      </c>
      <c r="P41" s="164" t="s">
        <v>55</v>
      </c>
      <c r="Q41" s="164" t="s">
        <v>0</v>
      </c>
      <c r="R41" s="32" t="s">
        <v>1</v>
      </c>
      <c r="S41" s="164" t="s">
        <v>54</v>
      </c>
      <c r="T41" s="165" t="s">
        <v>0</v>
      </c>
      <c r="U41" s="165" t="s">
        <v>0</v>
      </c>
      <c r="V41" s="164" t="s">
        <v>54</v>
      </c>
      <c r="W41" s="32" t="s">
        <v>1</v>
      </c>
      <c r="X41" s="164" t="s">
        <v>0</v>
      </c>
      <c r="Y41" s="32" t="s">
        <v>1</v>
      </c>
      <c r="Z41" s="164" t="s">
        <v>3</v>
      </c>
      <c r="AA41" s="165" t="s">
        <v>0</v>
      </c>
      <c r="AB41" s="165" t="s">
        <v>0</v>
      </c>
      <c r="AC41" s="164" t="s">
        <v>3</v>
      </c>
      <c r="AD41" s="164" t="s">
        <v>3</v>
      </c>
      <c r="AE41" s="164" t="s">
        <v>0</v>
      </c>
      <c r="AF41" s="164" t="s">
        <v>55</v>
      </c>
      <c r="AG41" s="164" t="s">
        <v>55</v>
      </c>
      <c r="AH41" s="164" t="s">
        <v>55</v>
      </c>
      <c r="AI41" s="164" t="s">
        <v>55</v>
      </c>
      <c r="AJ41" s="164" t="s">
        <v>55</v>
      </c>
      <c r="AK41" s="164" t="s">
        <v>55</v>
      </c>
      <c r="AL41" s="164" t="s">
        <v>0</v>
      </c>
      <c r="AM41" s="32" t="s">
        <v>1</v>
      </c>
      <c r="AN41" s="164" t="s">
        <v>54</v>
      </c>
      <c r="AO41" s="174" t="s">
        <v>0</v>
      </c>
      <c r="AP41" s="35">
        <v>0</v>
      </c>
      <c r="AQ41" s="36">
        <f t="shared" si="1"/>
        <v>0</v>
      </c>
      <c r="AR41" s="36">
        <v>0</v>
      </c>
      <c r="AS41" s="133">
        <f t="shared" si="11"/>
        <v>0</v>
      </c>
      <c r="AT41" s="138" t="s">
        <v>84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</row>
    <row r="42" spans="1:226" s="50" customFormat="1" ht="24.75" customHeight="1">
      <c r="A42" s="38">
        <f t="shared" ref="A42:A45" si="35">COUNTIF(K42:AO42,1)+COUNTIF(K42:AO42,"早")+COUNTIF(K42:AO42,"M1")+COUNTIF(K42:AO42,"T早")+COUNTIF(K42:AO42,"日")</f>
        <v>1</v>
      </c>
      <c r="B42" s="39">
        <f t="shared" ref="B42:B45" si="36">COUNTIF(K42:AO42,2)+COUNTIF(K42:AO42,"中")+COUNTIF(K42:AO42,"M2")+COUNTIF(K42:AO42,"T中")+COUNTIF(K42:AO42,"小夜")</f>
        <v>15</v>
      </c>
      <c r="C42" s="40">
        <f t="shared" ref="C42:C45" si="37">COUNTIF(K42:AO42,3)+COUNTIF(K42:AO42,"晚")+COUNTIF(K42:AO42,"大夜")</f>
        <v>0</v>
      </c>
      <c r="D42" s="39">
        <f t="shared" ref="D42:D45" si="38">COUNTIF(K42:AO42,"N")+COUNTIF(K42:AO42,"N8")</f>
        <v>5</v>
      </c>
      <c r="E42" s="41">
        <f t="shared" ref="E42:E45" si="39">COUNTIF(K42:AO42,"S")</f>
        <v>0</v>
      </c>
      <c r="F42" s="41">
        <f t="shared" ref="F42:F45" si="40">COUNTIF(K42:AO42,"X")</f>
        <v>10</v>
      </c>
      <c r="G42" s="41">
        <f t="shared" ref="G42:G45" si="41">COUNTIF(K42:AO42,"Y")</f>
        <v>0</v>
      </c>
      <c r="H42" s="41">
        <f t="shared" ref="H42:H45" si="42">COUNTIF(K42:AO42,"Z")</f>
        <v>0</v>
      </c>
      <c r="I42" s="42">
        <f t="shared" ref="I42:I45" si="43">SUM(A42:H42)</f>
        <v>31</v>
      </c>
      <c r="J42" s="67" t="s">
        <v>29</v>
      </c>
      <c r="K42" s="49" t="s">
        <v>0</v>
      </c>
      <c r="L42" s="30" t="s">
        <v>56</v>
      </c>
      <c r="M42" s="44" t="s">
        <v>0</v>
      </c>
      <c r="N42" s="44" t="s">
        <v>0</v>
      </c>
      <c r="O42" s="30" t="s">
        <v>56</v>
      </c>
      <c r="P42" s="30" t="s">
        <v>56</v>
      </c>
      <c r="Q42" s="30" t="s">
        <v>56</v>
      </c>
      <c r="R42" s="30" t="s">
        <v>56</v>
      </c>
      <c r="S42" s="30" t="s">
        <v>0</v>
      </c>
      <c r="T42" s="30" t="s">
        <v>56</v>
      </c>
      <c r="U42" s="30" t="s">
        <v>56</v>
      </c>
      <c r="V42" s="30" t="s">
        <v>56</v>
      </c>
      <c r="W42" s="30" t="s">
        <v>0</v>
      </c>
      <c r="X42" s="30" t="s">
        <v>56</v>
      </c>
      <c r="Y42" s="30" t="s">
        <v>56</v>
      </c>
      <c r="Z42" s="30" t="s">
        <v>56</v>
      </c>
      <c r="AA42" s="44" t="s">
        <v>0</v>
      </c>
      <c r="AB42" s="44" t="s">
        <v>0</v>
      </c>
      <c r="AC42" s="32" t="s">
        <v>0</v>
      </c>
      <c r="AD42" s="30" t="s">
        <v>3</v>
      </c>
      <c r="AE42" s="30" t="s">
        <v>54</v>
      </c>
      <c r="AF42" s="30" t="s">
        <v>3</v>
      </c>
      <c r="AG42" s="30" t="s">
        <v>3</v>
      </c>
      <c r="AH42" s="30" t="s">
        <v>56</v>
      </c>
      <c r="AI42" s="30" t="s">
        <v>56</v>
      </c>
      <c r="AJ42" s="41" t="s">
        <v>0</v>
      </c>
      <c r="AK42" s="30" t="s">
        <v>3</v>
      </c>
      <c r="AL42" s="30" t="s">
        <v>3</v>
      </c>
      <c r="AM42" s="30" t="s">
        <v>56</v>
      </c>
      <c r="AN42" s="30" t="s">
        <v>56</v>
      </c>
      <c r="AO42" s="123" t="s">
        <v>0</v>
      </c>
      <c r="AP42" s="45">
        <v>0</v>
      </c>
      <c r="AQ42" s="46">
        <f t="shared" si="1"/>
        <v>0</v>
      </c>
      <c r="AR42" s="46">
        <v>0</v>
      </c>
      <c r="AS42" s="134">
        <f t="shared" si="11"/>
        <v>0</v>
      </c>
      <c r="AT42" s="139" t="s">
        <v>84</v>
      </c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</row>
    <row r="43" spans="1:226" ht="25.5" customHeight="1">
      <c r="A43" s="38">
        <f t="shared" si="35"/>
        <v>10</v>
      </c>
      <c r="B43" s="39">
        <f t="shared" si="36"/>
        <v>0</v>
      </c>
      <c r="C43" s="40">
        <f t="shared" si="37"/>
        <v>6</v>
      </c>
      <c r="D43" s="39">
        <f t="shared" si="38"/>
        <v>3</v>
      </c>
      <c r="E43" s="41">
        <f t="shared" si="39"/>
        <v>2</v>
      </c>
      <c r="F43" s="41">
        <f t="shared" si="40"/>
        <v>10</v>
      </c>
      <c r="G43" s="41">
        <f t="shared" si="41"/>
        <v>0</v>
      </c>
      <c r="H43" s="41">
        <f t="shared" si="42"/>
        <v>0</v>
      </c>
      <c r="I43" s="42">
        <f t="shared" si="43"/>
        <v>31</v>
      </c>
      <c r="J43" s="68" t="s">
        <v>30</v>
      </c>
      <c r="K43" s="49" t="s">
        <v>54</v>
      </c>
      <c r="L43" s="30" t="s">
        <v>54</v>
      </c>
      <c r="M43" s="44" t="s">
        <v>0</v>
      </c>
      <c r="N43" s="44" t="s">
        <v>0</v>
      </c>
      <c r="O43" s="30" t="s">
        <v>0</v>
      </c>
      <c r="P43" s="30" t="s">
        <v>3</v>
      </c>
      <c r="Q43" s="32" t="s">
        <v>86</v>
      </c>
      <c r="R43" s="30" t="s">
        <v>3</v>
      </c>
      <c r="S43" s="32" t="s">
        <v>86</v>
      </c>
      <c r="T43" s="30" t="s">
        <v>54</v>
      </c>
      <c r="U43" s="30" t="s">
        <v>54</v>
      </c>
      <c r="V43" s="30" t="s">
        <v>0</v>
      </c>
      <c r="W43" s="30" t="s">
        <v>54</v>
      </c>
      <c r="X43" s="30" t="s">
        <v>54</v>
      </c>
      <c r="Y43" s="30" t="s">
        <v>54</v>
      </c>
      <c r="Z43" s="30" t="s">
        <v>54</v>
      </c>
      <c r="AA43" s="44" t="s">
        <v>0</v>
      </c>
      <c r="AB43" s="44" t="s">
        <v>0</v>
      </c>
      <c r="AC43" s="30" t="s">
        <v>55</v>
      </c>
      <c r="AD43" s="30" t="s">
        <v>55</v>
      </c>
      <c r="AE43" s="30" t="s">
        <v>55</v>
      </c>
      <c r="AF43" s="30" t="s">
        <v>0</v>
      </c>
      <c r="AG43" s="30" t="s">
        <v>3</v>
      </c>
      <c r="AH43" s="30" t="s">
        <v>54</v>
      </c>
      <c r="AI43" s="30" t="s">
        <v>54</v>
      </c>
      <c r="AJ43" s="30" t="s">
        <v>0</v>
      </c>
      <c r="AK43" s="41" t="s">
        <v>0</v>
      </c>
      <c r="AL43" s="30" t="s">
        <v>55</v>
      </c>
      <c r="AM43" s="30" t="s">
        <v>55</v>
      </c>
      <c r="AN43" s="30" t="s">
        <v>55</v>
      </c>
      <c r="AO43" s="123" t="s">
        <v>0</v>
      </c>
      <c r="AP43" s="45">
        <v>0</v>
      </c>
      <c r="AQ43" s="46">
        <f t="shared" si="1"/>
        <v>0</v>
      </c>
      <c r="AR43" s="46">
        <v>0</v>
      </c>
      <c r="AS43" s="134">
        <f t="shared" si="11"/>
        <v>0</v>
      </c>
      <c r="AT43" s="139" t="s">
        <v>84</v>
      </c>
    </row>
    <row r="44" spans="1:226" s="50" customFormat="1" ht="25.2" customHeight="1">
      <c r="A44" s="38">
        <f t="shared" si="35"/>
        <v>7</v>
      </c>
      <c r="B44" s="39">
        <f t="shared" si="36"/>
        <v>7</v>
      </c>
      <c r="C44" s="40">
        <f t="shared" si="37"/>
        <v>2</v>
      </c>
      <c r="D44" s="39">
        <f t="shared" si="38"/>
        <v>5</v>
      </c>
      <c r="E44" s="41">
        <f t="shared" si="39"/>
        <v>0</v>
      </c>
      <c r="F44" s="41">
        <f t="shared" si="40"/>
        <v>10</v>
      </c>
      <c r="G44" s="41">
        <f t="shared" si="41"/>
        <v>0</v>
      </c>
      <c r="H44" s="41">
        <f t="shared" si="42"/>
        <v>0</v>
      </c>
      <c r="I44" s="42">
        <f t="shared" si="43"/>
        <v>31</v>
      </c>
      <c r="J44" s="68" t="s">
        <v>31</v>
      </c>
      <c r="K44" s="49" t="s">
        <v>55</v>
      </c>
      <c r="L44" s="45" t="s">
        <v>0</v>
      </c>
      <c r="M44" s="30" t="s">
        <v>56</v>
      </c>
      <c r="N44" s="30" t="s">
        <v>56</v>
      </c>
      <c r="O44" s="30" t="s">
        <v>0</v>
      </c>
      <c r="P44" s="30" t="s">
        <v>54</v>
      </c>
      <c r="Q44" s="30" t="s">
        <v>54</v>
      </c>
      <c r="R44" s="30" t="s">
        <v>0</v>
      </c>
      <c r="S44" s="30" t="s">
        <v>56</v>
      </c>
      <c r="T44" s="44" t="s">
        <v>0</v>
      </c>
      <c r="U44" s="44" t="s">
        <v>0</v>
      </c>
      <c r="V44" s="30" t="s">
        <v>55</v>
      </c>
      <c r="W44" s="30" t="s">
        <v>3</v>
      </c>
      <c r="X44" s="30" t="s">
        <v>3</v>
      </c>
      <c r="Y44" s="30" t="s">
        <v>3</v>
      </c>
      <c r="Z44" s="30" t="s">
        <v>0</v>
      </c>
      <c r="AA44" s="30" t="s">
        <v>54</v>
      </c>
      <c r="AB44" s="30" t="s">
        <v>54</v>
      </c>
      <c r="AC44" s="30" t="s">
        <v>54</v>
      </c>
      <c r="AD44" s="30" t="s">
        <v>0</v>
      </c>
      <c r="AE44" s="30" t="s">
        <v>56</v>
      </c>
      <c r="AF44" s="30" t="s">
        <v>56</v>
      </c>
      <c r="AG44" s="30" t="s">
        <v>56</v>
      </c>
      <c r="AH44" s="44" t="s">
        <v>0</v>
      </c>
      <c r="AI44" s="44" t="s">
        <v>0</v>
      </c>
      <c r="AJ44" s="30" t="s">
        <v>54</v>
      </c>
      <c r="AK44" s="30" t="s">
        <v>54</v>
      </c>
      <c r="AL44" s="30" t="s">
        <v>3</v>
      </c>
      <c r="AM44" s="30" t="s">
        <v>3</v>
      </c>
      <c r="AN44" s="30" t="s">
        <v>0</v>
      </c>
      <c r="AO44" s="48" t="s">
        <v>56</v>
      </c>
      <c r="AP44" s="45">
        <v>0</v>
      </c>
      <c r="AQ44" s="46">
        <f t="shared" si="1"/>
        <v>0</v>
      </c>
      <c r="AR44" s="46">
        <v>0</v>
      </c>
      <c r="AS44" s="134">
        <f t="shared" si="11"/>
        <v>0</v>
      </c>
      <c r="AT44" s="139" t="s">
        <v>83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</row>
    <row r="45" spans="1:226" s="50" customFormat="1" ht="25.2" customHeight="1">
      <c r="A45" s="38">
        <f t="shared" si="35"/>
        <v>7</v>
      </c>
      <c r="B45" s="39">
        <f t="shared" si="36"/>
        <v>0</v>
      </c>
      <c r="C45" s="40">
        <f t="shared" si="37"/>
        <v>9</v>
      </c>
      <c r="D45" s="39">
        <f t="shared" si="38"/>
        <v>5</v>
      </c>
      <c r="E45" s="41">
        <f t="shared" si="39"/>
        <v>0</v>
      </c>
      <c r="F45" s="41">
        <f t="shared" si="40"/>
        <v>10</v>
      </c>
      <c r="G45" s="41">
        <f t="shared" si="41"/>
        <v>0</v>
      </c>
      <c r="H45" s="41">
        <f t="shared" si="42"/>
        <v>0</v>
      </c>
      <c r="I45" s="42">
        <f t="shared" si="43"/>
        <v>31</v>
      </c>
      <c r="J45" s="68" t="s">
        <v>32</v>
      </c>
      <c r="K45" s="122" t="s">
        <v>0</v>
      </c>
      <c r="L45" s="32" t="s">
        <v>0</v>
      </c>
      <c r="M45" s="44" t="s">
        <v>0</v>
      </c>
      <c r="N45" s="44" t="s">
        <v>0</v>
      </c>
      <c r="O45" s="30" t="s">
        <v>54</v>
      </c>
      <c r="P45" s="30" t="s">
        <v>3</v>
      </c>
      <c r="Q45" s="30" t="s">
        <v>3</v>
      </c>
      <c r="R45" s="30" t="s">
        <v>54</v>
      </c>
      <c r="S45" s="30" t="s">
        <v>0</v>
      </c>
      <c r="T45" s="30" t="s">
        <v>55</v>
      </c>
      <c r="U45" s="30" t="s">
        <v>55</v>
      </c>
      <c r="V45" s="30" t="s">
        <v>0</v>
      </c>
      <c r="W45" s="30" t="s">
        <v>55</v>
      </c>
      <c r="X45" s="30" t="s">
        <v>55</v>
      </c>
      <c r="Y45" s="30" t="s">
        <v>55</v>
      </c>
      <c r="Z45" s="30" t="s">
        <v>55</v>
      </c>
      <c r="AA45" s="30" t="s">
        <v>55</v>
      </c>
      <c r="AB45" s="30" t="s">
        <v>55</v>
      </c>
      <c r="AC45" s="30" t="s">
        <v>0</v>
      </c>
      <c r="AD45" s="30" t="s">
        <v>54</v>
      </c>
      <c r="AE45" s="30" t="s">
        <v>3</v>
      </c>
      <c r="AF45" s="30" t="s">
        <v>54</v>
      </c>
      <c r="AG45" s="30" t="s">
        <v>54</v>
      </c>
      <c r="AH45" s="44" t="s">
        <v>0</v>
      </c>
      <c r="AI45" s="44" t="s">
        <v>0</v>
      </c>
      <c r="AJ45" s="30" t="s">
        <v>3</v>
      </c>
      <c r="AK45" s="30" t="s">
        <v>3</v>
      </c>
      <c r="AL45" s="30" t="s">
        <v>54</v>
      </c>
      <c r="AM45" s="30" t="s">
        <v>54</v>
      </c>
      <c r="AN45" s="30" t="s">
        <v>0</v>
      </c>
      <c r="AO45" s="30" t="s">
        <v>55</v>
      </c>
      <c r="AP45" s="45">
        <v>0</v>
      </c>
      <c r="AQ45" s="46">
        <f t="shared" si="1"/>
        <v>0</v>
      </c>
      <c r="AR45" s="46">
        <v>0</v>
      </c>
      <c r="AS45" s="134">
        <f t="shared" si="11"/>
        <v>0</v>
      </c>
      <c r="AT45" s="139" t="s">
        <v>83</v>
      </c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</row>
    <row r="46" spans="1:226" s="50" customFormat="1" ht="25.5" customHeight="1" thickBot="1">
      <c r="A46" s="38">
        <f t="shared" ref="A46" si="44">COUNTIF(K46:AO46,1)+COUNTIF(K46:AO46,"早")+COUNTIF(K46:AO46,"M1")+COUNTIF(K46:AO46,"T早")+COUNTIF(K46:AO46,"日")</f>
        <v>3</v>
      </c>
      <c r="B46" s="39">
        <f t="shared" ref="B46" si="45">COUNTIF(K46:AO46,2)+COUNTIF(K46:AO46,"中")+COUNTIF(K46:AO46,"M2")+COUNTIF(K46:AO46,"T中")+COUNTIF(K46:AO46,"小夜")</f>
        <v>9</v>
      </c>
      <c r="C46" s="40">
        <f t="shared" ref="C46" si="46">COUNTIF(K46:AO46,3)+COUNTIF(K46:AO46,"晚")+COUNTIF(K46:AO46,"大夜")</f>
        <v>3</v>
      </c>
      <c r="D46" s="39">
        <f t="shared" ref="D46" si="47">COUNTIF(K46:AO46,"N")+COUNTIF(K46:AO46,"N8")</f>
        <v>3</v>
      </c>
      <c r="E46" s="41">
        <f t="shared" ref="E46" si="48">COUNTIF(K46:AO46,"S")</f>
        <v>3</v>
      </c>
      <c r="F46" s="41">
        <f t="shared" ref="F46" si="49">COUNTIF(K46:AO46,"X")</f>
        <v>10</v>
      </c>
      <c r="G46" s="41">
        <f t="shared" ref="G46" si="50">COUNTIF(K46:AO46,"Y")</f>
        <v>0</v>
      </c>
      <c r="H46" s="41">
        <f t="shared" ref="H46" si="51">COUNTIF(K46:AO46,"Z")</f>
        <v>0</v>
      </c>
      <c r="I46" s="42">
        <f t="shared" ref="I46" si="52">SUM(A46:H46)</f>
        <v>31</v>
      </c>
      <c r="J46" s="72" t="s">
        <v>33</v>
      </c>
      <c r="K46" s="58" t="s">
        <v>56</v>
      </c>
      <c r="L46" s="63" t="s">
        <v>0</v>
      </c>
      <c r="M46" s="60" t="s">
        <v>54</v>
      </c>
      <c r="N46" s="60" t="s">
        <v>54</v>
      </c>
      <c r="O46" s="60" t="s">
        <v>3</v>
      </c>
      <c r="P46" s="60" t="s">
        <v>0</v>
      </c>
      <c r="Q46" s="60" t="s">
        <v>55</v>
      </c>
      <c r="R46" s="60" t="s">
        <v>55</v>
      </c>
      <c r="S46" s="60" t="s">
        <v>55</v>
      </c>
      <c r="T46" s="59" t="s">
        <v>0</v>
      </c>
      <c r="U46" s="59" t="s">
        <v>0</v>
      </c>
      <c r="V46" s="60" t="s">
        <v>3</v>
      </c>
      <c r="W46" s="60" t="s">
        <v>56</v>
      </c>
      <c r="X46" s="44" t="s">
        <v>0</v>
      </c>
      <c r="Y46" s="60" t="s">
        <v>0</v>
      </c>
      <c r="Z46" s="60" t="s">
        <v>3</v>
      </c>
      <c r="AA46" s="60" t="s">
        <v>56</v>
      </c>
      <c r="AB46" s="60" t="s">
        <v>56</v>
      </c>
      <c r="AC46" s="60" t="s">
        <v>56</v>
      </c>
      <c r="AD46" s="60" t="s">
        <v>56</v>
      </c>
      <c r="AE46" s="60" t="s">
        <v>0</v>
      </c>
      <c r="AF46" s="52" t="s">
        <v>1</v>
      </c>
      <c r="AG46" s="52" t="s">
        <v>1</v>
      </c>
      <c r="AH46" s="52" t="s">
        <v>1</v>
      </c>
      <c r="AI46" s="59" t="s">
        <v>0</v>
      </c>
      <c r="AJ46" s="60" t="s">
        <v>56</v>
      </c>
      <c r="AK46" s="60" t="s">
        <v>56</v>
      </c>
      <c r="AL46" s="60" t="s">
        <v>56</v>
      </c>
      <c r="AM46" s="60" t="s">
        <v>0</v>
      </c>
      <c r="AN46" s="60" t="s">
        <v>0</v>
      </c>
      <c r="AO46" s="61" t="s">
        <v>54</v>
      </c>
      <c r="AP46" s="73">
        <v>0</v>
      </c>
      <c r="AQ46" s="74">
        <f t="shared" si="1"/>
        <v>0</v>
      </c>
      <c r="AR46" s="74">
        <v>0</v>
      </c>
      <c r="AS46" s="127">
        <f t="shared" si="11"/>
        <v>0</v>
      </c>
      <c r="AT46" s="140" t="s">
        <v>83</v>
      </c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</row>
    <row r="47" spans="1:226" s="77" customFormat="1" ht="18" customHeight="1">
      <c r="A47" s="75"/>
      <c r="B47" s="75"/>
      <c r="C47" s="75"/>
      <c r="D47" s="75"/>
      <c r="E47" s="76"/>
      <c r="I47" s="75"/>
      <c r="J47" s="78">
        <v>1</v>
      </c>
      <c r="K47" s="128" cm="2">
        <f t="array" ref="K47">SUMPRODUCT(COUNTIF(K4:K46,{"1";"M1"}))</f>
        <v>3</v>
      </c>
      <c r="L47" s="128" cm="2">
        <f t="array" ref="L47">SUMPRODUCT(COUNTIF(L4:L46,{"1";"M1"}))</f>
        <v>4</v>
      </c>
      <c r="M47" s="128" cm="2">
        <f t="array" ref="M47">SUMPRODUCT(COUNTIF(M4:M46,{"1";"M1"}))</f>
        <v>3</v>
      </c>
      <c r="N47" s="128" cm="2">
        <f t="array" ref="N47">SUMPRODUCT(COUNTIF(N4:N46,{"1";"M1"}))</f>
        <v>3</v>
      </c>
      <c r="O47" s="128" cm="2">
        <f t="array" ref="O47">SUMPRODUCT(COUNTIF(O4:O46,{"1";"M1"}))</f>
        <v>4</v>
      </c>
      <c r="P47" s="128" cm="2">
        <f t="array" ref="P47">SUMPRODUCT(COUNTIF(P4:P46,{"1";"M1"}))</f>
        <v>4</v>
      </c>
      <c r="Q47" s="128" cm="2">
        <f t="array" ref="Q47">SUMPRODUCT(COUNTIF(Q4:Q46,{"1";"M1"}))</f>
        <v>4</v>
      </c>
      <c r="R47" s="128" cm="2">
        <f t="array" ref="R47">SUMPRODUCT(COUNTIF(R4:R46,{"1";"M1"}))</f>
        <v>4</v>
      </c>
      <c r="S47" s="128" cm="2">
        <f t="array" ref="S47">SUMPRODUCT(COUNTIF(S4:S46,{"1";"M1"}))</f>
        <v>4</v>
      </c>
      <c r="T47" s="128" cm="2">
        <f t="array" ref="T47">SUMPRODUCT(COUNTIF(T4:T46,{"1";"M1"}))</f>
        <v>3</v>
      </c>
      <c r="U47" s="128" cm="2">
        <f t="array" ref="U47">SUMPRODUCT(COUNTIF(U4:U46,{"1";"M1"}))</f>
        <v>3</v>
      </c>
      <c r="V47" s="128" cm="2">
        <f t="array" ref="V47">SUMPRODUCT(COUNTIF(V4:V46,{"1";"M1"}))</f>
        <v>4</v>
      </c>
      <c r="W47" s="128" cm="2">
        <f t="array" ref="W47">SUMPRODUCT(COUNTIF(W4:W46,{"1";"M1"}))</f>
        <v>4</v>
      </c>
      <c r="X47" s="128" cm="2">
        <f t="array" ref="X47">SUMPRODUCT(COUNTIF(X4:X46,{"1";"M1"}))</f>
        <v>4</v>
      </c>
      <c r="Y47" s="128" cm="2">
        <f t="array" ref="Y47">SUMPRODUCT(COUNTIF(Y4:Y46,{"1";"M1"}))</f>
        <v>4</v>
      </c>
      <c r="Z47" s="128" cm="2">
        <f t="array" ref="Z47">SUMPRODUCT(COUNTIF(Z4:Z46,{"1";"M1"}))</f>
        <v>4</v>
      </c>
      <c r="AA47" s="128" cm="2">
        <f t="array" ref="AA47">SUMPRODUCT(COUNTIF(AA4:AA46,{"1";"M1"}))</f>
        <v>3</v>
      </c>
      <c r="AB47" s="128" cm="2">
        <f t="array" ref="AB47">SUMPRODUCT(COUNTIF(AB4:AB46,{"1";"M1"}))</f>
        <v>3</v>
      </c>
      <c r="AC47" s="128" cm="2">
        <f t="array" ref="AC47">SUMPRODUCT(COUNTIF(AC4:AC46,{"1";"M1"}))</f>
        <v>4</v>
      </c>
      <c r="AD47" s="128" cm="2">
        <f t="array" ref="AD47">SUMPRODUCT(COUNTIF(AD4:AD46,{"1";"M1"}))</f>
        <v>4</v>
      </c>
      <c r="AE47" s="128" cm="2">
        <f t="array" ref="AE47">SUMPRODUCT(COUNTIF(AE4:AE46,{"1";"M1"}))</f>
        <v>4</v>
      </c>
      <c r="AF47" s="128" cm="2">
        <f t="array" ref="AF47">SUMPRODUCT(COUNTIF(AF4:AF46,{"1";"M1"}))</f>
        <v>4</v>
      </c>
      <c r="AG47" s="128" cm="2">
        <f t="array" ref="AG47">SUMPRODUCT(COUNTIF(AG4:AG46,{"1";"M1"}))</f>
        <v>4</v>
      </c>
      <c r="AH47" s="128" cm="2">
        <f t="array" ref="AH47">SUMPRODUCT(COUNTIF(AH4:AH46,{"1";"M1"}))</f>
        <v>3</v>
      </c>
      <c r="AI47" s="128" cm="2">
        <f t="array" ref="AI47">SUMPRODUCT(COUNTIF(AI4:AI46,{"1";"M1"}))</f>
        <v>3</v>
      </c>
      <c r="AJ47" s="128" cm="2">
        <f t="array" ref="AJ47">SUMPRODUCT(COUNTIF(AJ4:AJ46,{"1";"M1"}))</f>
        <v>4</v>
      </c>
      <c r="AK47" s="128" cm="2">
        <f t="array" ref="AK47">SUMPRODUCT(COUNTIF(AK4:AK46,{"1";"M1"}))</f>
        <v>4</v>
      </c>
      <c r="AL47" s="128" cm="2">
        <f t="array" ref="AL47">SUMPRODUCT(COUNTIF(AL4:AL46,{"1";"M1"}))</f>
        <v>4</v>
      </c>
      <c r="AM47" s="128" cm="2">
        <f t="array" ref="AM47">SUMPRODUCT(COUNTIF(AM4:AM46,{"1";"M1"}))</f>
        <v>4</v>
      </c>
      <c r="AN47" s="128" cm="2">
        <f t="array" ref="AN47">SUMPRODUCT(COUNTIF(AN4:AN46,{"1";"M1"}))</f>
        <v>4</v>
      </c>
      <c r="AO47" s="128" cm="2">
        <f t="array" ref="AO47">SUMPRODUCT(COUNTIF(AO4:AO46,{"1";"M1"}))</f>
        <v>3</v>
      </c>
      <c r="AQ47" s="50"/>
      <c r="AR47" s="6"/>
      <c r="AS47" s="75"/>
      <c r="AT47" s="79"/>
    </row>
    <row r="48" spans="1:226" s="77" customFormat="1" ht="18" customHeight="1">
      <c r="A48" s="80"/>
      <c r="B48" s="80"/>
      <c r="C48" s="81"/>
      <c r="D48" s="81"/>
      <c r="E48" s="75"/>
      <c r="I48" s="81"/>
      <c r="J48" s="82">
        <v>2</v>
      </c>
      <c r="K48" s="129" cm="2">
        <f t="array" ref="K48">SUMPRODUCT(COUNTIF(K4:K46,{"2";"M2"}))</f>
        <v>3</v>
      </c>
      <c r="L48" s="129" cm="2">
        <f t="array" ref="L48">SUMPRODUCT(COUNTIF(L4:L46,{"2";"M2"}))</f>
        <v>4</v>
      </c>
      <c r="M48" s="129" cm="2">
        <f t="array" ref="M48">SUMPRODUCT(COUNTIF(M4:M46,{"2";"M2"}))</f>
        <v>3</v>
      </c>
      <c r="N48" s="129" cm="2">
        <f t="array" ref="N48">SUMPRODUCT(COUNTIF(N4:N46,{"2";"M2"}))</f>
        <v>3</v>
      </c>
      <c r="O48" s="129" cm="2">
        <f t="array" ref="O48">SUMPRODUCT(COUNTIF(O4:O46,{"2";"M2"}))</f>
        <v>4</v>
      </c>
      <c r="P48" s="129" cm="2">
        <f t="array" ref="P48">SUMPRODUCT(COUNTIF(P4:P46,{"2";"M2"}))</f>
        <v>4</v>
      </c>
      <c r="Q48" s="129" cm="2">
        <f t="array" ref="Q48">SUMPRODUCT(COUNTIF(Q4:Q46,{"2";"M2"}))</f>
        <v>4</v>
      </c>
      <c r="R48" s="129" cm="2">
        <f t="array" ref="R48">SUMPRODUCT(COUNTIF(R4:R46,{"2";"M2"}))</f>
        <v>4</v>
      </c>
      <c r="S48" s="129" cm="2">
        <f t="array" ref="S48">SUMPRODUCT(COUNTIF(S4:S46,{"2";"M2"}))</f>
        <v>4</v>
      </c>
      <c r="T48" s="129" cm="2">
        <f t="array" ref="T48">SUMPRODUCT(COUNTIF(T4:T46,{"2";"M2"}))</f>
        <v>3</v>
      </c>
      <c r="U48" s="129" cm="2">
        <f t="array" ref="U48">SUMPRODUCT(COUNTIF(U4:U46,{"2";"M2"}))</f>
        <v>3</v>
      </c>
      <c r="V48" s="129" cm="2">
        <f t="array" ref="V48">SUMPRODUCT(COUNTIF(V4:V46,{"2";"M2"}))</f>
        <v>4</v>
      </c>
      <c r="W48" s="129" cm="2">
        <f t="array" ref="W48">SUMPRODUCT(COUNTIF(W4:W46,{"2";"M2"}))</f>
        <v>4</v>
      </c>
      <c r="X48" s="129" cm="2">
        <f t="array" ref="X48">SUMPRODUCT(COUNTIF(X4:X46,{"2";"M2"}))</f>
        <v>4</v>
      </c>
      <c r="Y48" s="129" cm="2">
        <f t="array" ref="Y48">SUMPRODUCT(COUNTIF(Y4:Y46,{"2";"M2"}))</f>
        <v>4</v>
      </c>
      <c r="Z48" s="129" cm="2">
        <f t="array" ref="Z48">SUMPRODUCT(COUNTIF(Z4:Z46,{"2";"M2"}))</f>
        <v>4</v>
      </c>
      <c r="AA48" s="129" cm="2">
        <f t="array" ref="AA48">SUMPRODUCT(COUNTIF(AA4:AA46,{"2";"M2"}))</f>
        <v>3</v>
      </c>
      <c r="AB48" s="129" cm="2">
        <f t="array" ref="AB48">SUMPRODUCT(COUNTIF(AB4:AB46,{"2";"M2"}))</f>
        <v>3</v>
      </c>
      <c r="AC48" s="129" cm="2">
        <f t="array" ref="AC48">SUMPRODUCT(COUNTIF(AC4:AC46,{"2";"M2"}))</f>
        <v>4</v>
      </c>
      <c r="AD48" s="129" cm="2">
        <f t="array" ref="AD48">SUMPRODUCT(COUNTIF(AD4:AD46,{"2";"M2"}))</f>
        <v>4</v>
      </c>
      <c r="AE48" s="129" cm="2">
        <f t="array" ref="AE48">SUMPRODUCT(COUNTIF(AE4:AE46,{"2";"M2"}))</f>
        <v>4</v>
      </c>
      <c r="AF48" s="129" cm="2">
        <f t="array" ref="AF48">SUMPRODUCT(COUNTIF(AF4:AF46,{"2";"M2"}))</f>
        <v>4</v>
      </c>
      <c r="AG48" s="129" cm="2">
        <f t="array" ref="AG48">SUMPRODUCT(COUNTIF(AG4:AG46,{"2";"M2"}))</f>
        <v>4</v>
      </c>
      <c r="AH48" s="129" cm="2">
        <f t="array" ref="AH48">SUMPRODUCT(COUNTIF(AH4:AH46,{"2";"M2"}))</f>
        <v>3</v>
      </c>
      <c r="AI48" s="129" cm="2">
        <f t="array" ref="AI48">SUMPRODUCT(COUNTIF(AI4:AI46,{"2";"M2"}))</f>
        <v>3</v>
      </c>
      <c r="AJ48" s="129" cm="2">
        <f t="array" ref="AJ48">SUMPRODUCT(COUNTIF(AJ4:AJ46,{"2";"M2"}))</f>
        <v>4</v>
      </c>
      <c r="AK48" s="129" cm="2">
        <f t="array" ref="AK48">SUMPRODUCT(COUNTIF(AK4:AK46,{"2";"M2"}))</f>
        <v>4</v>
      </c>
      <c r="AL48" s="129" cm="2">
        <f t="array" ref="AL48">SUMPRODUCT(COUNTIF(AL4:AL46,{"2";"M2"}))</f>
        <v>4</v>
      </c>
      <c r="AM48" s="129" cm="2">
        <f t="array" ref="AM48">SUMPRODUCT(COUNTIF(AM4:AM46,{"2";"M2"}))</f>
        <v>4</v>
      </c>
      <c r="AN48" s="129" cm="2">
        <f t="array" ref="AN48">SUMPRODUCT(COUNTIF(AN4:AN46,{"2";"M2"}))</f>
        <v>4</v>
      </c>
      <c r="AO48" s="129" cm="2">
        <f t="array" ref="AO48">SUMPRODUCT(COUNTIF(AO4:AO46,{"2";"M2"}))</f>
        <v>3</v>
      </c>
      <c r="AQ48" s="50"/>
      <c r="AR48" s="6" t="s">
        <v>34</v>
      </c>
      <c r="AS48" s="75" t="s">
        <v>35</v>
      </c>
      <c r="AT48" s="84"/>
    </row>
    <row r="49" spans="1:47" s="77" customFormat="1" ht="18" customHeight="1" thickBot="1">
      <c r="A49" s="80"/>
      <c r="B49" s="80"/>
      <c r="C49" s="81"/>
      <c r="D49" s="81"/>
      <c r="E49" s="75"/>
      <c r="I49" s="81"/>
      <c r="J49" s="85">
        <v>3</v>
      </c>
      <c r="K49" s="130">
        <f t="shared" ref="K49:AO49" si="53">COUNTIF(K4:K46,3)</f>
        <v>2</v>
      </c>
      <c r="L49" s="130">
        <f t="shared" si="53"/>
        <v>3</v>
      </c>
      <c r="M49" s="130">
        <f t="shared" si="53"/>
        <v>2</v>
      </c>
      <c r="N49" s="130">
        <f t="shared" si="53"/>
        <v>2</v>
      </c>
      <c r="O49" s="130">
        <f t="shared" si="53"/>
        <v>3</v>
      </c>
      <c r="P49" s="130">
        <f t="shared" si="53"/>
        <v>3</v>
      </c>
      <c r="Q49" s="130">
        <f t="shared" si="53"/>
        <v>3</v>
      </c>
      <c r="R49" s="130">
        <f t="shared" si="53"/>
        <v>3</v>
      </c>
      <c r="S49" s="130">
        <f t="shared" si="53"/>
        <v>3</v>
      </c>
      <c r="T49" s="130">
        <f t="shared" si="53"/>
        <v>2</v>
      </c>
      <c r="U49" s="130">
        <f t="shared" si="53"/>
        <v>2</v>
      </c>
      <c r="V49" s="130">
        <f t="shared" si="53"/>
        <v>3</v>
      </c>
      <c r="W49" s="130">
        <f t="shared" si="53"/>
        <v>3</v>
      </c>
      <c r="X49" s="130">
        <f t="shared" si="53"/>
        <v>3</v>
      </c>
      <c r="Y49" s="130">
        <f t="shared" si="53"/>
        <v>3</v>
      </c>
      <c r="Z49" s="130">
        <f t="shared" si="53"/>
        <v>3</v>
      </c>
      <c r="AA49" s="130">
        <f t="shared" si="53"/>
        <v>2</v>
      </c>
      <c r="AB49" s="130">
        <f t="shared" si="53"/>
        <v>2</v>
      </c>
      <c r="AC49" s="130">
        <f t="shared" si="53"/>
        <v>3</v>
      </c>
      <c r="AD49" s="130">
        <f t="shared" si="53"/>
        <v>3</v>
      </c>
      <c r="AE49" s="130">
        <f t="shared" si="53"/>
        <v>3</v>
      </c>
      <c r="AF49" s="130">
        <f t="shared" si="53"/>
        <v>3</v>
      </c>
      <c r="AG49" s="130">
        <f t="shared" si="53"/>
        <v>3</v>
      </c>
      <c r="AH49" s="130">
        <f t="shared" si="53"/>
        <v>2</v>
      </c>
      <c r="AI49" s="130">
        <f t="shared" si="53"/>
        <v>2</v>
      </c>
      <c r="AJ49" s="130">
        <f t="shared" si="53"/>
        <v>3</v>
      </c>
      <c r="AK49" s="130">
        <f t="shared" si="53"/>
        <v>3</v>
      </c>
      <c r="AL49" s="130">
        <f t="shared" si="53"/>
        <v>3</v>
      </c>
      <c r="AM49" s="130">
        <f t="shared" si="53"/>
        <v>3</v>
      </c>
      <c r="AN49" s="130">
        <f t="shared" si="53"/>
        <v>3</v>
      </c>
      <c r="AO49" s="130">
        <f t="shared" si="53"/>
        <v>2</v>
      </c>
      <c r="AQ49" s="75" t="s">
        <v>65</v>
      </c>
      <c r="AR49" s="75">
        <f>37*31</f>
        <v>1147</v>
      </c>
      <c r="AS49" s="75">
        <f>6*31</f>
        <v>186</v>
      </c>
      <c r="AT49" s="84"/>
    </row>
    <row r="50" spans="1:47" s="77" customFormat="1" ht="18" customHeight="1">
      <c r="A50" s="80"/>
      <c r="B50" s="80"/>
      <c r="C50" s="81"/>
      <c r="D50" s="81"/>
      <c r="E50" s="75"/>
      <c r="I50" s="81"/>
      <c r="J50" s="86" t="s">
        <v>36</v>
      </c>
      <c r="K50" s="128" cm="2">
        <f t="array" ref="K50">SUMPRODUCT(COUNTIF(K4:K46,{"早";"T早"}))</f>
        <v>3</v>
      </c>
      <c r="L50" s="128" cm="2">
        <f t="array" ref="L50">SUMPRODUCT(COUNTIF(L4:L46,{"早";"T早"}))</f>
        <v>5</v>
      </c>
      <c r="M50" s="128" cm="2">
        <f t="array" ref="M50">SUMPRODUCT(COUNTIF(M4:M46,{"早";"T早"}))</f>
        <v>3</v>
      </c>
      <c r="N50" s="128" cm="2">
        <f t="array" ref="N50">SUMPRODUCT(COUNTIF(N4:N46,{"早";"T早"}))</f>
        <v>3</v>
      </c>
      <c r="O50" s="128" cm="2">
        <f t="array" ref="O50">SUMPRODUCT(COUNTIF(O4:O46,{"早";"T早"}))</f>
        <v>5</v>
      </c>
      <c r="P50" s="128" cm="2">
        <f t="array" ref="P50">SUMPRODUCT(COUNTIF(P4:P46,{"早";"T早"}))</f>
        <v>5</v>
      </c>
      <c r="Q50" s="128" cm="2">
        <f t="array" ref="Q50">SUMPRODUCT(COUNTIF(Q4:Q46,{"早";"T早"}))</f>
        <v>5</v>
      </c>
      <c r="R50" s="128" cm="2">
        <f t="array" ref="R50">SUMPRODUCT(COUNTIF(R4:R46,{"早";"T早"}))</f>
        <v>5</v>
      </c>
      <c r="S50" s="128" cm="2">
        <f t="array" ref="S50">SUMPRODUCT(COUNTIF(S4:S46,{"早";"T早"}))</f>
        <v>5</v>
      </c>
      <c r="T50" s="128" cm="2">
        <f t="array" ref="T50">SUMPRODUCT(COUNTIF(T4:T46,{"早";"T早"}))</f>
        <v>3</v>
      </c>
      <c r="U50" s="128" cm="2">
        <f t="array" ref="U50">SUMPRODUCT(COUNTIF(U4:U46,{"早";"T早"}))</f>
        <v>3</v>
      </c>
      <c r="V50" s="128" cm="2">
        <f t="array" ref="V50">SUMPRODUCT(COUNTIF(V4:V46,{"早";"T早"}))</f>
        <v>5</v>
      </c>
      <c r="W50" s="128" cm="2">
        <f t="array" ref="W50">SUMPRODUCT(COUNTIF(W4:W46,{"早";"T早"}))</f>
        <v>5</v>
      </c>
      <c r="X50" s="128" cm="2">
        <f t="array" ref="X50">SUMPRODUCT(COUNTIF(X4:X46,{"早";"T早"}))</f>
        <v>5</v>
      </c>
      <c r="Y50" s="128" cm="2">
        <f t="array" ref="Y50">SUMPRODUCT(COUNTIF(Y4:Y46,{"早";"T早"}))</f>
        <v>5</v>
      </c>
      <c r="Z50" s="128" cm="2">
        <f t="array" ref="Z50">SUMPRODUCT(COUNTIF(Z4:Z46,{"早";"T早"}))</f>
        <v>5</v>
      </c>
      <c r="AA50" s="128" cm="2">
        <f t="array" ref="AA50">SUMPRODUCT(COUNTIF(AA4:AA46,{"早";"T早"}))</f>
        <v>3</v>
      </c>
      <c r="AB50" s="128" cm="2">
        <f t="array" ref="AB50">SUMPRODUCT(COUNTIF(AB4:AB46,{"早";"T早"}))</f>
        <v>3</v>
      </c>
      <c r="AC50" s="128" cm="2">
        <f t="array" ref="AC50">SUMPRODUCT(COUNTIF(AC4:AC46,{"早";"T早"}))</f>
        <v>5</v>
      </c>
      <c r="AD50" s="128" cm="2">
        <f t="array" ref="AD50">SUMPRODUCT(COUNTIF(AD4:AD46,{"早";"T早"}))</f>
        <v>5</v>
      </c>
      <c r="AE50" s="128" cm="2">
        <f t="array" ref="AE50">SUMPRODUCT(COUNTIF(AE4:AE46,{"早";"T早"}))</f>
        <v>5</v>
      </c>
      <c r="AF50" s="128" cm="2">
        <f t="array" ref="AF50">SUMPRODUCT(COUNTIF(AF4:AF46,{"早";"T早"}))</f>
        <v>5</v>
      </c>
      <c r="AG50" s="128" cm="2">
        <f t="array" ref="AG50">SUMPRODUCT(COUNTIF(AG4:AG46,{"早";"T早"}))</f>
        <v>5</v>
      </c>
      <c r="AH50" s="128" cm="2">
        <f t="array" ref="AH50">SUMPRODUCT(COUNTIF(AH4:AH46,{"早";"T早"}))</f>
        <v>3</v>
      </c>
      <c r="AI50" s="128" cm="2">
        <f t="array" ref="AI50">SUMPRODUCT(COUNTIF(AI4:AI46,{"早";"T早"}))</f>
        <v>3</v>
      </c>
      <c r="AJ50" s="128" cm="2">
        <f t="array" ref="AJ50">SUMPRODUCT(COUNTIF(AJ4:AJ46,{"早";"T早"}))</f>
        <v>5</v>
      </c>
      <c r="AK50" s="128" cm="2">
        <f t="array" ref="AK50">SUMPRODUCT(COUNTIF(AK4:AK46,{"早";"T早"}))</f>
        <v>5</v>
      </c>
      <c r="AL50" s="128" cm="2">
        <f t="array" ref="AL50">SUMPRODUCT(COUNTIF(AL4:AL46,{"早";"T早"}))</f>
        <v>5</v>
      </c>
      <c r="AM50" s="128" cm="2">
        <f t="array" ref="AM50">SUMPRODUCT(COUNTIF(AM4:AM46,{"早";"T早"}))</f>
        <v>5</v>
      </c>
      <c r="AN50" s="128" cm="2">
        <f t="array" ref="AN50">SUMPRODUCT(COUNTIF(AN4:AN46,{"早";"T早"}))</f>
        <v>5</v>
      </c>
      <c r="AO50" s="128" cm="2">
        <f t="array" ref="AO50">SUMPRODUCT(COUNTIF(AO4:AO46,{"早";"T早"}))</f>
        <v>3</v>
      </c>
      <c r="AQ50" s="87" t="s">
        <v>37</v>
      </c>
      <c r="AR50" s="75">
        <f>22*(31-I1)</f>
        <v>462</v>
      </c>
      <c r="AS50" s="75">
        <f>3*(31-I1)</f>
        <v>63</v>
      </c>
      <c r="AU50" s="84"/>
    </row>
    <row r="51" spans="1:47" s="77" customFormat="1" ht="18" customHeight="1">
      <c r="A51" s="80"/>
      <c r="B51" s="80"/>
      <c r="C51" s="81"/>
      <c r="D51" s="81"/>
      <c r="E51" s="75"/>
      <c r="I51" s="81"/>
      <c r="J51" s="88" t="s">
        <v>38</v>
      </c>
      <c r="K51" s="129" cm="2">
        <f t="array" ref="K51">SUMPRODUCT(COUNTIF(K4:K46,{"中";"T中"}))</f>
        <v>3</v>
      </c>
      <c r="L51" s="129" cm="2">
        <f t="array" ref="L51">SUMPRODUCT(COUNTIF(L4:L46,{"中";"T中"}))</f>
        <v>3</v>
      </c>
      <c r="M51" s="129" cm="2">
        <f t="array" ref="M51">SUMPRODUCT(COUNTIF(M4:M46,{"中";"T中"}))</f>
        <v>3</v>
      </c>
      <c r="N51" s="129" cm="2">
        <f t="array" ref="N51">SUMPRODUCT(COUNTIF(N4:N46,{"中";"T中"}))</f>
        <v>3</v>
      </c>
      <c r="O51" s="129" cm="2">
        <f t="array" ref="O51">SUMPRODUCT(COUNTIF(O4:O46,{"中";"T中"}))</f>
        <v>3</v>
      </c>
      <c r="P51" s="129" cm="2">
        <f t="array" ref="P51">SUMPRODUCT(COUNTIF(P4:P46,{"中";"T中"}))</f>
        <v>3</v>
      </c>
      <c r="Q51" s="129" cm="2">
        <f t="array" ref="Q51">SUMPRODUCT(COUNTIF(Q4:Q46,{"中";"T中"}))</f>
        <v>3</v>
      </c>
      <c r="R51" s="129" cm="2">
        <f t="array" ref="R51">SUMPRODUCT(COUNTIF(R4:R46,{"中";"T中"}))</f>
        <v>3</v>
      </c>
      <c r="S51" s="129" cm="2">
        <f t="array" ref="S51">SUMPRODUCT(COUNTIF(S4:S46,{"中";"T中"}))</f>
        <v>3</v>
      </c>
      <c r="T51" s="129" cm="2">
        <f t="array" ref="T51">SUMPRODUCT(COUNTIF(T4:T46,{"中";"T中"}))</f>
        <v>3</v>
      </c>
      <c r="U51" s="129" cm="2">
        <f t="array" ref="U51">SUMPRODUCT(COUNTIF(U4:U46,{"中";"T中"}))</f>
        <v>3</v>
      </c>
      <c r="V51" s="129" cm="2">
        <f t="array" ref="V51">SUMPRODUCT(COUNTIF(V4:V46,{"中";"T中"}))</f>
        <v>3</v>
      </c>
      <c r="W51" s="129" cm="2">
        <f t="array" ref="W51">SUMPRODUCT(COUNTIF(W4:W46,{"中";"T中"}))</f>
        <v>3</v>
      </c>
      <c r="X51" s="129" cm="2">
        <f t="array" ref="X51">SUMPRODUCT(COUNTIF(X4:X46,{"中";"T中"}))</f>
        <v>3</v>
      </c>
      <c r="Y51" s="129" cm="2">
        <f t="array" ref="Y51">SUMPRODUCT(COUNTIF(Y4:Y46,{"中";"T中"}))</f>
        <v>3</v>
      </c>
      <c r="Z51" s="129" cm="2">
        <f t="array" ref="Z51">SUMPRODUCT(COUNTIF(Z4:Z46,{"中";"T中"}))</f>
        <v>3</v>
      </c>
      <c r="AA51" s="129" cm="2">
        <f t="array" ref="AA51">SUMPRODUCT(COUNTIF(AA4:AA46,{"中";"T中"}))</f>
        <v>3</v>
      </c>
      <c r="AB51" s="129" cm="2">
        <f t="array" ref="AB51">SUMPRODUCT(COUNTIF(AB4:AB46,{"中";"T中"}))</f>
        <v>3</v>
      </c>
      <c r="AC51" s="129" cm="2">
        <f t="array" ref="AC51">SUMPRODUCT(COUNTIF(AC4:AC46,{"中";"T中"}))</f>
        <v>3</v>
      </c>
      <c r="AD51" s="129" cm="2">
        <f t="array" ref="AD51">SUMPRODUCT(COUNTIF(AD4:AD46,{"中";"T中"}))</f>
        <v>3</v>
      </c>
      <c r="AE51" s="129" cm="2">
        <f t="array" ref="AE51">SUMPRODUCT(COUNTIF(AE4:AE46,{"中";"T中"}))</f>
        <v>3</v>
      </c>
      <c r="AF51" s="129" cm="2">
        <f t="array" ref="AF51">SUMPRODUCT(COUNTIF(AF4:AF46,{"中";"T中"}))</f>
        <v>3</v>
      </c>
      <c r="AG51" s="129" cm="2">
        <f t="array" ref="AG51">SUMPRODUCT(COUNTIF(AG4:AG46,{"中";"T中"}))</f>
        <v>3</v>
      </c>
      <c r="AH51" s="129" cm="2">
        <f t="array" ref="AH51">SUMPRODUCT(COUNTIF(AH4:AH46,{"中";"T中"}))</f>
        <v>3</v>
      </c>
      <c r="AI51" s="129" cm="2">
        <f t="array" ref="AI51">SUMPRODUCT(COUNTIF(AI4:AI46,{"中";"T中"}))</f>
        <v>3</v>
      </c>
      <c r="AJ51" s="129" cm="2">
        <f t="array" ref="AJ51">SUMPRODUCT(COUNTIF(AJ4:AJ46,{"中";"T中"}))</f>
        <v>3</v>
      </c>
      <c r="AK51" s="129" cm="2">
        <f t="array" ref="AK51">SUMPRODUCT(COUNTIF(AK4:AK46,{"中";"T中"}))</f>
        <v>3</v>
      </c>
      <c r="AL51" s="129" cm="2">
        <f t="array" ref="AL51">SUMPRODUCT(COUNTIF(AL4:AL46,{"中";"T中"}))</f>
        <v>3</v>
      </c>
      <c r="AM51" s="129" cm="2">
        <f t="array" ref="AM51">SUMPRODUCT(COUNTIF(AM4:AM46,{"中";"T中"}))</f>
        <v>3</v>
      </c>
      <c r="AN51" s="129" cm="2">
        <f t="array" ref="AN51">SUMPRODUCT(COUNTIF(AN4:AN46,{"中";"T中"}))</f>
        <v>3</v>
      </c>
      <c r="AO51" s="129" cm="2">
        <f t="array" ref="AO51">SUMPRODUCT(COUNTIF(AO4:AO46,{"中";"T中"}))</f>
        <v>3</v>
      </c>
      <c r="AQ51" s="87" t="s">
        <v>39</v>
      </c>
      <c r="AR51" s="75">
        <f>16*I1</f>
        <v>160</v>
      </c>
      <c r="AS51" s="75">
        <f>3*I1</f>
        <v>30</v>
      </c>
      <c r="AU51" s="89"/>
    </row>
    <row r="52" spans="1:47" s="77" customFormat="1" ht="18" customHeight="1" thickBot="1">
      <c r="A52" s="80"/>
      <c r="B52" s="80"/>
      <c r="C52" s="81"/>
      <c r="D52" s="81"/>
      <c r="E52" s="75"/>
      <c r="I52" s="81"/>
      <c r="J52" s="90" t="s">
        <v>40</v>
      </c>
      <c r="K52" s="130">
        <f t="shared" ref="K52:AO52" si="54">COUNTIF(K4:K46,"晚")</f>
        <v>2</v>
      </c>
      <c r="L52" s="130">
        <f t="shared" si="54"/>
        <v>3</v>
      </c>
      <c r="M52" s="130">
        <f t="shared" si="54"/>
        <v>2</v>
      </c>
      <c r="N52" s="130">
        <f t="shared" si="54"/>
        <v>2</v>
      </c>
      <c r="O52" s="130">
        <f t="shared" si="54"/>
        <v>3</v>
      </c>
      <c r="P52" s="130">
        <f t="shared" si="54"/>
        <v>3</v>
      </c>
      <c r="Q52" s="130">
        <f t="shared" si="54"/>
        <v>3</v>
      </c>
      <c r="R52" s="130">
        <f t="shared" si="54"/>
        <v>3</v>
      </c>
      <c r="S52" s="130">
        <f t="shared" si="54"/>
        <v>3</v>
      </c>
      <c r="T52" s="130">
        <f t="shared" si="54"/>
        <v>2</v>
      </c>
      <c r="U52" s="130">
        <f t="shared" si="54"/>
        <v>2</v>
      </c>
      <c r="V52" s="130">
        <f t="shared" si="54"/>
        <v>3</v>
      </c>
      <c r="W52" s="130">
        <f t="shared" si="54"/>
        <v>3</v>
      </c>
      <c r="X52" s="130">
        <f t="shared" si="54"/>
        <v>3</v>
      </c>
      <c r="Y52" s="130">
        <f t="shared" si="54"/>
        <v>3</v>
      </c>
      <c r="Z52" s="130">
        <f t="shared" si="54"/>
        <v>3</v>
      </c>
      <c r="AA52" s="130">
        <f t="shared" si="54"/>
        <v>2</v>
      </c>
      <c r="AB52" s="130">
        <f t="shared" si="54"/>
        <v>2</v>
      </c>
      <c r="AC52" s="130">
        <f t="shared" si="54"/>
        <v>3</v>
      </c>
      <c r="AD52" s="130">
        <f t="shared" si="54"/>
        <v>3</v>
      </c>
      <c r="AE52" s="130">
        <f t="shared" si="54"/>
        <v>3</v>
      </c>
      <c r="AF52" s="130">
        <f t="shared" si="54"/>
        <v>3</v>
      </c>
      <c r="AG52" s="130">
        <f t="shared" si="54"/>
        <v>3</v>
      </c>
      <c r="AH52" s="130">
        <f t="shared" si="54"/>
        <v>2</v>
      </c>
      <c r="AI52" s="130">
        <f t="shared" si="54"/>
        <v>2</v>
      </c>
      <c r="AJ52" s="130">
        <f t="shared" si="54"/>
        <v>3</v>
      </c>
      <c r="AK52" s="130">
        <f t="shared" si="54"/>
        <v>3</v>
      </c>
      <c r="AL52" s="130">
        <f t="shared" si="54"/>
        <v>3</v>
      </c>
      <c r="AM52" s="130">
        <f t="shared" si="54"/>
        <v>3</v>
      </c>
      <c r="AN52" s="130">
        <f t="shared" si="54"/>
        <v>3</v>
      </c>
      <c r="AO52" s="130">
        <f t="shared" si="54"/>
        <v>2</v>
      </c>
      <c r="AQ52" s="75" t="s">
        <v>0</v>
      </c>
      <c r="AR52" s="91">
        <f>37*I1</f>
        <v>370</v>
      </c>
      <c r="AS52" s="75">
        <f>6*I1</f>
        <v>60</v>
      </c>
    </row>
    <row r="53" spans="1:47" s="77" customFormat="1" ht="18" customHeight="1">
      <c r="A53" s="80"/>
      <c r="B53" s="80"/>
      <c r="C53" s="81"/>
      <c r="D53" s="81"/>
      <c r="E53" s="75"/>
      <c r="I53" s="81"/>
      <c r="J53" s="86" t="s">
        <v>70</v>
      </c>
      <c r="K53" s="128">
        <f t="shared" ref="K53:AO53" si="55">COUNTIF(K4:K46,"日")</f>
        <v>1</v>
      </c>
      <c r="L53" s="128">
        <f t="shared" si="55"/>
        <v>1</v>
      </c>
      <c r="M53" s="128">
        <f t="shared" si="55"/>
        <v>1</v>
      </c>
      <c r="N53" s="128">
        <f t="shared" si="55"/>
        <v>1</v>
      </c>
      <c r="O53" s="128">
        <f t="shared" si="55"/>
        <v>1</v>
      </c>
      <c r="P53" s="128">
        <f t="shared" si="55"/>
        <v>1</v>
      </c>
      <c r="Q53" s="128">
        <f t="shared" si="55"/>
        <v>1</v>
      </c>
      <c r="R53" s="128">
        <f t="shared" si="55"/>
        <v>1</v>
      </c>
      <c r="S53" s="128">
        <f t="shared" si="55"/>
        <v>1</v>
      </c>
      <c r="T53" s="128">
        <f t="shared" si="55"/>
        <v>1</v>
      </c>
      <c r="U53" s="128">
        <f t="shared" si="55"/>
        <v>1</v>
      </c>
      <c r="V53" s="128">
        <f t="shared" si="55"/>
        <v>1</v>
      </c>
      <c r="W53" s="128">
        <f t="shared" si="55"/>
        <v>1</v>
      </c>
      <c r="X53" s="128">
        <f t="shared" si="55"/>
        <v>1</v>
      </c>
      <c r="Y53" s="128">
        <f t="shared" si="55"/>
        <v>1</v>
      </c>
      <c r="Z53" s="128">
        <f t="shared" si="55"/>
        <v>1</v>
      </c>
      <c r="AA53" s="128">
        <f t="shared" si="55"/>
        <v>1</v>
      </c>
      <c r="AB53" s="128">
        <f t="shared" si="55"/>
        <v>1</v>
      </c>
      <c r="AC53" s="128">
        <f t="shared" si="55"/>
        <v>1</v>
      </c>
      <c r="AD53" s="128">
        <f t="shared" si="55"/>
        <v>1</v>
      </c>
      <c r="AE53" s="128">
        <f t="shared" si="55"/>
        <v>1</v>
      </c>
      <c r="AF53" s="128">
        <f t="shared" si="55"/>
        <v>1</v>
      </c>
      <c r="AG53" s="128">
        <f t="shared" si="55"/>
        <v>1</v>
      </c>
      <c r="AH53" s="128">
        <f t="shared" si="55"/>
        <v>1</v>
      </c>
      <c r="AI53" s="128">
        <f t="shared" si="55"/>
        <v>1</v>
      </c>
      <c r="AJ53" s="128">
        <f t="shared" si="55"/>
        <v>1</v>
      </c>
      <c r="AK53" s="128">
        <f t="shared" si="55"/>
        <v>1</v>
      </c>
      <c r="AL53" s="128">
        <f t="shared" si="55"/>
        <v>1</v>
      </c>
      <c r="AM53" s="128">
        <f t="shared" si="55"/>
        <v>1</v>
      </c>
      <c r="AN53" s="128">
        <f t="shared" si="55"/>
        <v>1</v>
      </c>
      <c r="AO53" s="128">
        <f t="shared" si="55"/>
        <v>1</v>
      </c>
      <c r="AQ53" s="50" t="s">
        <v>60</v>
      </c>
      <c r="AR53" s="91" cm="1">
        <f t="array" ref="AR53">SUMPRODUCT(COUNTIF(K4:AO40,{"N";"N8"}))</f>
        <v>92</v>
      </c>
      <c r="AS53" s="91" cm="2">
        <f t="array" ref="AS53">SUMPRODUCT(COUNTIF(K41:AO46,{"N";"N8"}))</f>
        <v>24</v>
      </c>
    </row>
    <row r="54" spans="1:47" s="77" customFormat="1" ht="18" customHeight="1">
      <c r="A54" s="80"/>
      <c r="B54" s="80"/>
      <c r="C54" s="81"/>
      <c r="D54" s="81"/>
      <c r="E54" s="75"/>
      <c r="I54" s="81"/>
      <c r="J54" s="88" t="s">
        <v>99</v>
      </c>
      <c r="K54" s="129">
        <f t="shared" ref="K54:AO54" si="56">COUNTIF(K4:K46,"小夜")</f>
        <v>1</v>
      </c>
      <c r="L54" s="129">
        <f t="shared" si="56"/>
        <v>1</v>
      </c>
      <c r="M54" s="129">
        <f t="shared" si="56"/>
        <v>1</v>
      </c>
      <c r="N54" s="129">
        <f t="shared" si="56"/>
        <v>1</v>
      </c>
      <c r="O54" s="129">
        <f t="shared" si="56"/>
        <v>1</v>
      </c>
      <c r="P54" s="129">
        <f t="shared" si="56"/>
        <v>1</v>
      </c>
      <c r="Q54" s="129">
        <f t="shared" si="56"/>
        <v>1</v>
      </c>
      <c r="R54" s="129">
        <f t="shared" si="56"/>
        <v>1</v>
      </c>
      <c r="S54" s="129">
        <f t="shared" si="56"/>
        <v>1</v>
      </c>
      <c r="T54" s="129">
        <f t="shared" si="56"/>
        <v>1</v>
      </c>
      <c r="U54" s="129">
        <f t="shared" si="56"/>
        <v>1</v>
      </c>
      <c r="V54" s="129">
        <f t="shared" si="56"/>
        <v>1</v>
      </c>
      <c r="W54" s="129">
        <f t="shared" si="56"/>
        <v>1</v>
      </c>
      <c r="X54" s="129">
        <f t="shared" si="56"/>
        <v>1</v>
      </c>
      <c r="Y54" s="129">
        <f t="shared" si="56"/>
        <v>1</v>
      </c>
      <c r="Z54" s="129">
        <f t="shared" si="56"/>
        <v>1</v>
      </c>
      <c r="AA54" s="129">
        <f t="shared" si="56"/>
        <v>1</v>
      </c>
      <c r="AB54" s="129">
        <f t="shared" si="56"/>
        <v>1</v>
      </c>
      <c r="AC54" s="129">
        <f t="shared" si="56"/>
        <v>1</v>
      </c>
      <c r="AD54" s="129">
        <f t="shared" si="56"/>
        <v>1</v>
      </c>
      <c r="AE54" s="129">
        <f t="shared" si="56"/>
        <v>1</v>
      </c>
      <c r="AF54" s="129">
        <f t="shared" si="56"/>
        <v>1</v>
      </c>
      <c r="AG54" s="129">
        <f t="shared" si="56"/>
        <v>1</v>
      </c>
      <c r="AH54" s="129">
        <f t="shared" si="56"/>
        <v>1</v>
      </c>
      <c r="AI54" s="129">
        <f t="shared" si="56"/>
        <v>1</v>
      </c>
      <c r="AJ54" s="129">
        <f t="shared" si="56"/>
        <v>1</v>
      </c>
      <c r="AK54" s="129">
        <f t="shared" si="56"/>
        <v>1</v>
      </c>
      <c r="AL54" s="129">
        <f t="shared" si="56"/>
        <v>1</v>
      </c>
      <c r="AM54" s="129">
        <f t="shared" si="56"/>
        <v>1</v>
      </c>
      <c r="AN54" s="129">
        <f t="shared" si="56"/>
        <v>1</v>
      </c>
      <c r="AO54" s="129">
        <f t="shared" si="56"/>
        <v>1</v>
      </c>
      <c r="AQ54" s="50" t="s">
        <v>61</v>
      </c>
      <c r="AR54" s="92">
        <f>SUMPRODUCT(COUNTIF(K4:AO40,{"S"}))</f>
        <v>62</v>
      </c>
      <c r="AS54" s="75" cm="2">
        <f t="array" ref="AS54">SUMPRODUCT(COUNTIF(K41:AO46,{"S"}))</f>
        <v>9</v>
      </c>
    </row>
    <row r="55" spans="1:47" s="77" customFormat="1" ht="18" customHeight="1" thickBot="1">
      <c r="A55" s="80"/>
      <c r="B55" s="80"/>
      <c r="C55" s="81"/>
      <c r="D55" s="81"/>
      <c r="E55" s="75"/>
      <c r="I55" s="81"/>
      <c r="J55" s="90" t="s">
        <v>100</v>
      </c>
      <c r="K55" s="130">
        <f t="shared" ref="K55:AO55" si="57">COUNTIF(K7:K49,"大夜")</f>
        <v>1</v>
      </c>
      <c r="L55" s="130">
        <f t="shared" si="57"/>
        <v>1</v>
      </c>
      <c r="M55" s="130">
        <f t="shared" si="57"/>
        <v>1</v>
      </c>
      <c r="N55" s="130">
        <f t="shared" si="57"/>
        <v>1</v>
      </c>
      <c r="O55" s="130">
        <f t="shared" si="57"/>
        <v>1</v>
      </c>
      <c r="P55" s="130">
        <f t="shared" si="57"/>
        <v>1</v>
      </c>
      <c r="Q55" s="130">
        <f t="shared" si="57"/>
        <v>1</v>
      </c>
      <c r="R55" s="130">
        <f t="shared" si="57"/>
        <v>1</v>
      </c>
      <c r="S55" s="130">
        <f t="shared" si="57"/>
        <v>1</v>
      </c>
      <c r="T55" s="130">
        <f t="shared" si="57"/>
        <v>1</v>
      </c>
      <c r="U55" s="130">
        <f t="shared" si="57"/>
        <v>1</v>
      </c>
      <c r="V55" s="130">
        <f t="shared" si="57"/>
        <v>1</v>
      </c>
      <c r="W55" s="130">
        <f t="shared" si="57"/>
        <v>1</v>
      </c>
      <c r="X55" s="130">
        <f t="shared" si="57"/>
        <v>1</v>
      </c>
      <c r="Y55" s="130">
        <f t="shared" si="57"/>
        <v>1</v>
      </c>
      <c r="Z55" s="130">
        <f t="shared" si="57"/>
        <v>1</v>
      </c>
      <c r="AA55" s="130">
        <f t="shared" si="57"/>
        <v>1</v>
      </c>
      <c r="AB55" s="130">
        <f t="shared" si="57"/>
        <v>1</v>
      </c>
      <c r="AC55" s="130">
        <f t="shared" si="57"/>
        <v>1</v>
      </c>
      <c r="AD55" s="130">
        <f t="shared" si="57"/>
        <v>1</v>
      </c>
      <c r="AE55" s="130">
        <f t="shared" si="57"/>
        <v>1</v>
      </c>
      <c r="AF55" s="130">
        <f t="shared" si="57"/>
        <v>1</v>
      </c>
      <c r="AG55" s="130">
        <f t="shared" si="57"/>
        <v>1</v>
      </c>
      <c r="AH55" s="130">
        <f t="shared" si="57"/>
        <v>1</v>
      </c>
      <c r="AI55" s="130">
        <f t="shared" si="57"/>
        <v>1</v>
      </c>
      <c r="AJ55" s="130">
        <f t="shared" si="57"/>
        <v>1</v>
      </c>
      <c r="AK55" s="130">
        <f t="shared" si="57"/>
        <v>1</v>
      </c>
      <c r="AL55" s="130">
        <f t="shared" si="57"/>
        <v>1</v>
      </c>
      <c r="AM55" s="130">
        <f t="shared" si="57"/>
        <v>1</v>
      </c>
      <c r="AN55" s="130">
        <f t="shared" si="57"/>
        <v>1</v>
      </c>
      <c r="AO55" s="130">
        <f t="shared" si="57"/>
        <v>1</v>
      </c>
      <c r="AQ55" s="93" t="s">
        <v>101</v>
      </c>
      <c r="AR55" s="94">
        <v>0</v>
      </c>
      <c r="AS55" s="75">
        <v>0</v>
      </c>
    </row>
    <row r="56" spans="1:47" s="77" customFormat="1" ht="18" customHeight="1" thickBot="1">
      <c r="A56" s="80"/>
      <c r="B56" s="80"/>
      <c r="C56" s="81"/>
      <c r="D56" s="81"/>
      <c r="E56" s="75"/>
      <c r="I56" s="81"/>
      <c r="J56" s="95" t="s">
        <v>41</v>
      </c>
      <c r="K56" s="96">
        <f t="shared" ref="K56:AO56" si="58">COUNTIF(K4:K46,"N")+COUNTIF(K4:K46,"N8")</f>
        <v>0</v>
      </c>
      <c r="L56" s="96">
        <f t="shared" si="58"/>
        <v>3</v>
      </c>
      <c r="M56" s="96">
        <f t="shared" si="58"/>
        <v>0</v>
      </c>
      <c r="N56" s="96">
        <f t="shared" si="58"/>
        <v>0</v>
      </c>
      <c r="O56" s="96">
        <f t="shared" si="58"/>
        <v>6</v>
      </c>
      <c r="P56" s="96">
        <f t="shared" si="58"/>
        <v>8</v>
      </c>
      <c r="Q56" s="96">
        <f t="shared" si="58"/>
        <v>5</v>
      </c>
      <c r="R56" s="96">
        <f t="shared" si="58"/>
        <v>4</v>
      </c>
      <c r="S56" s="96">
        <f t="shared" si="58"/>
        <v>7</v>
      </c>
      <c r="T56" s="96">
        <f t="shared" si="58"/>
        <v>0</v>
      </c>
      <c r="U56" s="96">
        <f t="shared" si="58"/>
        <v>0</v>
      </c>
      <c r="V56" s="96">
        <f t="shared" si="58"/>
        <v>5</v>
      </c>
      <c r="W56" s="96">
        <f t="shared" si="58"/>
        <v>8</v>
      </c>
      <c r="X56" s="96">
        <f t="shared" si="58"/>
        <v>6</v>
      </c>
      <c r="Y56" s="96">
        <f t="shared" si="58"/>
        <v>6</v>
      </c>
      <c r="Z56" s="96">
        <f t="shared" si="58"/>
        <v>4</v>
      </c>
      <c r="AA56" s="96">
        <f t="shared" si="58"/>
        <v>0</v>
      </c>
      <c r="AB56" s="96">
        <f t="shared" si="58"/>
        <v>0</v>
      </c>
      <c r="AC56" s="96">
        <f t="shared" si="58"/>
        <v>3</v>
      </c>
      <c r="AD56" s="96">
        <f t="shared" si="58"/>
        <v>6</v>
      </c>
      <c r="AE56" s="96">
        <f t="shared" si="58"/>
        <v>8</v>
      </c>
      <c r="AF56" s="96">
        <f t="shared" si="58"/>
        <v>7</v>
      </c>
      <c r="AG56" s="96">
        <f t="shared" si="58"/>
        <v>7</v>
      </c>
      <c r="AH56" s="96">
        <f t="shared" si="58"/>
        <v>0</v>
      </c>
      <c r="AI56" s="96">
        <f t="shared" si="58"/>
        <v>0</v>
      </c>
      <c r="AJ56" s="96">
        <f t="shared" si="58"/>
        <v>2</v>
      </c>
      <c r="AK56" s="96">
        <f t="shared" si="58"/>
        <v>7</v>
      </c>
      <c r="AL56" s="96">
        <f t="shared" si="58"/>
        <v>6</v>
      </c>
      <c r="AM56" s="97">
        <f t="shared" si="58"/>
        <v>5</v>
      </c>
      <c r="AN56" s="98">
        <f t="shared" si="58"/>
        <v>3</v>
      </c>
      <c r="AO56" s="99">
        <f t="shared" si="58"/>
        <v>0</v>
      </c>
      <c r="AQ56" s="100" t="s">
        <v>42</v>
      </c>
      <c r="AR56" s="101">
        <f>SUM(AP4:AP40)</f>
        <v>-1</v>
      </c>
      <c r="AS56" s="75">
        <v>0</v>
      </c>
    </row>
    <row r="57" spans="1:47" s="77" customFormat="1" ht="18" customHeight="1">
      <c r="A57" s="80"/>
      <c r="B57" s="80"/>
      <c r="C57" s="80"/>
      <c r="D57" s="80"/>
      <c r="E57" s="75"/>
      <c r="I57" s="81"/>
      <c r="J57" s="78" t="s">
        <v>43</v>
      </c>
      <c r="K57" s="149">
        <f t="shared" ref="K57:AO57" si="59">COUNTIF(K4:K46,"X")+COUNTIF(K4:K46,"Y")+COUNTIF(K4:K46,"Z")</f>
        <v>17</v>
      </c>
      <c r="L57" s="24">
        <f t="shared" si="59"/>
        <v>10</v>
      </c>
      <c r="M57" s="24">
        <f t="shared" si="59"/>
        <v>24</v>
      </c>
      <c r="N57" s="24">
        <f t="shared" si="59"/>
        <v>22</v>
      </c>
      <c r="O57" s="24">
        <f t="shared" si="59"/>
        <v>11</v>
      </c>
      <c r="P57" s="24">
        <f t="shared" si="59"/>
        <v>9</v>
      </c>
      <c r="Q57" s="24">
        <f t="shared" si="59"/>
        <v>11</v>
      </c>
      <c r="R57" s="24">
        <f t="shared" si="59"/>
        <v>13</v>
      </c>
      <c r="S57" s="24">
        <f t="shared" si="59"/>
        <v>9</v>
      </c>
      <c r="T57" s="24">
        <f t="shared" si="59"/>
        <v>24</v>
      </c>
      <c r="U57" s="24">
        <f t="shared" si="59"/>
        <v>24</v>
      </c>
      <c r="V57" s="24">
        <f t="shared" si="59"/>
        <v>11</v>
      </c>
      <c r="W57" s="24">
        <f t="shared" si="59"/>
        <v>8</v>
      </c>
      <c r="X57" s="24">
        <f t="shared" si="59"/>
        <v>9</v>
      </c>
      <c r="Y57" s="24">
        <f t="shared" si="59"/>
        <v>8</v>
      </c>
      <c r="Z57" s="24">
        <f t="shared" si="59"/>
        <v>12</v>
      </c>
      <c r="AA57" s="24">
        <f t="shared" si="59"/>
        <v>23</v>
      </c>
      <c r="AB57" s="24">
        <f t="shared" si="59"/>
        <v>22</v>
      </c>
      <c r="AC57" s="24">
        <f t="shared" si="59"/>
        <v>11</v>
      </c>
      <c r="AD57" s="24">
        <f t="shared" si="59"/>
        <v>9</v>
      </c>
      <c r="AE57" s="24">
        <f t="shared" si="59"/>
        <v>8</v>
      </c>
      <c r="AF57" s="24">
        <f t="shared" si="59"/>
        <v>9</v>
      </c>
      <c r="AG57" s="24">
        <f t="shared" si="59"/>
        <v>7</v>
      </c>
      <c r="AH57" s="24">
        <f t="shared" si="59"/>
        <v>23</v>
      </c>
      <c r="AI57" s="24">
        <f t="shared" si="59"/>
        <v>24</v>
      </c>
      <c r="AJ57" s="24">
        <f t="shared" si="59"/>
        <v>10</v>
      </c>
      <c r="AK57" s="24">
        <f t="shared" si="59"/>
        <v>8</v>
      </c>
      <c r="AL57" s="24">
        <f t="shared" si="59"/>
        <v>10</v>
      </c>
      <c r="AM57" s="24">
        <f t="shared" si="59"/>
        <v>8</v>
      </c>
      <c r="AN57" s="24">
        <f t="shared" si="59"/>
        <v>13</v>
      </c>
      <c r="AO57" s="102">
        <f t="shared" si="59"/>
        <v>24</v>
      </c>
      <c r="AQ57" s="100" t="s">
        <v>102</v>
      </c>
      <c r="AR57" s="101">
        <v>0</v>
      </c>
      <c r="AS57" s="75">
        <v>0</v>
      </c>
    </row>
    <row r="58" spans="1:47" s="77" customFormat="1" ht="18" customHeight="1">
      <c r="A58" s="80"/>
      <c r="B58" s="80"/>
      <c r="C58" s="80"/>
      <c r="D58" s="80"/>
      <c r="E58" s="75"/>
      <c r="I58" s="81"/>
      <c r="J58" s="103" t="s">
        <v>44</v>
      </c>
      <c r="K58" s="143">
        <f t="shared" ref="K58:AO58" si="60">COUNTIF(K4:K46,"S")</f>
        <v>7</v>
      </c>
      <c r="L58" s="39">
        <f t="shared" si="60"/>
        <v>5</v>
      </c>
      <c r="M58" s="39">
        <f t="shared" si="60"/>
        <v>0</v>
      </c>
      <c r="N58" s="39">
        <f t="shared" si="60"/>
        <v>2</v>
      </c>
      <c r="O58" s="39">
        <f t="shared" si="60"/>
        <v>1</v>
      </c>
      <c r="P58" s="39">
        <f t="shared" si="60"/>
        <v>1</v>
      </c>
      <c r="Q58" s="39">
        <f t="shared" si="60"/>
        <v>2</v>
      </c>
      <c r="R58" s="39">
        <f t="shared" si="60"/>
        <v>1</v>
      </c>
      <c r="S58" s="39">
        <f t="shared" si="60"/>
        <v>2</v>
      </c>
      <c r="T58" s="39">
        <f t="shared" si="60"/>
        <v>0</v>
      </c>
      <c r="U58" s="39">
        <f t="shared" si="60"/>
        <v>0</v>
      </c>
      <c r="V58" s="39">
        <f t="shared" si="60"/>
        <v>2</v>
      </c>
      <c r="W58" s="39">
        <f t="shared" si="60"/>
        <v>2</v>
      </c>
      <c r="X58" s="39">
        <f t="shared" si="60"/>
        <v>3</v>
      </c>
      <c r="Y58" s="39">
        <f t="shared" si="60"/>
        <v>4</v>
      </c>
      <c r="Z58" s="39">
        <f t="shared" si="60"/>
        <v>2</v>
      </c>
      <c r="AA58" s="39">
        <f t="shared" si="60"/>
        <v>1</v>
      </c>
      <c r="AB58" s="39">
        <f t="shared" si="60"/>
        <v>2</v>
      </c>
      <c r="AC58" s="39">
        <f t="shared" si="60"/>
        <v>4</v>
      </c>
      <c r="AD58" s="39">
        <f t="shared" si="60"/>
        <v>3</v>
      </c>
      <c r="AE58" s="39">
        <f t="shared" si="60"/>
        <v>2</v>
      </c>
      <c r="AF58" s="39">
        <f t="shared" si="60"/>
        <v>2</v>
      </c>
      <c r="AG58" s="39">
        <f t="shared" si="60"/>
        <v>4</v>
      </c>
      <c r="AH58" s="39">
        <f t="shared" si="60"/>
        <v>1</v>
      </c>
      <c r="AI58" s="39">
        <f t="shared" si="60"/>
        <v>0</v>
      </c>
      <c r="AJ58" s="39">
        <f t="shared" si="60"/>
        <v>6</v>
      </c>
      <c r="AK58" s="39">
        <f t="shared" si="60"/>
        <v>3</v>
      </c>
      <c r="AL58" s="39">
        <f t="shared" si="60"/>
        <v>2</v>
      </c>
      <c r="AM58" s="39">
        <f t="shared" si="60"/>
        <v>5</v>
      </c>
      <c r="AN58" s="39">
        <f t="shared" si="60"/>
        <v>2</v>
      </c>
      <c r="AO58" s="83">
        <f t="shared" si="60"/>
        <v>0</v>
      </c>
      <c r="AQ58" s="104"/>
      <c r="AR58" s="105"/>
      <c r="AS58" s="106" cm="1">
        <f t="array" ref="AS58">SUMPRODUCT(COUNTIF(L41:AO46,{"早";"中";"晚"}))</f>
        <v>0</v>
      </c>
      <c r="AT58" s="6"/>
    </row>
    <row r="59" spans="1:47" ht="18" customHeight="1" thickBot="1">
      <c r="A59" s="80"/>
      <c r="B59" s="80"/>
      <c r="C59" s="80"/>
      <c r="D59" s="80"/>
      <c r="I59" s="80"/>
      <c r="J59" s="103" t="s">
        <v>45</v>
      </c>
      <c r="K59" s="143">
        <f t="shared" ref="K59:AO59" si="61">COUNTIF(K4:K46,"T")</f>
        <v>0</v>
      </c>
      <c r="L59" s="39">
        <f t="shared" si="61"/>
        <v>0</v>
      </c>
      <c r="M59" s="39">
        <f t="shared" si="61"/>
        <v>0</v>
      </c>
      <c r="N59" s="39">
        <f t="shared" si="61"/>
        <v>0</v>
      </c>
      <c r="O59" s="39">
        <f t="shared" si="61"/>
        <v>0</v>
      </c>
      <c r="P59" s="39">
        <f t="shared" si="61"/>
        <v>0</v>
      </c>
      <c r="Q59" s="39">
        <f t="shared" si="61"/>
        <v>0</v>
      </c>
      <c r="R59" s="39">
        <f t="shared" si="61"/>
        <v>0</v>
      </c>
      <c r="S59" s="39">
        <f t="shared" si="61"/>
        <v>0</v>
      </c>
      <c r="T59" s="39">
        <f t="shared" si="61"/>
        <v>0</v>
      </c>
      <c r="U59" s="39">
        <f t="shared" si="61"/>
        <v>0</v>
      </c>
      <c r="V59" s="39">
        <f t="shared" si="61"/>
        <v>0</v>
      </c>
      <c r="W59" s="39">
        <f t="shared" si="61"/>
        <v>0</v>
      </c>
      <c r="X59" s="39">
        <f t="shared" si="61"/>
        <v>0</v>
      </c>
      <c r="Y59" s="39">
        <f t="shared" si="61"/>
        <v>0</v>
      </c>
      <c r="Z59" s="39">
        <f t="shared" si="61"/>
        <v>0</v>
      </c>
      <c r="AA59" s="39">
        <f t="shared" si="61"/>
        <v>0</v>
      </c>
      <c r="AB59" s="39">
        <f t="shared" si="61"/>
        <v>0</v>
      </c>
      <c r="AC59" s="39">
        <f t="shared" si="61"/>
        <v>0</v>
      </c>
      <c r="AD59" s="39">
        <f t="shared" si="61"/>
        <v>0</v>
      </c>
      <c r="AE59" s="39">
        <f t="shared" si="61"/>
        <v>0</v>
      </c>
      <c r="AF59" s="39">
        <f t="shared" si="61"/>
        <v>0</v>
      </c>
      <c r="AG59" s="39">
        <f t="shared" si="61"/>
        <v>0</v>
      </c>
      <c r="AH59" s="39">
        <f t="shared" si="61"/>
        <v>0</v>
      </c>
      <c r="AI59" s="39">
        <f t="shared" si="61"/>
        <v>0</v>
      </c>
      <c r="AJ59" s="39">
        <f t="shared" si="61"/>
        <v>0</v>
      </c>
      <c r="AK59" s="39">
        <f t="shared" si="61"/>
        <v>0</v>
      </c>
      <c r="AL59" s="39">
        <f t="shared" si="61"/>
        <v>0</v>
      </c>
      <c r="AM59" s="39">
        <f t="shared" si="61"/>
        <v>0</v>
      </c>
      <c r="AN59" s="39">
        <f t="shared" si="61"/>
        <v>0</v>
      </c>
      <c r="AO59" s="83">
        <f t="shared" si="61"/>
        <v>0</v>
      </c>
      <c r="AP59" s="77"/>
      <c r="AQ59" s="107" t="s">
        <v>46</v>
      </c>
      <c r="AR59" s="105">
        <f>AR49-AR50-AR52-AR53-AR54-AR55+AR56+AR57-AR51+AS58</f>
        <v>0</v>
      </c>
      <c r="AS59" s="105">
        <f>AS49-AS50-AS52-AS53-AS54-AS55+AS56+AS57-AS51-AS58</f>
        <v>0</v>
      </c>
      <c r="AU59" s="77"/>
    </row>
    <row r="60" spans="1:47" ht="18" customHeight="1" thickBot="1">
      <c r="A60" s="80"/>
      <c r="B60" s="80"/>
      <c r="C60" s="80"/>
      <c r="D60" s="80"/>
      <c r="I60" s="80"/>
      <c r="J60" s="108" t="s">
        <v>65</v>
      </c>
      <c r="K60" s="150">
        <f>SUM(K47:K59)</f>
        <v>43</v>
      </c>
      <c r="L60" s="109">
        <f t="shared" ref="L60:AO60" si="62">SUM(L47:L59)</f>
        <v>43</v>
      </c>
      <c r="M60" s="109">
        <f t="shared" si="62"/>
        <v>43</v>
      </c>
      <c r="N60" s="109">
        <f t="shared" si="62"/>
        <v>43</v>
      </c>
      <c r="O60" s="109">
        <f t="shared" si="62"/>
        <v>43</v>
      </c>
      <c r="P60" s="109">
        <f t="shared" si="62"/>
        <v>43</v>
      </c>
      <c r="Q60" s="109">
        <f t="shared" si="62"/>
        <v>43</v>
      </c>
      <c r="R60" s="109">
        <f t="shared" si="62"/>
        <v>43</v>
      </c>
      <c r="S60" s="109">
        <f t="shared" si="62"/>
        <v>43</v>
      </c>
      <c r="T60" s="109">
        <f t="shared" si="62"/>
        <v>43</v>
      </c>
      <c r="U60" s="109">
        <f t="shared" si="62"/>
        <v>43</v>
      </c>
      <c r="V60" s="109">
        <f t="shared" si="62"/>
        <v>43</v>
      </c>
      <c r="W60" s="109">
        <f t="shared" si="62"/>
        <v>43</v>
      </c>
      <c r="X60" s="109">
        <f t="shared" si="62"/>
        <v>43</v>
      </c>
      <c r="Y60" s="109">
        <f t="shared" si="62"/>
        <v>43</v>
      </c>
      <c r="Z60" s="109">
        <f t="shared" si="62"/>
        <v>43</v>
      </c>
      <c r="AA60" s="109">
        <f t="shared" si="62"/>
        <v>43</v>
      </c>
      <c r="AB60" s="109">
        <f t="shared" si="62"/>
        <v>43</v>
      </c>
      <c r="AC60" s="109">
        <f t="shared" si="62"/>
        <v>43</v>
      </c>
      <c r="AD60" s="109">
        <f t="shared" si="62"/>
        <v>43</v>
      </c>
      <c r="AE60" s="109">
        <f t="shared" si="62"/>
        <v>43</v>
      </c>
      <c r="AF60" s="109">
        <f t="shared" si="62"/>
        <v>43</v>
      </c>
      <c r="AG60" s="109">
        <f t="shared" si="62"/>
        <v>43</v>
      </c>
      <c r="AH60" s="109">
        <f t="shared" si="62"/>
        <v>43</v>
      </c>
      <c r="AI60" s="109">
        <f t="shared" si="62"/>
        <v>43</v>
      </c>
      <c r="AJ60" s="109">
        <f t="shared" si="62"/>
        <v>43</v>
      </c>
      <c r="AK60" s="109">
        <f t="shared" si="62"/>
        <v>43</v>
      </c>
      <c r="AL60" s="109">
        <f t="shared" si="62"/>
        <v>43</v>
      </c>
      <c r="AM60" s="109">
        <f t="shared" si="62"/>
        <v>43</v>
      </c>
      <c r="AN60" s="109">
        <f t="shared" si="62"/>
        <v>43</v>
      </c>
      <c r="AO60" s="110">
        <f t="shared" si="62"/>
        <v>43</v>
      </c>
      <c r="AR60" s="50"/>
      <c r="AS60" s="111"/>
      <c r="AU60" s="37"/>
    </row>
    <row r="61" spans="1:47" ht="24.6" customHeight="1">
      <c r="A61" s="80"/>
      <c r="B61" s="80"/>
      <c r="C61" s="80"/>
      <c r="D61" s="80"/>
      <c r="G61" s="80"/>
      <c r="H61" s="112"/>
      <c r="I61" s="113"/>
      <c r="K61" s="113">
        <f>43-K56-K57-K58-19</f>
        <v>0</v>
      </c>
      <c r="L61" s="113">
        <f t="shared" ref="L61:S61" si="63">43-L56-L57-L58-25</f>
        <v>0</v>
      </c>
      <c r="M61" s="113">
        <f>43-M56-M57-M58-19</f>
        <v>0</v>
      </c>
      <c r="N61" s="113">
        <f>43-N56-N57-N58-19</f>
        <v>0</v>
      </c>
      <c r="O61" s="113">
        <f t="shared" si="63"/>
        <v>0</v>
      </c>
      <c r="P61" s="113">
        <f t="shared" si="63"/>
        <v>0</v>
      </c>
      <c r="Q61" s="113">
        <f t="shared" si="63"/>
        <v>0</v>
      </c>
      <c r="R61" s="113">
        <f t="shared" si="63"/>
        <v>0</v>
      </c>
      <c r="S61" s="113">
        <f t="shared" si="63"/>
        <v>0</v>
      </c>
      <c r="T61" s="113">
        <f>43-T56-T57-T58-19</f>
        <v>0</v>
      </c>
      <c r="U61" s="113">
        <f>43-U56-U57-U58-19</f>
        <v>0</v>
      </c>
      <c r="V61" s="113">
        <f t="shared" ref="V61:Z61" si="64">43-V56-V57-V58-25</f>
        <v>0</v>
      </c>
      <c r="W61" s="113">
        <f t="shared" si="64"/>
        <v>0</v>
      </c>
      <c r="X61" s="113">
        <f t="shared" si="64"/>
        <v>0</v>
      </c>
      <c r="Y61" s="113">
        <f t="shared" si="64"/>
        <v>0</v>
      </c>
      <c r="Z61" s="113">
        <f t="shared" si="64"/>
        <v>0</v>
      </c>
      <c r="AA61" s="113">
        <f>43-AA56-AA57-AA58-19</f>
        <v>0</v>
      </c>
      <c r="AB61" s="113">
        <f>43-AB56-AB57-AB58-19</f>
        <v>0</v>
      </c>
      <c r="AC61" s="113">
        <f t="shared" ref="AC61:AG61" si="65">43-AC56-AC57-AC58-25</f>
        <v>0</v>
      </c>
      <c r="AD61" s="113">
        <f t="shared" si="65"/>
        <v>0</v>
      </c>
      <c r="AE61" s="113">
        <f t="shared" si="65"/>
        <v>0</v>
      </c>
      <c r="AF61" s="113">
        <f t="shared" si="65"/>
        <v>0</v>
      </c>
      <c r="AG61" s="113">
        <f t="shared" si="65"/>
        <v>0</v>
      </c>
      <c r="AH61" s="113">
        <f>43-AH56-AH57-AH58-19</f>
        <v>0</v>
      </c>
      <c r="AI61" s="113">
        <f>43-AI56-AI57-AI58-19</f>
        <v>0</v>
      </c>
      <c r="AJ61" s="113">
        <f t="shared" ref="AJ61:AN61" si="66">43-AJ56-AJ57-AJ58-25</f>
        <v>0</v>
      </c>
      <c r="AK61" s="113">
        <f t="shared" si="66"/>
        <v>0</v>
      </c>
      <c r="AL61" s="113">
        <f t="shared" si="66"/>
        <v>0</v>
      </c>
      <c r="AM61" s="113">
        <f t="shared" si="66"/>
        <v>0</v>
      </c>
      <c r="AN61" s="113">
        <f t="shared" si="66"/>
        <v>0</v>
      </c>
      <c r="AO61" s="113">
        <f>43-AO56-AO57-AO58-19</f>
        <v>0</v>
      </c>
      <c r="AQ61" s="7"/>
      <c r="AR61" s="6"/>
      <c r="AS61" s="111"/>
    </row>
    <row r="62" spans="1:47" ht="24.6" customHeight="1">
      <c r="A62" s="80"/>
      <c r="B62" s="80"/>
      <c r="C62" s="80"/>
      <c r="D62" s="80"/>
      <c r="I62" s="80"/>
      <c r="J62" s="112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  <c r="AP62" s="7"/>
    </row>
    <row r="63" spans="1:47" ht="24.6" customHeight="1" thickBot="1">
      <c r="A63" s="80"/>
      <c r="B63" s="80"/>
      <c r="C63" s="80"/>
      <c r="D63" s="80"/>
      <c r="I63" s="80"/>
      <c r="J63" s="112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</row>
    <row r="64" spans="1:47" ht="24.6" customHeight="1" thickBot="1">
      <c r="A64" s="80"/>
      <c r="B64" s="80"/>
      <c r="C64" s="80"/>
      <c r="D64" s="80"/>
      <c r="I64" s="80"/>
      <c r="J64" s="114" t="s">
        <v>47</v>
      </c>
      <c r="K64" s="131" cm="1">
        <f t="array" ref="K64">SUMPRODUCT(COUNTIF(K4:K16,{"1";"M1"}))</f>
        <v>1</v>
      </c>
      <c r="L64" s="115" cm="1">
        <f t="array" ref="L64">SUMPRODUCT(COUNTIF(L4:L16,{"1";"M1"}))</f>
        <v>1</v>
      </c>
      <c r="M64" s="131" cm="1">
        <f t="array" ref="M64">SUMPRODUCT(COUNTIF(M4:M16,{"1";"M1"}))</f>
        <v>0</v>
      </c>
      <c r="N64" s="131" cm="1">
        <f t="array" ref="N64">SUMPRODUCT(COUNTIF(N4:N16,{"1";"M1"}))</f>
        <v>0</v>
      </c>
      <c r="O64" s="115" cm="1">
        <f t="array" ref="O64">SUMPRODUCT(COUNTIF(O4:O16,{"1";"M1"}))</f>
        <v>2</v>
      </c>
      <c r="P64" s="115" cm="1">
        <f t="array" ref="P64">SUMPRODUCT(COUNTIF(P4:P16,{"1";"M1"}))</f>
        <v>2</v>
      </c>
      <c r="Q64" s="115" cm="1">
        <f t="array" ref="Q64">SUMPRODUCT(COUNTIF(Q4:Q16,{"1";"M1"}))</f>
        <v>2</v>
      </c>
      <c r="R64" s="115" cm="1">
        <f t="array" ref="R64">SUMPRODUCT(COUNTIF(R4:R16,{"1";"M1"}))</f>
        <v>2</v>
      </c>
      <c r="S64" s="115" cm="1">
        <f t="array" ref="S64">SUMPRODUCT(COUNTIF(S4:S16,{"1";"M1"}))</f>
        <v>1</v>
      </c>
      <c r="T64" s="131" cm="1">
        <f t="array" ref="T64">SUMPRODUCT(COUNTIF(T4:T16,{"1";"M1"}))</f>
        <v>1</v>
      </c>
      <c r="U64" s="131" cm="1">
        <f t="array" ref="U64">SUMPRODUCT(COUNTIF(U4:U16,{"1";"M1"}))</f>
        <v>1</v>
      </c>
      <c r="V64" s="115" cm="1">
        <f t="array" ref="V64">SUMPRODUCT(COUNTIF(V4:V16,{"1";"M1"}))</f>
        <v>1</v>
      </c>
      <c r="W64" s="115" cm="1">
        <f t="array" ref="W64">SUMPRODUCT(COUNTIF(W4:W16,{"1";"M1"}))</f>
        <v>2</v>
      </c>
      <c r="X64" s="115" cm="1">
        <f t="array" ref="X64">SUMPRODUCT(COUNTIF(X4:X16,{"1";"M1"}))</f>
        <v>2</v>
      </c>
      <c r="Y64" s="115" cm="1">
        <f t="array" ref="Y64">SUMPRODUCT(COUNTIF(Y4:Y16,{"1";"M1"}))</f>
        <v>2</v>
      </c>
      <c r="Z64" s="115" cm="1">
        <f t="array" ref="Z64">SUMPRODUCT(COUNTIF(Z4:Z16,{"1";"M1"}))</f>
        <v>2</v>
      </c>
      <c r="AA64" s="131" cm="1">
        <f t="array" ref="AA64">SUMPRODUCT(COUNTIF(AA4:AA16,{"1";"M1"}))</f>
        <v>0</v>
      </c>
      <c r="AB64" s="131" cm="1">
        <f t="array" ref="AB64">SUMPRODUCT(COUNTIF(AB4:AB16,{"1";"M1"}))</f>
        <v>0</v>
      </c>
      <c r="AC64" s="115" cm="1">
        <f t="array" ref="AC64">SUMPRODUCT(COUNTIF(AC4:AC16,{"1";"M1"}))</f>
        <v>1</v>
      </c>
      <c r="AD64" s="115" cm="1">
        <f t="array" ref="AD64">SUMPRODUCT(COUNTIF(AD4:AD16,{"1";"M1"}))</f>
        <v>2</v>
      </c>
      <c r="AE64" s="115" cm="1">
        <f t="array" ref="AE64">SUMPRODUCT(COUNTIF(AE4:AE16,{"1";"M1"}))</f>
        <v>3</v>
      </c>
      <c r="AF64" s="115" cm="1">
        <f t="array" ref="AF64">SUMPRODUCT(COUNTIF(AF4:AF16,{"1";"M1"}))</f>
        <v>2</v>
      </c>
      <c r="AG64" s="115" cm="1">
        <f t="array" ref="AG64">SUMPRODUCT(COUNTIF(AG4:AG16,{"1";"M1"}))</f>
        <v>1</v>
      </c>
      <c r="AH64" s="131" cm="1">
        <f t="array" ref="AH64">SUMPRODUCT(COUNTIF(AH4:AH16,{"1";"M1"}))</f>
        <v>0</v>
      </c>
      <c r="AI64" s="131" cm="1">
        <f t="array" ref="AI64">SUMPRODUCT(COUNTIF(AI4:AI16,{"1";"M1"}))</f>
        <v>0</v>
      </c>
      <c r="AJ64" s="115" cm="1">
        <f t="array" ref="AJ64">SUMPRODUCT(COUNTIF(AJ4:AJ16,{"1";"M1"}))</f>
        <v>2</v>
      </c>
      <c r="AK64" s="115" cm="1">
        <f t="array" ref="AK64">SUMPRODUCT(COUNTIF(AK4:AK16,{"1";"M1"}))</f>
        <v>3</v>
      </c>
      <c r="AL64" s="115" cm="1">
        <f t="array" ref="AL64">SUMPRODUCT(COUNTIF(AL4:AL16,{"1";"M1"}))</f>
        <v>3</v>
      </c>
      <c r="AM64" s="115" cm="1">
        <f t="array" ref="AM64">SUMPRODUCT(COUNTIF(AM4:AM16,{"1";"M1"}))</f>
        <v>3</v>
      </c>
      <c r="AN64" s="115" cm="1">
        <f t="array" ref="AN64">SUMPRODUCT(COUNTIF(AN4:AN16,{"1";"M1"}))</f>
        <v>2</v>
      </c>
      <c r="AO64" s="131" cm="1">
        <f t="array" ref="AO64">SUMPRODUCT(COUNTIF(AO4:AO16,{"1";"M1"}))</f>
        <v>1</v>
      </c>
    </row>
    <row r="65" spans="1:17" ht="24.6" customHeight="1">
      <c r="A65" s="80"/>
      <c r="B65" s="80"/>
      <c r="C65" s="80"/>
      <c r="D65" s="80"/>
      <c r="I65" s="80"/>
      <c r="L65" s="116"/>
      <c r="M65" s="116"/>
      <c r="N65" s="116"/>
      <c r="Q65" s="116"/>
    </row>
  </sheetData>
  <autoFilter ref="AT3:AT59" xr:uid="{00000000-0009-0000-0000-000000000000}"/>
  <dataConsolidate/>
  <mergeCells count="11">
    <mergeCell ref="A2:A3"/>
    <mergeCell ref="B2:B3"/>
    <mergeCell ref="C2:C3"/>
    <mergeCell ref="D2:D3"/>
    <mergeCell ref="E2:E3"/>
    <mergeCell ref="AV2:AX2"/>
    <mergeCell ref="K1:AH1"/>
    <mergeCell ref="AI1:AK1"/>
    <mergeCell ref="AL1:AN1"/>
    <mergeCell ref="I2:I3"/>
    <mergeCell ref="J2:J3"/>
  </mergeCells>
  <conditionalFormatting sqref="K4:AO46">
    <cfRule type="cellIs" dxfId="375" priority="1" operator="equal">
      <formula>"大夜"</formula>
    </cfRule>
    <cfRule type="cellIs" dxfId="374" priority="2" operator="equal">
      <formula>"晚"</formula>
    </cfRule>
    <cfRule type="cellIs" dxfId="373" priority="3" operator="equal">
      <formula>3</formula>
    </cfRule>
    <cfRule type="cellIs" dxfId="372" priority="4" operator="equal">
      <formula>"小夜"</formula>
    </cfRule>
    <cfRule type="cellIs" dxfId="371" priority="5" operator="equal">
      <formula>"T中"</formula>
    </cfRule>
    <cfRule type="cellIs" dxfId="370" priority="6" operator="equal">
      <formula>"中"</formula>
    </cfRule>
    <cfRule type="cellIs" dxfId="369" priority="7" operator="equal">
      <formula>2</formula>
    </cfRule>
    <cfRule type="cellIs" dxfId="368" priority="8" operator="equal">
      <formula>"日"</formula>
    </cfRule>
    <cfRule type="cellIs" dxfId="367" priority="9" operator="equal">
      <formula>"T早"</formula>
    </cfRule>
    <cfRule type="cellIs" dxfId="366" priority="10" operator="equal">
      <formula>"早"</formula>
    </cfRule>
    <cfRule type="cellIs" dxfId="365" priority="11" operator="equal">
      <formula>"M1"</formula>
    </cfRule>
    <cfRule type="cellIs" dxfId="364" priority="12" operator="equal">
      <formula>1</formula>
    </cfRule>
    <cfRule type="expression" dxfId="363" priority="78">
      <formula>OR(     SUM(COUNTIF(K4:Q4, 上班代號)) &gt; 6,     AND(COLUMN()&gt;11, OR(         AND(SUM(COUNTIF(OFFSET(K4,0,-1), 中班組)), SUM(COUNTIF(K4, 早班組), COUNTIF(K4, 晚班組))),         AND(SUM(COUNTIF(OFFSET(K4,0,-1), 早班組)), SUM(COUNTIF(K4, 晚班組)))     )) )</formula>
    </cfRule>
  </conditionalFormatting>
  <conditionalFormatting sqref="K47:AO55">
    <cfRule type="cellIs" dxfId="362" priority="4256" operator="equal">
      <formula>5</formula>
    </cfRule>
    <cfRule type="cellIs" dxfId="361" priority="4257" operator="equal">
      <formula>4</formula>
    </cfRule>
    <cfRule type="cellIs" dxfId="360" priority="4258" operator="equal">
      <formula>3</formula>
    </cfRule>
    <cfRule type="cellIs" dxfId="359" priority="4259" operator="equal">
      <formula>2</formula>
    </cfRule>
    <cfRule type="cellIs" dxfId="358" priority="4260" operator="equal">
      <formula>1</formula>
    </cfRule>
  </conditionalFormatting>
  <conditionalFormatting sqref="K53:AO55">
    <cfRule type="cellIs" dxfId="357" priority="4261" operator="equal">
      <formula>"T中"</formula>
    </cfRule>
  </conditionalFormatting>
  <conditionalFormatting sqref="AP25">
    <cfRule type="cellIs" dxfId="356" priority="4564" operator="equal">
      <formula>"大夜"</formula>
    </cfRule>
    <cfRule type="cellIs" dxfId="355" priority="4565" operator="equal">
      <formula>"晚"</formula>
    </cfRule>
    <cfRule type="cellIs" dxfId="354" priority="4566" operator="equal">
      <formula>3</formula>
    </cfRule>
    <cfRule type="cellIs" dxfId="353" priority="4567" operator="equal">
      <formula>"小夜"</formula>
    </cfRule>
    <cfRule type="cellIs" dxfId="352" priority="4568" operator="equal">
      <formula>"T中"</formula>
    </cfRule>
    <cfRule type="cellIs" dxfId="351" priority="4569" operator="equal">
      <formula>"中"</formula>
    </cfRule>
    <cfRule type="cellIs" dxfId="350" priority="4570" operator="equal">
      <formula>"M2"</formula>
    </cfRule>
    <cfRule type="cellIs" dxfId="349" priority="4571" operator="equal">
      <formula>2</formula>
    </cfRule>
    <cfRule type="cellIs" dxfId="348" priority="4572" operator="equal">
      <formula>"日"</formula>
    </cfRule>
    <cfRule type="cellIs" dxfId="347" priority="4573" operator="equal">
      <formula>"T早"</formula>
    </cfRule>
    <cfRule type="cellIs" dxfId="346" priority="4574" operator="equal">
      <formula>"早"</formula>
    </cfRule>
    <cfRule type="cellIs" dxfId="345" priority="4575" operator="equal">
      <formula>"M1"</formula>
    </cfRule>
    <cfRule type="cellIs" dxfId="344" priority="4576" operator="equal">
      <formula>1</formula>
    </cfRule>
  </conditionalFormatting>
  <conditionalFormatting sqref="AS4:AS46">
    <cfRule type="cellIs" dxfId="343" priority="4562" operator="equal">
      <formula>-2</formula>
    </cfRule>
    <cfRule type="cellIs" dxfId="342" priority="4563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ignoredErrors>
    <ignoredError sqref="K61:L61" formula="1"/>
    <ignoredError sqref="AV17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9B893-5394-4282-A87A-E59512D950C2}">
  <sheetPr>
    <pageSetUpPr fitToPage="1"/>
  </sheetPr>
  <dimension ref="A1:HO65"/>
  <sheetViews>
    <sheetView zoomScale="70" zoomScaleNormal="7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AO35" sqref="AO35"/>
    </sheetView>
  </sheetViews>
  <sheetFormatPr defaultColWidth="9" defaultRowHeight="24.6" customHeight="1"/>
  <cols>
    <col min="1" max="9" width="4.109375" style="77" customWidth="1"/>
    <col min="10" max="10" width="23.109375" style="6" customWidth="1"/>
    <col min="11" max="38" width="6.109375" style="6" customWidth="1"/>
    <col min="39" max="40" width="7.88671875" style="6" customWidth="1"/>
    <col min="41" max="41" width="7.88671875" style="7" customWidth="1"/>
    <col min="42" max="42" width="5.88671875" style="6" customWidth="1"/>
    <col min="43" max="230" width="9" style="6" customWidth="1"/>
    <col min="231" max="231" width="7.109375" style="6" customWidth="1"/>
    <col min="232" max="16384" width="9" style="6"/>
  </cols>
  <sheetData>
    <row r="1" spans="1:223" ht="24.6" customHeight="1" thickBot="1">
      <c r="A1" s="1"/>
      <c r="B1" s="2" t="s">
        <v>103</v>
      </c>
      <c r="C1" s="1"/>
      <c r="D1" s="1"/>
      <c r="E1" s="1"/>
      <c r="F1" s="1"/>
      <c r="G1" s="1"/>
      <c r="H1" s="1"/>
      <c r="I1" s="3">
        <v>14</v>
      </c>
      <c r="J1" s="4"/>
      <c r="K1" s="474" t="str">
        <f>"TPKC剩餘人力："&amp;AO59&amp;" / NK剩餘人力："&amp;AP59&amp;" /  N班人力："&amp;AO54</f>
        <v>TPKC剩餘人力：0 / NK剩餘人力：0 /  N班人力：32</v>
      </c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6"/>
      <c r="AJ1" s="475"/>
      <c r="AK1" s="475"/>
      <c r="AL1" s="183"/>
      <c r="AO1" s="6"/>
      <c r="AP1" s="7"/>
    </row>
    <row r="2" spans="1:223" ht="23.25" customHeight="1" thickBot="1">
      <c r="A2" s="483">
        <v>1</v>
      </c>
      <c r="B2" s="485">
        <v>2</v>
      </c>
      <c r="C2" s="485">
        <v>3</v>
      </c>
      <c r="D2" s="487" t="s">
        <v>104</v>
      </c>
      <c r="E2" s="489" t="s">
        <v>105</v>
      </c>
      <c r="F2" s="8" t="s">
        <v>106</v>
      </c>
      <c r="G2" s="8" t="s">
        <v>107</v>
      </c>
      <c r="H2" s="8" t="s">
        <v>108</v>
      </c>
      <c r="I2" s="479" t="s">
        <v>109</v>
      </c>
      <c r="J2" s="495" t="s">
        <v>110</v>
      </c>
      <c r="K2" s="219" t="s">
        <v>111</v>
      </c>
      <c r="L2" s="9" t="s">
        <v>112</v>
      </c>
      <c r="M2" s="9" t="s">
        <v>113</v>
      </c>
      <c r="N2" s="9" t="s">
        <v>114</v>
      </c>
      <c r="O2" s="9" t="s">
        <v>115</v>
      </c>
      <c r="P2" s="10" t="s">
        <v>116</v>
      </c>
      <c r="Q2" s="11" t="s">
        <v>117</v>
      </c>
      <c r="R2" s="11" t="s">
        <v>111</v>
      </c>
      <c r="S2" s="12" t="s">
        <v>112</v>
      </c>
      <c r="T2" s="12" t="s">
        <v>113</v>
      </c>
      <c r="U2" s="12" t="s">
        <v>114</v>
      </c>
      <c r="V2" s="12" t="s">
        <v>115</v>
      </c>
      <c r="W2" s="13" t="s">
        <v>116</v>
      </c>
      <c r="X2" s="14" t="s">
        <v>117</v>
      </c>
      <c r="Y2" s="14" t="s">
        <v>111</v>
      </c>
      <c r="Z2" s="9" t="s">
        <v>112</v>
      </c>
      <c r="AA2" s="9" t="s">
        <v>113</v>
      </c>
      <c r="AB2" s="9" t="s">
        <v>114</v>
      </c>
      <c r="AC2" s="9" t="s">
        <v>115</v>
      </c>
      <c r="AD2" s="10" t="s">
        <v>116</v>
      </c>
      <c r="AE2" s="11" t="s">
        <v>117</v>
      </c>
      <c r="AF2" s="11" t="s">
        <v>111</v>
      </c>
      <c r="AG2" s="12" t="s">
        <v>112</v>
      </c>
      <c r="AH2" s="12" t="s">
        <v>113</v>
      </c>
      <c r="AI2" s="12" t="s">
        <v>114</v>
      </c>
      <c r="AJ2" s="12" t="s">
        <v>115</v>
      </c>
      <c r="AK2" s="13" t="s">
        <v>116</v>
      </c>
      <c r="AL2" s="217" t="s">
        <v>117</v>
      </c>
      <c r="AO2" s="6"/>
      <c r="AS2" s="491" t="s">
        <v>48</v>
      </c>
      <c r="AT2" s="492"/>
      <c r="AU2" s="492"/>
    </row>
    <row r="3" spans="1:223" ht="24.6" customHeight="1" thickBot="1">
      <c r="A3" s="484"/>
      <c r="B3" s="486"/>
      <c r="C3" s="486"/>
      <c r="D3" s="488"/>
      <c r="E3" s="490"/>
      <c r="F3" s="15" t="s">
        <v>118</v>
      </c>
      <c r="G3" s="15" t="s">
        <v>119</v>
      </c>
      <c r="H3" s="16" t="s">
        <v>120</v>
      </c>
      <c r="I3" s="480"/>
      <c r="J3" s="496"/>
      <c r="K3" s="220">
        <v>1</v>
      </c>
      <c r="L3" s="63">
        <v>2</v>
      </c>
      <c r="M3" s="63">
        <v>3</v>
      </c>
      <c r="N3" s="63">
        <v>4</v>
      </c>
      <c r="O3" s="63">
        <v>5</v>
      </c>
      <c r="P3" s="63">
        <v>6</v>
      </c>
      <c r="Q3" s="221">
        <v>7</v>
      </c>
      <c r="R3" s="221">
        <v>8</v>
      </c>
      <c r="S3" s="63">
        <v>9</v>
      </c>
      <c r="T3" s="63">
        <v>10</v>
      </c>
      <c r="U3" s="63">
        <v>11</v>
      </c>
      <c r="V3" s="63">
        <v>12</v>
      </c>
      <c r="W3" s="63">
        <v>13</v>
      </c>
      <c r="X3" s="221">
        <v>14</v>
      </c>
      <c r="Y3" s="221">
        <v>15</v>
      </c>
      <c r="Z3" s="221">
        <v>16</v>
      </c>
      <c r="AA3" s="221">
        <v>17</v>
      </c>
      <c r="AB3" s="221">
        <v>18</v>
      </c>
      <c r="AC3" s="221">
        <v>19</v>
      </c>
      <c r="AD3" s="221">
        <v>20</v>
      </c>
      <c r="AE3" s="221">
        <v>21</v>
      </c>
      <c r="AF3" s="221">
        <v>22</v>
      </c>
      <c r="AG3" s="63">
        <v>23</v>
      </c>
      <c r="AH3" s="63">
        <v>24</v>
      </c>
      <c r="AI3" s="63">
        <v>25</v>
      </c>
      <c r="AJ3" s="63">
        <v>26</v>
      </c>
      <c r="AK3" s="221">
        <v>27</v>
      </c>
      <c r="AL3" s="218">
        <v>28</v>
      </c>
      <c r="AM3" s="19" t="s">
        <v>121</v>
      </c>
      <c r="AN3" s="19" t="s">
        <v>122</v>
      </c>
      <c r="AO3" s="20" t="s">
        <v>123</v>
      </c>
      <c r="AP3" s="21" t="s">
        <v>109</v>
      </c>
      <c r="AQ3" s="22" t="s">
        <v>124</v>
      </c>
      <c r="AS3" s="117" t="s">
        <v>49</v>
      </c>
      <c r="AT3" s="117" t="s">
        <v>50</v>
      </c>
      <c r="AU3" s="117" t="s">
        <v>51</v>
      </c>
      <c r="AV3" s="6" t="s">
        <v>148</v>
      </c>
    </row>
    <row r="4" spans="1:223" ht="25.5" customHeight="1">
      <c r="A4" s="23">
        <f t="shared" ref="A4:A45" si="0">COUNTIF(K4:AL4,1)+COUNTIF(K4:AL4,"早")+COUNTIF(K4:AL4,"M1")+COUNTIF(K4:AL4,"T早")+COUNTIF(K4:AL4,"日")</f>
        <v>2</v>
      </c>
      <c r="B4" s="24">
        <f t="shared" ref="B4:B45" si="1">COUNTIF(K4:AL4,2)+COUNTIF(K4:AL4,"中")+COUNTIF(K4:AL4,"M2")+COUNTIF(K4:AL4,"T中")+COUNTIF(K4:AL4,"小夜")</f>
        <v>0</v>
      </c>
      <c r="C4" s="25">
        <f t="shared" ref="C4:C45" si="2">COUNTIF(K4:AL4,3)+COUNTIF(K4:AL4,"晚")+COUNTIF(K4:AL4,"大夜")</f>
        <v>15</v>
      </c>
      <c r="D4" s="24">
        <f t="shared" ref="D4:D45" si="3">COUNTIF(K4:AL4,"N")+COUNTIF(K4:AL4,"N8")</f>
        <v>0</v>
      </c>
      <c r="E4" s="26">
        <f t="shared" ref="E4:E45" si="4">COUNTIF(K4:AL4,"S")</f>
        <v>0</v>
      </c>
      <c r="F4" s="26">
        <f t="shared" ref="F4:F45" si="5">COUNTIF(K4:AL4,"X")</f>
        <v>3</v>
      </c>
      <c r="G4" s="26">
        <f t="shared" ref="G4:G45" si="6">COUNTIF(K4:AL4,"Y")</f>
        <v>4</v>
      </c>
      <c r="H4" s="26">
        <f t="shared" ref="H4:H45" si="7">COUNTIF(K4:AL4,"Z")</f>
        <v>4</v>
      </c>
      <c r="I4" s="27">
        <f t="shared" ref="I4:I40" si="8">SUM(A4:H4)</f>
        <v>28</v>
      </c>
      <c r="J4" s="207" t="s">
        <v>125</v>
      </c>
      <c r="K4" s="198">
        <v>3</v>
      </c>
      <c r="L4" s="118">
        <v>3</v>
      </c>
      <c r="M4" s="118">
        <v>3</v>
      </c>
      <c r="N4" s="29" t="s">
        <v>0</v>
      </c>
      <c r="O4" s="29">
        <v>1</v>
      </c>
      <c r="P4" s="30">
        <v>1</v>
      </c>
      <c r="Q4" s="31" t="s">
        <v>52</v>
      </c>
      <c r="R4" s="31" t="s">
        <v>0</v>
      </c>
      <c r="S4" s="118" t="s">
        <v>40</v>
      </c>
      <c r="T4" s="118" t="s">
        <v>40</v>
      </c>
      <c r="U4" s="118" t="s">
        <v>40</v>
      </c>
      <c r="V4" s="118" t="s">
        <v>40</v>
      </c>
      <c r="W4" s="118" t="s">
        <v>40</v>
      </c>
      <c r="X4" s="29" t="s">
        <v>52</v>
      </c>
      <c r="Y4" s="29" t="s">
        <v>53</v>
      </c>
      <c r="Z4" s="31" t="s">
        <v>53</v>
      </c>
      <c r="AA4" s="31" t="s">
        <v>0</v>
      </c>
      <c r="AB4" s="201" t="s">
        <v>40</v>
      </c>
      <c r="AC4" s="29" t="s">
        <v>40</v>
      </c>
      <c r="AD4" s="29" t="s">
        <v>40</v>
      </c>
      <c r="AE4" s="184" t="s">
        <v>53</v>
      </c>
      <c r="AF4" s="31" t="s">
        <v>52</v>
      </c>
      <c r="AG4" s="29">
        <v>3</v>
      </c>
      <c r="AH4" s="118">
        <v>3</v>
      </c>
      <c r="AI4" s="118">
        <v>3</v>
      </c>
      <c r="AJ4" s="118">
        <v>3</v>
      </c>
      <c r="AK4" s="33" t="s">
        <v>53</v>
      </c>
      <c r="AL4" s="135" t="s">
        <v>52</v>
      </c>
      <c r="AM4" s="35">
        <v>0</v>
      </c>
      <c r="AN4" s="36">
        <f t="shared" ref="AN4:AN46" si="9">$F4+$G4+H4-$I$1</f>
        <v>-3</v>
      </c>
      <c r="AO4" s="36">
        <v>3</v>
      </c>
      <c r="AP4" s="133">
        <f>SUM(AM4:AO4)</f>
        <v>0</v>
      </c>
      <c r="AQ4" s="138" t="s">
        <v>126</v>
      </c>
      <c r="AS4" s="6" cm="2">
        <f t="array" ref="AS4">SUMPRODUCT(COUNTIF(K4:K4,{"X";"Y";"Z";"S"}))+SUMPRODUCT(COUNTIF(Q4:R4,{"X";"Y";"Z";"S"}))+SUMPRODUCT(COUNTIF(X4:Y4,{"X";"Y";"Z";"S"}))+SUMPRODUCT(COUNTIF(AE4:AF4,{"X";"Y";"Z";"S"}))+SUMPRODUCT(COUNTIF(AL4:AL4,{"X";"Y";"Z";"S"}))-5</f>
        <v>2</v>
      </c>
      <c r="AT4" s="6">
        <v>2</v>
      </c>
      <c r="AU4" s="6">
        <f>AS4+AT4+AV4</f>
        <v>3</v>
      </c>
      <c r="AV4" s="6">
        <v>-1</v>
      </c>
      <c r="AW4" s="6" t="s">
        <v>150</v>
      </c>
    </row>
    <row r="5" spans="1:223" ht="25.5" customHeight="1">
      <c r="A5" s="38">
        <f t="shared" si="0"/>
        <v>2</v>
      </c>
      <c r="B5" s="39">
        <f t="shared" si="1"/>
        <v>3</v>
      </c>
      <c r="C5" s="40">
        <f t="shared" si="2"/>
        <v>6</v>
      </c>
      <c r="D5" s="39">
        <f t="shared" si="3"/>
        <v>1</v>
      </c>
      <c r="E5" s="41">
        <f t="shared" si="4"/>
        <v>2</v>
      </c>
      <c r="F5" s="41">
        <f t="shared" si="5"/>
        <v>3</v>
      </c>
      <c r="G5" s="41">
        <f t="shared" si="6"/>
        <v>4</v>
      </c>
      <c r="H5" s="41">
        <f t="shared" si="7"/>
        <v>7</v>
      </c>
      <c r="I5" s="42">
        <f t="shared" si="8"/>
        <v>28</v>
      </c>
      <c r="J5" s="208" t="s">
        <v>2</v>
      </c>
      <c r="K5" s="122" t="s">
        <v>127</v>
      </c>
      <c r="L5" s="32" t="s">
        <v>127</v>
      </c>
      <c r="M5" s="44" t="s">
        <v>0</v>
      </c>
      <c r="N5" s="121">
        <v>3</v>
      </c>
      <c r="O5" s="121">
        <v>3</v>
      </c>
      <c r="P5" s="32" t="s">
        <v>53</v>
      </c>
      <c r="Q5" s="44" t="s">
        <v>52</v>
      </c>
      <c r="R5" s="121">
        <v>2</v>
      </c>
      <c r="S5" s="30">
        <v>2</v>
      </c>
      <c r="T5" s="30" t="s">
        <v>0</v>
      </c>
      <c r="U5" s="53" t="s">
        <v>3</v>
      </c>
      <c r="V5" s="30">
        <v>1</v>
      </c>
      <c r="W5" s="32" t="s">
        <v>52</v>
      </c>
      <c r="X5" s="121">
        <v>3</v>
      </c>
      <c r="Y5" s="121">
        <v>3</v>
      </c>
      <c r="Z5" s="44" t="s">
        <v>52</v>
      </c>
      <c r="AA5" s="44" t="s">
        <v>53</v>
      </c>
      <c r="AB5" s="44" t="s">
        <v>53</v>
      </c>
      <c r="AC5" s="44" t="s">
        <v>53</v>
      </c>
      <c r="AD5" s="44" t="s">
        <v>53</v>
      </c>
      <c r="AE5" s="44" t="s">
        <v>0</v>
      </c>
      <c r="AF5" s="121">
        <v>3</v>
      </c>
      <c r="AG5" s="121">
        <v>3</v>
      </c>
      <c r="AH5" s="30" t="s">
        <v>53</v>
      </c>
      <c r="AI5" s="30" t="s">
        <v>36</v>
      </c>
      <c r="AJ5" s="30" t="s">
        <v>53</v>
      </c>
      <c r="AK5" s="32" t="s">
        <v>52</v>
      </c>
      <c r="AL5" s="126">
        <v>2</v>
      </c>
      <c r="AM5" s="45">
        <v>0</v>
      </c>
      <c r="AN5" s="46">
        <f t="shared" si="9"/>
        <v>0</v>
      </c>
      <c r="AO5" s="46">
        <v>0</v>
      </c>
      <c r="AP5" s="134">
        <f t="shared" ref="AP5:AP46" si="10">SUM(AM5:AO5)</f>
        <v>0</v>
      </c>
      <c r="AQ5" s="139" t="s">
        <v>128</v>
      </c>
    </row>
    <row r="6" spans="1:223" ht="25.5" customHeight="1">
      <c r="A6" s="38">
        <f t="shared" si="0"/>
        <v>10</v>
      </c>
      <c r="B6" s="39">
        <f t="shared" si="1"/>
        <v>2</v>
      </c>
      <c r="C6" s="40">
        <f t="shared" si="2"/>
        <v>0</v>
      </c>
      <c r="D6" s="39">
        <f t="shared" si="3"/>
        <v>1</v>
      </c>
      <c r="E6" s="41">
        <f t="shared" si="4"/>
        <v>1</v>
      </c>
      <c r="F6" s="41">
        <f t="shared" si="5"/>
        <v>3</v>
      </c>
      <c r="G6" s="41">
        <f t="shared" si="6"/>
        <v>4</v>
      </c>
      <c r="H6" s="41">
        <f t="shared" si="7"/>
        <v>7</v>
      </c>
      <c r="I6" s="42">
        <f t="shared" si="8"/>
        <v>28</v>
      </c>
      <c r="J6" s="209" t="s">
        <v>129</v>
      </c>
      <c r="K6" s="137" t="s">
        <v>0</v>
      </c>
      <c r="L6" s="121">
        <v>1</v>
      </c>
      <c r="M6" s="30">
        <v>1</v>
      </c>
      <c r="N6" s="30">
        <v>2</v>
      </c>
      <c r="O6" s="30" t="s">
        <v>52</v>
      </c>
      <c r="P6" s="30" t="s">
        <v>36</v>
      </c>
      <c r="Q6" s="121">
        <v>1</v>
      </c>
      <c r="R6" s="121">
        <v>1</v>
      </c>
      <c r="S6" s="30">
        <v>1</v>
      </c>
      <c r="T6" s="30" t="s">
        <v>0</v>
      </c>
      <c r="U6" s="53" t="s">
        <v>3</v>
      </c>
      <c r="V6" s="30" t="s">
        <v>36</v>
      </c>
      <c r="W6" s="30" t="s">
        <v>36</v>
      </c>
      <c r="X6" s="30" t="s">
        <v>52</v>
      </c>
      <c r="Y6" s="30" t="s">
        <v>53</v>
      </c>
      <c r="Z6" s="44" t="s">
        <v>53</v>
      </c>
      <c r="AA6" s="44" t="s">
        <v>53</v>
      </c>
      <c r="AB6" s="44" t="s">
        <v>53</v>
      </c>
      <c r="AC6" s="44" t="s">
        <v>53</v>
      </c>
      <c r="AD6" s="44" t="s">
        <v>53</v>
      </c>
      <c r="AE6" s="44" t="s">
        <v>52</v>
      </c>
      <c r="AF6" s="121">
        <v>2</v>
      </c>
      <c r="AG6" s="30" t="s">
        <v>0</v>
      </c>
      <c r="AH6" s="30">
        <v>1</v>
      </c>
      <c r="AI6" s="30">
        <v>1</v>
      </c>
      <c r="AJ6" s="30" t="s">
        <v>53</v>
      </c>
      <c r="AK6" s="32" t="s">
        <v>1</v>
      </c>
      <c r="AL6" s="123" t="s">
        <v>52</v>
      </c>
      <c r="AM6" s="45">
        <v>0</v>
      </c>
      <c r="AN6" s="46">
        <f t="shared" si="9"/>
        <v>0</v>
      </c>
      <c r="AO6" s="46">
        <v>0</v>
      </c>
      <c r="AP6" s="134">
        <f t="shared" si="10"/>
        <v>0</v>
      </c>
      <c r="AQ6" s="139" t="s">
        <v>128</v>
      </c>
      <c r="AS6" s="6" cm="2">
        <f t="array" ref="AS6">SUMPRODUCT(COUNTIF(K6:K6,{"X";"Y";"Z";"S"}))+SUMPRODUCT(COUNTIF(Q6:R6,{"X";"Y";"Z";"S"}))+SUMPRODUCT(COUNTIF(X6:Y6,{"X";"Y";"Z";"S"}))+SUMPRODUCT(COUNTIF(AE6:AF6,{"X";"Y";"Z";"S"}))+SUMPRODUCT(COUNTIF(AL6:AL6,{"X";"Y";"Z";"S"}))-5</f>
        <v>0</v>
      </c>
      <c r="AT6" s="6">
        <v>1</v>
      </c>
      <c r="AU6" s="6">
        <f t="shared" ref="AU6:AU18" si="11">AS6+AT6+AV6</f>
        <v>1</v>
      </c>
    </row>
    <row r="7" spans="1:223" ht="25.5" customHeight="1">
      <c r="A7" s="38">
        <f t="shared" si="0"/>
        <v>11</v>
      </c>
      <c r="B7" s="39">
        <f t="shared" si="1"/>
        <v>3</v>
      </c>
      <c r="C7" s="40">
        <f t="shared" si="2"/>
        <v>0</v>
      </c>
      <c r="D7" s="39">
        <f t="shared" si="3"/>
        <v>0</v>
      </c>
      <c r="E7" s="41">
        <f t="shared" si="4"/>
        <v>3</v>
      </c>
      <c r="F7" s="41">
        <f t="shared" si="5"/>
        <v>3</v>
      </c>
      <c r="G7" s="41">
        <f t="shared" si="6"/>
        <v>4</v>
      </c>
      <c r="H7" s="41">
        <f t="shared" si="7"/>
        <v>4</v>
      </c>
      <c r="I7" s="42">
        <f t="shared" si="8"/>
        <v>28</v>
      </c>
      <c r="J7" s="209" t="s">
        <v>130</v>
      </c>
      <c r="K7" s="137" t="s">
        <v>0</v>
      </c>
      <c r="L7" s="30">
        <v>1</v>
      </c>
      <c r="M7" s="30">
        <v>1</v>
      </c>
      <c r="N7" s="121" t="s">
        <v>36</v>
      </c>
      <c r="O7" s="30" t="s">
        <v>52</v>
      </c>
      <c r="P7" s="121" t="s">
        <v>36</v>
      </c>
      <c r="Q7" s="30" t="s">
        <v>36</v>
      </c>
      <c r="R7" s="30" t="s">
        <v>36</v>
      </c>
      <c r="S7" s="121" t="s">
        <v>36</v>
      </c>
      <c r="T7" s="30" t="s">
        <v>52</v>
      </c>
      <c r="U7" s="30" t="s">
        <v>36</v>
      </c>
      <c r="V7" s="30" t="s">
        <v>36</v>
      </c>
      <c r="W7" s="32" t="s">
        <v>127</v>
      </c>
      <c r="X7" s="44" t="s">
        <v>52</v>
      </c>
      <c r="Y7" s="44" t="s">
        <v>53</v>
      </c>
      <c r="Z7" s="44" t="s">
        <v>53</v>
      </c>
      <c r="AA7" s="44" t="s">
        <v>53</v>
      </c>
      <c r="AB7" s="202" t="s">
        <v>38</v>
      </c>
      <c r="AC7" s="202" t="s">
        <v>38</v>
      </c>
      <c r="AD7" s="196" t="s">
        <v>131</v>
      </c>
      <c r="AE7" s="30" t="s">
        <v>38</v>
      </c>
      <c r="AF7" s="44" t="s">
        <v>0</v>
      </c>
      <c r="AG7" s="32" t="s">
        <v>127</v>
      </c>
      <c r="AH7" s="30" t="s">
        <v>36</v>
      </c>
      <c r="AI7" s="30" t="s">
        <v>36</v>
      </c>
      <c r="AJ7" s="30" t="s">
        <v>53</v>
      </c>
      <c r="AK7" s="32" t="s">
        <v>127</v>
      </c>
      <c r="AL7" s="123" t="s">
        <v>52</v>
      </c>
      <c r="AM7" s="45">
        <v>0</v>
      </c>
      <c r="AN7" s="46">
        <f t="shared" si="9"/>
        <v>-3</v>
      </c>
      <c r="AO7" s="46">
        <v>3</v>
      </c>
      <c r="AP7" s="134">
        <f t="shared" si="10"/>
        <v>0</v>
      </c>
      <c r="AQ7" s="139" t="s">
        <v>128</v>
      </c>
      <c r="AS7" s="6" cm="2">
        <f t="array" ref="AS7">SUMPRODUCT(COUNTIF(K7:K7,{"X";"Y";"Z";"S"}))+SUMPRODUCT(COUNTIF(Q7:R7,{"X";"Y";"Z";"S"}))+SUMPRODUCT(COUNTIF(X7:Y7,{"X";"Y";"Z";"S"}))+SUMPRODUCT(COUNTIF(AE7:AF7,{"X";"Y";"Z";"S"}))+SUMPRODUCT(COUNTIF(AL7:AL7,{"X";"Y";"Z";"S"}))-5</f>
        <v>0</v>
      </c>
      <c r="AT7" s="6">
        <v>2</v>
      </c>
      <c r="AU7" s="6">
        <f t="shared" si="11"/>
        <v>2</v>
      </c>
    </row>
    <row r="8" spans="1:223" ht="24" customHeight="1">
      <c r="A8" s="38">
        <f t="shared" si="0"/>
        <v>0</v>
      </c>
      <c r="B8" s="39">
        <f t="shared" si="1"/>
        <v>0</v>
      </c>
      <c r="C8" s="40">
        <f t="shared" si="2"/>
        <v>0</v>
      </c>
      <c r="D8" s="39">
        <f t="shared" si="3"/>
        <v>13</v>
      </c>
      <c r="E8" s="41">
        <f t="shared" si="4"/>
        <v>1</v>
      </c>
      <c r="F8" s="41">
        <f t="shared" si="5"/>
        <v>3</v>
      </c>
      <c r="G8" s="41">
        <f t="shared" si="6"/>
        <v>4</v>
      </c>
      <c r="H8" s="41">
        <f t="shared" si="7"/>
        <v>7</v>
      </c>
      <c r="I8" s="42">
        <f t="shared" si="8"/>
        <v>28</v>
      </c>
      <c r="J8" s="209" t="s">
        <v>132</v>
      </c>
      <c r="K8" s="137" t="s">
        <v>0</v>
      </c>
      <c r="L8" s="30" t="s">
        <v>3</v>
      </c>
      <c r="M8" s="30" t="s">
        <v>3</v>
      </c>
      <c r="N8" s="30" t="s">
        <v>3</v>
      </c>
      <c r="O8" s="30" t="s">
        <v>3</v>
      </c>
      <c r="P8" s="30" t="s">
        <v>3</v>
      </c>
      <c r="Q8" s="44" t="s">
        <v>52</v>
      </c>
      <c r="R8" s="44" t="s">
        <v>0</v>
      </c>
      <c r="S8" s="30" t="s">
        <v>3</v>
      </c>
      <c r="T8" s="30" t="s">
        <v>3</v>
      </c>
      <c r="U8" s="30" t="s">
        <v>3</v>
      </c>
      <c r="V8" s="30" t="s">
        <v>3</v>
      </c>
      <c r="W8" s="30" t="s">
        <v>3</v>
      </c>
      <c r="X8" s="44" t="s">
        <v>52</v>
      </c>
      <c r="Y8" s="44" t="s">
        <v>0</v>
      </c>
      <c r="Z8" s="44" t="s">
        <v>53</v>
      </c>
      <c r="AA8" s="44" t="s">
        <v>53</v>
      </c>
      <c r="AB8" s="44" t="s">
        <v>53</v>
      </c>
      <c r="AC8" s="44" t="s">
        <v>53</v>
      </c>
      <c r="AD8" s="44" t="s">
        <v>53</v>
      </c>
      <c r="AE8" s="44" t="s">
        <v>53</v>
      </c>
      <c r="AF8" s="44" t="s">
        <v>52</v>
      </c>
      <c r="AG8" s="32" t="s">
        <v>1</v>
      </c>
      <c r="AH8" s="30" t="s">
        <v>3</v>
      </c>
      <c r="AI8" s="30" t="s">
        <v>3</v>
      </c>
      <c r="AJ8" s="30" t="s">
        <v>3</v>
      </c>
      <c r="AK8" s="44" t="s">
        <v>53</v>
      </c>
      <c r="AL8" s="123" t="s">
        <v>52</v>
      </c>
      <c r="AM8" s="45">
        <v>0</v>
      </c>
      <c r="AN8" s="46">
        <f t="shared" si="9"/>
        <v>0</v>
      </c>
      <c r="AO8" s="46">
        <v>0</v>
      </c>
      <c r="AP8" s="134">
        <f t="shared" si="10"/>
        <v>0</v>
      </c>
      <c r="AQ8" s="139" t="s">
        <v>133</v>
      </c>
    </row>
    <row r="9" spans="1:223" s="50" customFormat="1" ht="24.75" customHeight="1">
      <c r="A9" s="38">
        <f t="shared" si="0"/>
        <v>11</v>
      </c>
      <c r="B9" s="39">
        <f t="shared" si="1"/>
        <v>0</v>
      </c>
      <c r="C9" s="40">
        <f t="shared" si="2"/>
        <v>0</v>
      </c>
      <c r="D9" s="39">
        <f t="shared" si="3"/>
        <v>0</v>
      </c>
      <c r="E9" s="41">
        <f t="shared" si="4"/>
        <v>3</v>
      </c>
      <c r="F9" s="41">
        <f t="shared" si="5"/>
        <v>3</v>
      </c>
      <c r="G9" s="41">
        <f t="shared" si="6"/>
        <v>4</v>
      </c>
      <c r="H9" s="41">
        <f t="shared" si="7"/>
        <v>7</v>
      </c>
      <c r="I9" s="42">
        <f t="shared" si="8"/>
        <v>28</v>
      </c>
      <c r="J9" s="209" t="s">
        <v>4</v>
      </c>
      <c r="K9" s="49" t="s">
        <v>0</v>
      </c>
      <c r="L9" s="32" t="s">
        <v>52</v>
      </c>
      <c r="M9" s="30" t="s">
        <v>0</v>
      </c>
      <c r="N9" s="121">
        <v>1</v>
      </c>
      <c r="O9" s="30">
        <v>1</v>
      </c>
      <c r="P9" s="32" t="s">
        <v>127</v>
      </c>
      <c r="Q9" s="30" t="s">
        <v>36</v>
      </c>
      <c r="R9" s="44" t="s">
        <v>52</v>
      </c>
      <c r="S9" s="32" t="s">
        <v>53</v>
      </c>
      <c r="T9" s="30" t="s">
        <v>36</v>
      </c>
      <c r="U9" s="30" t="s">
        <v>36</v>
      </c>
      <c r="V9" s="121" t="s">
        <v>5</v>
      </c>
      <c r="W9" s="32" t="s">
        <v>1</v>
      </c>
      <c r="X9" s="30" t="s">
        <v>52</v>
      </c>
      <c r="Y9" s="30" t="s">
        <v>53</v>
      </c>
      <c r="Z9" s="44" t="s">
        <v>53</v>
      </c>
      <c r="AA9" s="44" t="s">
        <v>53</v>
      </c>
      <c r="AB9" s="44" t="s">
        <v>53</v>
      </c>
      <c r="AC9" s="44" t="s">
        <v>53</v>
      </c>
      <c r="AD9" s="44" t="s">
        <v>53</v>
      </c>
      <c r="AE9" s="44" t="s">
        <v>0</v>
      </c>
      <c r="AF9" s="121" t="s">
        <v>36</v>
      </c>
      <c r="AG9" s="30" t="s">
        <v>36</v>
      </c>
      <c r="AH9" s="30" t="s">
        <v>36</v>
      </c>
      <c r="AI9" s="30" t="s">
        <v>36</v>
      </c>
      <c r="AJ9" s="30" t="s">
        <v>36</v>
      </c>
      <c r="AK9" s="32" t="s">
        <v>1</v>
      </c>
      <c r="AL9" s="123" t="s">
        <v>52</v>
      </c>
      <c r="AM9" s="45">
        <v>0</v>
      </c>
      <c r="AN9" s="46">
        <f t="shared" si="9"/>
        <v>0</v>
      </c>
      <c r="AO9" s="46">
        <v>0</v>
      </c>
      <c r="AP9" s="134">
        <f t="shared" si="10"/>
        <v>0</v>
      </c>
      <c r="AQ9" s="139" t="s">
        <v>126</v>
      </c>
      <c r="AR9" s="6"/>
      <c r="AS9" s="6" cm="2">
        <f t="array" ref="AS9">SUMPRODUCT(COUNTIF(K9:K9,{"X";"Y";"Z";"S"}))+SUMPRODUCT(COUNTIF(Q9:R9,{"X";"Y";"Z";"S"}))+SUMPRODUCT(COUNTIF(X9:Y9,{"X";"Y";"Z";"S"}))+SUMPRODUCT(COUNTIF(AE9:AF9,{"X";"Y";"Z";"S"}))+SUMPRODUCT(COUNTIF(AL9:AL9,{"X";"Y";"Z";"S"}))-5</f>
        <v>1</v>
      </c>
      <c r="AT9" s="6">
        <v>1</v>
      </c>
      <c r="AU9" s="6">
        <f t="shared" si="11"/>
        <v>2</v>
      </c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</row>
    <row r="10" spans="1:223" s="50" customFormat="1" ht="24" customHeight="1">
      <c r="A10" s="38">
        <f t="shared" si="0"/>
        <v>9</v>
      </c>
      <c r="B10" s="39">
        <f t="shared" si="1"/>
        <v>10</v>
      </c>
      <c r="C10" s="40">
        <f t="shared" si="2"/>
        <v>0</v>
      </c>
      <c r="D10" s="39">
        <f t="shared" si="3"/>
        <v>0</v>
      </c>
      <c r="E10" s="41">
        <f t="shared" si="4"/>
        <v>1</v>
      </c>
      <c r="F10" s="41">
        <f t="shared" si="5"/>
        <v>3</v>
      </c>
      <c r="G10" s="41">
        <f t="shared" si="6"/>
        <v>4</v>
      </c>
      <c r="H10" s="41">
        <f t="shared" si="7"/>
        <v>1</v>
      </c>
      <c r="I10" s="42">
        <f t="shared" si="8"/>
        <v>28</v>
      </c>
      <c r="J10" s="210" t="s">
        <v>134</v>
      </c>
      <c r="K10" s="137" t="s">
        <v>0</v>
      </c>
      <c r="L10" s="121">
        <v>2</v>
      </c>
      <c r="M10" s="121">
        <v>2</v>
      </c>
      <c r="N10" s="136" t="s">
        <v>52</v>
      </c>
      <c r="O10" s="30" t="s">
        <v>36</v>
      </c>
      <c r="P10" s="30" t="s">
        <v>36</v>
      </c>
      <c r="Q10" s="30" t="s">
        <v>36</v>
      </c>
      <c r="R10" s="30" t="s">
        <v>36</v>
      </c>
      <c r="S10" s="121">
        <v>2</v>
      </c>
      <c r="T10" s="121">
        <v>2</v>
      </c>
      <c r="U10" s="30" t="s">
        <v>52</v>
      </c>
      <c r="V10" s="30" t="s">
        <v>36</v>
      </c>
      <c r="W10" s="30" t="s">
        <v>36</v>
      </c>
      <c r="X10" s="44" t="s">
        <v>53</v>
      </c>
      <c r="Y10" s="44" t="s">
        <v>0</v>
      </c>
      <c r="Z10" s="202">
        <v>2</v>
      </c>
      <c r="AA10" s="202">
        <v>2</v>
      </c>
      <c r="AB10" s="202">
        <v>2</v>
      </c>
      <c r="AC10" s="30">
        <v>2</v>
      </c>
      <c r="AD10" s="30">
        <v>2</v>
      </c>
      <c r="AE10" s="30">
        <v>2</v>
      </c>
      <c r="AF10" s="44" t="s">
        <v>52</v>
      </c>
      <c r="AG10" s="30">
        <v>1</v>
      </c>
      <c r="AH10" s="30">
        <v>1</v>
      </c>
      <c r="AI10" s="121" t="s">
        <v>36</v>
      </c>
      <c r="AJ10" s="30" t="s">
        <v>52</v>
      </c>
      <c r="AK10" s="32" t="s">
        <v>127</v>
      </c>
      <c r="AL10" s="123" t="s">
        <v>0</v>
      </c>
      <c r="AM10" s="45">
        <v>0</v>
      </c>
      <c r="AN10" s="46">
        <f t="shared" si="9"/>
        <v>-6</v>
      </c>
      <c r="AO10" s="46">
        <v>6</v>
      </c>
      <c r="AP10" s="134">
        <f t="shared" si="10"/>
        <v>0</v>
      </c>
      <c r="AQ10" s="139" t="s">
        <v>128</v>
      </c>
      <c r="AR10" s="6"/>
      <c r="AS10" s="6" cm="2">
        <f t="array" ref="AS10">SUMPRODUCT(COUNTIF(K10:K10,{"X";"Y";"Z";"S"}))+SUMPRODUCT(COUNTIF(Q10:R10,{"X";"Y";"Z";"S"}))+SUMPRODUCT(COUNTIF(X10:Y10,{"X";"Y";"Z";"S"}))+SUMPRODUCT(COUNTIF(AE10:AF10,{"X";"Y";"Z";"S"}))+SUMPRODUCT(COUNTIF(AL10:AL10,{"X";"Y";"Z";"S"}))-5</f>
        <v>0</v>
      </c>
      <c r="AT10" s="6">
        <v>1</v>
      </c>
      <c r="AU10" s="6">
        <f t="shared" si="11"/>
        <v>1</v>
      </c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</row>
    <row r="11" spans="1:223" s="50" customFormat="1" ht="25.5" customHeight="1">
      <c r="A11" s="38">
        <f t="shared" si="0"/>
        <v>9</v>
      </c>
      <c r="B11" s="39">
        <f t="shared" si="1"/>
        <v>1</v>
      </c>
      <c r="C11" s="40">
        <f t="shared" si="2"/>
        <v>6</v>
      </c>
      <c r="D11" s="39">
        <f t="shared" si="3"/>
        <v>0</v>
      </c>
      <c r="E11" s="41">
        <f t="shared" si="4"/>
        <v>4</v>
      </c>
      <c r="F11" s="41">
        <f t="shared" si="5"/>
        <v>3</v>
      </c>
      <c r="G11" s="41">
        <f t="shared" si="6"/>
        <v>4</v>
      </c>
      <c r="H11" s="41">
        <f t="shared" si="7"/>
        <v>1</v>
      </c>
      <c r="I11" s="42">
        <f t="shared" si="8"/>
        <v>28</v>
      </c>
      <c r="J11" s="209" t="s">
        <v>6</v>
      </c>
      <c r="K11" s="200">
        <v>2</v>
      </c>
      <c r="L11" s="30" t="s">
        <v>52</v>
      </c>
      <c r="M11" s="30" t="s">
        <v>36</v>
      </c>
      <c r="N11" s="30" t="s">
        <v>36</v>
      </c>
      <c r="O11" s="32" t="s">
        <v>1</v>
      </c>
      <c r="P11" s="121" t="s">
        <v>5</v>
      </c>
      <c r="Q11" s="32" t="s">
        <v>1</v>
      </c>
      <c r="R11" s="44" t="s">
        <v>52</v>
      </c>
      <c r="S11" s="30" t="s">
        <v>36</v>
      </c>
      <c r="T11" s="30" t="s">
        <v>36</v>
      </c>
      <c r="U11" s="121" t="s">
        <v>5</v>
      </c>
      <c r="V11" s="32" t="s">
        <v>1</v>
      </c>
      <c r="W11" s="30" t="s">
        <v>36</v>
      </c>
      <c r="X11" s="32" t="s">
        <v>1</v>
      </c>
      <c r="Y11" s="44" t="s">
        <v>52</v>
      </c>
      <c r="Z11" s="30">
        <v>3</v>
      </c>
      <c r="AA11" s="30">
        <v>3</v>
      </c>
      <c r="AB11" s="30">
        <v>3</v>
      </c>
      <c r="AC11" s="30">
        <v>3</v>
      </c>
      <c r="AD11" s="30">
        <v>3</v>
      </c>
      <c r="AE11" s="30">
        <v>3</v>
      </c>
      <c r="AF11" s="44" t="s">
        <v>0</v>
      </c>
      <c r="AG11" s="44" t="s">
        <v>53</v>
      </c>
      <c r="AH11" s="30" t="s">
        <v>52</v>
      </c>
      <c r="AI11" s="121">
        <v>1</v>
      </c>
      <c r="AJ11" s="30" t="s">
        <v>36</v>
      </c>
      <c r="AK11" s="44" t="s">
        <v>0</v>
      </c>
      <c r="AL11" s="48" t="s">
        <v>0</v>
      </c>
      <c r="AM11" s="45">
        <v>0</v>
      </c>
      <c r="AN11" s="46">
        <f t="shared" si="9"/>
        <v>-6</v>
      </c>
      <c r="AO11" s="46">
        <v>6</v>
      </c>
      <c r="AP11" s="134">
        <f t="shared" si="10"/>
        <v>0</v>
      </c>
      <c r="AQ11" s="139" t="s">
        <v>126</v>
      </c>
      <c r="AR11" s="6"/>
      <c r="AS11" s="6" cm="2">
        <f t="array" ref="AS11">SUMPRODUCT(COUNTIF(K11:K11,{"X";"Y";"Z";"S"}))+SUMPRODUCT(COUNTIF(Q11:R11,{"X";"Y";"Z";"S"}))+SUMPRODUCT(COUNTIF(X11:Y11,{"X";"Y";"Z";"S"}))+SUMPRODUCT(COUNTIF(AE11:AF11,{"X";"Y";"Z";"S"}))+SUMPRODUCT(COUNTIF(AL11:AL11,{"X";"Y";"Z";"S"}))-5</f>
        <v>1</v>
      </c>
      <c r="AT11" s="6">
        <v>1</v>
      </c>
      <c r="AU11" s="6">
        <f t="shared" si="11"/>
        <v>2</v>
      </c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</row>
    <row r="12" spans="1:223" s="50" customFormat="1" ht="25.5" customHeight="1">
      <c r="A12" s="38">
        <f t="shared" si="0"/>
        <v>13</v>
      </c>
      <c r="B12" s="39">
        <f t="shared" si="1"/>
        <v>1</v>
      </c>
      <c r="C12" s="40">
        <f t="shared" si="2"/>
        <v>0</v>
      </c>
      <c r="D12" s="39">
        <f t="shared" si="3"/>
        <v>0</v>
      </c>
      <c r="E12" s="41">
        <f t="shared" si="4"/>
        <v>0</v>
      </c>
      <c r="F12" s="41">
        <f t="shared" si="5"/>
        <v>3</v>
      </c>
      <c r="G12" s="41">
        <f t="shared" si="6"/>
        <v>4</v>
      </c>
      <c r="H12" s="41">
        <f t="shared" si="7"/>
        <v>7</v>
      </c>
      <c r="I12" s="42">
        <f t="shared" si="8"/>
        <v>28</v>
      </c>
      <c r="J12" s="209" t="s">
        <v>135</v>
      </c>
      <c r="K12" s="137" t="s">
        <v>52</v>
      </c>
      <c r="L12" s="30" t="s">
        <v>36</v>
      </c>
      <c r="M12" s="30" t="s">
        <v>36</v>
      </c>
      <c r="N12" s="30" t="s">
        <v>53</v>
      </c>
      <c r="O12" s="30" t="s">
        <v>0</v>
      </c>
      <c r="P12" s="30" t="s">
        <v>36</v>
      </c>
      <c r="Q12" s="121">
        <v>2</v>
      </c>
      <c r="R12" s="30" t="s">
        <v>52</v>
      </c>
      <c r="S12" s="121">
        <v>1</v>
      </c>
      <c r="T12" s="30">
        <v>1</v>
      </c>
      <c r="U12" s="30">
        <v>1</v>
      </c>
      <c r="V12" s="30">
        <v>1</v>
      </c>
      <c r="W12" s="32" t="s">
        <v>0</v>
      </c>
      <c r="X12" s="30" t="s">
        <v>36</v>
      </c>
      <c r="Y12" s="121" t="s">
        <v>36</v>
      </c>
      <c r="Z12" s="44" t="s">
        <v>52</v>
      </c>
      <c r="AA12" s="44" t="s">
        <v>53</v>
      </c>
      <c r="AB12" s="44" t="s">
        <v>53</v>
      </c>
      <c r="AC12" s="44" t="s">
        <v>53</v>
      </c>
      <c r="AD12" s="44" t="s">
        <v>53</v>
      </c>
      <c r="AE12" s="44" t="s">
        <v>53</v>
      </c>
      <c r="AF12" s="30" t="s">
        <v>0</v>
      </c>
      <c r="AG12" s="30" t="s">
        <v>36</v>
      </c>
      <c r="AH12" s="30" t="s">
        <v>36</v>
      </c>
      <c r="AI12" s="30" t="s">
        <v>36</v>
      </c>
      <c r="AJ12" s="30" t="s">
        <v>36</v>
      </c>
      <c r="AK12" s="32" t="s">
        <v>53</v>
      </c>
      <c r="AL12" s="123" t="s">
        <v>52</v>
      </c>
      <c r="AM12" s="45">
        <v>0</v>
      </c>
      <c r="AN12" s="46">
        <f t="shared" si="9"/>
        <v>0</v>
      </c>
      <c r="AO12" s="46">
        <v>0</v>
      </c>
      <c r="AP12" s="134">
        <f t="shared" si="10"/>
        <v>0</v>
      </c>
      <c r="AQ12" s="139" t="s">
        <v>128</v>
      </c>
      <c r="AR12" s="6"/>
      <c r="AS12" s="6" cm="2">
        <f t="array" ref="AS12">SUMPRODUCT(COUNTIF(K12:K12,{"X";"Y";"Z";"S"}))+SUMPRODUCT(COUNTIF(Q12:R12,{"X";"Y";"Z";"S"}))+SUMPRODUCT(COUNTIF(X12:Y12,{"X";"Y";"Z";"S"}))+SUMPRODUCT(COUNTIF(AE12:AF12,{"X";"Y";"Z";"S"}))+SUMPRODUCT(COUNTIF(AL12:AL12,{"X";"Y";"Z";"S"}))-5</f>
        <v>0</v>
      </c>
      <c r="AT12" s="6">
        <v>1</v>
      </c>
      <c r="AU12" s="6">
        <f t="shared" si="11"/>
        <v>1</v>
      </c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</row>
    <row r="13" spans="1:223" s="50" customFormat="1" ht="28.35" customHeight="1">
      <c r="A13" s="38">
        <f t="shared" si="0"/>
        <v>9</v>
      </c>
      <c r="B13" s="39">
        <f t="shared" si="1"/>
        <v>6</v>
      </c>
      <c r="C13" s="40">
        <f t="shared" si="2"/>
        <v>0</v>
      </c>
      <c r="D13" s="39">
        <f t="shared" si="3"/>
        <v>0</v>
      </c>
      <c r="E13" s="41">
        <f t="shared" si="4"/>
        <v>5</v>
      </c>
      <c r="F13" s="41">
        <f t="shared" si="5"/>
        <v>3</v>
      </c>
      <c r="G13" s="41">
        <f t="shared" si="6"/>
        <v>4</v>
      </c>
      <c r="H13" s="41">
        <f t="shared" si="7"/>
        <v>1</v>
      </c>
      <c r="I13" s="42">
        <f t="shared" si="8"/>
        <v>28</v>
      </c>
      <c r="J13" s="210" t="s">
        <v>136</v>
      </c>
      <c r="K13" s="49" t="s">
        <v>52</v>
      </c>
      <c r="L13" s="121" t="s">
        <v>36</v>
      </c>
      <c r="M13" s="121" t="s">
        <v>58</v>
      </c>
      <c r="N13" s="32" t="s">
        <v>127</v>
      </c>
      <c r="O13" s="32" t="s">
        <v>127</v>
      </c>
      <c r="P13" s="32" t="s">
        <v>127</v>
      </c>
      <c r="Q13" s="44" t="s">
        <v>52</v>
      </c>
      <c r="R13" s="44" t="s">
        <v>0</v>
      </c>
      <c r="S13" s="32" t="s">
        <v>127</v>
      </c>
      <c r="T13" s="32" t="s">
        <v>127</v>
      </c>
      <c r="U13" s="30" t="s">
        <v>36</v>
      </c>
      <c r="V13" s="30" t="s">
        <v>36</v>
      </c>
      <c r="W13" s="121" t="s">
        <v>58</v>
      </c>
      <c r="X13" s="44" t="s">
        <v>53</v>
      </c>
      <c r="Y13" s="44" t="s">
        <v>52</v>
      </c>
      <c r="Z13" s="202" t="s">
        <v>38</v>
      </c>
      <c r="AA13" s="202" t="s">
        <v>38</v>
      </c>
      <c r="AB13" s="202" t="s">
        <v>38</v>
      </c>
      <c r="AC13" s="121" t="s">
        <v>38</v>
      </c>
      <c r="AD13" s="121" t="s">
        <v>38</v>
      </c>
      <c r="AE13" s="121" t="s">
        <v>38</v>
      </c>
      <c r="AF13" s="44" t="s">
        <v>0</v>
      </c>
      <c r="AG13" s="121" t="s">
        <v>36</v>
      </c>
      <c r="AH13" s="121" t="s">
        <v>36</v>
      </c>
      <c r="AI13" s="30" t="s">
        <v>52</v>
      </c>
      <c r="AJ13" s="30" t="s">
        <v>36</v>
      </c>
      <c r="AK13" s="121" t="s">
        <v>36</v>
      </c>
      <c r="AL13" s="48" t="s">
        <v>0</v>
      </c>
      <c r="AM13" s="45">
        <v>0</v>
      </c>
      <c r="AN13" s="46">
        <f t="shared" si="9"/>
        <v>-6</v>
      </c>
      <c r="AO13" s="46">
        <v>6</v>
      </c>
      <c r="AP13" s="134">
        <f t="shared" si="10"/>
        <v>0</v>
      </c>
      <c r="AQ13" s="139" t="s">
        <v>126</v>
      </c>
      <c r="AR13" s="6"/>
      <c r="AS13" s="6" cm="2">
        <f t="array" ref="AS13">SUMPRODUCT(COUNTIF(K13:K13,{"X";"Y";"Z";"S"}))+SUMPRODUCT(COUNTIF(Q13:R13,{"X";"Y";"Z";"S"}))+SUMPRODUCT(COUNTIF(X13:Y13,{"X";"Y";"Z";"S"}))+SUMPRODUCT(COUNTIF(AE13:AF13,{"X";"Y";"Z";"S"}))+SUMPRODUCT(COUNTIF(AL13:AL13,{"X";"Y";"Z";"S"}))-5</f>
        <v>2</v>
      </c>
      <c r="AT13" s="6">
        <v>1</v>
      </c>
      <c r="AU13" s="6">
        <f t="shared" si="11"/>
        <v>3</v>
      </c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</row>
    <row r="14" spans="1:223" s="50" customFormat="1" ht="25.5" customHeight="1">
      <c r="A14" s="38">
        <f t="shared" si="0"/>
        <v>0</v>
      </c>
      <c r="B14" s="39">
        <f t="shared" si="1"/>
        <v>10</v>
      </c>
      <c r="C14" s="40">
        <f t="shared" si="2"/>
        <v>7</v>
      </c>
      <c r="D14" s="39">
        <f t="shared" si="3"/>
        <v>1</v>
      </c>
      <c r="E14" s="41">
        <f t="shared" si="4"/>
        <v>2</v>
      </c>
      <c r="F14" s="41">
        <f t="shared" si="5"/>
        <v>3</v>
      </c>
      <c r="G14" s="41">
        <f t="shared" si="6"/>
        <v>4</v>
      </c>
      <c r="H14" s="41">
        <f t="shared" si="7"/>
        <v>1</v>
      </c>
      <c r="I14" s="42">
        <f t="shared" si="8"/>
        <v>28</v>
      </c>
      <c r="J14" s="211" t="s">
        <v>7</v>
      </c>
      <c r="K14" s="49" t="s">
        <v>52</v>
      </c>
      <c r="L14" s="30" t="s">
        <v>53</v>
      </c>
      <c r="M14" s="30">
        <v>2</v>
      </c>
      <c r="N14" s="121">
        <v>2</v>
      </c>
      <c r="O14" s="121">
        <v>2</v>
      </c>
      <c r="P14" s="32" t="s">
        <v>0</v>
      </c>
      <c r="Q14" s="44" t="s">
        <v>52</v>
      </c>
      <c r="R14" s="121">
        <v>3</v>
      </c>
      <c r="S14" s="32" t="s">
        <v>1</v>
      </c>
      <c r="T14" s="53" t="s">
        <v>3</v>
      </c>
      <c r="U14" s="121">
        <v>2</v>
      </c>
      <c r="V14" s="121">
        <v>2</v>
      </c>
      <c r="W14" s="44" t="s">
        <v>52</v>
      </c>
      <c r="X14" s="32" t="s">
        <v>127</v>
      </c>
      <c r="Y14" s="44" t="s">
        <v>0</v>
      </c>
      <c r="Z14" s="121">
        <v>3</v>
      </c>
      <c r="AA14" s="121">
        <v>3</v>
      </c>
      <c r="AB14" s="121">
        <v>3</v>
      </c>
      <c r="AC14" s="121">
        <v>3</v>
      </c>
      <c r="AD14" s="121">
        <v>3</v>
      </c>
      <c r="AE14" s="121">
        <v>3</v>
      </c>
      <c r="AF14" s="44" t="s">
        <v>52</v>
      </c>
      <c r="AG14" s="121">
        <v>2</v>
      </c>
      <c r="AH14" s="121">
        <v>2</v>
      </c>
      <c r="AI14" s="121">
        <v>2</v>
      </c>
      <c r="AJ14" s="121">
        <v>2</v>
      </c>
      <c r="AK14" s="121">
        <v>2</v>
      </c>
      <c r="AL14" s="123" t="s">
        <v>0</v>
      </c>
      <c r="AM14" s="45">
        <v>0</v>
      </c>
      <c r="AN14" s="46">
        <f t="shared" si="9"/>
        <v>-6</v>
      </c>
      <c r="AO14" s="46">
        <v>6</v>
      </c>
      <c r="AP14" s="134">
        <f t="shared" si="10"/>
        <v>0</v>
      </c>
      <c r="AQ14" s="139" t="s">
        <v>128</v>
      </c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</row>
    <row r="15" spans="1:223" s="50" customFormat="1" ht="25.35" customHeight="1">
      <c r="A15" s="38">
        <f t="shared" si="0"/>
        <v>9</v>
      </c>
      <c r="B15" s="39">
        <f t="shared" si="1"/>
        <v>4</v>
      </c>
      <c r="C15" s="40">
        <f t="shared" si="2"/>
        <v>0</v>
      </c>
      <c r="D15" s="39">
        <f t="shared" si="3"/>
        <v>1</v>
      </c>
      <c r="E15" s="41">
        <f t="shared" si="4"/>
        <v>3</v>
      </c>
      <c r="F15" s="41">
        <f t="shared" si="5"/>
        <v>3</v>
      </c>
      <c r="G15" s="41">
        <f t="shared" si="6"/>
        <v>4</v>
      </c>
      <c r="H15" s="41">
        <f t="shared" si="7"/>
        <v>4</v>
      </c>
      <c r="I15" s="42">
        <f t="shared" si="8"/>
        <v>28</v>
      </c>
      <c r="J15" s="209" t="s">
        <v>8</v>
      </c>
      <c r="K15" s="200" t="s">
        <v>36</v>
      </c>
      <c r="L15" s="30" t="s">
        <v>38</v>
      </c>
      <c r="M15" s="30" t="s">
        <v>52</v>
      </c>
      <c r="N15" s="30" t="s">
        <v>53</v>
      </c>
      <c r="O15" s="121" t="s">
        <v>58</v>
      </c>
      <c r="P15" s="32" t="s">
        <v>127</v>
      </c>
      <c r="Q15" s="44" t="s">
        <v>52</v>
      </c>
      <c r="R15" s="44" t="s">
        <v>0</v>
      </c>
      <c r="S15" s="32" t="s">
        <v>127</v>
      </c>
      <c r="T15" s="53" t="s">
        <v>3</v>
      </c>
      <c r="U15" s="30">
        <v>1</v>
      </c>
      <c r="V15" s="121" t="s">
        <v>58</v>
      </c>
      <c r="W15" s="121">
        <v>1</v>
      </c>
      <c r="X15" s="44" t="s">
        <v>52</v>
      </c>
      <c r="Y15" s="44" t="s">
        <v>53</v>
      </c>
      <c r="Z15" s="202" t="s">
        <v>38</v>
      </c>
      <c r="AA15" s="202" t="s">
        <v>38</v>
      </c>
      <c r="AB15" s="44" t="s">
        <v>0</v>
      </c>
      <c r="AC15" s="196" t="s">
        <v>53</v>
      </c>
      <c r="AD15" s="30" t="s">
        <v>38</v>
      </c>
      <c r="AE15" s="44" t="s">
        <v>0</v>
      </c>
      <c r="AF15" s="44" t="s">
        <v>53</v>
      </c>
      <c r="AG15" s="30" t="s">
        <v>36</v>
      </c>
      <c r="AH15" s="30" t="s">
        <v>36</v>
      </c>
      <c r="AI15" s="30" t="s">
        <v>52</v>
      </c>
      <c r="AJ15" s="121" t="s">
        <v>58</v>
      </c>
      <c r="AK15" s="32" t="s">
        <v>127</v>
      </c>
      <c r="AL15" s="126" t="s">
        <v>36</v>
      </c>
      <c r="AM15" s="45">
        <v>0</v>
      </c>
      <c r="AN15" s="46">
        <f t="shared" si="9"/>
        <v>-3</v>
      </c>
      <c r="AO15" s="46">
        <v>3</v>
      </c>
      <c r="AP15" s="134">
        <f t="shared" si="10"/>
        <v>0</v>
      </c>
      <c r="AQ15" s="139" t="s">
        <v>126</v>
      </c>
      <c r="AR15" s="6"/>
      <c r="AS15" s="6" cm="2">
        <f t="array" ref="AS15">SUMPRODUCT(COUNTIF(K15:K15,{"X";"Y";"Z";"S"}))+SUMPRODUCT(COUNTIF(Q15:R15,{"X";"Y";"Z";"S"}))+SUMPRODUCT(COUNTIF(X15:Y15,{"X";"Y";"Z";"S"}))+SUMPRODUCT(COUNTIF(AE15:AF15,{"X";"Y";"Z";"S"}))+SUMPRODUCT(COUNTIF(AL15:AL15,{"X";"Y";"Z";"S"}))-5</f>
        <v>1</v>
      </c>
      <c r="AT15" s="6">
        <v>1</v>
      </c>
      <c r="AU15" s="6">
        <f t="shared" si="11"/>
        <v>2</v>
      </c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</row>
    <row r="16" spans="1:223" s="50" customFormat="1" ht="25.5" customHeight="1">
      <c r="A16" s="38">
        <f t="shared" si="0"/>
        <v>16</v>
      </c>
      <c r="B16" s="39">
        <f t="shared" si="1"/>
        <v>2</v>
      </c>
      <c r="C16" s="40">
        <f t="shared" si="2"/>
        <v>0</v>
      </c>
      <c r="D16" s="39">
        <f t="shared" si="3"/>
        <v>0</v>
      </c>
      <c r="E16" s="41">
        <f t="shared" si="4"/>
        <v>2</v>
      </c>
      <c r="F16" s="41">
        <f t="shared" si="5"/>
        <v>3</v>
      </c>
      <c r="G16" s="41">
        <f t="shared" si="6"/>
        <v>4</v>
      </c>
      <c r="H16" s="41">
        <f t="shared" si="7"/>
        <v>1</v>
      </c>
      <c r="I16" s="42">
        <f t="shared" si="8"/>
        <v>28</v>
      </c>
      <c r="J16" s="212" t="s">
        <v>93</v>
      </c>
      <c r="K16" s="137" t="s">
        <v>0</v>
      </c>
      <c r="L16" s="30" t="s">
        <v>36</v>
      </c>
      <c r="M16" s="216" t="s">
        <v>5</v>
      </c>
      <c r="N16" s="30">
        <v>1</v>
      </c>
      <c r="O16" s="121" t="s">
        <v>5</v>
      </c>
      <c r="P16" s="121">
        <v>2</v>
      </c>
      <c r="Q16" s="30" t="s">
        <v>52</v>
      </c>
      <c r="R16" s="30" t="s">
        <v>36</v>
      </c>
      <c r="S16" s="30" t="s">
        <v>36</v>
      </c>
      <c r="T16" s="121" t="s">
        <v>5</v>
      </c>
      <c r="U16" s="30">
        <v>1</v>
      </c>
      <c r="V16" s="30">
        <v>1</v>
      </c>
      <c r="W16" s="223">
        <v>2</v>
      </c>
      <c r="X16" s="44" t="s">
        <v>52</v>
      </c>
      <c r="Y16" s="44" t="s">
        <v>0</v>
      </c>
      <c r="Z16" s="121">
        <v>1</v>
      </c>
      <c r="AA16" s="121">
        <v>1</v>
      </c>
      <c r="AB16" s="121">
        <v>1</v>
      </c>
      <c r="AC16" s="202">
        <v>1</v>
      </c>
      <c r="AD16" s="202">
        <v>1</v>
      </c>
      <c r="AE16" s="202">
        <v>1</v>
      </c>
      <c r="AF16" s="44" t="s">
        <v>52</v>
      </c>
      <c r="AG16" s="32" t="s">
        <v>1</v>
      </c>
      <c r="AH16" s="30" t="s">
        <v>53</v>
      </c>
      <c r="AI16" s="30" t="s">
        <v>0</v>
      </c>
      <c r="AJ16" s="121" t="s">
        <v>5</v>
      </c>
      <c r="AK16" s="32" t="s">
        <v>1</v>
      </c>
      <c r="AL16" s="123" t="s">
        <v>52</v>
      </c>
      <c r="AM16" s="45">
        <v>0</v>
      </c>
      <c r="AN16" s="46">
        <f t="shared" si="9"/>
        <v>-6</v>
      </c>
      <c r="AO16" s="46">
        <v>6</v>
      </c>
      <c r="AP16" s="134">
        <f t="shared" si="10"/>
        <v>0</v>
      </c>
      <c r="AQ16" s="139" t="s">
        <v>128</v>
      </c>
      <c r="AR16" s="6"/>
      <c r="AS16" s="6" cm="2">
        <f t="array" ref="AS16">SUMPRODUCT(COUNTIF(K16:K16,{"X";"Y";"Z";"S"}))+SUMPRODUCT(COUNTIF(Q16:R16,{"X";"Y";"Z";"S"}))+SUMPRODUCT(COUNTIF(X16:Y16,{"X";"Y";"Z";"S"}))+SUMPRODUCT(COUNTIF(AE16:AF16,{"X";"Y";"Z";"S"}))+SUMPRODUCT(COUNTIF(AL16:AL16,{"X";"Y";"Z";"S"}))-5</f>
        <v>1</v>
      </c>
      <c r="AT16" s="6">
        <v>1</v>
      </c>
      <c r="AU16" s="6">
        <f t="shared" si="11"/>
        <v>3</v>
      </c>
      <c r="AV16" s="6">
        <v>1</v>
      </c>
      <c r="AW16" s="6" t="s">
        <v>149</v>
      </c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</row>
    <row r="17" spans="1:223" ht="25.35" customHeight="1">
      <c r="A17" s="54">
        <f t="shared" si="0"/>
        <v>8</v>
      </c>
      <c r="B17" s="55">
        <f t="shared" si="1"/>
        <v>3</v>
      </c>
      <c r="C17" s="56">
        <f t="shared" si="2"/>
        <v>2</v>
      </c>
      <c r="D17" s="55">
        <f t="shared" si="3"/>
        <v>1</v>
      </c>
      <c r="E17" s="17">
        <f t="shared" si="4"/>
        <v>0</v>
      </c>
      <c r="F17" s="17">
        <f t="shared" si="5"/>
        <v>3</v>
      </c>
      <c r="G17" s="17">
        <f t="shared" si="6"/>
        <v>4</v>
      </c>
      <c r="H17" s="17">
        <f t="shared" si="7"/>
        <v>7</v>
      </c>
      <c r="I17" s="57">
        <f>SUM(A17:H17)</f>
        <v>28</v>
      </c>
      <c r="J17" s="213" t="s">
        <v>9</v>
      </c>
      <c r="K17" s="49" t="s">
        <v>52</v>
      </c>
      <c r="L17" s="30" t="s">
        <v>36</v>
      </c>
      <c r="M17" s="30" t="s">
        <v>36</v>
      </c>
      <c r="N17" s="30" t="s">
        <v>36</v>
      </c>
      <c r="O17" s="30" t="s">
        <v>36</v>
      </c>
      <c r="P17" s="30" t="s">
        <v>52</v>
      </c>
      <c r="Q17" s="44" t="s">
        <v>53</v>
      </c>
      <c r="R17" s="44" t="s">
        <v>0</v>
      </c>
      <c r="S17" s="30" t="s">
        <v>36</v>
      </c>
      <c r="T17" s="30" t="s">
        <v>36</v>
      </c>
      <c r="U17" s="53" t="s">
        <v>3</v>
      </c>
      <c r="V17" s="30" t="s">
        <v>0</v>
      </c>
      <c r="W17" s="30" t="s">
        <v>38</v>
      </c>
      <c r="X17" s="121">
        <v>2</v>
      </c>
      <c r="Y17" s="121">
        <v>2</v>
      </c>
      <c r="Z17" s="44" t="s">
        <v>52</v>
      </c>
      <c r="AA17" s="44" t="s">
        <v>53</v>
      </c>
      <c r="AB17" s="44" t="s">
        <v>53</v>
      </c>
      <c r="AC17" s="44" t="s">
        <v>53</v>
      </c>
      <c r="AD17" s="44" t="s">
        <v>53</v>
      </c>
      <c r="AE17" s="44" t="s">
        <v>53</v>
      </c>
      <c r="AF17" s="30" t="s">
        <v>0</v>
      </c>
      <c r="AG17" s="121">
        <v>1</v>
      </c>
      <c r="AH17" s="121">
        <v>1</v>
      </c>
      <c r="AI17" s="30" t="s">
        <v>53</v>
      </c>
      <c r="AJ17" s="30" t="s">
        <v>52</v>
      </c>
      <c r="AK17" s="121">
        <v>3</v>
      </c>
      <c r="AL17" s="126">
        <v>3</v>
      </c>
      <c r="AM17" s="45">
        <v>0</v>
      </c>
      <c r="AN17" s="46">
        <f t="shared" si="9"/>
        <v>0</v>
      </c>
      <c r="AO17" s="46">
        <v>0</v>
      </c>
      <c r="AP17" s="134">
        <f>SUM(AM17:AO17)</f>
        <v>0</v>
      </c>
      <c r="AQ17" s="185" t="s">
        <v>126</v>
      </c>
      <c r="AS17" s="6" cm="2">
        <f t="array" ref="AS17">SUMPRODUCT(COUNTIF(K17:K17,{"X";"Y";"Z";"S"}))+SUMPRODUCT(COUNTIF(Q17:R17,{"X";"Y";"Z";"S"}))+SUMPRODUCT(COUNTIF(X17:Y17,{"X";"Y";"Z";"S"}))+SUMPRODUCT(COUNTIF(AE17:AF17,{"X";"Y";"Z";"S"}))+SUMPRODUCT(COUNTIF(AL17:AL17,{"X";"Y";"Z";"S"}))-5</f>
        <v>0</v>
      </c>
      <c r="AT17" s="6">
        <v>1</v>
      </c>
      <c r="AU17" s="6">
        <f t="shared" si="11"/>
        <v>1</v>
      </c>
    </row>
    <row r="18" spans="1:223" ht="25.35" customHeight="1" thickBot="1">
      <c r="A18" s="38">
        <f>COUNTIF(K18:AL18,1)+COUNTIF(K18:AL18,"早")+COUNTIF(K18:AL18,"M1")+COUNTIF(K18:AL18,"T早")+COUNTIF(K18:AL18,"日")</f>
        <v>11</v>
      </c>
      <c r="B18" s="39">
        <f>COUNTIF(K18:AL18,2)+COUNTIF(K18:AL18,"中")+COUNTIF(K18:AL18,"M2")+COUNTIF(K18:AL18,"T中")+COUNTIF(K18:AL18,"小夜")</f>
        <v>0</v>
      </c>
      <c r="C18" s="40">
        <f>COUNTIF(K18:AL18,3)+COUNTIF(K18:AL18,"晚")+COUNTIF(K18:AL18,"大夜")</f>
        <v>2</v>
      </c>
      <c r="D18" s="39">
        <f>COUNTIF(K18:AL18,"N")+COUNTIF(K18:AL18,"N8")</f>
        <v>0</v>
      </c>
      <c r="E18" s="41">
        <f>COUNTIF(K18:AL18,"S")</f>
        <v>1</v>
      </c>
      <c r="F18" s="41">
        <f>COUNTIF(K18:AL18,"X")</f>
        <v>3</v>
      </c>
      <c r="G18" s="41">
        <f>COUNTIF(K18:AL18,"Y")</f>
        <v>4</v>
      </c>
      <c r="H18" s="41">
        <f>COUNTIF(K18:AL18,"Z")</f>
        <v>7</v>
      </c>
      <c r="I18" s="42">
        <f>SUM(A18:H18)</f>
        <v>28</v>
      </c>
      <c r="J18" s="224" t="s">
        <v>137</v>
      </c>
      <c r="K18" s="186" t="s">
        <v>52</v>
      </c>
      <c r="L18" s="30">
        <v>1</v>
      </c>
      <c r="M18" s="30">
        <v>1</v>
      </c>
      <c r="N18" s="60">
        <v>1</v>
      </c>
      <c r="O18" s="60" t="s">
        <v>0</v>
      </c>
      <c r="P18" s="222">
        <v>3</v>
      </c>
      <c r="Q18" s="199">
        <v>3</v>
      </c>
      <c r="R18" s="60" t="s">
        <v>52</v>
      </c>
      <c r="S18" s="60" t="s">
        <v>53</v>
      </c>
      <c r="T18" s="199" t="s">
        <v>36</v>
      </c>
      <c r="U18" s="199" t="s">
        <v>36</v>
      </c>
      <c r="V18" s="60" t="s">
        <v>0</v>
      </c>
      <c r="W18" s="30" t="s">
        <v>36</v>
      </c>
      <c r="X18" s="199" t="s">
        <v>36</v>
      </c>
      <c r="Y18" s="60" t="s">
        <v>52</v>
      </c>
      <c r="Z18" s="59" t="s">
        <v>53</v>
      </c>
      <c r="AA18" s="59" t="s">
        <v>53</v>
      </c>
      <c r="AB18" s="59" t="s">
        <v>53</v>
      </c>
      <c r="AC18" s="59" t="s">
        <v>53</v>
      </c>
      <c r="AD18" s="59" t="s">
        <v>53</v>
      </c>
      <c r="AE18" s="59" t="s">
        <v>0</v>
      </c>
      <c r="AF18" s="60" t="s">
        <v>53</v>
      </c>
      <c r="AG18" s="60">
        <v>1</v>
      </c>
      <c r="AH18" s="60">
        <v>1</v>
      </c>
      <c r="AI18" s="60">
        <v>1</v>
      </c>
      <c r="AJ18" s="60">
        <v>1</v>
      </c>
      <c r="AK18" s="187" t="s">
        <v>1</v>
      </c>
      <c r="AL18" s="188" t="s">
        <v>52</v>
      </c>
      <c r="AM18" s="73">
        <v>0</v>
      </c>
      <c r="AN18" s="74">
        <f t="shared" si="9"/>
        <v>0</v>
      </c>
      <c r="AO18" s="74">
        <v>0</v>
      </c>
      <c r="AP18" s="127">
        <f>SUM(AM18:AO18)</f>
        <v>0</v>
      </c>
      <c r="AQ18" s="139" t="s">
        <v>128</v>
      </c>
      <c r="AS18" s="6" cm="2">
        <f t="array" ref="AS18">SUMPRODUCT(COUNTIF(K18:K18,{"X";"Y";"Z";"S"}))+SUMPRODUCT(COUNTIF(Q18:R18,{"X";"Y";"Z";"S"}))+SUMPRODUCT(COUNTIF(X18:Y18,{"X";"Y";"Z";"S"}))+SUMPRODUCT(COUNTIF(AE18:AF18,{"X";"Y";"Z";"S"}))+SUMPRODUCT(COUNTIF(AL18:AL18,{"X";"Y";"Z";"S"}))-5</f>
        <v>1</v>
      </c>
      <c r="AT18" s="6">
        <v>1</v>
      </c>
      <c r="AU18" s="6">
        <f t="shared" si="11"/>
        <v>2</v>
      </c>
    </row>
    <row r="19" spans="1:223" s="50" customFormat="1" ht="25.2" customHeight="1">
      <c r="A19" s="23">
        <f t="shared" si="0"/>
        <v>2</v>
      </c>
      <c r="B19" s="24">
        <f t="shared" si="1"/>
        <v>14</v>
      </c>
      <c r="C19" s="25">
        <f t="shared" si="2"/>
        <v>2</v>
      </c>
      <c r="D19" s="24">
        <f t="shared" si="3"/>
        <v>0</v>
      </c>
      <c r="E19" s="26">
        <f t="shared" si="4"/>
        <v>2</v>
      </c>
      <c r="F19" s="26">
        <f t="shared" si="5"/>
        <v>3</v>
      </c>
      <c r="G19" s="26">
        <f t="shared" si="6"/>
        <v>4</v>
      </c>
      <c r="H19" s="26">
        <f t="shared" si="7"/>
        <v>1</v>
      </c>
      <c r="I19" s="27">
        <f t="shared" si="8"/>
        <v>28</v>
      </c>
      <c r="J19" s="189" t="s">
        <v>10</v>
      </c>
      <c r="K19" s="28">
        <v>1</v>
      </c>
      <c r="L19" s="33" t="s">
        <v>127</v>
      </c>
      <c r="M19" s="33" t="s">
        <v>127</v>
      </c>
      <c r="N19" s="33" t="s">
        <v>52</v>
      </c>
      <c r="O19" s="206" t="s">
        <v>0</v>
      </c>
      <c r="P19" s="29">
        <v>3</v>
      </c>
      <c r="Q19" s="29">
        <v>2</v>
      </c>
      <c r="R19" s="29">
        <v>2</v>
      </c>
      <c r="S19" s="29" t="s">
        <v>0</v>
      </c>
      <c r="T19" s="206" t="s">
        <v>53</v>
      </c>
      <c r="U19" s="29">
        <v>2</v>
      </c>
      <c r="V19" s="29">
        <v>2</v>
      </c>
      <c r="W19" s="29">
        <v>2</v>
      </c>
      <c r="X19" s="31" t="s">
        <v>52</v>
      </c>
      <c r="Y19" s="31" t="s">
        <v>0</v>
      </c>
      <c r="Z19" s="201">
        <v>2</v>
      </c>
      <c r="AA19" s="201">
        <v>2</v>
      </c>
      <c r="AB19" s="201">
        <v>2</v>
      </c>
      <c r="AC19" s="29">
        <v>2</v>
      </c>
      <c r="AD19" s="29">
        <v>2</v>
      </c>
      <c r="AE19" s="29">
        <v>2</v>
      </c>
      <c r="AF19" s="31" t="s">
        <v>52</v>
      </c>
      <c r="AG19" s="29">
        <v>1</v>
      </c>
      <c r="AH19" s="29">
        <v>2</v>
      </c>
      <c r="AI19" s="29">
        <v>2</v>
      </c>
      <c r="AJ19" s="29">
        <v>2</v>
      </c>
      <c r="AK19" s="29" t="s">
        <v>52</v>
      </c>
      <c r="AL19" s="34">
        <v>3</v>
      </c>
      <c r="AM19" s="166">
        <v>0</v>
      </c>
      <c r="AN19" s="167">
        <f t="shared" si="9"/>
        <v>-6</v>
      </c>
      <c r="AO19" s="167">
        <v>6</v>
      </c>
      <c r="AP19" s="168">
        <f t="shared" si="10"/>
        <v>0</v>
      </c>
      <c r="AQ19" s="138" t="s">
        <v>128</v>
      </c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</row>
    <row r="20" spans="1:223" s="50" customFormat="1" ht="25.5" customHeight="1">
      <c r="A20" s="38">
        <f t="shared" si="0"/>
        <v>2</v>
      </c>
      <c r="B20" s="39">
        <f t="shared" si="1"/>
        <v>5</v>
      </c>
      <c r="C20" s="40">
        <f t="shared" si="2"/>
        <v>5</v>
      </c>
      <c r="D20" s="39">
        <f t="shared" si="3"/>
        <v>0</v>
      </c>
      <c r="E20" s="41">
        <f t="shared" si="4"/>
        <v>2</v>
      </c>
      <c r="F20" s="41">
        <f t="shared" si="5"/>
        <v>3</v>
      </c>
      <c r="G20" s="41">
        <f t="shared" si="6"/>
        <v>4</v>
      </c>
      <c r="H20" s="41">
        <f t="shared" si="7"/>
        <v>7</v>
      </c>
      <c r="I20" s="42">
        <f t="shared" si="8"/>
        <v>28</v>
      </c>
      <c r="J20" s="190" t="s">
        <v>11</v>
      </c>
      <c r="K20" s="137" t="s">
        <v>53</v>
      </c>
      <c r="L20" s="30" t="s">
        <v>53</v>
      </c>
      <c r="M20" s="30" t="s">
        <v>52</v>
      </c>
      <c r="N20" s="30" t="s">
        <v>40</v>
      </c>
      <c r="O20" s="30" t="s">
        <v>40</v>
      </c>
      <c r="P20" s="30" t="s">
        <v>40</v>
      </c>
      <c r="Q20" s="30" t="s">
        <v>40</v>
      </c>
      <c r="R20" s="30" t="s">
        <v>40</v>
      </c>
      <c r="S20" s="32" t="s">
        <v>0</v>
      </c>
      <c r="T20" s="32" t="s">
        <v>52</v>
      </c>
      <c r="U20" s="30" t="s">
        <v>53</v>
      </c>
      <c r="V20" s="30">
        <v>2</v>
      </c>
      <c r="W20" s="30">
        <v>2</v>
      </c>
      <c r="X20" s="30">
        <v>2</v>
      </c>
      <c r="Y20" s="30">
        <v>2</v>
      </c>
      <c r="Z20" s="44" t="s">
        <v>0</v>
      </c>
      <c r="AA20" s="44" t="s">
        <v>53</v>
      </c>
      <c r="AB20" s="44" t="s">
        <v>53</v>
      </c>
      <c r="AC20" s="44" t="s">
        <v>53</v>
      </c>
      <c r="AD20" s="44" t="s">
        <v>53</v>
      </c>
      <c r="AE20" s="44" t="s">
        <v>52</v>
      </c>
      <c r="AF20" s="30" t="s">
        <v>36</v>
      </c>
      <c r="AG20" s="30" t="s">
        <v>36</v>
      </c>
      <c r="AH20" s="30" t="s">
        <v>38</v>
      </c>
      <c r="AI20" s="32" t="s">
        <v>0</v>
      </c>
      <c r="AJ20" s="191" t="s">
        <v>1</v>
      </c>
      <c r="AK20" s="191" t="s">
        <v>1</v>
      </c>
      <c r="AL20" s="123" t="s">
        <v>52</v>
      </c>
      <c r="AM20" s="45">
        <v>0</v>
      </c>
      <c r="AN20" s="46">
        <f t="shared" si="9"/>
        <v>0</v>
      </c>
      <c r="AO20" s="46">
        <v>0</v>
      </c>
      <c r="AP20" s="134">
        <f t="shared" si="10"/>
        <v>0</v>
      </c>
      <c r="AQ20" s="139" t="s">
        <v>128</v>
      </c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</row>
    <row r="21" spans="1:223" ht="25.5" customHeight="1">
      <c r="A21" s="38">
        <f t="shared" si="0"/>
        <v>2</v>
      </c>
      <c r="B21" s="39">
        <f t="shared" si="1"/>
        <v>8</v>
      </c>
      <c r="C21" s="40">
        <f t="shared" si="2"/>
        <v>4</v>
      </c>
      <c r="D21" s="39">
        <f t="shared" si="3"/>
        <v>0</v>
      </c>
      <c r="E21" s="41">
        <f t="shared" si="4"/>
        <v>0</v>
      </c>
      <c r="F21" s="41">
        <f t="shared" si="5"/>
        <v>3</v>
      </c>
      <c r="G21" s="41">
        <f t="shared" si="6"/>
        <v>4</v>
      </c>
      <c r="H21" s="41">
        <f t="shared" si="7"/>
        <v>7</v>
      </c>
      <c r="I21" s="42">
        <f t="shared" si="8"/>
        <v>28</v>
      </c>
      <c r="J21" s="192" t="s">
        <v>12</v>
      </c>
      <c r="K21" s="49" t="s">
        <v>38</v>
      </c>
      <c r="L21" s="30" t="s">
        <v>38</v>
      </c>
      <c r="M21" s="30" t="s">
        <v>52</v>
      </c>
      <c r="N21" s="30" t="s">
        <v>53</v>
      </c>
      <c r="O21" s="30" t="s">
        <v>53</v>
      </c>
      <c r="P21" s="30" t="s">
        <v>53</v>
      </c>
      <c r="Q21" s="44" t="s">
        <v>52</v>
      </c>
      <c r="R21" s="44" t="s">
        <v>0</v>
      </c>
      <c r="S21" s="30" t="s">
        <v>40</v>
      </c>
      <c r="T21" s="30" t="s">
        <v>40</v>
      </c>
      <c r="U21" s="30" t="s">
        <v>40</v>
      </c>
      <c r="V21" s="30" t="s">
        <v>40</v>
      </c>
      <c r="W21" s="30" t="s">
        <v>0</v>
      </c>
      <c r="X21" s="30" t="s">
        <v>38</v>
      </c>
      <c r="Y21" s="30" t="s">
        <v>38</v>
      </c>
      <c r="Z21" s="44" t="s">
        <v>52</v>
      </c>
      <c r="AA21" s="44" t="s">
        <v>53</v>
      </c>
      <c r="AB21" s="44" t="s">
        <v>53</v>
      </c>
      <c r="AC21" s="44" t="s">
        <v>53</v>
      </c>
      <c r="AD21" s="44" t="s">
        <v>53</v>
      </c>
      <c r="AE21" s="44" t="s">
        <v>0</v>
      </c>
      <c r="AF21" s="30">
        <v>1</v>
      </c>
      <c r="AG21" s="30">
        <v>2</v>
      </c>
      <c r="AH21" s="30">
        <v>2</v>
      </c>
      <c r="AI21" s="30" t="s">
        <v>38</v>
      </c>
      <c r="AJ21" s="30" t="s">
        <v>38</v>
      </c>
      <c r="AK21" s="30" t="s">
        <v>52</v>
      </c>
      <c r="AL21" s="48">
        <v>1</v>
      </c>
      <c r="AM21" s="45">
        <v>0</v>
      </c>
      <c r="AN21" s="46">
        <f t="shared" si="9"/>
        <v>0</v>
      </c>
      <c r="AO21" s="46">
        <v>0</v>
      </c>
      <c r="AP21" s="134">
        <f t="shared" si="10"/>
        <v>0</v>
      </c>
      <c r="AQ21" s="139" t="s">
        <v>126</v>
      </c>
    </row>
    <row r="22" spans="1:223" ht="25.5" customHeight="1">
      <c r="A22" s="38">
        <f t="shared" si="0"/>
        <v>0</v>
      </c>
      <c r="B22" s="39">
        <f t="shared" si="1"/>
        <v>0</v>
      </c>
      <c r="C22" s="40">
        <f t="shared" si="2"/>
        <v>14</v>
      </c>
      <c r="D22" s="39">
        <f t="shared" si="3"/>
        <v>0</v>
      </c>
      <c r="E22" s="41">
        <f t="shared" si="4"/>
        <v>0</v>
      </c>
      <c r="F22" s="41">
        <f t="shared" si="5"/>
        <v>3</v>
      </c>
      <c r="G22" s="41">
        <f t="shared" si="6"/>
        <v>4</v>
      </c>
      <c r="H22" s="41">
        <f t="shared" si="7"/>
        <v>7</v>
      </c>
      <c r="I22" s="42">
        <f t="shared" si="8"/>
        <v>28</v>
      </c>
      <c r="J22" s="190" t="s">
        <v>13</v>
      </c>
      <c r="K22" s="137" t="s">
        <v>52</v>
      </c>
      <c r="L22" s="30" t="s">
        <v>40</v>
      </c>
      <c r="M22" s="30" t="s">
        <v>40</v>
      </c>
      <c r="N22" s="30" t="s">
        <v>40</v>
      </c>
      <c r="O22" s="30" t="s">
        <v>40</v>
      </c>
      <c r="P22" s="30" t="s">
        <v>0</v>
      </c>
      <c r="Q22" s="30">
        <v>3</v>
      </c>
      <c r="R22" s="30">
        <v>3</v>
      </c>
      <c r="S22" s="30" t="s">
        <v>52</v>
      </c>
      <c r="T22" s="30" t="s">
        <v>53</v>
      </c>
      <c r="U22" s="30" t="s">
        <v>0</v>
      </c>
      <c r="V22" s="30" t="s">
        <v>40</v>
      </c>
      <c r="W22" s="30" t="s">
        <v>40</v>
      </c>
      <c r="X22" s="30">
        <v>3</v>
      </c>
      <c r="Y22" s="30">
        <v>3</v>
      </c>
      <c r="Z22" s="44" t="s">
        <v>52</v>
      </c>
      <c r="AA22" s="44" t="s">
        <v>53</v>
      </c>
      <c r="AB22" s="44" t="s">
        <v>53</v>
      </c>
      <c r="AC22" s="44" t="s">
        <v>53</v>
      </c>
      <c r="AD22" s="44" t="s">
        <v>53</v>
      </c>
      <c r="AE22" s="44" t="s">
        <v>0</v>
      </c>
      <c r="AF22" s="30" t="s">
        <v>40</v>
      </c>
      <c r="AG22" s="30" t="s">
        <v>40</v>
      </c>
      <c r="AH22" s="30" t="s">
        <v>40</v>
      </c>
      <c r="AI22" s="30" t="s">
        <v>40</v>
      </c>
      <c r="AJ22" s="30" t="s">
        <v>53</v>
      </c>
      <c r="AK22" s="30" t="s">
        <v>53</v>
      </c>
      <c r="AL22" s="123" t="s">
        <v>52</v>
      </c>
      <c r="AM22" s="45">
        <v>0</v>
      </c>
      <c r="AN22" s="46">
        <f t="shared" si="9"/>
        <v>0</v>
      </c>
      <c r="AO22" s="46">
        <v>0</v>
      </c>
      <c r="AP22" s="134">
        <f t="shared" si="10"/>
        <v>0</v>
      </c>
      <c r="AQ22" s="139" t="s">
        <v>128</v>
      </c>
    </row>
    <row r="23" spans="1:223" s="50" customFormat="1" ht="25.5" customHeight="1">
      <c r="A23" s="38">
        <f t="shared" si="0"/>
        <v>2</v>
      </c>
      <c r="B23" s="39">
        <f t="shared" si="1"/>
        <v>6</v>
      </c>
      <c r="C23" s="40">
        <f t="shared" si="2"/>
        <v>6</v>
      </c>
      <c r="D23" s="39">
        <f t="shared" si="3"/>
        <v>0</v>
      </c>
      <c r="E23" s="41">
        <f t="shared" si="4"/>
        <v>0</v>
      </c>
      <c r="F23" s="41">
        <f t="shared" si="5"/>
        <v>3</v>
      </c>
      <c r="G23" s="41">
        <f t="shared" si="6"/>
        <v>4</v>
      </c>
      <c r="H23" s="41">
        <f t="shared" si="7"/>
        <v>7</v>
      </c>
      <c r="I23" s="42">
        <f t="shared" si="8"/>
        <v>28</v>
      </c>
      <c r="J23" s="193" t="s">
        <v>138</v>
      </c>
      <c r="K23" s="49" t="s">
        <v>40</v>
      </c>
      <c r="L23" s="30" t="s">
        <v>52</v>
      </c>
      <c r="M23" s="30" t="s">
        <v>40</v>
      </c>
      <c r="N23" s="30" t="s">
        <v>40</v>
      </c>
      <c r="O23" s="30" t="s">
        <v>40</v>
      </c>
      <c r="P23" s="30" t="s">
        <v>40</v>
      </c>
      <c r="Q23" s="44" t="s">
        <v>52</v>
      </c>
      <c r="R23" s="44" t="s">
        <v>53</v>
      </c>
      <c r="S23" s="30">
        <v>2</v>
      </c>
      <c r="T23" s="30">
        <v>2</v>
      </c>
      <c r="U23" s="30">
        <v>2</v>
      </c>
      <c r="V23" s="30">
        <v>2</v>
      </c>
      <c r="W23" s="30" t="s">
        <v>0</v>
      </c>
      <c r="X23" s="30" t="s">
        <v>52</v>
      </c>
      <c r="Y23" s="30" t="s">
        <v>40</v>
      </c>
      <c r="Z23" s="44" t="s">
        <v>53</v>
      </c>
      <c r="AA23" s="44" t="s">
        <v>53</v>
      </c>
      <c r="AB23" s="44" t="s">
        <v>53</v>
      </c>
      <c r="AC23" s="44" t="s">
        <v>53</v>
      </c>
      <c r="AD23" s="44" t="s">
        <v>53</v>
      </c>
      <c r="AE23" s="44" t="s">
        <v>0</v>
      </c>
      <c r="AF23" s="30" t="s">
        <v>38</v>
      </c>
      <c r="AG23" s="30" t="s">
        <v>38</v>
      </c>
      <c r="AH23" s="30" t="s">
        <v>52</v>
      </c>
      <c r="AI23" s="30" t="s">
        <v>53</v>
      </c>
      <c r="AJ23" s="30" t="s">
        <v>0</v>
      </c>
      <c r="AK23" s="30" t="s">
        <v>36</v>
      </c>
      <c r="AL23" s="48" t="s">
        <v>36</v>
      </c>
      <c r="AM23" s="45">
        <v>0</v>
      </c>
      <c r="AN23" s="46">
        <f t="shared" si="9"/>
        <v>0</v>
      </c>
      <c r="AO23" s="46">
        <v>0</v>
      </c>
      <c r="AP23" s="134">
        <f t="shared" si="10"/>
        <v>0</v>
      </c>
      <c r="AQ23" s="139" t="s">
        <v>126</v>
      </c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</row>
    <row r="24" spans="1:223" s="50" customFormat="1" ht="25.5" customHeight="1">
      <c r="A24" s="38">
        <f t="shared" si="0"/>
        <v>3</v>
      </c>
      <c r="B24" s="39">
        <f t="shared" si="1"/>
        <v>7</v>
      </c>
      <c r="C24" s="40">
        <f t="shared" si="2"/>
        <v>1</v>
      </c>
      <c r="D24" s="39">
        <f t="shared" si="3"/>
        <v>3</v>
      </c>
      <c r="E24" s="41">
        <f t="shared" si="4"/>
        <v>0</v>
      </c>
      <c r="F24" s="41">
        <f t="shared" si="5"/>
        <v>3</v>
      </c>
      <c r="G24" s="41">
        <f t="shared" si="6"/>
        <v>4</v>
      </c>
      <c r="H24" s="41">
        <f t="shared" si="7"/>
        <v>7</v>
      </c>
      <c r="I24" s="42">
        <f t="shared" si="8"/>
        <v>28</v>
      </c>
      <c r="J24" s="194" t="s">
        <v>14</v>
      </c>
      <c r="K24" s="137" t="s">
        <v>52</v>
      </c>
      <c r="L24" s="30" t="s">
        <v>40</v>
      </c>
      <c r="M24" s="53" t="s">
        <v>3</v>
      </c>
      <c r="N24" s="53" t="s">
        <v>3</v>
      </c>
      <c r="O24" s="30" t="s">
        <v>38</v>
      </c>
      <c r="P24" s="30" t="s">
        <v>38</v>
      </c>
      <c r="Q24" s="44" t="s">
        <v>52</v>
      </c>
      <c r="R24" s="44" t="s">
        <v>0</v>
      </c>
      <c r="S24" s="30" t="s">
        <v>53</v>
      </c>
      <c r="T24" s="53" t="s">
        <v>3</v>
      </c>
      <c r="U24" s="30" t="s">
        <v>36</v>
      </c>
      <c r="V24" s="30" t="s">
        <v>38</v>
      </c>
      <c r="W24" s="30" t="s">
        <v>0</v>
      </c>
      <c r="X24" s="30" t="s">
        <v>36</v>
      </c>
      <c r="Y24" s="30" t="s">
        <v>36</v>
      </c>
      <c r="Z24" s="44" t="s">
        <v>52</v>
      </c>
      <c r="AA24" s="44" t="s">
        <v>53</v>
      </c>
      <c r="AB24" s="44" t="s">
        <v>53</v>
      </c>
      <c r="AC24" s="44" t="s">
        <v>53</v>
      </c>
      <c r="AD24" s="44" t="s">
        <v>53</v>
      </c>
      <c r="AE24" s="44" t="s">
        <v>53</v>
      </c>
      <c r="AF24" s="30" t="s">
        <v>0</v>
      </c>
      <c r="AG24" s="30" t="s">
        <v>53</v>
      </c>
      <c r="AH24" s="30" t="s">
        <v>52</v>
      </c>
      <c r="AI24" s="30">
        <v>2</v>
      </c>
      <c r="AJ24" s="30" t="s">
        <v>38</v>
      </c>
      <c r="AK24" s="30" t="s">
        <v>38</v>
      </c>
      <c r="AL24" s="48" t="s">
        <v>38</v>
      </c>
      <c r="AM24" s="45">
        <v>0</v>
      </c>
      <c r="AN24" s="46">
        <f t="shared" si="9"/>
        <v>0</v>
      </c>
      <c r="AO24" s="46">
        <v>0</v>
      </c>
      <c r="AP24" s="134">
        <f t="shared" si="10"/>
        <v>0</v>
      </c>
      <c r="AQ24" s="139" t="s">
        <v>128</v>
      </c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</row>
    <row r="25" spans="1:223" s="50" customFormat="1" ht="25.5" customHeight="1">
      <c r="A25" s="38">
        <f t="shared" si="0"/>
        <v>8</v>
      </c>
      <c r="B25" s="39">
        <f t="shared" si="1"/>
        <v>6</v>
      </c>
      <c r="C25" s="40">
        <f t="shared" si="2"/>
        <v>0</v>
      </c>
      <c r="D25" s="39">
        <f t="shared" si="3"/>
        <v>6</v>
      </c>
      <c r="E25" s="41">
        <f t="shared" si="4"/>
        <v>0</v>
      </c>
      <c r="F25" s="41">
        <f t="shared" si="5"/>
        <v>3</v>
      </c>
      <c r="G25" s="41">
        <f t="shared" si="6"/>
        <v>4</v>
      </c>
      <c r="H25" s="41">
        <f t="shared" si="7"/>
        <v>1</v>
      </c>
      <c r="I25" s="42">
        <f t="shared" si="8"/>
        <v>28</v>
      </c>
      <c r="J25" s="194" t="s">
        <v>15</v>
      </c>
      <c r="K25" s="137" t="s">
        <v>52</v>
      </c>
      <c r="L25" s="30">
        <v>1</v>
      </c>
      <c r="M25" s="30" t="s">
        <v>3</v>
      </c>
      <c r="N25" s="30">
        <v>1</v>
      </c>
      <c r="O25" s="30" t="s">
        <v>3</v>
      </c>
      <c r="P25" s="30">
        <v>1</v>
      </c>
      <c r="Q25" s="44" t="s">
        <v>0</v>
      </c>
      <c r="R25" s="44" t="s">
        <v>53</v>
      </c>
      <c r="S25" s="30">
        <v>1</v>
      </c>
      <c r="T25" s="30">
        <v>1</v>
      </c>
      <c r="U25" s="44" t="s">
        <v>52</v>
      </c>
      <c r="V25" s="30" t="s">
        <v>3</v>
      </c>
      <c r="W25" s="30">
        <v>1</v>
      </c>
      <c r="X25" s="44" t="s">
        <v>0</v>
      </c>
      <c r="Y25" s="44" t="s">
        <v>52</v>
      </c>
      <c r="Z25" s="30">
        <v>2</v>
      </c>
      <c r="AA25" s="30">
        <v>2</v>
      </c>
      <c r="AB25" s="30">
        <v>2</v>
      </c>
      <c r="AC25" s="30">
        <v>2</v>
      </c>
      <c r="AD25" s="30">
        <v>2</v>
      </c>
      <c r="AE25" s="30">
        <v>2</v>
      </c>
      <c r="AF25" s="44" t="s">
        <v>0</v>
      </c>
      <c r="AG25" s="30" t="s">
        <v>3</v>
      </c>
      <c r="AH25" s="30" t="s">
        <v>3</v>
      </c>
      <c r="AI25" s="30">
        <v>1</v>
      </c>
      <c r="AJ25" s="30" t="s">
        <v>3</v>
      </c>
      <c r="AK25" s="30">
        <v>1</v>
      </c>
      <c r="AL25" s="123" t="s">
        <v>52</v>
      </c>
      <c r="AM25" s="45">
        <v>0</v>
      </c>
      <c r="AN25" s="46">
        <f t="shared" si="9"/>
        <v>-6</v>
      </c>
      <c r="AO25" s="46">
        <v>5</v>
      </c>
      <c r="AP25" s="134">
        <f t="shared" si="10"/>
        <v>-1</v>
      </c>
      <c r="AQ25" s="139" t="s">
        <v>133</v>
      </c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</row>
    <row r="26" spans="1:223" s="50" customFormat="1" ht="25.5" customHeight="1">
      <c r="A26" s="38">
        <f>COUNTIF(K26:AL26,1)+COUNTIF(K26:AL26,"早")+COUNTIF(K26:AL26,"M1")+COUNTIF(K26:AL26,"T早")+COUNTIF(K26:AL26,"日")</f>
        <v>3</v>
      </c>
      <c r="B26" s="39">
        <f>COUNTIF(K26:AL26,2)+COUNTIF(K26:AL26,"中")+COUNTIF(K26:AL26,"M2")+COUNTIF(K26:AL26,"T中")+COUNTIF(K26:AL26,"小夜")</f>
        <v>6</v>
      </c>
      <c r="C26" s="40">
        <f>COUNTIF(K26:AL26,3)+COUNTIF(K26:AL26,"晚")+COUNTIF(K26:AL26,"大夜")</f>
        <v>5</v>
      </c>
      <c r="D26" s="39">
        <f>COUNTIF(K26:AL26,"N")+COUNTIF(K26:AL26,"N8")</f>
        <v>0</v>
      </c>
      <c r="E26" s="41">
        <f>COUNTIF(K26:AL26,"S")</f>
        <v>0</v>
      </c>
      <c r="F26" s="41">
        <f>COUNTIF(K26:AL26,"X")</f>
        <v>3</v>
      </c>
      <c r="G26" s="41">
        <f>COUNTIF(K26:AL26,"Y")</f>
        <v>4</v>
      </c>
      <c r="H26" s="41">
        <f>COUNTIF(K26:AL26,"Z")</f>
        <v>7</v>
      </c>
      <c r="I26" s="42">
        <f t="shared" si="8"/>
        <v>28</v>
      </c>
      <c r="J26" s="194" t="s">
        <v>16</v>
      </c>
      <c r="K26" s="49" t="s">
        <v>36</v>
      </c>
      <c r="L26" s="30" t="s">
        <v>53</v>
      </c>
      <c r="M26" s="30" t="s">
        <v>38</v>
      </c>
      <c r="N26" s="30">
        <v>2</v>
      </c>
      <c r="O26" s="30" t="s">
        <v>52</v>
      </c>
      <c r="P26" s="30">
        <v>2</v>
      </c>
      <c r="Q26" s="30">
        <v>2</v>
      </c>
      <c r="R26" s="30">
        <v>2</v>
      </c>
      <c r="S26" s="30" t="s">
        <v>38</v>
      </c>
      <c r="T26" s="30" t="s">
        <v>0</v>
      </c>
      <c r="U26" s="30" t="s">
        <v>52</v>
      </c>
      <c r="V26" s="30">
        <v>3</v>
      </c>
      <c r="W26" s="30">
        <v>3</v>
      </c>
      <c r="X26" s="30" t="s">
        <v>52</v>
      </c>
      <c r="Y26" s="30" t="s">
        <v>36</v>
      </c>
      <c r="Z26" s="44" t="s">
        <v>53</v>
      </c>
      <c r="AA26" s="44" t="s">
        <v>53</v>
      </c>
      <c r="AB26" s="44" t="s">
        <v>53</v>
      </c>
      <c r="AC26" s="44" t="s">
        <v>53</v>
      </c>
      <c r="AD26" s="44" t="s">
        <v>53</v>
      </c>
      <c r="AE26" s="44" t="s">
        <v>0</v>
      </c>
      <c r="AF26" s="30" t="s">
        <v>36</v>
      </c>
      <c r="AG26" s="32" t="s">
        <v>52</v>
      </c>
      <c r="AH26" s="30" t="s">
        <v>40</v>
      </c>
      <c r="AI26" s="30" t="s">
        <v>40</v>
      </c>
      <c r="AJ26" s="30" t="s">
        <v>40</v>
      </c>
      <c r="AK26" s="30" t="s">
        <v>53</v>
      </c>
      <c r="AL26" s="123" t="s">
        <v>0</v>
      </c>
      <c r="AM26" s="45">
        <v>0</v>
      </c>
      <c r="AN26" s="46">
        <f t="shared" si="9"/>
        <v>0</v>
      </c>
      <c r="AO26" s="46">
        <v>0</v>
      </c>
      <c r="AP26" s="134">
        <f t="shared" si="10"/>
        <v>0</v>
      </c>
      <c r="AQ26" s="139" t="s">
        <v>126</v>
      </c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</row>
    <row r="27" spans="1:223" s="50" customFormat="1" ht="25.5" customHeight="1">
      <c r="A27" s="38">
        <f t="shared" si="0"/>
        <v>14</v>
      </c>
      <c r="B27" s="39">
        <f t="shared" si="1"/>
        <v>2</v>
      </c>
      <c r="C27" s="40">
        <f t="shared" si="2"/>
        <v>0</v>
      </c>
      <c r="D27" s="39">
        <f t="shared" si="3"/>
        <v>0</v>
      </c>
      <c r="E27" s="41">
        <f t="shared" si="4"/>
        <v>4</v>
      </c>
      <c r="F27" s="41">
        <f t="shared" si="5"/>
        <v>3</v>
      </c>
      <c r="G27" s="41">
        <f t="shared" si="6"/>
        <v>4</v>
      </c>
      <c r="H27" s="41">
        <f t="shared" si="7"/>
        <v>1</v>
      </c>
      <c r="I27" s="42">
        <f t="shared" si="8"/>
        <v>28</v>
      </c>
      <c r="J27" s="193" t="s">
        <v>17</v>
      </c>
      <c r="K27" s="49">
        <v>1</v>
      </c>
      <c r="L27" s="30">
        <v>2</v>
      </c>
      <c r="M27" s="30">
        <v>2</v>
      </c>
      <c r="N27" s="30" t="s">
        <v>52</v>
      </c>
      <c r="O27" s="30">
        <v>1</v>
      </c>
      <c r="P27" s="30">
        <v>1</v>
      </c>
      <c r="Q27" s="44" t="s">
        <v>0</v>
      </c>
      <c r="R27" s="44" t="s">
        <v>0</v>
      </c>
      <c r="S27" s="30">
        <v>1</v>
      </c>
      <c r="T27" s="30">
        <v>1</v>
      </c>
      <c r="U27" s="30" t="s">
        <v>52</v>
      </c>
      <c r="V27" s="32" t="s">
        <v>1</v>
      </c>
      <c r="W27" s="32" t="s">
        <v>1</v>
      </c>
      <c r="X27" s="44" t="s">
        <v>53</v>
      </c>
      <c r="Y27" s="44" t="s">
        <v>52</v>
      </c>
      <c r="Z27" s="30">
        <v>1</v>
      </c>
      <c r="AA27" s="30">
        <v>1</v>
      </c>
      <c r="AB27" s="30">
        <v>1</v>
      </c>
      <c r="AC27" s="202">
        <v>1</v>
      </c>
      <c r="AD27" s="202">
        <v>1</v>
      </c>
      <c r="AE27" s="202">
        <v>1</v>
      </c>
      <c r="AF27" s="44" t="s">
        <v>0</v>
      </c>
      <c r="AG27" s="32" t="s">
        <v>1</v>
      </c>
      <c r="AH27" s="32" t="s">
        <v>1</v>
      </c>
      <c r="AI27" s="30" t="s">
        <v>52</v>
      </c>
      <c r="AJ27" s="30">
        <v>1</v>
      </c>
      <c r="AK27" s="30">
        <v>1</v>
      </c>
      <c r="AL27" s="48">
        <v>1</v>
      </c>
      <c r="AM27" s="45">
        <v>0</v>
      </c>
      <c r="AN27" s="46">
        <f t="shared" si="9"/>
        <v>-6</v>
      </c>
      <c r="AO27" s="46">
        <v>6</v>
      </c>
      <c r="AP27" s="134">
        <f t="shared" si="10"/>
        <v>0</v>
      </c>
      <c r="AQ27" s="139" t="s">
        <v>126</v>
      </c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</row>
    <row r="28" spans="1:223" s="50" customFormat="1" ht="25.2" customHeight="1">
      <c r="A28" s="38">
        <f t="shared" si="0"/>
        <v>4</v>
      </c>
      <c r="B28" s="39">
        <f t="shared" si="1"/>
        <v>3</v>
      </c>
      <c r="C28" s="40">
        <f t="shared" si="2"/>
        <v>7</v>
      </c>
      <c r="D28" s="39">
        <f t="shared" si="3"/>
        <v>0</v>
      </c>
      <c r="E28" s="41">
        <f t="shared" si="4"/>
        <v>0</v>
      </c>
      <c r="F28" s="41">
        <f t="shared" si="5"/>
        <v>3</v>
      </c>
      <c r="G28" s="41">
        <f t="shared" si="6"/>
        <v>4</v>
      </c>
      <c r="H28" s="41">
        <f t="shared" si="7"/>
        <v>7</v>
      </c>
      <c r="I28" s="42">
        <f t="shared" si="8"/>
        <v>28</v>
      </c>
      <c r="J28" s="194" t="s">
        <v>139</v>
      </c>
      <c r="K28" s="49">
        <v>3</v>
      </c>
      <c r="L28" s="30">
        <v>3</v>
      </c>
      <c r="M28" s="30">
        <v>2</v>
      </c>
      <c r="N28" s="30" t="s">
        <v>52</v>
      </c>
      <c r="O28" s="32" t="s">
        <v>0</v>
      </c>
      <c r="P28" s="30" t="s">
        <v>53</v>
      </c>
      <c r="Q28" s="30">
        <v>1</v>
      </c>
      <c r="R28" s="30">
        <v>1</v>
      </c>
      <c r="S28" s="30" t="s">
        <v>52</v>
      </c>
      <c r="T28" s="30">
        <v>2</v>
      </c>
      <c r="U28" s="30">
        <v>2</v>
      </c>
      <c r="V28" s="32" t="s">
        <v>0</v>
      </c>
      <c r="W28" s="30">
        <v>1</v>
      </c>
      <c r="X28" s="30">
        <v>1</v>
      </c>
      <c r="Y28" s="30" t="s">
        <v>52</v>
      </c>
      <c r="Z28" s="44" t="s">
        <v>53</v>
      </c>
      <c r="AA28" s="44" t="s">
        <v>53</v>
      </c>
      <c r="AB28" s="44" t="s">
        <v>53</v>
      </c>
      <c r="AC28" s="44" t="s">
        <v>53</v>
      </c>
      <c r="AD28" s="44" t="s">
        <v>53</v>
      </c>
      <c r="AE28" s="44" t="s">
        <v>0</v>
      </c>
      <c r="AF28" s="30">
        <v>3</v>
      </c>
      <c r="AG28" s="30">
        <v>3</v>
      </c>
      <c r="AH28" s="30">
        <v>3</v>
      </c>
      <c r="AI28" s="30">
        <v>3</v>
      </c>
      <c r="AJ28" s="30">
        <v>3</v>
      </c>
      <c r="AK28" s="32" t="s">
        <v>53</v>
      </c>
      <c r="AL28" s="123" t="s">
        <v>52</v>
      </c>
      <c r="AM28" s="45">
        <v>0</v>
      </c>
      <c r="AN28" s="46">
        <f t="shared" si="9"/>
        <v>0</v>
      </c>
      <c r="AO28" s="46">
        <v>0</v>
      </c>
      <c r="AP28" s="134">
        <f t="shared" si="10"/>
        <v>0</v>
      </c>
      <c r="AQ28" s="139" t="s">
        <v>126</v>
      </c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</row>
    <row r="29" spans="1:223" s="50" customFormat="1" ht="25.5" customHeight="1">
      <c r="A29" s="38">
        <f t="shared" si="0"/>
        <v>2</v>
      </c>
      <c r="B29" s="39">
        <f t="shared" si="1"/>
        <v>7</v>
      </c>
      <c r="C29" s="40">
        <f t="shared" si="2"/>
        <v>1</v>
      </c>
      <c r="D29" s="39">
        <f t="shared" si="3"/>
        <v>4</v>
      </c>
      <c r="E29" s="41">
        <f t="shared" si="4"/>
        <v>0</v>
      </c>
      <c r="F29" s="41">
        <f t="shared" si="5"/>
        <v>3</v>
      </c>
      <c r="G29" s="41">
        <f t="shared" si="6"/>
        <v>4</v>
      </c>
      <c r="H29" s="41">
        <f t="shared" si="7"/>
        <v>7</v>
      </c>
      <c r="I29" s="42">
        <f t="shared" si="8"/>
        <v>28</v>
      </c>
      <c r="J29" s="194" t="s">
        <v>18</v>
      </c>
      <c r="K29" s="49">
        <v>2</v>
      </c>
      <c r="L29" s="30" t="s">
        <v>0</v>
      </c>
      <c r="M29" s="53" t="s">
        <v>3</v>
      </c>
      <c r="N29" s="53" t="s">
        <v>3</v>
      </c>
      <c r="O29" s="30">
        <v>2</v>
      </c>
      <c r="P29" s="30" t="s">
        <v>52</v>
      </c>
      <c r="Q29" s="44" t="s">
        <v>53</v>
      </c>
      <c r="R29" s="44" t="s">
        <v>0</v>
      </c>
      <c r="S29" s="30">
        <v>3</v>
      </c>
      <c r="T29" s="53" t="s">
        <v>3</v>
      </c>
      <c r="U29" s="53" t="s">
        <v>3</v>
      </c>
      <c r="V29" s="30" t="s">
        <v>52</v>
      </c>
      <c r="W29" s="30">
        <v>2</v>
      </c>
      <c r="X29" s="30">
        <v>2</v>
      </c>
      <c r="Y29" s="30">
        <v>2</v>
      </c>
      <c r="Z29" s="44" t="s">
        <v>52</v>
      </c>
      <c r="AA29" s="44" t="s">
        <v>53</v>
      </c>
      <c r="AB29" s="44" t="s">
        <v>53</v>
      </c>
      <c r="AC29" s="44" t="s">
        <v>53</v>
      </c>
      <c r="AD29" s="44" t="s">
        <v>53</v>
      </c>
      <c r="AE29" s="44" t="s">
        <v>0</v>
      </c>
      <c r="AF29" s="30">
        <v>1</v>
      </c>
      <c r="AG29" s="30" t="s">
        <v>53</v>
      </c>
      <c r="AH29" s="30" t="s">
        <v>53</v>
      </c>
      <c r="AI29" s="30" t="s">
        <v>52</v>
      </c>
      <c r="AJ29" s="30">
        <v>1</v>
      </c>
      <c r="AK29" s="30">
        <v>2</v>
      </c>
      <c r="AL29" s="48">
        <v>2</v>
      </c>
      <c r="AM29" s="45">
        <v>0</v>
      </c>
      <c r="AN29" s="46">
        <f t="shared" si="9"/>
        <v>0</v>
      </c>
      <c r="AO29" s="46">
        <v>0</v>
      </c>
      <c r="AP29" s="134">
        <f t="shared" si="10"/>
        <v>0</v>
      </c>
      <c r="AQ29" s="139" t="s">
        <v>126</v>
      </c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</row>
    <row r="30" spans="1:223" s="50" customFormat="1" ht="25.5" customHeight="1">
      <c r="A30" s="38">
        <f t="shared" si="0"/>
        <v>4</v>
      </c>
      <c r="B30" s="39">
        <f t="shared" si="1"/>
        <v>5</v>
      </c>
      <c r="C30" s="40">
        <f t="shared" si="2"/>
        <v>5</v>
      </c>
      <c r="D30" s="39">
        <f t="shared" si="3"/>
        <v>0</v>
      </c>
      <c r="E30" s="41">
        <f t="shared" si="4"/>
        <v>0</v>
      </c>
      <c r="F30" s="41">
        <f t="shared" si="5"/>
        <v>3</v>
      </c>
      <c r="G30" s="41">
        <f t="shared" si="6"/>
        <v>4</v>
      </c>
      <c r="H30" s="41">
        <f t="shared" si="7"/>
        <v>7</v>
      </c>
      <c r="I30" s="42">
        <f t="shared" si="8"/>
        <v>28</v>
      </c>
      <c r="J30" s="194" t="s">
        <v>140</v>
      </c>
      <c r="K30" s="137" t="s">
        <v>53</v>
      </c>
      <c r="L30" s="30" t="s">
        <v>52</v>
      </c>
      <c r="M30" s="30">
        <v>3</v>
      </c>
      <c r="N30" s="30">
        <v>3</v>
      </c>
      <c r="O30" s="30">
        <v>3</v>
      </c>
      <c r="P30" s="30" t="s">
        <v>53</v>
      </c>
      <c r="Q30" s="30">
        <v>1</v>
      </c>
      <c r="R30" s="30">
        <v>1</v>
      </c>
      <c r="S30" s="30" t="s">
        <v>52</v>
      </c>
      <c r="T30" s="30">
        <v>3</v>
      </c>
      <c r="U30" s="30">
        <v>3</v>
      </c>
      <c r="V30" s="30" t="s">
        <v>0</v>
      </c>
      <c r="W30" s="30" t="s">
        <v>53</v>
      </c>
      <c r="X30" s="30">
        <v>1</v>
      </c>
      <c r="Y30" s="30">
        <v>1</v>
      </c>
      <c r="Z30" s="44" t="s">
        <v>52</v>
      </c>
      <c r="AA30" s="44" t="s">
        <v>53</v>
      </c>
      <c r="AB30" s="44" t="s">
        <v>53</v>
      </c>
      <c r="AC30" s="44" t="s">
        <v>53</v>
      </c>
      <c r="AD30" s="44" t="s">
        <v>53</v>
      </c>
      <c r="AE30" s="44" t="s">
        <v>0</v>
      </c>
      <c r="AF30" s="30">
        <v>2</v>
      </c>
      <c r="AG30" s="30">
        <v>2</v>
      </c>
      <c r="AH30" s="30" t="s">
        <v>52</v>
      </c>
      <c r="AI30" s="30">
        <v>2</v>
      </c>
      <c r="AJ30" s="30">
        <v>2</v>
      </c>
      <c r="AK30" s="30">
        <v>2</v>
      </c>
      <c r="AL30" s="123" t="s">
        <v>0</v>
      </c>
      <c r="AM30" s="62">
        <v>0</v>
      </c>
      <c r="AN30" s="46">
        <f t="shared" si="9"/>
        <v>0</v>
      </c>
      <c r="AO30" s="46">
        <v>0</v>
      </c>
      <c r="AP30" s="134">
        <f t="shared" si="10"/>
        <v>0</v>
      </c>
      <c r="AQ30" s="139" t="s">
        <v>128</v>
      </c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</row>
    <row r="31" spans="1:223" s="50" customFormat="1" ht="25.5" customHeight="1">
      <c r="A31" s="38">
        <f>COUNTIF(K31:AL31,1)+COUNTIF(K31:AL31,"早")+COUNTIF(K31:AL31,"M1")+COUNTIF(K31:AL31,"T早")+COUNTIF(K31:AL31,"日")</f>
        <v>4</v>
      </c>
      <c r="B31" s="39">
        <f>COUNTIF(K31:AL31,2)+COUNTIF(K31:AL31,"中")+COUNTIF(K31:AL31,"M2")+COUNTIF(K31:AL31,"T中")+COUNTIF(K31:AL31,"小夜")</f>
        <v>0</v>
      </c>
      <c r="C31" s="40">
        <f>COUNTIF(K31:AL31,3)+COUNTIF(K31:AL31,"晚")+COUNTIF(K31:AL31,"大夜")</f>
        <v>10</v>
      </c>
      <c r="D31" s="39">
        <f>COUNTIF(K31:AL31,"N")+COUNTIF(K31:AL31,"N8")</f>
        <v>0</v>
      </c>
      <c r="E31" s="41">
        <f>COUNTIF(K31:AL31,"S")</f>
        <v>0</v>
      </c>
      <c r="F31" s="41">
        <f>COUNTIF(K31:AL31,"X")</f>
        <v>3</v>
      </c>
      <c r="G31" s="41">
        <f>COUNTIF(K31:AL31,"Y")</f>
        <v>4</v>
      </c>
      <c r="H31" s="41">
        <f>COUNTIF(K31:AL31,"Z")</f>
        <v>7</v>
      </c>
      <c r="I31" s="42">
        <f t="shared" si="8"/>
        <v>28</v>
      </c>
      <c r="J31" s="194" t="s">
        <v>19</v>
      </c>
      <c r="K31" s="137" t="s">
        <v>0</v>
      </c>
      <c r="L31" s="30">
        <v>3</v>
      </c>
      <c r="M31" s="30">
        <v>3</v>
      </c>
      <c r="N31" s="30">
        <v>3</v>
      </c>
      <c r="O31" s="30">
        <v>3</v>
      </c>
      <c r="P31" s="30">
        <v>3</v>
      </c>
      <c r="Q31" s="44" t="s">
        <v>53</v>
      </c>
      <c r="R31" s="44" t="s">
        <v>52</v>
      </c>
      <c r="S31" s="30">
        <v>3</v>
      </c>
      <c r="T31" s="30">
        <v>3</v>
      </c>
      <c r="U31" s="30">
        <v>3</v>
      </c>
      <c r="V31" s="30" t="s">
        <v>52</v>
      </c>
      <c r="W31" s="30">
        <v>1</v>
      </c>
      <c r="X31" s="30">
        <v>1</v>
      </c>
      <c r="Y31" s="30">
        <v>1</v>
      </c>
      <c r="Z31" s="44" t="s">
        <v>0</v>
      </c>
      <c r="AA31" s="44" t="s">
        <v>53</v>
      </c>
      <c r="AB31" s="44" t="s">
        <v>53</v>
      </c>
      <c r="AC31" s="44" t="s">
        <v>53</v>
      </c>
      <c r="AD31" s="44" t="s">
        <v>53</v>
      </c>
      <c r="AE31" s="44" t="s">
        <v>52</v>
      </c>
      <c r="AF31" s="30">
        <v>1</v>
      </c>
      <c r="AG31" s="30" t="s">
        <v>53</v>
      </c>
      <c r="AH31" s="30" t="s">
        <v>53</v>
      </c>
      <c r="AI31" s="30" t="s">
        <v>52</v>
      </c>
      <c r="AJ31" s="30">
        <v>3</v>
      </c>
      <c r="AK31" s="197">
        <v>3</v>
      </c>
      <c r="AL31" s="48" t="s">
        <v>0</v>
      </c>
      <c r="AM31" s="62">
        <v>0</v>
      </c>
      <c r="AN31" s="46">
        <f t="shared" si="9"/>
        <v>0</v>
      </c>
      <c r="AO31" s="46">
        <v>0</v>
      </c>
      <c r="AP31" s="134">
        <f t="shared" si="10"/>
        <v>0</v>
      </c>
      <c r="AQ31" s="139" t="s">
        <v>128</v>
      </c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</row>
    <row r="32" spans="1:223" s="50" customFormat="1" ht="25.5" customHeight="1">
      <c r="A32" s="38">
        <f t="shared" si="0"/>
        <v>3</v>
      </c>
      <c r="B32" s="39">
        <f t="shared" si="1"/>
        <v>9</v>
      </c>
      <c r="C32" s="40">
        <f t="shared" si="2"/>
        <v>2</v>
      </c>
      <c r="D32" s="39">
        <f t="shared" si="3"/>
        <v>0</v>
      </c>
      <c r="E32" s="41">
        <f t="shared" si="4"/>
        <v>0</v>
      </c>
      <c r="F32" s="41">
        <f t="shared" si="5"/>
        <v>3</v>
      </c>
      <c r="G32" s="41">
        <f t="shared" si="6"/>
        <v>4</v>
      </c>
      <c r="H32" s="41">
        <f t="shared" si="7"/>
        <v>7</v>
      </c>
      <c r="I32" s="42">
        <f>SUM(A32:H32)</f>
        <v>28</v>
      </c>
      <c r="J32" s="194" t="s">
        <v>20</v>
      </c>
      <c r="K32" s="49">
        <v>1</v>
      </c>
      <c r="L32" s="30">
        <v>2</v>
      </c>
      <c r="M32" s="30" t="s">
        <v>52</v>
      </c>
      <c r="N32" s="30" t="s">
        <v>53</v>
      </c>
      <c r="O32" s="30">
        <v>2</v>
      </c>
      <c r="P32" s="30">
        <v>2</v>
      </c>
      <c r="Q32" s="44" t="s">
        <v>52</v>
      </c>
      <c r="R32" s="44" t="s">
        <v>53</v>
      </c>
      <c r="S32" s="30">
        <v>2</v>
      </c>
      <c r="T32" s="30">
        <v>2</v>
      </c>
      <c r="U32" s="30" t="s">
        <v>0</v>
      </c>
      <c r="V32" s="30">
        <v>3</v>
      </c>
      <c r="W32" s="30">
        <v>3</v>
      </c>
      <c r="X32" s="30" t="s">
        <v>52</v>
      </c>
      <c r="Y32" s="30">
        <v>1</v>
      </c>
      <c r="Z32" s="44" t="s">
        <v>0</v>
      </c>
      <c r="AA32" s="44" t="s">
        <v>53</v>
      </c>
      <c r="AB32" s="44" t="s">
        <v>53</v>
      </c>
      <c r="AC32" s="44" t="s">
        <v>53</v>
      </c>
      <c r="AD32" s="44" t="s">
        <v>53</v>
      </c>
      <c r="AE32" s="44" t="s">
        <v>0</v>
      </c>
      <c r="AF32" s="30">
        <v>2</v>
      </c>
      <c r="AG32" s="30">
        <v>2</v>
      </c>
      <c r="AH32" s="30">
        <v>2</v>
      </c>
      <c r="AI32" s="30" t="s">
        <v>52</v>
      </c>
      <c r="AJ32" s="30" t="s">
        <v>53</v>
      </c>
      <c r="AK32" s="30">
        <v>1</v>
      </c>
      <c r="AL32" s="48">
        <v>2</v>
      </c>
      <c r="AM32" s="62">
        <v>0</v>
      </c>
      <c r="AN32" s="46">
        <f t="shared" si="9"/>
        <v>0</v>
      </c>
      <c r="AO32" s="46">
        <v>0</v>
      </c>
      <c r="AP32" s="134">
        <f>SUM(AM32:AO32)</f>
        <v>0</v>
      </c>
      <c r="AQ32" s="139" t="s">
        <v>126</v>
      </c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</row>
    <row r="33" spans="1:223" s="50" customFormat="1" ht="25.5" customHeight="1" thickBot="1">
      <c r="A33" s="54">
        <f t="shared" si="0"/>
        <v>7</v>
      </c>
      <c r="B33" s="55">
        <f t="shared" si="1"/>
        <v>6</v>
      </c>
      <c r="C33" s="56">
        <f t="shared" si="2"/>
        <v>7</v>
      </c>
      <c r="D33" s="55">
        <f t="shared" si="3"/>
        <v>0</v>
      </c>
      <c r="E33" s="17">
        <f t="shared" si="4"/>
        <v>0</v>
      </c>
      <c r="F33" s="17">
        <f t="shared" si="5"/>
        <v>3</v>
      </c>
      <c r="G33" s="17">
        <f t="shared" si="6"/>
        <v>4</v>
      </c>
      <c r="H33" s="17">
        <f t="shared" si="7"/>
        <v>1</v>
      </c>
      <c r="I33" s="57">
        <f t="shared" si="8"/>
        <v>28</v>
      </c>
      <c r="J33" s="195" t="s">
        <v>21</v>
      </c>
      <c r="K33" s="180">
        <v>2</v>
      </c>
      <c r="L33" s="160">
        <v>2</v>
      </c>
      <c r="M33" s="160" t="s">
        <v>52</v>
      </c>
      <c r="N33" s="160">
        <v>2</v>
      </c>
      <c r="O33" s="160">
        <v>2</v>
      </c>
      <c r="P33" s="160">
        <v>2</v>
      </c>
      <c r="Q33" s="162" t="s">
        <v>0</v>
      </c>
      <c r="R33" s="162" t="s">
        <v>52</v>
      </c>
      <c r="S33" s="160">
        <v>3</v>
      </c>
      <c r="T33" s="160">
        <v>3</v>
      </c>
      <c r="U33" s="160">
        <v>3</v>
      </c>
      <c r="V33" s="160">
        <v>3</v>
      </c>
      <c r="W33" s="160">
        <v>3</v>
      </c>
      <c r="X33" s="162" t="s">
        <v>53</v>
      </c>
      <c r="Y33" s="162" t="s">
        <v>52</v>
      </c>
      <c r="Z33" s="160">
        <v>1</v>
      </c>
      <c r="AA33" s="160">
        <v>1</v>
      </c>
      <c r="AB33" s="160">
        <v>1</v>
      </c>
      <c r="AC33" s="160">
        <v>1</v>
      </c>
      <c r="AD33" s="160">
        <v>1</v>
      </c>
      <c r="AE33" s="160">
        <v>1</v>
      </c>
      <c r="AF33" s="162" t="s">
        <v>0</v>
      </c>
      <c r="AG33" s="160" t="s">
        <v>0</v>
      </c>
      <c r="AH33" s="160">
        <v>3</v>
      </c>
      <c r="AI33" s="160">
        <v>3</v>
      </c>
      <c r="AJ33" s="160">
        <v>2</v>
      </c>
      <c r="AK33" s="160" t="s">
        <v>52</v>
      </c>
      <c r="AL33" s="181">
        <v>1</v>
      </c>
      <c r="AM33" s="142">
        <v>0</v>
      </c>
      <c r="AN33" s="74">
        <f t="shared" si="9"/>
        <v>-6</v>
      </c>
      <c r="AO33" s="74">
        <v>6</v>
      </c>
      <c r="AP33" s="127">
        <f t="shared" si="10"/>
        <v>0</v>
      </c>
      <c r="AQ33" s="140" t="s">
        <v>126</v>
      </c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</row>
    <row r="34" spans="1:223" s="50" customFormat="1" ht="25.5" customHeight="1">
      <c r="A34" s="23">
        <f t="shared" si="0"/>
        <v>0</v>
      </c>
      <c r="B34" s="24">
        <f t="shared" si="1"/>
        <v>0</v>
      </c>
      <c r="C34" s="25">
        <f t="shared" si="2"/>
        <v>11</v>
      </c>
      <c r="D34" s="24">
        <f t="shared" si="3"/>
        <v>0</v>
      </c>
      <c r="E34" s="26">
        <f t="shared" si="4"/>
        <v>9</v>
      </c>
      <c r="F34" s="26">
        <f t="shared" si="5"/>
        <v>3</v>
      </c>
      <c r="G34" s="26">
        <f t="shared" si="6"/>
        <v>4</v>
      </c>
      <c r="H34" s="26">
        <f t="shared" si="7"/>
        <v>1</v>
      </c>
      <c r="I34" s="176">
        <f t="shared" si="8"/>
        <v>28</v>
      </c>
      <c r="J34" s="189" t="s">
        <v>22</v>
      </c>
      <c r="K34" s="205" t="s">
        <v>1</v>
      </c>
      <c r="L34" s="33" t="s">
        <v>1</v>
      </c>
      <c r="M34" s="33" t="s">
        <v>1</v>
      </c>
      <c r="N34" s="33" t="s">
        <v>1</v>
      </c>
      <c r="O34" s="31" t="s">
        <v>52</v>
      </c>
      <c r="P34" s="29" t="s">
        <v>40</v>
      </c>
      <c r="Q34" s="29" t="s">
        <v>40</v>
      </c>
      <c r="R34" s="29" t="s">
        <v>40</v>
      </c>
      <c r="S34" s="29" t="s">
        <v>0</v>
      </c>
      <c r="T34" s="29" t="s">
        <v>52</v>
      </c>
      <c r="U34" s="33" t="s">
        <v>141</v>
      </c>
      <c r="V34" s="33" t="s">
        <v>141</v>
      </c>
      <c r="W34" s="33" t="s">
        <v>141</v>
      </c>
      <c r="X34" s="31" t="s">
        <v>53</v>
      </c>
      <c r="Y34" s="31" t="s">
        <v>52</v>
      </c>
      <c r="Z34" s="29" t="s">
        <v>40</v>
      </c>
      <c r="AA34" s="29" t="s">
        <v>40</v>
      </c>
      <c r="AB34" s="29" t="s">
        <v>40</v>
      </c>
      <c r="AC34" s="29" t="s">
        <v>40</v>
      </c>
      <c r="AD34" s="29" t="s">
        <v>40</v>
      </c>
      <c r="AE34" s="29" t="s">
        <v>40</v>
      </c>
      <c r="AF34" s="31" t="s">
        <v>52</v>
      </c>
      <c r="AG34" s="33" t="s">
        <v>141</v>
      </c>
      <c r="AH34" s="33" t="s">
        <v>141</v>
      </c>
      <c r="AI34" s="29" t="s">
        <v>0</v>
      </c>
      <c r="AJ34" s="29" t="s">
        <v>40</v>
      </c>
      <c r="AK34" s="29" t="s">
        <v>40</v>
      </c>
      <c r="AL34" s="135" t="s">
        <v>0</v>
      </c>
      <c r="AM34" s="65">
        <v>0</v>
      </c>
      <c r="AN34" s="36">
        <f t="shared" si="9"/>
        <v>-6</v>
      </c>
      <c r="AO34" s="36">
        <v>6</v>
      </c>
      <c r="AP34" s="133">
        <f t="shared" si="10"/>
        <v>0</v>
      </c>
      <c r="AQ34" s="138" t="s">
        <v>128</v>
      </c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</row>
    <row r="35" spans="1:223" s="50" customFormat="1" ht="27.75" customHeight="1">
      <c r="A35" s="38">
        <f t="shared" si="0"/>
        <v>0</v>
      </c>
      <c r="B35" s="39">
        <f t="shared" si="1"/>
        <v>12</v>
      </c>
      <c r="C35" s="40">
        <f t="shared" si="2"/>
        <v>2</v>
      </c>
      <c r="D35" s="39">
        <f t="shared" si="3"/>
        <v>0</v>
      </c>
      <c r="E35" s="41">
        <f t="shared" si="4"/>
        <v>0</v>
      </c>
      <c r="F35" s="41">
        <f t="shared" si="5"/>
        <v>3</v>
      </c>
      <c r="G35" s="41">
        <f t="shared" si="6"/>
        <v>4</v>
      </c>
      <c r="H35" s="41">
        <f t="shared" si="7"/>
        <v>7</v>
      </c>
      <c r="I35" s="177">
        <f t="shared" si="8"/>
        <v>28</v>
      </c>
      <c r="J35" s="193" t="s">
        <v>23</v>
      </c>
      <c r="K35" s="137" t="s">
        <v>0</v>
      </c>
      <c r="L35" s="30" t="s">
        <v>40</v>
      </c>
      <c r="M35" s="30" t="s">
        <v>40</v>
      </c>
      <c r="N35" s="30" t="s">
        <v>52</v>
      </c>
      <c r="O35" s="30" t="s">
        <v>53</v>
      </c>
      <c r="P35" s="30" t="s">
        <v>53</v>
      </c>
      <c r="Q35" s="30" t="s">
        <v>38</v>
      </c>
      <c r="R35" s="30" t="s">
        <v>38</v>
      </c>
      <c r="S35" s="30" t="s">
        <v>38</v>
      </c>
      <c r="T35" s="30" t="s">
        <v>38</v>
      </c>
      <c r="U35" s="30" t="s">
        <v>52</v>
      </c>
      <c r="V35" s="30" t="s">
        <v>53</v>
      </c>
      <c r="W35" s="30" t="s">
        <v>38</v>
      </c>
      <c r="X35" s="30" t="s">
        <v>38</v>
      </c>
      <c r="Y35" s="30" t="s">
        <v>38</v>
      </c>
      <c r="Z35" s="44" t="s">
        <v>0</v>
      </c>
      <c r="AA35" s="44" t="s">
        <v>53</v>
      </c>
      <c r="AB35" s="44" t="s">
        <v>53</v>
      </c>
      <c r="AC35" s="44" t="s">
        <v>53</v>
      </c>
      <c r="AD35" s="44" t="s">
        <v>53</v>
      </c>
      <c r="AE35" s="44" t="s">
        <v>52</v>
      </c>
      <c r="AF35" s="30" t="s">
        <v>38</v>
      </c>
      <c r="AG35" s="30" t="s">
        <v>38</v>
      </c>
      <c r="AH35" s="30" t="s">
        <v>52</v>
      </c>
      <c r="AI35" s="30" t="s">
        <v>38</v>
      </c>
      <c r="AJ35" s="30" t="s">
        <v>38</v>
      </c>
      <c r="AK35" s="30" t="s">
        <v>38</v>
      </c>
      <c r="AL35" s="123" t="s">
        <v>0</v>
      </c>
      <c r="AM35" s="45">
        <v>0</v>
      </c>
      <c r="AN35" s="46">
        <f t="shared" si="9"/>
        <v>0</v>
      </c>
      <c r="AO35" s="46">
        <v>0</v>
      </c>
      <c r="AP35" s="134">
        <f t="shared" si="10"/>
        <v>0</v>
      </c>
      <c r="AQ35" s="139" t="s">
        <v>128</v>
      </c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</row>
    <row r="36" spans="1:223" s="50" customFormat="1" ht="27.6" customHeight="1">
      <c r="A36" s="38">
        <f t="shared" si="0"/>
        <v>1</v>
      </c>
      <c r="B36" s="39">
        <f t="shared" si="1"/>
        <v>13</v>
      </c>
      <c r="C36" s="40">
        <f t="shared" si="2"/>
        <v>0</v>
      </c>
      <c r="D36" s="39">
        <f t="shared" si="3"/>
        <v>0</v>
      </c>
      <c r="E36" s="41">
        <f t="shared" si="4"/>
        <v>0</v>
      </c>
      <c r="F36" s="41">
        <f t="shared" si="5"/>
        <v>3</v>
      </c>
      <c r="G36" s="41">
        <f t="shared" si="6"/>
        <v>4</v>
      </c>
      <c r="H36" s="41">
        <f t="shared" si="7"/>
        <v>7</v>
      </c>
      <c r="I36" s="177">
        <f t="shared" si="8"/>
        <v>28</v>
      </c>
      <c r="J36" s="193" t="s">
        <v>24</v>
      </c>
      <c r="K36" s="49" t="s">
        <v>38</v>
      </c>
      <c r="L36" s="30" t="s">
        <v>52</v>
      </c>
      <c r="M36" s="30" t="s">
        <v>38</v>
      </c>
      <c r="N36" s="30" t="s">
        <v>38</v>
      </c>
      <c r="O36" s="30" t="s">
        <v>0</v>
      </c>
      <c r="P36" s="30" t="s">
        <v>53</v>
      </c>
      <c r="Q36" s="44" t="s">
        <v>53</v>
      </c>
      <c r="R36" s="44" t="s">
        <v>52</v>
      </c>
      <c r="S36" s="30" t="s">
        <v>38</v>
      </c>
      <c r="T36" s="32" t="s">
        <v>38</v>
      </c>
      <c r="U36" s="30" t="s">
        <v>38</v>
      </c>
      <c r="V36" s="30" t="s">
        <v>38</v>
      </c>
      <c r="W36" s="32" t="s">
        <v>52</v>
      </c>
      <c r="X36" s="30" t="s">
        <v>38</v>
      </c>
      <c r="Y36" s="30" t="s">
        <v>38</v>
      </c>
      <c r="Z36" s="44" t="s">
        <v>0</v>
      </c>
      <c r="AA36" s="44" t="s">
        <v>53</v>
      </c>
      <c r="AB36" s="44" t="s">
        <v>53</v>
      </c>
      <c r="AC36" s="44" t="s">
        <v>53</v>
      </c>
      <c r="AD36" s="44" t="s">
        <v>53</v>
      </c>
      <c r="AE36" s="44" t="s">
        <v>52</v>
      </c>
      <c r="AF36" s="30" t="s">
        <v>38</v>
      </c>
      <c r="AG36" s="30" t="s">
        <v>38</v>
      </c>
      <c r="AH36" s="30" t="s">
        <v>38</v>
      </c>
      <c r="AI36" s="30" t="s">
        <v>0</v>
      </c>
      <c r="AJ36" s="30" t="s">
        <v>53</v>
      </c>
      <c r="AK36" s="30" t="s">
        <v>36</v>
      </c>
      <c r="AL36" s="48" t="s">
        <v>38</v>
      </c>
      <c r="AM36" s="45">
        <v>0</v>
      </c>
      <c r="AN36" s="46">
        <f t="shared" si="9"/>
        <v>0</v>
      </c>
      <c r="AO36" s="46">
        <v>0</v>
      </c>
      <c r="AP36" s="134">
        <f t="shared" si="10"/>
        <v>0</v>
      </c>
      <c r="AQ36" s="139" t="s">
        <v>126</v>
      </c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</row>
    <row r="37" spans="1:223" s="50" customFormat="1" ht="27.6" customHeight="1">
      <c r="A37" s="38">
        <f t="shared" si="0"/>
        <v>6</v>
      </c>
      <c r="B37" s="39">
        <f t="shared" si="1"/>
        <v>14</v>
      </c>
      <c r="C37" s="40">
        <f t="shared" si="2"/>
        <v>0</v>
      </c>
      <c r="D37" s="39">
        <f t="shared" si="3"/>
        <v>0</v>
      </c>
      <c r="E37" s="41">
        <f t="shared" si="4"/>
        <v>0</v>
      </c>
      <c r="F37" s="41">
        <f t="shared" si="5"/>
        <v>3</v>
      </c>
      <c r="G37" s="41">
        <f t="shared" si="6"/>
        <v>4</v>
      </c>
      <c r="H37" s="41">
        <f t="shared" si="7"/>
        <v>1</v>
      </c>
      <c r="I37" s="177">
        <f t="shared" si="8"/>
        <v>28</v>
      </c>
      <c r="J37" s="214" t="s">
        <v>25</v>
      </c>
      <c r="K37" s="49" t="s">
        <v>38</v>
      </c>
      <c r="L37" s="30" t="s">
        <v>38</v>
      </c>
      <c r="M37" s="30" t="s">
        <v>52</v>
      </c>
      <c r="N37" s="30" t="s">
        <v>38</v>
      </c>
      <c r="O37" s="30" t="s">
        <v>38</v>
      </c>
      <c r="P37" s="30" t="s">
        <v>38</v>
      </c>
      <c r="Q37" s="30" t="s">
        <v>26</v>
      </c>
      <c r="R37" s="30" t="s">
        <v>38</v>
      </c>
      <c r="S37" s="30" t="s">
        <v>52</v>
      </c>
      <c r="T37" s="30" t="s">
        <v>38</v>
      </c>
      <c r="U37" s="30" t="s">
        <v>38</v>
      </c>
      <c r="V37" s="30" t="s">
        <v>0</v>
      </c>
      <c r="W37" s="30" t="s">
        <v>38</v>
      </c>
      <c r="X37" s="44" t="s">
        <v>0</v>
      </c>
      <c r="Y37" s="44" t="s">
        <v>52</v>
      </c>
      <c r="Z37" s="30" t="s">
        <v>36</v>
      </c>
      <c r="AA37" s="30" t="s">
        <v>36</v>
      </c>
      <c r="AB37" s="30" t="s">
        <v>36</v>
      </c>
      <c r="AC37" s="202" t="s">
        <v>36</v>
      </c>
      <c r="AD37" s="202" t="s">
        <v>36</v>
      </c>
      <c r="AE37" s="202" t="s">
        <v>36</v>
      </c>
      <c r="AF37" s="44" t="s">
        <v>0</v>
      </c>
      <c r="AG37" s="30" t="s">
        <v>53</v>
      </c>
      <c r="AH37" s="30" t="s">
        <v>38</v>
      </c>
      <c r="AI37" s="30" t="s">
        <v>38</v>
      </c>
      <c r="AJ37" s="30" t="s">
        <v>52</v>
      </c>
      <c r="AK37" s="30" t="s">
        <v>38</v>
      </c>
      <c r="AL37" s="48" t="s">
        <v>26</v>
      </c>
      <c r="AM37" s="45">
        <v>0</v>
      </c>
      <c r="AN37" s="46">
        <f t="shared" si="9"/>
        <v>-6</v>
      </c>
      <c r="AO37" s="46">
        <v>6</v>
      </c>
      <c r="AP37" s="134">
        <f t="shared" si="10"/>
        <v>0</v>
      </c>
      <c r="AQ37" s="139" t="s">
        <v>128</v>
      </c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</row>
    <row r="38" spans="1:223" s="50" customFormat="1" ht="24" customHeight="1">
      <c r="A38" s="38">
        <f t="shared" si="0"/>
        <v>11</v>
      </c>
      <c r="B38" s="39">
        <f t="shared" si="1"/>
        <v>3</v>
      </c>
      <c r="C38" s="40">
        <f t="shared" si="2"/>
        <v>3</v>
      </c>
      <c r="D38" s="39">
        <f t="shared" si="3"/>
        <v>1</v>
      </c>
      <c r="E38" s="41">
        <f t="shared" si="4"/>
        <v>2</v>
      </c>
      <c r="F38" s="41">
        <f t="shared" si="5"/>
        <v>3</v>
      </c>
      <c r="G38" s="41">
        <f t="shared" si="6"/>
        <v>4</v>
      </c>
      <c r="H38" s="41">
        <f t="shared" si="7"/>
        <v>1</v>
      </c>
      <c r="I38" s="177">
        <f t="shared" si="8"/>
        <v>28</v>
      </c>
      <c r="J38" s="193" t="s">
        <v>27</v>
      </c>
      <c r="K38" s="49" t="s">
        <v>36</v>
      </c>
      <c r="L38" s="30" t="s">
        <v>36</v>
      </c>
      <c r="M38" s="30" t="s">
        <v>52</v>
      </c>
      <c r="N38" s="30" t="s">
        <v>36</v>
      </c>
      <c r="O38" s="30" t="s">
        <v>36</v>
      </c>
      <c r="P38" s="30" t="s">
        <v>36</v>
      </c>
      <c r="Q38" s="30" t="s">
        <v>38</v>
      </c>
      <c r="R38" s="30" t="s">
        <v>38</v>
      </c>
      <c r="S38" s="30" t="s">
        <v>0</v>
      </c>
      <c r="T38" s="53" t="s">
        <v>3</v>
      </c>
      <c r="U38" s="30" t="s">
        <v>38</v>
      </c>
      <c r="V38" s="32" t="s">
        <v>52</v>
      </c>
      <c r="W38" s="30" t="s">
        <v>40</v>
      </c>
      <c r="X38" s="30" t="s">
        <v>40</v>
      </c>
      <c r="Y38" s="44" t="s">
        <v>52</v>
      </c>
      <c r="Z38" s="30" t="s">
        <v>36</v>
      </c>
      <c r="AA38" s="30" t="s">
        <v>36</v>
      </c>
      <c r="AB38" s="30" t="s">
        <v>36</v>
      </c>
      <c r="AC38" s="202" t="s">
        <v>36</v>
      </c>
      <c r="AD38" s="202" t="s">
        <v>36</v>
      </c>
      <c r="AE38" s="202" t="s">
        <v>36</v>
      </c>
      <c r="AF38" s="44" t="s">
        <v>52</v>
      </c>
      <c r="AG38" s="32" t="s">
        <v>53</v>
      </c>
      <c r="AH38" s="32" t="s">
        <v>127</v>
      </c>
      <c r="AI38" s="32" t="s">
        <v>127</v>
      </c>
      <c r="AJ38" s="32" t="s">
        <v>0</v>
      </c>
      <c r="AK38" s="32" t="s">
        <v>0</v>
      </c>
      <c r="AL38" s="48" t="s">
        <v>40</v>
      </c>
      <c r="AM38" s="45">
        <v>0</v>
      </c>
      <c r="AN38" s="46">
        <f t="shared" si="9"/>
        <v>-6</v>
      </c>
      <c r="AO38" s="46">
        <v>6</v>
      </c>
      <c r="AP38" s="134">
        <f t="shared" si="10"/>
        <v>0</v>
      </c>
      <c r="AQ38" s="139" t="s">
        <v>126</v>
      </c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</row>
    <row r="39" spans="1:223" ht="25.5" customHeight="1">
      <c r="A39" s="38">
        <f t="shared" si="0"/>
        <v>1</v>
      </c>
      <c r="B39" s="39">
        <f t="shared" si="1"/>
        <v>4</v>
      </c>
      <c r="C39" s="40">
        <f t="shared" si="2"/>
        <v>10</v>
      </c>
      <c r="D39" s="39">
        <f t="shared" si="3"/>
        <v>0</v>
      </c>
      <c r="E39" s="41">
        <f t="shared" si="4"/>
        <v>2</v>
      </c>
      <c r="F39" s="41">
        <f t="shared" si="5"/>
        <v>3</v>
      </c>
      <c r="G39" s="41">
        <f t="shared" si="6"/>
        <v>4</v>
      </c>
      <c r="H39" s="41">
        <f t="shared" si="7"/>
        <v>4</v>
      </c>
      <c r="I39" s="177">
        <f t="shared" si="8"/>
        <v>28</v>
      </c>
      <c r="J39" s="193" t="s">
        <v>57</v>
      </c>
      <c r="K39" s="49" t="s">
        <v>53</v>
      </c>
      <c r="L39" s="32" t="s">
        <v>127</v>
      </c>
      <c r="M39" s="30" t="s">
        <v>38</v>
      </c>
      <c r="N39" s="30" t="s">
        <v>38</v>
      </c>
      <c r="O39" s="30" t="s">
        <v>38</v>
      </c>
      <c r="P39" s="30" t="s">
        <v>38</v>
      </c>
      <c r="Q39" s="44" t="s">
        <v>52</v>
      </c>
      <c r="R39" s="44" t="s">
        <v>0</v>
      </c>
      <c r="S39" s="30" t="s">
        <v>40</v>
      </c>
      <c r="T39" s="30" t="s">
        <v>40</v>
      </c>
      <c r="U39" s="30" t="s">
        <v>40</v>
      </c>
      <c r="V39" s="30" t="s">
        <v>53</v>
      </c>
      <c r="W39" s="32" t="s">
        <v>127</v>
      </c>
      <c r="X39" s="44" t="s">
        <v>53</v>
      </c>
      <c r="Y39" s="44" t="s">
        <v>52</v>
      </c>
      <c r="Z39" s="30" t="s">
        <v>40</v>
      </c>
      <c r="AA39" s="30" t="s">
        <v>40</v>
      </c>
      <c r="AB39" s="196" t="s">
        <v>0</v>
      </c>
      <c r="AC39" s="44" t="s">
        <v>53</v>
      </c>
      <c r="AD39" s="44" t="s">
        <v>52</v>
      </c>
      <c r="AE39" s="202" t="s">
        <v>40</v>
      </c>
      <c r="AF39" s="44" t="s">
        <v>0</v>
      </c>
      <c r="AG39" s="30" t="s">
        <v>40</v>
      </c>
      <c r="AH39" s="30" t="s">
        <v>40</v>
      </c>
      <c r="AI39" s="30" t="s">
        <v>40</v>
      </c>
      <c r="AJ39" s="30" t="s">
        <v>40</v>
      </c>
      <c r="AK39" s="30" t="s">
        <v>52</v>
      </c>
      <c r="AL39" s="48" t="s">
        <v>36</v>
      </c>
      <c r="AM39" s="45">
        <v>0</v>
      </c>
      <c r="AN39" s="46">
        <f t="shared" si="9"/>
        <v>-3</v>
      </c>
      <c r="AO39" s="46">
        <v>3</v>
      </c>
      <c r="AP39" s="134">
        <f t="shared" si="10"/>
        <v>0</v>
      </c>
      <c r="AQ39" s="139" t="s">
        <v>126</v>
      </c>
    </row>
    <row r="40" spans="1:223" ht="25.5" customHeight="1" thickBot="1">
      <c r="A40" s="69">
        <f t="shared" si="0"/>
        <v>5</v>
      </c>
      <c r="B40" s="70">
        <f t="shared" si="1"/>
        <v>1</v>
      </c>
      <c r="C40" s="71">
        <f t="shared" si="2"/>
        <v>7</v>
      </c>
      <c r="D40" s="70">
        <f t="shared" si="3"/>
        <v>0</v>
      </c>
      <c r="E40" s="63">
        <f t="shared" si="4"/>
        <v>1</v>
      </c>
      <c r="F40" s="63">
        <f t="shared" si="5"/>
        <v>3</v>
      </c>
      <c r="G40" s="63">
        <f t="shared" si="6"/>
        <v>4</v>
      </c>
      <c r="H40" s="63">
        <f t="shared" si="7"/>
        <v>7</v>
      </c>
      <c r="I40" s="178">
        <f t="shared" si="8"/>
        <v>28</v>
      </c>
      <c r="J40" s="215" t="s">
        <v>28</v>
      </c>
      <c r="K40" s="58" t="s">
        <v>40</v>
      </c>
      <c r="L40" s="60" t="s">
        <v>52</v>
      </c>
      <c r="M40" s="60" t="s">
        <v>36</v>
      </c>
      <c r="N40" s="60" t="s">
        <v>36</v>
      </c>
      <c r="O40" s="60" t="s">
        <v>36</v>
      </c>
      <c r="P40" s="52" t="s">
        <v>53</v>
      </c>
      <c r="Q40" s="59" t="s">
        <v>52</v>
      </c>
      <c r="R40" s="59" t="s">
        <v>0</v>
      </c>
      <c r="S40" s="60" t="s">
        <v>36</v>
      </c>
      <c r="T40" s="60" t="s">
        <v>36</v>
      </c>
      <c r="U40" s="32" t="s">
        <v>127</v>
      </c>
      <c r="V40" s="60" t="s">
        <v>38</v>
      </c>
      <c r="W40" s="60" t="s">
        <v>52</v>
      </c>
      <c r="X40" s="60" t="s">
        <v>40</v>
      </c>
      <c r="Y40" s="60" t="s">
        <v>40</v>
      </c>
      <c r="Z40" s="59" t="s">
        <v>0</v>
      </c>
      <c r="AA40" s="59" t="s">
        <v>53</v>
      </c>
      <c r="AB40" s="59" t="s">
        <v>53</v>
      </c>
      <c r="AC40" s="59" t="s">
        <v>53</v>
      </c>
      <c r="AD40" s="59" t="s">
        <v>53</v>
      </c>
      <c r="AE40" s="59" t="s">
        <v>52</v>
      </c>
      <c r="AF40" s="60" t="s">
        <v>40</v>
      </c>
      <c r="AG40" s="60" t="s">
        <v>40</v>
      </c>
      <c r="AH40" s="60" t="s">
        <v>53</v>
      </c>
      <c r="AI40" s="60" t="s">
        <v>53</v>
      </c>
      <c r="AJ40" s="60" t="s">
        <v>0</v>
      </c>
      <c r="AK40" s="60" t="s">
        <v>40</v>
      </c>
      <c r="AL40" s="61" t="s">
        <v>40</v>
      </c>
      <c r="AM40" s="73">
        <v>0</v>
      </c>
      <c r="AN40" s="74">
        <f t="shared" si="9"/>
        <v>0</v>
      </c>
      <c r="AO40" s="74">
        <v>0</v>
      </c>
      <c r="AP40" s="127">
        <f t="shared" si="10"/>
        <v>0</v>
      </c>
      <c r="AQ40" s="140" t="s">
        <v>126</v>
      </c>
    </row>
    <row r="41" spans="1:223" s="50" customFormat="1" ht="24.75" customHeight="1">
      <c r="A41" s="23">
        <f t="shared" si="0"/>
        <v>4</v>
      </c>
      <c r="B41" s="24">
        <f t="shared" si="1"/>
        <v>2</v>
      </c>
      <c r="C41" s="25">
        <f t="shared" si="2"/>
        <v>7</v>
      </c>
      <c r="D41" s="24">
        <f t="shared" si="3"/>
        <v>3</v>
      </c>
      <c r="E41" s="26">
        <f t="shared" si="4"/>
        <v>1</v>
      </c>
      <c r="F41" s="26">
        <f t="shared" si="5"/>
        <v>3</v>
      </c>
      <c r="G41" s="26">
        <f t="shared" si="6"/>
        <v>4</v>
      </c>
      <c r="H41" s="26">
        <f t="shared" si="7"/>
        <v>4</v>
      </c>
      <c r="I41" s="176">
        <f>SUM(A41:H41)</f>
        <v>28</v>
      </c>
      <c r="J41" s="66" t="s">
        <v>142</v>
      </c>
      <c r="K41" s="28" t="s">
        <v>0</v>
      </c>
      <c r="L41" s="29" t="s">
        <v>3</v>
      </c>
      <c r="M41" s="29" t="s">
        <v>3</v>
      </c>
      <c r="N41" s="29" t="s">
        <v>52</v>
      </c>
      <c r="O41" s="29" t="s">
        <v>54</v>
      </c>
      <c r="P41" s="29" t="s">
        <v>54</v>
      </c>
      <c r="Q41" s="29" t="s">
        <v>56</v>
      </c>
      <c r="R41" s="29" t="s">
        <v>56</v>
      </c>
      <c r="S41" s="33" t="s">
        <v>52</v>
      </c>
      <c r="T41" s="33" t="s">
        <v>53</v>
      </c>
      <c r="U41" s="33" t="s">
        <v>0</v>
      </c>
      <c r="V41" s="29" t="s">
        <v>55</v>
      </c>
      <c r="W41" s="29" t="s">
        <v>55</v>
      </c>
      <c r="X41" s="29" t="s">
        <v>55</v>
      </c>
      <c r="Y41" s="31" t="s">
        <v>53</v>
      </c>
      <c r="Z41" s="31" t="s">
        <v>53</v>
      </c>
      <c r="AA41" s="31" t="s">
        <v>53</v>
      </c>
      <c r="AB41" s="31" t="s">
        <v>52</v>
      </c>
      <c r="AC41" s="29" t="s">
        <v>55</v>
      </c>
      <c r="AD41" s="29" t="s">
        <v>55</v>
      </c>
      <c r="AE41" s="29" t="s">
        <v>55</v>
      </c>
      <c r="AF41" s="29" t="s">
        <v>55</v>
      </c>
      <c r="AG41" s="29" t="s">
        <v>52</v>
      </c>
      <c r="AH41" s="29" t="s">
        <v>54</v>
      </c>
      <c r="AI41" s="33" t="s">
        <v>127</v>
      </c>
      <c r="AJ41" s="29" t="s">
        <v>3</v>
      </c>
      <c r="AK41" s="29" t="s">
        <v>54</v>
      </c>
      <c r="AL41" s="135" t="s">
        <v>0</v>
      </c>
      <c r="AM41" s="35">
        <v>0</v>
      </c>
      <c r="AN41" s="36">
        <f t="shared" si="9"/>
        <v>-3</v>
      </c>
      <c r="AO41" s="36">
        <v>3</v>
      </c>
      <c r="AP41" s="133">
        <f t="shared" si="10"/>
        <v>0</v>
      </c>
      <c r="AQ41" s="138" t="s">
        <v>128</v>
      </c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</row>
    <row r="42" spans="1:223" s="50" customFormat="1" ht="24.75" customHeight="1">
      <c r="A42" s="38">
        <f t="shared" si="0"/>
        <v>4</v>
      </c>
      <c r="B42" s="39">
        <f t="shared" si="1"/>
        <v>11</v>
      </c>
      <c r="C42" s="40">
        <f t="shared" si="2"/>
        <v>0</v>
      </c>
      <c r="D42" s="39">
        <f t="shared" si="3"/>
        <v>2</v>
      </c>
      <c r="E42" s="41">
        <f t="shared" si="4"/>
        <v>0</v>
      </c>
      <c r="F42" s="41">
        <f t="shared" si="5"/>
        <v>4</v>
      </c>
      <c r="G42" s="41">
        <f t="shared" si="6"/>
        <v>3</v>
      </c>
      <c r="H42" s="41">
        <f t="shared" si="7"/>
        <v>4</v>
      </c>
      <c r="I42" s="177">
        <f t="shared" ref="I42:I45" si="12">SUM(A42:H42)</f>
        <v>28</v>
      </c>
      <c r="J42" s="67" t="s">
        <v>29</v>
      </c>
      <c r="K42" s="137" t="s">
        <v>0</v>
      </c>
      <c r="L42" s="30" t="s">
        <v>56</v>
      </c>
      <c r="M42" s="30" t="s">
        <v>56</v>
      </c>
      <c r="N42" s="30" t="s">
        <v>56</v>
      </c>
      <c r="O42" s="30" t="s">
        <v>52</v>
      </c>
      <c r="P42" s="30" t="s">
        <v>53</v>
      </c>
      <c r="Q42" s="44" t="s">
        <v>53</v>
      </c>
      <c r="R42" s="44" t="s">
        <v>0</v>
      </c>
      <c r="S42" s="30" t="s">
        <v>54</v>
      </c>
      <c r="T42" s="30" t="s">
        <v>54</v>
      </c>
      <c r="U42" s="30" t="s">
        <v>3</v>
      </c>
      <c r="V42" s="30" t="s">
        <v>0</v>
      </c>
      <c r="W42" s="204" t="s">
        <v>56</v>
      </c>
      <c r="X42" s="30" t="s">
        <v>56</v>
      </c>
      <c r="Y42" s="30" t="s">
        <v>56</v>
      </c>
      <c r="Z42" s="30" t="s">
        <v>56</v>
      </c>
      <c r="AA42" s="44" t="s">
        <v>0</v>
      </c>
      <c r="AB42" s="44" t="s">
        <v>53</v>
      </c>
      <c r="AC42" s="44" t="s">
        <v>53</v>
      </c>
      <c r="AD42" s="30" t="s">
        <v>54</v>
      </c>
      <c r="AE42" s="30" t="s">
        <v>56</v>
      </c>
      <c r="AF42" s="44" t="s">
        <v>52</v>
      </c>
      <c r="AG42" s="30" t="s">
        <v>54</v>
      </c>
      <c r="AH42" s="30" t="s">
        <v>3</v>
      </c>
      <c r="AI42" s="30" t="s">
        <v>56</v>
      </c>
      <c r="AJ42" s="30" t="s">
        <v>56</v>
      </c>
      <c r="AK42" s="30" t="s">
        <v>56</v>
      </c>
      <c r="AL42" s="123" t="s">
        <v>52</v>
      </c>
      <c r="AM42" s="45">
        <v>0</v>
      </c>
      <c r="AN42" s="46">
        <f t="shared" si="9"/>
        <v>-3</v>
      </c>
      <c r="AO42" s="46">
        <v>3</v>
      </c>
      <c r="AP42" s="134">
        <f t="shared" si="10"/>
        <v>0</v>
      </c>
      <c r="AQ42" s="139" t="s">
        <v>128</v>
      </c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</row>
    <row r="43" spans="1:223" ht="25.5" customHeight="1">
      <c r="A43" s="38">
        <f t="shared" si="0"/>
        <v>4</v>
      </c>
      <c r="B43" s="39">
        <f t="shared" si="1"/>
        <v>4</v>
      </c>
      <c r="C43" s="40">
        <f t="shared" si="2"/>
        <v>7</v>
      </c>
      <c r="D43" s="39">
        <f t="shared" si="3"/>
        <v>2</v>
      </c>
      <c r="E43" s="41">
        <f t="shared" si="4"/>
        <v>0</v>
      </c>
      <c r="F43" s="41">
        <f t="shared" si="5"/>
        <v>3</v>
      </c>
      <c r="G43" s="41">
        <f t="shared" si="6"/>
        <v>4</v>
      </c>
      <c r="H43" s="41">
        <f t="shared" si="7"/>
        <v>4</v>
      </c>
      <c r="I43" s="177">
        <f t="shared" si="12"/>
        <v>28</v>
      </c>
      <c r="J43" s="68" t="s">
        <v>30</v>
      </c>
      <c r="K43" s="137" t="s">
        <v>53</v>
      </c>
      <c r="L43" s="30" t="s">
        <v>52</v>
      </c>
      <c r="M43" s="30" t="s">
        <v>54</v>
      </c>
      <c r="N43" s="30" t="s">
        <v>54</v>
      </c>
      <c r="O43" s="30" t="s">
        <v>3</v>
      </c>
      <c r="P43" s="30" t="s">
        <v>3</v>
      </c>
      <c r="Q43" s="30" t="s">
        <v>54</v>
      </c>
      <c r="R43" s="30" t="s">
        <v>54</v>
      </c>
      <c r="S43" s="30" t="s">
        <v>52</v>
      </c>
      <c r="T43" s="30" t="s">
        <v>56</v>
      </c>
      <c r="U43" s="30" t="s">
        <v>56</v>
      </c>
      <c r="V43" s="30" t="s">
        <v>56</v>
      </c>
      <c r="W43" s="30" t="s">
        <v>0</v>
      </c>
      <c r="X43" s="44" t="s">
        <v>52</v>
      </c>
      <c r="Y43" s="30" t="s">
        <v>55</v>
      </c>
      <c r="Z43" s="30" t="s">
        <v>55</v>
      </c>
      <c r="AA43" s="30" t="s">
        <v>55</v>
      </c>
      <c r="AB43" s="44" t="s">
        <v>53</v>
      </c>
      <c r="AC43" s="44" t="s">
        <v>52</v>
      </c>
      <c r="AD43" s="30" t="s">
        <v>56</v>
      </c>
      <c r="AE43" s="44" t="s">
        <v>0</v>
      </c>
      <c r="AF43" s="44" t="s">
        <v>0</v>
      </c>
      <c r="AG43" s="30" t="s">
        <v>55</v>
      </c>
      <c r="AH43" s="30" t="s">
        <v>55</v>
      </c>
      <c r="AI43" s="30" t="s">
        <v>55</v>
      </c>
      <c r="AJ43" s="30" t="s">
        <v>55</v>
      </c>
      <c r="AK43" s="30" t="s">
        <v>53</v>
      </c>
      <c r="AL43" s="123" t="s">
        <v>53</v>
      </c>
      <c r="AM43" s="45">
        <v>0</v>
      </c>
      <c r="AN43" s="46">
        <f t="shared" si="9"/>
        <v>-3</v>
      </c>
      <c r="AO43" s="46">
        <v>3</v>
      </c>
      <c r="AP43" s="134">
        <f t="shared" si="10"/>
        <v>0</v>
      </c>
      <c r="AQ43" s="139" t="s">
        <v>128</v>
      </c>
    </row>
    <row r="44" spans="1:223" s="50" customFormat="1" ht="25.5" customHeight="1">
      <c r="A44" s="38">
        <f t="shared" si="0"/>
        <v>7</v>
      </c>
      <c r="B44" s="39">
        <f t="shared" si="1"/>
        <v>5</v>
      </c>
      <c r="C44" s="40">
        <f t="shared" si="2"/>
        <v>3</v>
      </c>
      <c r="D44" s="39">
        <f t="shared" si="3"/>
        <v>2</v>
      </c>
      <c r="E44" s="41">
        <f t="shared" si="4"/>
        <v>0</v>
      </c>
      <c r="F44" s="41">
        <f t="shared" si="5"/>
        <v>3</v>
      </c>
      <c r="G44" s="41">
        <f t="shared" si="6"/>
        <v>4</v>
      </c>
      <c r="H44" s="41">
        <f t="shared" si="7"/>
        <v>4</v>
      </c>
      <c r="I44" s="177">
        <f t="shared" si="12"/>
        <v>28</v>
      </c>
      <c r="J44" s="68" t="s">
        <v>31</v>
      </c>
      <c r="K44" s="49" t="s">
        <v>56</v>
      </c>
      <c r="L44" s="30" t="s">
        <v>52</v>
      </c>
      <c r="M44" s="30" t="s">
        <v>3</v>
      </c>
      <c r="N44" s="30" t="s">
        <v>3</v>
      </c>
      <c r="O44" s="30" t="s">
        <v>56</v>
      </c>
      <c r="P44" s="30" t="s">
        <v>56</v>
      </c>
      <c r="Q44" s="44" t="s">
        <v>0</v>
      </c>
      <c r="R44" s="44" t="s">
        <v>52</v>
      </c>
      <c r="S44" s="30" t="s">
        <v>55</v>
      </c>
      <c r="T44" s="30" t="s">
        <v>55</v>
      </c>
      <c r="U44" s="30" t="s">
        <v>55</v>
      </c>
      <c r="V44" s="30" t="s">
        <v>53</v>
      </c>
      <c r="W44" s="30" t="s">
        <v>53</v>
      </c>
      <c r="X44" s="44" t="s">
        <v>52</v>
      </c>
      <c r="Y44" s="30" t="s">
        <v>54</v>
      </c>
      <c r="Z44" s="30" t="s">
        <v>54</v>
      </c>
      <c r="AA44" s="30" t="s">
        <v>54</v>
      </c>
      <c r="AB44" s="30" t="s">
        <v>54</v>
      </c>
      <c r="AC44" s="44" t="s">
        <v>53</v>
      </c>
      <c r="AD44" s="44" t="s">
        <v>53</v>
      </c>
      <c r="AE44" s="44" t="s">
        <v>0</v>
      </c>
      <c r="AF44" s="30" t="s">
        <v>56</v>
      </c>
      <c r="AG44" s="30" t="s">
        <v>56</v>
      </c>
      <c r="AH44" s="30" t="s">
        <v>52</v>
      </c>
      <c r="AI44" s="30" t="s">
        <v>54</v>
      </c>
      <c r="AJ44" s="30" t="s">
        <v>54</v>
      </c>
      <c r="AK44" s="30" t="s">
        <v>0</v>
      </c>
      <c r="AL44" s="48" t="s">
        <v>54</v>
      </c>
      <c r="AM44" s="45">
        <v>0</v>
      </c>
      <c r="AN44" s="46">
        <f t="shared" si="9"/>
        <v>-3</v>
      </c>
      <c r="AO44" s="46">
        <v>3</v>
      </c>
      <c r="AP44" s="134">
        <f t="shared" si="10"/>
        <v>0</v>
      </c>
      <c r="AQ44" s="139" t="s">
        <v>126</v>
      </c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</row>
    <row r="45" spans="1:223" s="50" customFormat="1" ht="25.5" customHeight="1">
      <c r="A45" s="38">
        <f t="shared" si="0"/>
        <v>4</v>
      </c>
      <c r="B45" s="39">
        <f t="shared" si="1"/>
        <v>4</v>
      </c>
      <c r="C45" s="40">
        <f t="shared" si="2"/>
        <v>6</v>
      </c>
      <c r="D45" s="39">
        <f t="shared" si="3"/>
        <v>3</v>
      </c>
      <c r="E45" s="41">
        <f t="shared" si="4"/>
        <v>0</v>
      </c>
      <c r="F45" s="41">
        <f t="shared" si="5"/>
        <v>3</v>
      </c>
      <c r="G45" s="41">
        <f t="shared" si="6"/>
        <v>4</v>
      </c>
      <c r="H45" s="41">
        <f t="shared" si="7"/>
        <v>4</v>
      </c>
      <c r="I45" s="177">
        <f t="shared" si="12"/>
        <v>28</v>
      </c>
      <c r="J45" s="68" t="s">
        <v>32</v>
      </c>
      <c r="K45" s="49" t="s">
        <v>55</v>
      </c>
      <c r="L45" s="30" t="s">
        <v>55</v>
      </c>
      <c r="M45" s="30" t="s">
        <v>55</v>
      </c>
      <c r="N45" s="32" t="s">
        <v>53</v>
      </c>
      <c r="O45" s="30" t="s">
        <v>52</v>
      </c>
      <c r="P45" s="30" t="s">
        <v>55</v>
      </c>
      <c r="Q45" s="30" t="s">
        <v>55</v>
      </c>
      <c r="R45" s="30" t="s">
        <v>55</v>
      </c>
      <c r="S45" s="30" t="s">
        <v>52</v>
      </c>
      <c r="T45" s="30" t="s">
        <v>3</v>
      </c>
      <c r="U45" s="30" t="s">
        <v>54</v>
      </c>
      <c r="V45" s="30" t="s">
        <v>54</v>
      </c>
      <c r="W45" s="30" t="s">
        <v>54</v>
      </c>
      <c r="X45" s="30" t="s">
        <v>54</v>
      </c>
      <c r="Y45" s="44" t="s">
        <v>52</v>
      </c>
      <c r="Z45" s="44" t="s">
        <v>0</v>
      </c>
      <c r="AA45" s="30" t="s">
        <v>56</v>
      </c>
      <c r="AB45" s="30" t="s">
        <v>56</v>
      </c>
      <c r="AC45" s="30" t="s">
        <v>56</v>
      </c>
      <c r="AD45" s="44" t="s">
        <v>0</v>
      </c>
      <c r="AE45" s="44" t="s">
        <v>53</v>
      </c>
      <c r="AF45" s="44" t="s">
        <v>53</v>
      </c>
      <c r="AG45" s="32" t="s">
        <v>53</v>
      </c>
      <c r="AH45" s="32" t="s">
        <v>52</v>
      </c>
      <c r="AI45" s="30" t="s">
        <v>3</v>
      </c>
      <c r="AJ45" s="30" t="s">
        <v>3</v>
      </c>
      <c r="AK45" s="30" t="s">
        <v>0</v>
      </c>
      <c r="AL45" s="48" t="s">
        <v>56</v>
      </c>
      <c r="AM45" s="45">
        <v>0</v>
      </c>
      <c r="AN45" s="46">
        <f t="shared" si="9"/>
        <v>-3</v>
      </c>
      <c r="AO45" s="46">
        <v>3</v>
      </c>
      <c r="AP45" s="134">
        <f t="shared" si="10"/>
        <v>0</v>
      </c>
      <c r="AQ45" s="139" t="s">
        <v>126</v>
      </c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</row>
    <row r="46" spans="1:223" s="50" customFormat="1" ht="25.5" customHeight="1" thickBot="1">
      <c r="A46" s="69">
        <f t="shared" ref="A46" si="13">COUNTIF(K46:AL46,1)+COUNTIF(K46:AL46,"早")+COUNTIF(K46:AL46,"M1")+COUNTIF(K46:AL46,"T早")+COUNTIF(K46:AL46,"日")</f>
        <v>5</v>
      </c>
      <c r="B46" s="70">
        <f t="shared" ref="B46" si="14">COUNTIF(K46:AL46,2)+COUNTIF(K46:AL46,"中")+COUNTIF(K46:AL46,"M2")+COUNTIF(K46:AL46,"T中")+COUNTIF(K46:AL46,"小夜")</f>
        <v>2</v>
      </c>
      <c r="C46" s="71">
        <f t="shared" ref="C46" si="15">COUNTIF(K46:AL46,3)+COUNTIF(K46:AL46,"晚")+COUNTIF(K46:AL46,"大夜")</f>
        <v>5</v>
      </c>
      <c r="D46" s="70">
        <f t="shared" ref="D46" si="16">COUNTIF(K46:AL46,"N")+COUNTIF(K46:AL46,"N8")</f>
        <v>3</v>
      </c>
      <c r="E46" s="63">
        <f t="shared" ref="E46" si="17">COUNTIF(K46:AL46,"S")</f>
        <v>2</v>
      </c>
      <c r="F46" s="63">
        <f t="shared" ref="F46" si="18">COUNTIF(K46:AL46,"X")</f>
        <v>3</v>
      </c>
      <c r="G46" s="63">
        <f t="shared" ref="G46" si="19">COUNTIF(K46:AL46,"Y")</f>
        <v>4</v>
      </c>
      <c r="H46" s="63">
        <f t="shared" ref="H46" si="20">COUNTIF(K46:AL46,"Z")</f>
        <v>4</v>
      </c>
      <c r="I46" s="178">
        <f t="shared" ref="I46" si="21">SUM(A46:H46)</f>
        <v>28</v>
      </c>
      <c r="J46" s="72" t="s">
        <v>33</v>
      </c>
      <c r="K46" s="203" t="s">
        <v>54</v>
      </c>
      <c r="L46" s="60" t="s">
        <v>54</v>
      </c>
      <c r="M46" s="60" t="s">
        <v>52</v>
      </c>
      <c r="N46" s="60" t="s">
        <v>55</v>
      </c>
      <c r="O46" s="60" t="s">
        <v>55</v>
      </c>
      <c r="P46" s="52" t="s">
        <v>1</v>
      </c>
      <c r="Q46" s="59" t="s">
        <v>53</v>
      </c>
      <c r="R46" s="59" t="s">
        <v>0</v>
      </c>
      <c r="S46" s="60" t="s">
        <v>56</v>
      </c>
      <c r="T46" s="60" t="s">
        <v>52</v>
      </c>
      <c r="U46" s="60" t="s">
        <v>53</v>
      </c>
      <c r="V46" s="60" t="s">
        <v>3</v>
      </c>
      <c r="W46" s="60" t="s">
        <v>3</v>
      </c>
      <c r="X46" s="59" t="s">
        <v>53</v>
      </c>
      <c r="Y46" s="52" t="s">
        <v>1</v>
      </c>
      <c r="Z46" s="59" t="s">
        <v>53</v>
      </c>
      <c r="AA46" s="59" t="s">
        <v>52</v>
      </c>
      <c r="AB46" s="60" t="s">
        <v>55</v>
      </c>
      <c r="AC46" s="60" t="s">
        <v>54</v>
      </c>
      <c r="AD46" s="59" t="s">
        <v>0</v>
      </c>
      <c r="AE46" s="60" t="s">
        <v>54</v>
      </c>
      <c r="AF46" s="60" t="s">
        <v>54</v>
      </c>
      <c r="AG46" s="60" t="s">
        <v>3</v>
      </c>
      <c r="AH46" s="60" t="s">
        <v>56</v>
      </c>
      <c r="AI46" s="59" t="s">
        <v>52</v>
      </c>
      <c r="AJ46" s="59" t="s">
        <v>0</v>
      </c>
      <c r="AK46" s="60" t="s">
        <v>55</v>
      </c>
      <c r="AL46" s="61" t="s">
        <v>55</v>
      </c>
      <c r="AM46" s="73">
        <v>0</v>
      </c>
      <c r="AN46" s="74">
        <f t="shared" si="9"/>
        <v>-3</v>
      </c>
      <c r="AO46" s="74">
        <v>3</v>
      </c>
      <c r="AP46" s="127">
        <f t="shared" si="10"/>
        <v>0</v>
      </c>
      <c r="AQ46" s="140" t="s">
        <v>126</v>
      </c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</row>
    <row r="47" spans="1:223" s="77" customFormat="1" ht="18" customHeight="1">
      <c r="A47" s="75"/>
      <c r="B47" s="75"/>
      <c r="C47" s="75"/>
      <c r="D47" s="75"/>
      <c r="E47" s="76"/>
      <c r="I47" s="75"/>
      <c r="J47" s="78">
        <v>1</v>
      </c>
      <c r="K47" s="128" cm="2">
        <f t="array" ref="K47">SUMPRODUCT(COUNTIF(K4:K46,{"1";"M1"}))</f>
        <v>3</v>
      </c>
      <c r="L47" s="128" cm="2">
        <f t="array" ref="L47">SUMPRODUCT(COUNTIF(L4:L46,{"1";"M1"}))</f>
        <v>4</v>
      </c>
      <c r="M47" s="128" cm="2">
        <f t="array" ref="M47">SUMPRODUCT(COUNTIF(M4:M46,{"1";"M1"}))</f>
        <v>4</v>
      </c>
      <c r="N47" s="128" cm="2">
        <f t="array" ref="N47">SUMPRODUCT(COUNTIF(N4:N46,{"1";"M1"}))</f>
        <v>4</v>
      </c>
      <c r="O47" s="128" cm="2">
        <f t="array" ref="O47">SUMPRODUCT(COUNTIF(O4:O46,{"1";"M1"}))</f>
        <v>4</v>
      </c>
      <c r="P47" s="128" cm="2">
        <f t="array" ref="P47">SUMPRODUCT(COUNTIF(P4:P46,{"1";"M1"}))</f>
        <v>4</v>
      </c>
      <c r="Q47" s="128" cm="2">
        <f t="array" ref="Q47">SUMPRODUCT(COUNTIF(Q4:Q46,{"1";"M1"}))</f>
        <v>3</v>
      </c>
      <c r="R47" s="128" cm="2">
        <f t="array" ref="R47">SUMPRODUCT(COUNTIF(R4:R46,{"1";"M1"}))</f>
        <v>3</v>
      </c>
      <c r="S47" s="128" cm="2">
        <f t="array" ref="S47">SUMPRODUCT(COUNTIF(S4:S46,{"1";"M1"}))</f>
        <v>4</v>
      </c>
      <c r="T47" s="128" cm="2">
        <f t="array" ref="T47">SUMPRODUCT(COUNTIF(T4:T46,{"1";"M1"}))</f>
        <v>4</v>
      </c>
      <c r="U47" s="128" cm="2">
        <f t="array" ref="U47">SUMPRODUCT(COUNTIF(U4:U46,{"1";"M1"}))</f>
        <v>4</v>
      </c>
      <c r="V47" s="128" cm="2">
        <f t="array" ref="V47">SUMPRODUCT(COUNTIF(V4:V46,{"1";"M1"}))</f>
        <v>4</v>
      </c>
      <c r="W47" s="128" cm="2">
        <f t="array" ref="W47">SUMPRODUCT(COUNTIF(W4:W46,{"1";"M1"}))</f>
        <v>4</v>
      </c>
      <c r="X47" s="128" cm="2">
        <f t="array" ref="X47">SUMPRODUCT(COUNTIF(X4:X46,{"1";"M1"}))</f>
        <v>3</v>
      </c>
      <c r="Y47" s="128" cm="2">
        <f t="array" ref="Y47">SUMPRODUCT(COUNTIF(Y4:Y46,{"1";"M1"}))</f>
        <v>3</v>
      </c>
      <c r="Z47" s="128" cm="2">
        <f t="array" ref="Z47">SUMPRODUCT(COUNTIF(Z4:Z46,{"1";"M1"}))</f>
        <v>3</v>
      </c>
      <c r="AA47" s="128" cm="2">
        <f t="array" ref="AA47">SUMPRODUCT(COUNTIF(AA4:AA46,{"1";"M1"}))</f>
        <v>3</v>
      </c>
      <c r="AB47" s="128" cm="2">
        <f t="array" ref="AB47">SUMPRODUCT(COUNTIF(AB4:AB46,{"1";"M1"}))</f>
        <v>3</v>
      </c>
      <c r="AC47" s="128" cm="2">
        <f t="array" ref="AC47">SUMPRODUCT(COUNTIF(AC4:AC46,{"1";"M1"}))</f>
        <v>3</v>
      </c>
      <c r="AD47" s="128" cm="2">
        <f t="array" ref="AD47">SUMPRODUCT(COUNTIF(AD4:AD46,{"1";"M1"}))</f>
        <v>3</v>
      </c>
      <c r="AE47" s="128" cm="2">
        <f t="array" ref="AE47">SUMPRODUCT(COUNTIF(AE4:AE46,{"1";"M1"}))</f>
        <v>3</v>
      </c>
      <c r="AF47" s="128" cm="2">
        <f t="array" ref="AF47">SUMPRODUCT(COUNTIF(AF4:AF46,{"1";"M1"}))</f>
        <v>3</v>
      </c>
      <c r="AG47" s="128" cm="2">
        <f t="array" ref="AG47">SUMPRODUCT(COUNTIF(AG4:AG46,{"1";"M1"}))</f>
        <v>4</v>
      </c>
      <c r="AH47" s="128" cm="2">
        <f t="array" ref="AH47">SUMPRODUCT(COUNTIF(AH4:AH46,{"1";"M1"}))</f>
        <v>4</v>
      </c>
      <c r="AI47" s="128" cm="2">
        <f t="array" ref="AI47">SUMPRODUCT(COUNTIF(AI4:AI46,{"1";"M1"}))</f>
        <v>4</v>
      </c>
      <c r="AJ47" s="128" cm="2">
        <f t="array" ref="AJ47">SUMPRODUCT(COUNTIF(AJ4:AJ46,{"1";"M1"}))</f>
        <v>4</v>
      </c>
      <c r="AK47" s="128" cm="2">
        <f t="array" ref="AK47">SUMPRODUCT(COUNTIF(AK4:AK46,{"1";"M1"}))</f>
        <v>3</v>
      </c>
      <c r="AL47" s="128" cm="2">
        <f t="array" ref="AL47">SUMPRODUCT(COUNTIF(AL4:AL46,{"1";"M1"}))</f>
        <v>3</v>
      </c>
      <c r="AN47" s="50"/>
      <c r="AO47" s="6"/>
      <c r="AP47" s="75"/>
      <c r="AQ47" s="79"/>
    </row>
    <row r="48" spans="1:223" s="77" customFormat="1" ht="18" customHeight="1">
      <c r="A48" s="80"/>
      <c r="B48" s="80"/>
      <c r="C48" s="81"/>
      <c r="D48" s="81"/>
      <c r="E48" s="75"/>
      <c r="I48" s="81"/>
      <c r="J48" s="82">
        <v>2</v>
      </c>
      <c r="K48" s="129" cm="2">
        <f t="array" ref="K48">SUMPRODUCT(COUNTIF(K4:K46,{"2";"M2"}))</f>
        <v>3</v>
      </c>
      <c r="L48" s="129" cm="2">
        <f t="array" ref="L48">SUMPRODUCT(COUNTIF(L4:L46,{"2";"M2"}))</f>
        <v>4</v>
      </c>
      <c r="M48" s="129" cm="2">
        <f t="array" ref="M48">SUMPRODUCT(COUNTIF(M4:M46,{"2";"M2"}))</f>
        <v>4</v>
      </c>
      <c r="N48" s="129" cm="2">
        <f t="array" ref="N48">SUMPRODUCT(COUNTIF(N4:N46,{"2";"M2"}))</f>
        <v>4</v>
      </c>
      <c r="O48" s="129" cm="2">
        <f t="array" ref="O48">SUMPRODUCT(COUNTIF(O4:O46,{"2";"M2"}))</f>
        <v>4</v>
      </c>
      <c r="P48" s="129" cm="2">
        <f t="array" ref="P48">SUMPRODUCT(COUNTIF(P4:P46,{"2";"M2"}))</f>
        <v>4</v>
      </c>
      <c r="Q48" s="129" cm="2">
        <f t="array" ref="Q48">SUMPRODUCT(COUNTIF(Q4:Q46,{"2";"M2"}))</f>
        <v>3</v>
      </c>
      <c r="R48" s="129" cm="2">
        <f t="array" ref="R48">SUMPRODUCT(COUNTIF(R4:R46,{"2";"M2"}))</f>
        <v>3</v>
      </c>
      <c r="S48" s="129" cm="2">
        <f t="array" ref="S48">SUMPRODUCT(COUNTIF(S4:S46,{"2";"M2"}))</f>
        <v>4</v>
      </c>
      <c r="T48" s="129" cm="2">
        <f t="array" ref="T48">SUMPRODUCT(COUNTIF(T4:T46,{"2";"M2"}))</f>
        <v>4</v>
      </c>
      <c r="U48" s="129" cm="2">
        <f t="array" ref="U48">SUMPRODUCT(COUNTIF(U4:U46,{"2";"M2"}))</f>
        <v>4</v>
      </c>
      <c r="V48" s="129" cm="2">
        <f t="array" ref="V48">SUMPRODUCT(COUNTIF(V4:V46,{"2";"M2"}))</f>
        <v>4</v>
      </c>
      <c r="W48" s="129" cm="2">
        <f t="array" ref="W48">SUMPRODUCT(COUNTIF(W4:W46,{"2";"M2"}))</f>
        <v>4</v>
      </c>
      <c r="X48" s="129" cm="2">
        <f t="array" ref="X48">SUMPRODUCT(COUNTIF(X4:X46,{"2";"M2"}))</f>
        <v>3</v>
      </c>
      <c r="Y48" s="129" cm="2">
        <f t="array" ref="Y48">SUMPRODUCT(COUNTIF(Y4:Y46,{"2";"M2"}))</f>
        <v>3</v>
      </c>
      <c r="Z48" s="129" cm="2">
        <f t="array" ref="Z48">SUMPRODUCT(COUNTIF(Z4:Z46,{"2";"M2"}))</f>
        <v>3</v>
      </c>
      <c r="AA48" s="129" cm="2">
        <f t="array" ref="AA48">SUMPRODUCT(COUNTIF(AA4:AA46,{"2";"M2"}))</f>
        <v>3</v>
      </c>
      <c r="AB48" s="129" cm="2">
        <f t="array" ref="AB48">SUMPRODUCT(COUNTIF(AB4:AB46,{"2";"M2"}))</f>
        <v>3</v>
      </c>
      <c r="AC48" s="129" cm="2">
        <f t="array" ref="AC48">SUMPRODUCT(COUNTIF(AC4:AC46,{"2";"M2"}))</f>
        <v>3</v>
      </c>
      <c r="AD48" s="129" cm="2">
        <f t="array" ref="AD48">SUMPRODUCT(COUNTIF(AD4:AD46,{"2";"M2"}))</f>
        <v>3</v>
      </c>
      <c r="AE48" s="129" cm="2">
        <f t="array" ref="AE48">SUMPRODUCT(COUNTIF(AE4:AE46,{"2";"M2"}))</f>
        <v>3</v>
      </c>
      <c r="AF48" s="129" cm="2">
        <f t="array" ref="AF48">SUMPRODUCT(COUNTIF(AF4:AF46,{"2";"M2"}))</f>
        <v>3</v>
      </c>
      <c r="AG48" s="129" cm="2">
        <f t="array" ref="AG48">SUMPRODUCT(COUNTIF(AG4:AG46,{"2";"M2"}))</f>
        <v>4</v>
      </c>
      <c r="AH48" s="129" cm="2">
        <f t="array" ref="AH48">SUMPRODUCT(COUNTIF(AH4:AH46,{"2";"M2"}))</f>
        <v>4</v>
      </c>
      <c r="AI48" s="129" cm="2">
        <f t="array" ref="AI48">SUMPRODUCT(COUNTIF(AI4:AI46,{"2";"M2"}))</f>
        <v>4</v>
      </c>
      <c r="AJ48" s="129" cm="2">
        <f t="array" ref="AJ48">SUMPRODUCT(COUNTIF(AJ4:AJ46,{"2";"M2"}))</f>
        <v>4</v>
      </c>
      <c r="AK48" s="129" cm="2">
        <f t="array" ref="AK48">SUMPRODUCT(COUNTIF(AK4:AK46,{"2";"M2"}))</f>
        <v>3</v>
      </c>
      <c r="AL48" s="129" cm="2">
        <f t="array" ref="AL48">SUMPRODUCT(COUNTIF(AL4:AL46,{"2";"M2"}))</f>
        <v>3</v>
      </c>
      <c r="AN48" s="50"/>
      <c r="AO48" s="6" t="s">
        <v>34</v>
      </c>
      <c r="AP48" s="75" t="s">
        <v>35</v>
      </c>
      <c r="AQ48" s="84"/>
    </row>
    <row r="49" spans="1:44" s="77" customFormat="1" ht="18" customHeight="1" thickBot="1">
      <c r="A49" s="80"/>
      <c r="B49" s="80"/>
      <c r="C49" s="81"/>
      <c r="D49" s="81"/>
      <c r="E49" s="75"/>
      <c r="I49" s="81"/>
      <c r="J49" s="85">
        <v>3</v>
      </c>
      <c r="K49" s="130">
        <f t="shared" ref="K49:AL49" si="22">COUNTIF(K4:K46,3)</f>
        <v>2</v>
      </c>
      <c r="L49" s="130">
        <f t="shared" si="22"/>
        <v>3</v>
      </c>
      <c r="M49" s="130">
        <f t="shared" si="22"/>
        <v>3</v>
      </c>
      <c r="N49" s="130">
        <f t="shared" si="22"/>
        <v>3</v>
      </c>
      <c r="O49" s="130">
        <f t="shared" si="22"/>
        <v>3</v>
      </c>
      <c r="P49" s="130">
        <f t="shared" si="22"/>
        <v>3</v>
      </c>
      <c r="Q49" s="130">
        <f t="shared" si="22"/>
        <v>2</v>
      </c>
      <c r="R49" s="130">
        <f t="shared" si="22"/>
        <v>2</v>
      </c>
      <c r="S49" s="130">
        <f t="shared" si="22"/>
        <v>3</v>
      </c>
      <c r="T49" s="130">
        <f t="shared" si="22"/>
        <v>3</v>
      </c>
      <c r="U49" s="130">
        <f t="shared" si="22"/>
        <v>3</v>
      </c>
      <c r="V49" s="130">
        <f t="shared" si="22"/>
        <v>3</v>
      </c>
      <c r="W49" s="130">
        <f t="shared" si="22"/>
        <v>3</v>
      </c>
      <c r="X49" s="130">
        <f t="shared" si="22"/>
        <v>2</v>
      </c>
      <c r="Y49" s="130">
        <f t="shared" si="22"/>
        <v>2</v>
      </c>
      <c r="Z49" s="130">
        <f t="shared" si="22"/>
        <v>2</v>
      </c>
      <c r="AA49" s="130">
        <f t="shared" si="22"/>
        <v>2</v>
      </c>
      <c r="AB49" s="130">
        <f t="shared" si="22"/>
        <v>2</v>
      </c>
      <c r="AC49" s="130">
        <f t="shared" si="22"/>
        <v>2</v>
      </c>
      <c r="AD49" s="130">
        <f t="shared" si="22"/>
        <v>2</v>
      </c>
      <c r="AE49" s="130">
        <f t="shared" si="22"/>
        <v>2</v>
      </c>
      <c r="AF49" s="130">
        <f t="shared" si="22"/>
        <v>2</v>
      </c>
      <c r="AG49" s="130">
        <f t="shared" si="22"/>
        <v>3</v>
      </c>
      <c r="AH49" s="130">
        <f t="shared" si="22"/>
        <v>3</v>
      </c>
      <c r="AI49" s="130">
        <f t="shared" si="22"/>
        <v>3</v>
      </c>
      <c r="AJ49" s="130">
        <f t="shared" si="22"/>
        <v>3</v>
      </c>
      <c r="AK49" s="130">
        <f t="shared" si="22"/>
        <v>2</v>
      </c>
      <c r="AL49" s="130">
        <f t="shared" si="22"/>
        <v>2</v>
      </c>
      <c r="AN49" s="75" t="s">
        <v>109</v>
      </c>
      <c r="AO49" s="75">
        <f>37*28</f>
        <v>1036</v>
      </c>
      <c r="AP49" s="75">
        <f>6*28</f>
        <v>168</v>
      </c>
      <c r="AQ49" s="84"/>
    </row>
    <row r="50" spans="1:44" s="77" customFormat="1" ht="18" customHeight="1">
      <c r="A50" s="80"/>
      <c r="B50" s="80"/>
      <c r="C50" s="81"/>
      <c r="D50" s="81"/>
      <c r="E50" s="75"/>
      <c r="I50" s="81"/>
      <c r="J50" s="86" t="s">
        <v>36</v>
      </c>
      <c r="K50" s="128" cm="2">
        <f t="array" ref="K50">SUMPRODUCT(COUNTIF(K4:K46,{"早";"T早"}))</f>
        <v>3</v>
      </c>
      <c r="L50" s="128" cm="2">
        <f t="array" ref="L50">SUMPRODUCT(COUNTIF(L4:L46,{"早";"T早"}))</f>
        <v>5</v>
      </c>
      <c r="M50" s="128" cm="2">
        <f t="array" ref="M50">SUMPRODUCT(COUNTIF(M4:M46,{"早";"T早"}))</f>
        <v>5</v>
      </c>
      <c r="N50" s="128" cm="2">
        <f t="array" ref="N50">SUMPRODUCT(COUNTIF(N4:N46,{"早";"T早"}))</f>
        <v>5</v>
      </c>
      <c r="O50" s="128" cm="2">
        <f t="array" ref="O50">SUMPRODUCT(COUNTIF(O4:O46,{"早";"T早"}))</f>
        <v>5</v>
      </c>
      <c r="P50" s="128" cm="2">
        <f t="array" ref="P50">SUMPRODUCT(COUNTIF(P4:P46,{"早";"T早"}))</f>
        <v>5</v>
      </c>
      <c r="Q50" s="128" cm="2">
        <f t="array" ref="Q50">SUMPRODUCT(COUNTIF(Q4:Q46,{"早";"T早"}))</f>
        <v>3</v>
      </c>
      <c r="R50" s="128" cm="2">
        <f t="array" ref="R50">SUMPRODUCT(COUNTIF(R4:R46,{"早";"T早"}))</f>
        <v>3</v>
      </c>
      <c r="S50" s="128" cm="2">
        <f t="array" ref="S50">SUMPRODUCT(COUNTIF(S4:S46,{"早";"T早"}))</f>
        <v>5</v>
      </c>
      <c r="T50" s="128" cm="2">
        <f t="array" ref="T50">SUMPRODUCT(COUNTIF(T4:T46,{"早";"T早"}))</f>
        <v>5</v>
      </c>
      <c r="U50" s="128" cm="2">
        <f t="array" ref="U50">SUMPRODUCT(COUNTIF(U4:U46,{"早";"T早"}))</f>
        <v>5</v>
      </c>
      <c r="V50" s="128" cm="2">
        <f t="array" ref="V50">SUMPRODUCT(COUNTIF(V4:V46,{"早";"T早"}))</f>
        <v>5</v>
      </c>
      <c r="W50" s="128" cm="2">
        <f t="array" ref="W50">SUMPRODUCT(COUNTIF(W4:W46,{"早";"T早"}))</f>
        <v>5</v>
      </c>
      <c r="X50" s="128" cm="2">
        <f t="array" ref="X50">SUMPRODUCT(COUNTIF(X4:X46,{"早";"T早"}))</f>
        <v>3</v>
      </c>
      <c r="Y50" s="128" cm="2">
        <f t="array" ref="Y50">SUMPRODUCT(COUNTIF(Y4:Y46,{"早";"T早"}))</f>
        <v>3</v>
      </c>
      <c r="Z50" s="128" cm="2">
        <f t="array" ref="Z50">SUMPRODUCT(COUNTIF(Z4:Z46,{"早";"T早"}))</f>
        <v>2</v>
      </c>
      <c r="AA50" s="128" cm="2">
        <f t="array" ref="AA50">SUMPRODUCT(COUNTIF(AA4:AA46,{"早";"T早"}))</f>
        <v>2</v>
      </c>
      <c r="AB50" s="128" cm="2">
        <f t="array" ref="AB50">SUMPRODUCT(COUNTIF(AB4:AB46,{"早";"T早"}))</f>
        <v>2</v>
      </c>
      <c r="AC50" s="128" cm="2">
        <f t="array" ref="AC50">SUMPRODUCT(COUNTIF(AC4:AC46,{"早";"T早"}))</f>
        <v>2</v>
      </c>
      <c r="AD50" s="128" cm="2">
        <f t="array" ref="AD50">SUMPRODUCT(COUNTIF(AD4:AD46,{"早";"T早"}))</f>
        <v>2</v>
      </c>
      <c r="AE50" s="128" cm="2">
        <f t="array" ref="AE50">SUMPRODUCT(COUNTIF(AE4:AE46,{"早";"T早"}))</f>
        <v>2</v>
      </c>
      <c r="AF50" s="128" cm="2">
        <f t="array" ref="AF50">SUMPRODUCT(COUNTIF(AF4:AF46,{"早";"T早"}))</f>
        <v>3</v>
      </c>
      <c r="AG50" s="128" cm="2">
        <f t="array" ref="AG50">SUMPRODUCT(COUNTIF(AG4:AG46,{"早";"T早"}))</f>
        <v>5</v>
      </c>
      <c r="AH50" s="128" cm="2">
        <f t="array" ref="AH50">SUMPRODUCT(COUNTIF(AH4:AH46,{"早";"T早"}))</f>
        <v>5</v>
      </c>
      <c r="AI50" s="128" cm="2">
        <f t="array" ref="AI50">SUMPRODUCT(COUNTIF(AI4:AI46,{"早";"T早"}))</f>
        <v>5</v>
      </c>
      <c r="AJ50" s="128" cm="2">
        <f t="array" ref="AJ50">SUMPRODUCT(COUNTIF(AJ4:AJ46,{"早";"T早"}))</f>
        <v>5</v>
      </c>
      <c r="AK50" s="128" cm="2">
        <f t="array" ref="AK50">SUMPRODUCT(COUNTIF(AK4:AK46,{"早";"T早"}))</f>
        <v>3</v>
      </c>
      <c r="AL50" s="128" cm="2">
        <f t="array" ref="AL50">SUMPRODUCT(COUNTIF(AL4:AL46,{"早";"T早"}))</f>
        <v>3</v>
      </c>
      <c r="AN50" s="87" t="s">
        <v>37</v>
      </c>
      <c r="AO50" s="75">
        <f>22*(28-I1)</f>
        <v>308</v>
      </c>
      <c r="AP50" s="75">
        <f>3*(28-I1)</f>
        <v>42</v>
      </c>
      <c r="AR50" s="84"/>
    </row>
    <row r="51" spans="1:44" s="77" customFormat="1" ht="18" customHeight="1">
      <c r="A51" s="80"/>
      <c r="B51" s="80"/>
      <c r="C51" s="81"/>
      <c r="D51" s="81"/>
      <c r="E51" s="75"/>
      <c r="I51" s="81"/>
      <c r="J51" s="88" t="s">
        <v>38</v>
      </c>
      <c r="K51" s="129" cm="2">
        <f t="array" ref="K51">SUMPRODUCT(COUNTIF(K4:K46,{"中";"T中"}))</f>
        <v>3</v>
      </c>
      <c r="L51" s="129" cm="2">
        <f t="array" ref="L51">SUMPRODUCT(COUNTIF(L4:L46,{"中";"T中"}))</f>
        <v>3</v>
      </c>
      <c r="M51" s="129" cm="2">
        <f t="array" ref="M51">SUMPRODUCT(COUNTIF(M4:M46,{"中";"T中"}))</f>
        <v>3</v>
      </c>
      <c r="N51" s="129" cm="2">
        <f t="array" ref="N51">SUMPRODUCT(COUNTIF(N4:N46,{"中";"T中"}))</f>
        <v>3</v>
      </c>
      <c r="O51" s="129" cm="2">
        <f t="array" ref="O51">SUMPRODUCT(COUNTIF(O4:O46,{"中";"T中"}))</f>
        <v>3</v>
      </c>
      <c r="P51" s="129" cm="2">
        <f t="array" ref="P51">SUMPRODUCT(COUNTIF(P4:P46,{"中";"T中"}))</f>
        <v>3</v>
      </c>
      <c r="Q51" s="129" cm="2">
        <f t="array" ref="Q51">SUMPRODUCT(COUNTIF(Q4:Q46,{"中";"T中"}))</f>
        <v>3</v>
      </c>
      <c r="R51" s="129" cm="2">
        <f t="array" ref="R51">SUMPRODUCT(COUNTIF(R4:R46,{"中";"T中"}))</f>
        <v>3</v>
      </c>
      <c r="S51" s="129" cm="2">
        <f t="array" ref="S51">SUMPRODUCT(COUNTIF(S4:S46,{"中";"T中"}))</f>
        <v>3</v>
      </c>
      <c r="T51" s="129" cm="2">
        <f t="array" ref="T51">SUMPRODUCT(COUNTIF(T4:T46,{"中";"T中"}))</f>
        <v>3</v>
      </c>
      <c r="U51" s="129" cm="2">
        <f t="array" ref="U51">SUMPRODUCT(COUNTIF(U4:U46,{"中";"T中"}))</f>
        <v>3</v>
      </c>
      <c r="V51" s="129" cm="2">
        <f t="array" ref="V51">SUMPRODUCT(COUNTIF(V4:V46,{"中";"T中"}))</f>
        <v>3</v>
      </c>
      <c r="W51" s="129" cm="2">
        <f t="array" ref="W51">SUMPRODUCT(COUNTIF(W4:W46,{"中";"T中"}))</f>
        <v>3</v>
      </c>
      <c r="X51" s="129" cm="2">
        <f t="array" ref="X51">SUMPRODUCT(COUNTIF(X4:X46,{"中";"T中"}))</f>
        <v>3</v>
      </c>
      <c r="Y51" s="129" cm="2">
        <f t="array" ref="Y51">SUMPRODUCT(COUNTIF(Y4:Y46,{"中";"T中"}))</f>
        <v>3</v>
      </c>
      <c r="Z51" s="129" cm="2">
        <f t="array" ref="Z51">SUMPRODUCT(COUNTIF(Z4:Z46,{"中";"T中"}))</f>
        <v>2</v>
      </c>
      <c r="AA51" s="129" cm="2">
        <f t="array" ref="AA51">SUMPRODUCT(COUNTIF(AA4:AA46,{"中";"T中"}))</f>
        <v>2</v>
      </c>
      <c r="AB51" s="129" cm="2">
        <f t="array" ref="AB51">SUMPRODUCT(COUNTIF(AB4:AB46,{"中";"T中"}))</f>
        <v>2</v>
      </c>
      <c r="AC51" s="129" cm="2">
        <f t="array" ref="AC51">SUMPRODUCT(COUNTIF(AC4:AC46,{"中";"T中"}))</f>
        <v>2</v>
      </c>
      <c r="AD51" s="129" cm="2">
        <f t="array" ref="AD51">SUMPRODUCT(COUNTIF(AD4:AD46,{"中";"T中"}))</f>
        <v>2</v>
      </c>
      <c r="AE51" s="129" cm="2">
        <f t="array" ref="AE51">SUMPRODUCT(COUNTIF(AE4:AE46,{"中";"T中"}))</f>
        <v>2</v>
      </c>
      <c r="AF51" s="129" cm="2">
        <f t="array" ref="AF51">SUMPRODUCT(COUNTIF(AF4:AF46,{"中";"T中"}))</f>
        <v>3</v>
      </c>
      <c r="AG51" s="129" cm="2">
        <f t="array" ref="AG51">SUMPRODUCT(COUNTIF(AG4:AG46,{"中";"T中"}))</f>
        <v>3</v>
      </c>
      <c r="AH51" s="129" cm="2">
        <f t="array" ref="AH51">SUMPRODUCT(COUNTIF(AH4:AH46,{"中";"T中"}))</f>
        <v>3</v>
      </c>
      <c r="AI51" s="129" cm="2">
        <f t="array" ref="AI51">SUMPRODUCT(COUNTIF(AI4:AI46,{"中";"T中"}))</f>
        <v>3</v>
      </c>
      <c r="AJ51" s="129" cm="2">
        <f t="array" ref="AJ51">SUMPRODUCT(COUNTIF(AJ4:AJ46,{"中";"T中"}))</f>
        <v>3</v>
      </c>
      <c r="AK51" s="129" cm="2">
        <f t="array" ref="AK51">SUMPRODUCT(COUNTIF(AK4:AK46,{"中";"T中"}))</f>
        <v>3</v>
      </c>
      <c r="AL51" s="129" cm="2">
        <f t="array" ref="AL51">SUMPRODUCT(COUNTIF(AL4:AL46,{"中";"T中"}))</f>
        <v>3</v>
      </c>
      <c r="AN51" s="87" t="s">
        <v>39</v>
      </c>
      <c r="AO51" s="75">
        <f>16*8</f>
        <v>128</v>
      </c>
      <c r="AP51" s="75">
        <f>3*8</f>
        <v>24</v>
      </c>
      <c r="AR51" s="89"/>
    </row>
    <row r="52" spans="1:44" s="77" customFormat="1" ht="18" customHeight="1" thickBot="1">
      <c r="A52" s="80"/>
      <c r="B52" s="80"/>
      <c r="C52" s="81"/>
      <c r="D52" s="81"/>
      <c r="E52" s="75"/>
      <c r="I52" s="81"/>
      <c r="J52" s="90" t="s">
        <v>40</v>
      </c>
      <c r="K52" s="130">
        <f t="shared" ref="K52:AL52" si="23">COUNTIF(K4:K46,"晚")</f>
        <v>2</v>
      </c>
      <c r="L52" s="130">
        <f t="shared" si="23"/>
        <v>3</v>
      </c>
      <c r="M52" s="130">
        <f t="shared" si="23"/>
        <v>3</v>
      </c>
      <c r="N52" s="130">
        <f t="shared" si="23"/>
        <v>3</v>
      </c>
      <c r="O52" s="130">
        <f t="shared" si="23"/>
        <v>3</v>
      </c>
      <c r="P52" s="130">
        <f t="shared" si="23"/>
        <v>3</v>
      </c>
      <c r="Q52" s="130">
        <f t="shared" si="23"/>
        <v>2</v>
      </c>
      <c r="R52" s="130">
        <f t="shared" si="23"/>
        <v>2</v>
      </c>
      <c r="S52" s="130">
        <f t="shared" si="23"/>
        <v>3</v>
      </c>
      <c r="T52" s="130">
        <f t="shared" si="23"/>
        <v>3</v>
      </c>
      <c r="U52" s="130">
        <f t="shared" si="23"/>
        <v>3</v>
      </c>
      <c r="V52" s="130">
        <f t="shared" si="23"/>
        <v>3</v>
      </c>
      <c r="W52" s="130">
        <f t="shared" si="23"/>
        <v>3</v>
      </c>
      <c r="X52" s="130">
        <f t="shared" si="23"/>
        <v>2</v>
      </c>
      <c r="Y52" s="130">
        <f t="shared" si="23"/>
        <v>2</v>
      </c>
      <c r="Z52" s="130">
        <f t="shared" si="23"/>
        <v>2</v>
      </c>
      <c r="AA52" s="130">
        <f t="shared" si="23"/>
        <v>2</v>
      </c>
      <c r="AB52" s="130">
        <f t="shared" si="23"/>
        <v>2</v>
      </c>
      <c r="AC52" s="130">
        <f t="shared" si="23"/>
        <v>2</v>
      </c>
      <c r="AD52" s="130">
        <f t="shared" si="23"/>
        <v>2</v>
      </c>
      <c r="AE52" s="130">
        <f t="shared" si="23"/>
        <v>2</v>
      </c>
      <c r="AF52" s="130">
        <f t="shared" si="23"/>
        <v>2</v>
      </c>
      <c r="AG52" s="130">
        <f t="shared" si="23"/>
        <v>3</v>
      </c>
      <c r="AH52" s="130">
        <f t="shared" si="23"/>
        <v>3</v>
      </c>
      <c r="AI52" s="130">
        <f t="shared" si="23"/>
        <v>3</v>
      </c>
      <c r="AJ52" s="130">
        <f t="shared" si="23"/>
        <v>3</v>
      </c>
      <c r="AK52" s="130">
        <f t="shared" si="23"/>
        <v>2</v>
      </c>
      <c r="AL52" s="130">
        <f t="shared" si="23"/>
        <v>2</v>
      </c>
      <c r="AN52" s="87" t="s">
        <v>147</v>
      </c>
      <c r="AO52" s="75">
        <f>14*6</f>
        <v>84</v>
      </c>
      <c r="AP52" s="75">
        <f>3*6</f>
        <v>18</v>
      </c>
    </row>
    <row r="53" spans="1:44" s="77" customFormat="1" ht="18" customHeight="1">
      <c r="A53" s="80"/>
      <c r="B53" s="80"/>
      <c r="C53" s="81"/>
      <c r="D53" s="81"/>
      <c r="E53" s="75"/>
      <c r="I53" s="81"/>
      <c r="J53" s="86" t="s">
        <v>111</v>
      </c>
      <c r="K53" s="128">
        <f t="shared" ref="K53:AL53" si="24">COUNTIF(K4:K46,"日")</f>
        <v>1</v>
      </c>
      <c r="L53" s="128">
        <f t="shared" si="24"/>
        <v>1</v>
      </c>
      <c r="M53" s="128">
        <f t="shared" si="24"/>
        <v>1</v>
      </c>
      <c r="N53" s="128">
        <f t="shared" si="24"/>
        <v>1</v>
      </c>
      <c r="O53" s="128">
        <f t="shared" si="24"/>
        <v>1</v>
      </c>
      <c r="P53" s="128">
        <f t="shared" si="24"/>
        <v>1</v>
      </c>
      <c r="Q53" s="128">
        <f t="shared" si="24"/>
        <v>1</v>
      </c>
      <c r="R53" s="128">
        <f t="shared" si="24"/>
        <v>1</v>
      </c>
      <c r="S53" s="128">
        <f t="shared" si="24"/>
        <v>1</v>
      </c>
      <c r="T53" s="128">
        <f t="shared" si="24"/>
        <v>1</v>
      </c>
      <c r="U53" s="128">
        <f t="shared" si="24"/>
        <v>1</v>
      </c>
      <c r="V53" s="128">
        <f t="shared" si="24"/>
        <v>1</v>
      </c>
      <c r="W53" s="128">
        <f t="shared" si="24"/>
        <v>1</v>
      </c>
      <c r="X53" s="128">
        <f t="shared" si="24"/>
        <v>1</v>
      </c>
      <c r="Y53" s="128">
        <f t="shared" si="24"/>
        <v>1</v>
      </c>
      <c r="Z53" s="128">
        <f t="shared" si="24"/>
        <v>1</v>
      </c>
      <c r="AA53" s="128">
        <f t="shared" si="24"/>
        <v>1</v>
      </c>
      <c r="AB53" s="128">
        <f t="shared" si="24"/>
        <v>1</v>
      </c>
      <c r="AC53" s="128">
        <f t="shared" si="24"/>
        <v>1</v>
      </c>
      <c r="AD53" s="128">
        <f t="shared" si="24"/>
        <v>1</v>
      </c>
      <c r="AE53" s="128">
        <f t="shared" si="24"/>
        <v>1</v>
      </c>
      <c r="AF53" s="128">
        <f t="shared" si="24"/>
        <v>1</v>
      </c>
      <c r="AG53" s="128">
        <f t="shared" si="24"/>
        <v>1</v>
      </c>
      <c r="AH53" s="128">
        <f t="shared" si="24"/>
        <v>1</v>
      </c>
      <c r="AI53" s="128">
        <f t="shared" si="24"/>
        <v>1</v>
      </c>
      <c r="AJ53" s="128">
        <f t="shared" si="24"/>
        <v>1</v>
      </c>
      <c r="AK53" s="128">
        <f t="shared" si="24"/>
        <v>1</v>
      </c>
      <c r="AL53" s="128">
        <f t="shared" si="24"/>
        <v>1</v>
      </c>
      <c r="AN53" s="75" t="s">
        <v>0</v>
      </c>
      <c r="AO53" s="91">
        <f>37*I1</f>
        <v>518</v>
      </c>
      <c r="AP53" s="75">
        <f>6*I1</f>
        <v>84</v>
      </c>
    </row>
    <row r="54" spans="1:44" s="77" customFormat="1" ht="18" customHeight="1">
      <c r="A54" s="80"/>
      <c r="B54" s="80"/>
      <c r="C54" s="81"/>
      <c r="D54" s="81"/>
      <c r="E54" s="75"/>
      <c r="I54" s="81"/>
      <c r="J54" s="88" t="s">
        <v>143</v>
      </c>
      <c r="K54" s="129">
        <f t="shared" ref="K54:AL54" si="25">COUNTIF(K4:K46,"小夜")</f>
        <v>1</v>
      </c>
      <c r="L54" s="129">
        <f t="shared" si="25"/>
        <v>1</v>
      </c>
      <c r="M54" s="129">
        <f t="shared" si="25"/>
        <v>1</v>
      </c>
      <c r="N54" s="129">
        <f t="shared" si="25"/>
        <v>1</v>
      </c>
      <c r="O54" s="129">
        <f t="shared" si="25"/>
        <v>1</v>
      </c>
      <c r="P54" s="129">
        <f t="shared" si="25"/>
        <v>1</v>
      </c>
      <c r="Q54" s="129">
        <f t="shared" si="25"/>
        <v>1</v>
      </c>
      <c r="R54" s="129">
        <f t="shared" si="25"/>
        <v>1</v>
      </c>
      <c r="S54" s="129">
        <f t="shared" si="25"/>
        <v>1</v>
      </c>
      <c r="T54" s="129">
        <f t="shared" si="25"/>
        <v>1</v>
      </c>
      <c r="U54" s="129">
        <f t="shared" si="25"/>
        <v>1</v>
      </c>
      <c r="V54" s="129">
        <f t="shared" si="25"/>
        <v>1</v>
      </c>
      <c r="W54" s="129">
        <f t="shared" si="25"/>
        <v>1</v>
      </c>
      <c r="X54" s="129">
        <f t="shared" si="25"/>
        <v>1</v>
      </c>
      <c r="Y54" s="129">
        <f t="shared" si="25"/>
        <v>1</v>
      </c>
      <c r="Z54" s="129">
        <f t="shared" si="25"/>
        <v>1</v>
      </c>
      <c r="AA54" s="129">
        <f t="shared" si="25"/>
        <v>1</v>
      </c>
      <c r="AB54" s="129">
        <f t="shared" si="25"/>
        <v>1</v>
      </c>
      <c r="AC54" s="129">
        <f t="shared" si="25"/>
        <v>1</v>
      </c>
      <c r="AD54" s="129">
        <f t="shared" si="25"/>
        <v>1</v>
      </c>
      <c r="AE54" s="129">
        <f t="shared" si="25"/>
        <v>1</v>
      </c>
      <c r="AF54" s="129">
        <f t="shared" si="25"/>
        <v>1</v>
      </c>
      <c r="AG54" s="129">
        <f t="shared" si="25"/>
        <v>1</v>
      </c>
      <c r="AH54" s="129">
        <f t="shared" si="25"/>
        <v>1</v>
      </c>
      <c r="AI54" s="129">
        <f t="shared" si="25"/>
        <v>1</v>
      </c>
      <c r="AJ54" s="129">
        <f t="shared" si="25"/>
        <v>1</v>
      </c>
      <c r="AK54" s="129">
        <f t="shared" si="25"/>
        <v>1</v>
      </c>
      <c r="AL54" s="129">
        <f t="shared" si="25"/>
        <v>1</v>
      </c>
      <c r="AN54" s="50" t="s">
        <v>104</v>
      </c>
      <c r="AO54" s="91" cm="2">
        <f t="array" ref="AO54">SUMPRODUCT(COUNTIF(K4:AL40,{"N";"N8"}))</f>
        <v>32</v>
      </c>
      <c r="AP54" s="91" cm="1">
        <f t="array" ref="AP54">SUMPRODUCT(COUNTIF(K41:AL46,{"N";"N8"}))</f>
        <v>15</v>
      </c>
    </row>
    <row r="55" spans="1:44" s="77" customFormat="1" ht="18" customHeight="1" thickBot="1">
      <c r="A55" s="80"/>
      <c r="B55" s="80"/>
      <c r="C55" s="81"/>
      <c r="D55" s="81"/>
      <c r="E55" s="75"/>
      <c r="I55" s="81"/>
      <c r="J55" s="90" t="s">
        <v>144</v>
      </c>
      <c r="K55" s="130">
        <f t="shared" ref="K55:AL55" si="26">COUNTIF(K7:K49,"大夜")</f>
        <v>1</v>
      </c>
      <c r="L55" s="130">
        <f t="shared" si="26"/>
        <v>1</v>
      </c>
      <c r="M55" s="130">
        <f t="shared" si="26"/>
        <v>1</v>
      </c>
      <c r="N55" s="130">
        <f t="shared" si="26"/>
        <v>1</v>
      </c>
      <c r="O55" s="130">
        <f t="shared" si="26"/>
        <v>1</v>
      </c>
      <c r="P55" s="130">
        <f t="shared" si="26"/>
        <v>1</v>
      </c>
      <c r="Q55" s="130">
        <f t="shared" si="26"/>
        <v>1</v>
      </c>
      <c r="R55" s="130">
        <f t="shared" si="26"/>
        <v>1</v>
      </c>
      <c r="S55" s="130">
        <f t="shared" si="26"/>
        <v>1</v>
      </c>
      <c r="T55" s="130">
        <f t="shared" si="26"/>
        <v>1</v>
      </c>
      <c r="U55" s="130">
        <f t="shared" si="26"/>
        <v>1</v>
      </c>
      <c r="V55" s="130">
        <f t="shared" si="26"/>
        <v>1</v>
      </c>
      <c r="W55" s="130">
        <f t="shared" si="26"/>
        <v>1</v>
      </c>
      <c r="X55" s="130">
        <f t="shared" si="26"/>
        <v>1</v>
      </c>
      <c r="Y55" s="130">
        <f t="shared" si="26"/>
        <v>1</v>
      </c>
      <c r="Z55" s="130">
        <f t="shared" si="26"/>
        <v>1</v>
      </c>
      <c r="AA55" s="130">
        <f t="shared" si="26"/>
        <v>1</v>
      </c>
      <c r="AB55" s="130">
        <f t="shared" si="26"/>
        <v>1</v>
      </c>
      <c r="AC55" s="130">
        <f t="shared" si="26"/>
        <v>1</v>
      </c>
      <c r="AD55" s="130">
        <f t="shared" si="26"/>
        <v>1</v>
      </c>
      <c r="AE55" s="130">
        <f t="shared" si="26"/>
        <v>1</v>
      </c>
      <c r="AF55" s="130">
        <f t="shared" si="26"/>
        <v>1</v>
      </c>
      <c r="AG55" s="130">
        <f t="shared" si="26"/>
        <v>1</v>
      </c>
      <c r="AH55" s="130">
        <f t="shared" si="26"/>
        <v>1</v>
      </c>
      <c r="AI55" s="130">
        <f t="shared" si="26"/>
        <v>1</v>
      </c>
      <c r="AJ55" s="130">
        <f t="shared" si="26"/>
        <v>1</v>
      </c>
      <c r="AK55" s="130">
        <f t="shared" si="26"/>
        <v>1</v>
      </c>
      <c r="AL55" s="130">
        <f t="shared" si="26"/>
        <v>1</v>
      </c>
      <c r="AN55" s="50" t="s">
        <v>105</v>
      </c>
      <c r="AO55" s="92" cm="2">
        <f t="array" ref="AO55">SUMPRODUCT(COUNTIF(K4:AL40,{"S"}))</f>
        <v>50</v>
      </c>
      <c r="AP55" s="75">
        <f>SUMPRODUCT(COUNTIF(K41:AL46,{"S"}))</f>
        <v>3</v>
      </c>
    </row>
    <row r="56" spans="1:44" s="77" customFormat="1" ht="18" customHeight="1" thickBot="1">
      <c r="A56" s="80"/>
      <c r="B56" s="80"/>
      <c r="C56" s="81"/>
      <c r="D56" s="81"/>
      <c r="E56" s="75"/>
      <c r="I56" s="81"/>
      <c r="J56" s="95" t="s">
        <v>41</v>
      </c>
      <c r="K56" s="24">
        <f t="shared" ref="K56:AL56" si="27">COUNTIF(K4:K46,"N")+COUNTIF(K4:K46,"N8")</f>
        <v>0</v>
      </c>
      <c r="L56" s="24">
        <f t="shared" si="27"/>
        <v>2</v>
      </c>
      <c r="M56" s="24">
        <f t="shared" si="27"/>
        <v>6</v>
      </c>
      <c r="N56" s="24">
        <f t="shared" si="27"/>
        <v>4</v>
      </c>
      <c r="O56" s="24">
        <f t="shared" si="27"/>
        <v>3</v>
      </c>
      <c r="P56" s="24">
        <f t="shared" si="27"/>
        <v>2</v>
      </c>
      <c r="Q56" s="24">
        <f t="shared" si="27"/>
        <v>0</v>
      </c>
      <c r="R56" s="24">
        <f t="shared" si="27"/>
        <v>0</v>
      </c>
      <c r="S56" s="24">
        <f t="shared" si="27"/>
        <v>1</v>
      </c>
      <c r="T56" s="24">
        <f t="shared" si="27"/>
        <v>7</v>
      </c>
      <c r="U56" s="24">
        <f t="shared" si="27"/>
        <v>6</v>
      </c>
      <c r="V56" s="24">
        <f t="shared" si="27"/>
        <v>3</v>
      </c>
      <c r="W56" s="24">
        <f t="shared" si="27"/>
        <v>2</v>
      </c>
      <c r="X56" s="24">
        <f t="shared" si="27"/>
        <v>0</v>
      </c>
      <c r="Y56" s="24">
        <f t="shared" si="27"/>
        <v>0</v>
      </c>
      <c r="Z56" s="24">
        <f t="shared" si="27"/>
        <v>0</v>
      </c>
      <c r="AA56" s="24">
        <f t="shared" si="27"/>
        <v>0</v>
      </c>
      <c r="AB56" s="24">
        <f t="shared" si="27"/>
        <v>0</v>
      </c>
      <c r="AC56" s="24">
        <f t="shared" si="27"/>
        <v>0</v>
      </c>
      <c r="AD56" s="24">
        <f t="shared" si="27"/>
        <v>0</v>
      </c>
      <c r="AE56" s="24">
        <f t="shared" si="27"/>
        <v>0</v>
      </c>
      <c r="AF56" s="24">
        <f t="shared" si="27"/>
        <v>0</v>
      </c>
      <c r="AG56" s="24">
        <f t="shared" si="27"/>
        <v>2</v>
      </c>
      <c r="AH56" s="24">
        <f t="shared" si="27"/>
        <v>3</v>
      </c>
      <c r="AI56" s="24">
        <f t="shared" si="27"/>
        <v>2</v>
      </c>
      <c r="AJ56" s="24">
        <f t="shared" si="27"/>
        <v>4</v>
      </c>
      <c r="AK56" s="24">
        <f t="shared" si="27"/>
        <v>0</v>
      </c>
      <c r="AL56" s="102">
        <f t="shared" si="27"/>
        <v>0</v>
      </c>
      <c r="AN56" s="93" t="s">
        <v>145</v>
      </c>
      <c r="AO56" s="94">
        <v>0</v>
      </c>
      <c r="AP56" s="75">
        <v>0</v>
      </c>
    </row>
    <row r="57" spans="1:44" s="77" customFormat="1" ht="18" customHeight="1">
      <c r="A57" s="80"/>
      <c r="B57" s="80"/>
      <c r="C57" s="80"/>
      <c r="D57" s="80"/>
      <c r="E57" s="75"/>
      <c r="I57" s="81"/>
      <c r="J57" s="78" t="s">
        <v>43</v>
      </c>
      <c r="K57" s="39">
        <f t="shared" ref="K57:AL57" si="28">COUNTIF(K4:K46,"X")+COUNTIF(K4:K46,"Y")+COUNTIF(K4:K46,"Z")</f>
        <v>22</v>
      </c>
      <c r="L57" s="39">
        <f t="shared" si="28"/>
        <v>12</v>
      </c>
      <c r="M57" s="39">
        <f t="shared" si="28"/>
        <v>10</v>
      </c>
      <c r="N57" s="39">
        <f t="shared" si="28"/>
        <v>12</v>
      </c>
      <c r="O57" s="39">
        <f t="shared" si="28"/>
        <v>13</v>
      </c>
      <c r="P57" s="39">
        <f t="shared" si="28"/>
        <v>12</v>
      </c>
      <c r="Q57" s="39">
        <f t="shared" si="28"/>
        <v>23</v>
      </c>
      <c r="R57" s="39">
        <f t="shared" si="28"/>
        <v>24</v>
      </c>
      <c r="S57" s="39">
        <f t="shared" si="28"/>
        <v>14</v>
      </c>
      <c r="T57" s="39">
        <f t="shared" si="28"/>
        <v>10</v>
      </c>
      <c r="U57" s="39">
        <f t="shared" si="28"/>
        <v>10</v>
      </c>
      <c r="V57" s="39">
        <f t="shared" si="28"/>
        <v>12</v>
      </c>
      <c r="W57" s="39">
        <f t="shared" si="28"/>
        <v>11</v>
      </c>
      <c r="X57" s="39">
        <f t="shared" si="28"/>
        <v>22</v>
      </c>
      <c r="Y57" s="39">
        <f t="shared" si="28"/>
        <v>23</v>
      </c>
      <c r="Z57" s="39">
        <f t="shared" si="28"/>
        <v>26</v>
      </c>
      <c r="AA57" s="39">
        <f t="shared" si="28"/>
        <v>26</v>
      </c>
      <c r="AB57" s="39">
        <f t="shared" si="28"/>
        <v>26</v>
      </c>
      <c r="AC57" s="39">
        <f t="shared" si="28"/>
        <v>26</v>
      </c>
      <c r="AD57" s="39">
        <f t="shared" si="28"/>
        <v>26</v>
      </c>
      <c r="AE57" s="39">
        <f t="shared" si="28"/>
        <v>26</v>
      </c>
      <c r="AF57" s="39">
        <f t="shared" si="28"/>
        <v>24</v>
      </c>
      <c r="AG57" s="39">
        <f t="shared" si="28"/>
        <v>11</v>
      </c>
      <c r="AH57" s="39">
        <f t="shared" si="28"/>
        <v>12</v>
      </c>
      <c r="AI57" s="39">
        <f t="shared" si="28"/>
        <v>14</v>
      </c>
      <c r="AJ57" s="39">
        <f t="shared" si="28"/>
        <v>13</v>
      </c>
      <c r="AK57" s="39">
        <f t="shared" si="28"/>
        <v>16</v>
      </c>
      <c r="AL57" s="83">
        <f t="shared" si="28"/>
        <v>24</v>
      </c>
      <c r="AN57" s="100" t="s">
        <v>42</v>
      </c>
      <c r="AO57" s="101">
        <f>SUM(AM4:AM40)</f>
        <v>0</v>
      </c>
      <c r="AP57" s="75">
        <v>0</v>
      </c>
    </row>
    <row r="58" spans="1:44" s="77" customFormat="1" ht="18" customHeight="1">
      <c r="A58" s="80"/>
      <c r="B58" s="80"/>
      <c r="C58" s="80"/>
      <c r="D58" s="80"/>
      <c r="E58" s="75"/>
      <c r="I58" s="81"/>
      <c r="J58" s="103" t="s">
        <v>44</v>
      </c>
      <c r="K58" s="39">
        <f t="shared" ref="K58:AL58" si="29">COUNTIF(K4:K46,"S")</f>
        <v>2</v>
      </c>
      <c r="L58" s="39">
        <f t="shared" si="29"/>
        <v>4</v>
      </c>
      <c r="M58" s="39">
        <f t="shared" si="29"/>
        <v>2</v>
      </c>
      <c r="N58" s="39">
        <f t="shared" si="29"/>
        <v>2</v>
      </c>
      <c r="O58" s="39">
        <f t="shared" si="29"/>
        <v>2</v>
      </c>
      <c r="P58" s="39">
        <f t="shared" si="29"/>
        <v>4</v>
      </c>
      <c r="Q58" s="39">
        <f t="shared" si="29"/>
        <v>1</v>
      </c>
      <c r="R58" s="39">
        <f t="shared" si="29"/>
        <v>0</v>
      </c>
      <c r="S58" s="39">
        <f t="shared" si="29"/>
        <v>3</v>
      </c>
      <c r="T58" s="39">
        <f t="shared" si="29"/>
        <v>1</v>
      </c>
      <c r="U58" s="39">
        <f t="shared" si="29"/>
        <v>2</v>
      </c>
      <c r="V58" s="39">
        <f t="shared" si="29"/>
        <v>3</v>
      </c>
      <c r="W58" s="39">
        <f t="shared" si="29"/>
        <v>5</v>
      </c>
      <c r="X58" s="39">
        <f t="shared" si="29"/>
        <v>2</v>
      </c>
      <c r="Y58" s="39">
        <f t="shared" si="29"/>
        <v>1</v>
      </c>
      <c r="Z58" s="39">
        <f t="shared" si="29"/>
        <v>0</v>
      </c>
      <c r="AA58" s="39">
        <f t="shared" si="29"/>
        <v>0</v>
      </c>
      <c r="AB58" s="39">
        <f t="shared" si="29"/>
        <v>0</v>
      </c>
      <c r="AC58" s="39">
        <f t="shared" si="29"/>
        <v>0</v>
      </c>
      <c r="AD58" s="39">
        <f t="shared" si="29"/>
        <v>0</v>
      </c>
      <c r="AE58" s="39">
        <f t="shared" si="29"/>
        <v>0</v>
      </c>
      <c r="AF58" s="39">
        <f t="shared" si="29"/>
        <v>0</v>
      </c>
      <c r="AG58" s="39">
        <f t="shared" si="29"/>
        <v>5</v>
      </c>
      <c r="AH58" s="39">
        <f t="shared" si="29"/>
        <v>3</v>
      </c>
      <c r="AI58" s="39">
        <f t="shared" si="29"/>
        <v>2</v>
      </c>
      <c r="AJ58" s="39">
        <f t="shared" si="29"/>
        <v>1</v>
      </c>
      <c r="AK58" s="39">
        <f t="shared" si="29"/>
        <v>8</v>
      </c>
      <c r="AL58" s="83">
        <f t="shared" si="29"/>
        <v>0</v>
      </c>
      <c r="AN58" s="100" t="s">
        <v>146</v>
      </c>
      <c r="AO58" s="101">
        <v>84</v>
      </c>
      <c r="AP58" s="75">
        <v>18</v>
      </c>
      <c r="AQ58" s="6"/>
    </row>
    <row r="59" spans="1:44" ht="18" customHeight="1" thickBot="1">
      <c r="A59" s="80"/>
      <c r="B59" s="80"/>
      <c r="C59" s="80"/>
      <c r="D59" s="80"/>
      <c r="I59" s="80"/>
      <c r="J59" s="103" t="s">
        <v>45</v>
      </c>
      <c r="K59" s="39">
        <f t="shared" ref="K59:AL59" si="30">COUNTIF(K4:K46,"T")</f>
        <v>0</v>
      </c>
      <c r="L59" s="39">
        <f t="shared" si="30"/>
        <v>0</v>
      </c>
      <c r="M59" s="39">
        <f t="shared" si="30"/>
        <v>0</v>
      </c>
      <c r="N59" s="39">
        <f t="shared" si="30"/>
        <v>0</v>
      </c>
      <c r="O59" s="39">
        <f t="shared" si="30"/>
        <v>0</v>
      </c>
      <c r="P59" s="39">
        <f t="shared" si="30"/>
        <v>0</v>
      </c>
      <c r="Q59" s="39">
        <f t="shared" si="30"/>
        <v>0</v>
      </c>
      <c r="R59" s="39">
        <f t="shared" si="30"/>
        <v>0</v>
      </c>
      <c r="S59" s="39">
        <f t="shared" si="30"/>
        <v>0</v>
      </c>
      <c r="T59" s="39">
        <f t="shared" si="30"/>
        <v>0</v>
      </c>
      <c r="U59" s="39">
        <f t="shared" si="30"/>
        <v>0</v>
      </c>
      <c r="V59" s="39">
        <f t="shared" si="30"/>
        <v>0</v>
      </c>
      <c r="W59" s="39">
        <f t="shared" si="30"/>
        <v>0</v>
      </c>
      <c r="X59" s="39">
        <f t="shared" si="30"/>
        <v>0</v>
      </c>
      <c r="Y59" s="39">
        <f t="shared" si="30"/>
        <v>0</v>
      </c>
      <c r="Z59" s="39">
        <f t="shared" si="30"/>
        <v>0</v>
      </c>
      <c r="AA59" s="39">
        <f t="shared" si="30"/>
        <v>0</v>
      </c>
      <c r="AB59" s="39">
        <f t="shared" si="30"/>
        <v>0</v>
      </c>
      <c r="AC59" s="39">
        <f t="shared" si="30"/>
        <v>0</v>
      </c>
      <c r="AD59" s="39">
        <f t="shared" si="30"/>
        <v>0</v>
      </c>
      <c r="AE59" s="39">
        <f t="shared" si="30"/>
        <v>0</v>
      </c>
      <c r="AF59" s="39">
        <f t="shared" si="30"/>
        <v>0</v>
      </c>
      <c r="AG59" s="39">
        <f t="shared" si="30"/>
        <v>0</v>
      </c>
      <c r="AH59" s="39">
        <f t="shared" si="30"/>
        <v>0</v>
      </c>
      <c r="AI59" s="39">
        <f t="shared" si="30"/>
        <v>0</v>
      </c>
      <c r="AJ59" s="39">
        <f t="shared" si="30"/>
        <v>0</v>
      </c>
      <c r="AK59" s="39">
        <f t="shared" si="30"/>
        <v>0</v>
      </c>
      <c r="AL59" s="83">
        <f t="shared" si="30"/>
        <v>0</v>
      </c>
      <c r="AM59" s="77"/>
      <c r="AN59" s="107" t="s">
        <v>46</v>
      </c>
      <c r="AO59" s="105">
        <f>AO49-AO50-AO53-AO54-AO55-AO56+AO57+AO58-AO51-AO52</f>
        <v>0</v>
      </c>
      <c r="AP59" s="105">
        <f>AP49-AP50-AP53-AP54-AP55-AP56+AP57+AP58-AP51-AP52</f>
        <v>0</v>
      </c>
      <c r="AR59" s="77"/>
    </row>
    <row r="60" spans="1:44" ht="18" customHeight="1" thickBot="1">
      <c r="A60" s="80"/>
      <c r="B60" s="80"/>
      <c r="C60" s="80"/>
      <c r="D60" s="80"/>
      <c r="I60" s="80"/>
      <c r="J60" s="108" t="s">
        <v>109</v>
      </c>
      <c r="K60" s="109">
        <f t="shared" ref="K60:AL60" si="31">SUM(K47:K59)</f>
        <v>43</v>
      </c>
      <c r="L60" s="109">
        <f t="shared" si="31"/>
        <v>43</v>
      </c>
      <c r="M60" s="109">
        <f t="shared" si="31"/>
        <v>43</v>
      </c>
      <c r="N60" s="109">
        <f t="shared" si="31"/>
        <v>43</v>
      </c>
      <c r="O60" s="109">
        <f t="shared" si="31"/>
        <v>43</v>
      </c>
      <c r="P60" s="109">
        <f t="shared" si="31"/>
        <v>43</v>
      </c>
      <c r="Q60" s="109">
        <f t="shared" si="31"/>
        <v>43</v>
      </c>
      <c r="R60" s="109">
        <f t="shared" si="31"/>
        <v>43</v>
      </c>
      <c r="S60" s="109">
        <f t="shared" si="31"/>
        <v>43</v>
      </c>
      <c r="T60" s="109">
        <f t="shared" si="31"/>
        <v>43</v>
      </c>
      <c r="U60" s="109">
        <f t="shared" si="31"/>
        <v>43</v>
      </c>
      <c r="V60" s="109">
        <f t="shared" si="31"/>
        <v>43</v>
      </c>
      <c r="W60" s="109">
        <f t="shared" si="31"/>
        <v>43</v>
      </c>
      <c r="X60" s="109">
        <f t="shared" si="31"/>
        <v>43</v>
      </c>
      <c r="Y60" s="109">
        <f t="shared" si="31"/>
        <v>43</v>
      </c>
      <c r="Z60" s="109">
        <f t="shared" si="31"/>
        <v>43</v>
      </c>
      <c r="AA60" s="109">
        <f t="shared" si="31"/>
        <v>43</v>
      </c>
      <c r="AB60" s="109">
        <f t="shared" si="31"/>
        <v>43</v>
      </c>
      <c r="AC60" s="109">
        <f t="shared" si="31"/>
        <v>43</v>
      </c>
      <c r="AD60" s="109">
        <f t="shared" si="31"/>
        <v>43</v>
      </c>
      <c r="AE60" s="109">
        <f t="shared" si="31"/>
        <v>43</v>
      </c>
      <c r="AF60" s="109">
        <f t="shared" si="31"/>
        <v>43</v>
      </c>
      <c r="AG60" s="109">
        <f t="shared" si="31"/>
        <v>43</v>
      </c>
      <c r="AH60" s="109">
        <f t="shared" si="31"/>
        <v>43</v>
      </c>
      <c r="AI60" s="109">
        <f t="shared" si="31"/>
        <v>43</v>
      </c>
      <c r="AJ60" s="109">
        <f t="shared" si="31"/>
        <v>43</v>
      </c>
      <c r="AK60" s="109">
        <f t="shared" si="31"/>
        <v>43</v>
      </c>
      <c r="AL60" s="110">
        <f t="shared" si="31"/>
        <v>43</v>
      </c>
      <c r="AO60" s="50"/>
      <c r="AP60" s="111"/>
      <c r="AR60" s="37"/>
    </row>
    <row r="61" spans="1:44" ht="24.6" customHeight="1">
      <c r="A61" s="80"/>
      <c r="B61" s="80"/>
      <c r="C61" s="80"/>
      <c r="D61" s="80"/>
      <c r="G61" s="80"/>
      <c r="H61" s="112"/>
      <c r="I61" s="113"/>
      <c r="K61" s="113">
        <f>43-K56-K57-K58-19</f>
        <v>0</v>
      </c>
      <c r="L61" s="113">
        <f t="shared" ref="L61:W61" si="32">43-L56-L57-L58-25</f>
        <v>0</v>
      </c>
      <c r="M61" s="113">
        <f t="shared" si="32"/>
        <v>0</v>
      </c>
      <c r="N61" s="113">
        <f t="shared" si="32"/>
        <v>0</v>
      </c>
      <c r="O61" s="113">
        <f t="shared" si="32"/>
        <v>0</v>
      </c>
      <c r="P61" s="113">
        <f t="shared" si="32"/>
        <v>0</v>
      </c>
      <c r="Q61" s="113">
        <f>43-Q56-Q57-Q58-19</f>
        <v>0</v>
      </c>
      <c r="R61" s="113">
        <f>43-R56-R57-R58-19</f>
        <v>0</v>
      </c>
      <c r="S61" s="113">
        <f t="shared" si="32"/>
        <v>0</v>
      </c>
      <c r="T61" s="113">
        <f t="shared" si="32"/>
        <v>0</v>
      </c>
      <c r="U61" s="113">
        <f t="shared" si="32"/>
        <v>0</v>
      </c>
      <c r="V61" s="113">
        <f t="shared" si="32"/>
        <v>0</v>
      </c>
      <c r="W61" s="113">
        <f t="shared" si="32"/>
        <v>0</v>
      </c>
      <c r="X61" s="113">
        <f>43-X56-X57-X58-19</f>
        <v>0</v>
      </c>
      <c r="Y61" s="113">
        <f>43-Y56-Y57-Y58-19</f>
        <v>0</v>
      </c>
      <c r="Z61" s="113">
        <f>43-Z56-Z57-Z58-17</f>
        <v>0</v>
      </c>
      <c r="AA61" s="113">
        <f t="shared" ref="AA61:AE61" si="33">43-AA56-AA57-AA58-17</f>
        <v>0</v>
      </c>
      <c r="AB61" s="113">
        <f t="shared" si="33"/>
        <v>0</v>
      </c>
      <c r="AC61" s="113">
        <f t="shared" si="33"/>
        <v>0</v>
      </c>
      <c r="AD61" s="113">
        <f t="shared" si="33"/>
        <v>0</v>
      </c>
      <c r="AE61" s="113">
        <f t="shared" si="33"/>
        <v>0</v>
      </c>
      <c r="AF61" s="113">
        <f>43-AF56-AF57-AF58-19</f>
        <v>0</v>
      </c>
      <c r="AG61" s="113">
        <f>43-AG56-AG57-AG58-25</f>
        <v>0</v>
      </c>
      <c r="AH61" s="113">
        <f t="shared" ref="AH61:AJ61" si="34">43-AH56-AH57-AH58-25</f>
        <v>0</v>
      </c>
      <c r="AI61" s="113">
        <f t="shared" si="34"/>
        <v>0</v>
      </c>
      <c r="AJ61" s="113">
        <f t="shared" si="34"/>
        <v>0</v>
      </c>
      <c r="AK61" s="113">
        <f>43-AK56-AK57-AK58-19</f>
        <v>0</v>
      </c>
      <c r="AL61" s="113">
        <f>43-AL56-AL57-AL58-19</f>
        <v>0</v>
      </c>
      <c r="AN61" s="7"/>
      <c r="AO61" s="6"/>
      <c r="AP61" s="111"/>
    </row>
    <row r="62" spans="1:44" ht="24.6" customHeight="1">
      <c r="A62" s="80"/>
      <c r="B62" s="80"/>
      <c r="C62" s="80"/>
      <c r="D62" s="80"/>
      <c r="I62" s="80"/>
      <c r="J62" s="112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7"/>
    </row>
    <row r="63" spans="1:44" ht="24.6" customHeight="1" thickBot="1">
      <c r="A63" s="80"/>
      <c r="B63" s="80"/>
      <c r="C63" s="80"/>
      <c r="D63" s="80"/>
      <c r="I63" s="80"/>
      <c r="J63" s="112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1:44" ht="24.6" customHeight="1" thickBot="1">
      <c r="A64" s="80"/>
      <c r="B64" s="80"/>
      <c r="C64" s="80"/>
      <c r="D64" s="80"/>
      <c r="I64" s="80"/>
      <c r="J64" s="114" t="s">
        <v>47</v>
      </c>
      <c r="K64" s="131" cm="2">
        <f t="array" ref="K64">SUMPRODUCT(COUNTIF(K4:K18,{"1";"M1"}))</f>
        <v>0</v>
      </c>
      <c r="L64" s="115" cm="2">
        <f t="array" ref="L64">SUMPRODUCT(COUNTIF(L4:L18,{"1";"M1"}))</f>
        <v>3</v>
      </c>
      <c r="M64" s="115" cm="2">
        <f t="array" ref="M64">SUMPRODUCT(COUNTIF(M4:M18,{"1";"M1"}))</f>
        <v>4</v>
      </c>
      <c r="N64" s="115" cm="2">
        <f t="array" ref="N64">SUMPRODUCT(COUNTIF(N4:N18,{"1";"M1"}))</f>
        <v>3</v>
      </c>
      <c r="O64" s="115" cm="2">
        <f t="array" ref="O64">SUMPRODUCT(COUNTIF(O4:O18,{"1";"M1"}))</f>
        <v>3</v>
      </c>
      <c r="P64" s="115" cm="2">
        <f t="array" ref="P64">SUMPRODUCT(COUNTIF(P4:P18,{"1";"M1"}))</f>
        <v>2</v>
      </c>
      <c r="Q64" s="131" cm="2">
        <f t="array" ref="Q64">SUMPRODUCT(COUNTIF(Q4:Q18,{"1";"M1"}))</f>
        <v>1</v>
      </c>
      <c r="R64" s="131" cm="2">
        <f t="array" ref="R64">SUMPRODUCT(COUNTIF(R4:R18,{"1";"M1"}))</f>
        <v>1</v>
      </c>
      <c r="S64" s="115" cm="2">
        <f t="array" ref="S64">SUMPRODUCT(COUNTIF(S4:S18,{"1";"M1"}))</f>
        <v>2</v>
      </c>
      <c r="T64" s="115" cm="2">
        <f t="array" ref="T64">SUMPRODUCT(COUNTIF(T4:T18,{"1";"M1"}))</f>
        <v>2</v>
      </c>
      <c r="U64" s="115" cm="2">
        <f t="array" ref="U64">SUMPRODUCT(COUNTIF(U4:U18,{"1";"M1"}))</f>
        <v>4</v>
      </c>
      <c r="V64" s="115" cm="2">
        <f t="array" ref="V64">SUMPRODUCT(COUNTIF(V4:V18,{"1";"M1"}))</f>
        <v>4</v>
      </c>
      <c r="W64" s="115" cm="2">
        <f t="array" ref="W64">SUMPRODUCT(COUNTIF(W4:W18,{"1";"M1"}))</f>
        <v>1</v>
      </c>
      <c r="X64" s="131" cm="2">
        <f t="array" ref="X64">SUMPRODUCT(COUNTIF(X4:X18,{"1";"M1"}))</f>
        <v>0</v>
      </c>
      <c r="Y64" s="131" cm="2">
        <f t="array" ref="Y64">SUMPRODUCT(COUNTIF(Y4:Y18,{"1";"M1"}))</f>
        <v>0</v>
      </c>
      <c r="Z64" s="131" cm="2">
        <f t="array" ref="Z64">SUMPRODUCT(COUNTIF(Z4:Z18,{"1";"M1"}))</f>
        <v>1</v>
      </c>
      <c r="AA64" s="131" cm="2">
        <f t="array" ref="AA64">SUMPRODUCT(COUNTIF(AA4:AA18,{"1";"M1"}))</f>
        <v>1</v>
      </c>
      <c r="AB64" s="131" cm="2">
        <f t="array" ref="AB64">SUMPRODUCT(COUNTIF(AB4:AB18,{"1";"M1"}))</f>
        <v>1</v>
      </c>
      <c r="AC64" s="131" cm="2">
        <f t="array" ref="AC64">SUMPRODUCT(COUNTIF(AC4:AC18,{"1";"M1"}))</f>
        <v>1</v>
      </c>
      <c r="AD64" s="131" cm="2">
        <f t="array" ref="AD64">SUMPRODUCT(COUNTIF(AD4:AD18,{"1";"M1"}))</f>
        <v>1</v>
      </c>
      <c r="AE64" s="131" cm="2">
        <f t="array" ref="AE64">SUMPRODUCT(COUNTIF(AE4:AE18,{"1";"M1"}))</f>
        <v>1</v>
      </c>
      <c r="AF64" s="131" cm="2">
        <f t="array" ref="AF64">SUMPRODUCT(COUNTIF(AF4:AF18,{"1";"M1"}))</f>
        <v>0</v>
      </c>
      <c r="AG64" s="115" cm="2">
        <f t="array" ref="AG64">SUMPRODUCT(COUNTIF(AG4:AG18,{"1";"M1"}))</f>
        <v>3</v>
      </c>
      <c r="AH64" s="115" cm="2">
        <f t="array" ref="AH64">SUMPRODUCT(COUNTIF(AH4:AH18,{"1";"M1"}))</f>
        <v>4</v>
      </c>
      <c r="AI64" s="115" cm="2">
        <f t="array" ref="AI64">SUMPRODUCT(COUNTIF(AI4:AI18,{"1";"M1"}))</f>
        <v>3</v>
      </c>
      <c r="AJ64" s="115" cm="2">
        <f t="array" ref="AJ64">SUMPRODUCT(COUNTIF(AJ4:AJ18,{"1";"M1"}))</f>
        <v>2</v>
      </c>
      <c r="AK64" s="131" cm="2">
        <f t="array" ref="AK64">SUMPRODUCT(COUNTIF(AK4:AK18,{"1";"M1"}))</f>
        <v>0</v>
      </c>
      <c r="AL64" s="131" cm="2">
        <f t="array" ref="AL64">SUMPRODUCT(COUNTIF(AL4:AL18,{"1";"M1"}))</f>
        <v>0</v>
      </c>
    </row>
    <row r="65" spans="1:17" ht="24.6" customHeight="1">
      <c r="A65" s="80"/>
      <c r="B65" s="80"/>
      <c r="C65" s="80"/>
      <c r="D65" s="80"/>
      <c r="I65" s="80"/>
      <c r="L65" s="116"/>
      <c r="M65" s="116"/>
      <c r="N65" s="116"/>
      <c r="Q65" s="116"/>
    </row>
  </sheetData>
  <mergeCells count="10">
    <mergeCell ref="AS2:AU2"/>
    <mergeCell ref="K1:AH1"/>
    <mergeCell ref="AI1:AK1"/>
    <mergeCell ref="A2:A3"/>
    <mergeCell ref="B2:B3"/>
    <mergeCell ref="C2:C3"/>
    <mergeCell ref="D2:D3"/>
    <mergeCell ref="E2:E3"/>
    <mergeCell ref="I2:I3"/>
    <mergeCell ref="J2:J3"/>
  </mergeCells>
  <conditionalFormatting sqref="K4:AK46">
    <cfRule type="expression" dxfId="341" priority="5">
      <formula>OR(     SUM(COUNTIF(K4:Q4, 上班代號)) &gt; 6,     AND(COLUMN()&gt;11, OR(         AND(SUM(COUNTIF(OFFSET(K4,0,-1), 中班組)), SUM(COUNTIF(K4, 早班組), COUNTIF(K4, 晚班組))),         AND(SUM(COUNTIF(OFFSET(K4,0,-1), 早班組)), SUM(COUNTIF(K4, 晚班組)))     )) )</formula>
    </cfRule>
  </conditionalFormatting>
  <conditionalFormatting sqref="K4:AL46">
    <cfRule type="expression" dxfId="340" priority="1">
      <formula>OR(K4=3, K4="晚",  K4="大夜")</formula>
    </cfRule>
    <cfRule type="expression" dxfId="339" priority="2">
      <formula>OR(K4="M2", K4=2, K4="中", K4="T中", K4="小夜")</formula>
    </cfRule>
    <cfRule type="expression" dxfId="338" priority="4">
      <formula>OR(K4="M1", K4=1, K4="早", K4="T早", K4="日")</formula>
    </cfRule>
  </conditionalFormatting>
  <conditionalFormatting sqref="K47:AL55">
    <cfRule type="cellIs" dxfId="337" priority="214" operator="equal">
      <formula>5</formula>
    </cfRule>
    <cfRule type="cellIs" dxfId="336" priority="215" operator="equal">
      <formula>4</formula>
    </cfRule>
    <cfRule type="cellIs" dxfId="335" priority="216" operator="equal">
      <formula>3</formula>
    </cfRule>
    <cfRule type="cellIs" dxfId="334" priority="217" operator="equal">
      <formula>2</formula>
    </cfRule>
    <cfRule type="cellIs" dxfId="333" priority="218" operator="equal">
      <formula>1</formula>
    </cfRule>
  </conditionalFormatting>
  <conditionalFormatting sqref="K53:AL55">
    <cfRule type="cellIs" dxfId="332" priority="219" operator="equal">
      <formula>"T中"</formula>
    </cfRule>
  </conditionalFormatting>
  <conditionalFormatting sqref="AM25">
    <cfRule type="cellIs" dxfId="331" priority="228" operator="equal">
      <formula>"大夜"</formula>
    </cfRule>
    <cfRule type="cellIs" dxfId="330" priority="229" operator="equal">
      <formula>"晚"</formula>
    </cfRule>
    <cfRule type="cellIs" dxfId="329" priority="230" operator="equal">
      <formula>3</formula>
    </cfRule>
    <cfRule type="cellIs" dxfId="328" priority="231" operator="equal">
      <formula>"小夜"</formula>
    </cfRule>
    <cfRule type="cellIs" dxfId="327" priority="232" operator="equal">
      <formula>"T中"</formula>
    </cfRule>
    <cfRule type="cellIs" dxfId="326" priority="233" operator="equal">
      <formula>"中"</formula>
    </cfRule>
    <cfRule type="cellIs" dxfId="325" priority="234" operator="equal">
      <formula>"M2"</formula>
    </cfRule>
    <cfRule type="cellIs" dxfId="324" priority="235" operator="equal">
      <formula>2</formula>
    </cfRule>
    <cfRule type="cellIs" dxfId="323" priority="236" operator="equal">
      <formula>"日"</formula>
    </cfRule>
    <cfRule type="cellIs" dxfId="322" priority="237" operator="equal">
      <formula>"T早"</formula>
    </cfRule>
    <cfRule type="cellIs" dxfId="321" priority="238" operator="equal">
      <formula>"早"</formula>
    </cfRule>
    <cfRule type="cellIs" dxfId="320" priority="239" operator="equal">
      <formula>"M1"</formula>
    </cfRule>
    <cfRule type="cellIs" dxfId="319" priority="240" operator="equal">
      <formula>1</formula>
    </cfRule>
  </conditionalFormatting>
  <conditionalFormatting sqref="AP4:AP46">
    <cfRule type="cellIs" dxfId="318" priority="226" operator="equal">
      <formula>-2</formula>
    </cfRule>
    <cfRule type="cellIs" dxfId="317" priority="227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ignoredErrors>
    <ignoredError sqref="AS17 AS6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7CCBC-0D75-4584-B756-AD42F08B327F}">
  <sheetPr>
    <pageSetUpPr fitToPage="1"/>
  </sheetPr>
  <dimension ref="A1:HR117"/>
  <sheetViews>
    <sheetView zoomScale="70" zoomScaleNormal="7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L6" sqref="L6"/>
    </sheetView>
  </sheetViews>
  <sheetFormatPr defaultColWidth="9" defaultRowHeight="24.6" customHeight="1"/>
  <cols>
    <col min="1" max="9" width="4.109375" style="77" customWidth="1"/>
    <col min="10" max="10" width="23.109375" style="6" customWidth="1"/>
    <col min="11" max="38" width="6.109375" style="6" customWidth="1"/>
    <col min="39" max="39" width="6" style="6" customWidth="1"/>
    <col min="40" max="41" width="6.109375" style="6" customWidth="1"/>
    <col min="42" max="43" width="7.88671875" style="6" customWidth="1"/>
    <col min="44" max="44" width="7.88671875" style="7" customWidth="1"/>
    <col min="45" max="45" width="5.88671875" style="6" customWidth="1"/>
    <col min="46" max="233" width="9" style="6" customWidth="1"/>
    <col min="234" max="234" width="7.109375" style="6" customWidth="1"/>
    <col min="235" max="16384" width="9" style="6"/>
  </cols>
  <sheetData>
    <row r="1" spans="1:226" ht="24.6" customHeight="1" thickBot="1">
      <c r="A1" s="1"/>
      <c r="B1" s="2" t="s">
        <v>103</v>
      </c>
      <c r="C1" s="1"/>
      <c r="D1" s="1"/>
      <c r="E1" s="1"/>
      <c r="F1" s="1"/>
      <c r="G1" s="1"/>
      <c r="H1" s="1"/>
      <c r="I1" s="3">
        <v>9</v>
      </c>
      <c r="J1" s="4"/>
      <c r="K1" s="474" t="str">
        <f>"TPKC剩餘人力："&amp;AR58&amp;" / NK剩餘人力："&amp;AS58&amp;" /  N班人力："&amp;AR53</f>
        <v>TPKC剩餘人力：2 / NK剩餘人力：0 /  N班人力：114</v>
      </c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6"/>
      <c r="AJ1" s="475"/>
      <c r="AK1" s="475"/>
      <c r="AL1" s="477"/>
      <c r="AM1" s="478"/>
      <c r="AN1" s="478"/>
      <c r="AO1" s="5"/>
      <c r="AR1" s="6"/>
      <c r="AS1" s="7"/>
    </row>
    <row r="2" spans="1:226" ht="23.25" customHeight="1" thickBot="1">
      <c r="A2" s="483">
        <v>1</v>
      </c>
      <c r="B2" s="485">
        <v>2</v>
      </c>
      <c r="C2" s="485">
        <v>3</v>
      </c>
      <c r="D2" s="487" t="s">
        <v>104</v>
      </c>
      <c r="E2" s="489" t="s">
        <v>105</v>
      </c>
      <c r="F2" s="8" t="s">
        <v>106</v>
      </c>
      <c r="G2" s="8" t="s">
        <v>107</v>
      </c>
      <c r="H2" s="8" t="s">
        <v>108</v>
      </c>
      <c r="I2" s="479" t="s">
        <v>109</v>
      </c>
      <c r="J2" s="497" t="s">
        <v>151</v>
      </c>
      <c r="K2" s="219" t="s">
        <v>111</v>
      </c>
      <c r="L2" s="9" t="s">
        <v>112</v>
      </c>
      <c r="M2" s="9" t="s">
        <v>113</v>
      </c>
      <c r="N2" s="9" t="s">
        <v>114</v>
      </c>
      <c r="O2" s="9" t="s">
        <v>115</v>
      </c>
      <c r="P2" s="10" t="s">
        <v>116</v>
      </c>
      <c r="Q2" s="11" t="s">
        <v>117</v>
      </c>
      <c r="R2" s="11" t="s">
        <v>111</v>
      </c>
      <c r="S2" s="12" t="s">
        <v>112</v>
      </c>
      <c r="T2" s="12" t="s">
        <v>113</v>
      </c>
      <c r="U2" s="12" t="s">
        <v>114</v>
      </c>
      <c r="V2" s="12" t="s">
        <v>115</v>
      </c>
      <c r="W2" s="13" t="s">
        <v>116</v>
      </c>
      <c r="X2" s="14" t="s">
        <v>117</v>
      </c>
      <c r="Y2" s="14" t="s">
        <v>111</v>
      </c>
      <c r="Z2" s="9" t="s">
        <v>112</v>
      </c>
      <c r="AA2" s="9" t="s">
        <v>113</v>
      </c>
      <c r="AB2" s="9" t="s">
        <v>114</v>
      </c>
      <c r="AC2" s="9" t="s">
        <v>115</v>
      </c>
      <c r="AD2" s="10" t="s">
        <v>116</v>
      </c>
      <c r="AE2" s="11" t="s">
        <v>117</v>
      </c>
      <c r="AF2" s="11" t="s">
        <v>111</v>
      </c>
      <c r="AG2" s="12" t="s">
        <v>112</v>
      </c>
      <c r="AH2" s="12" t="s">
        <v>113</v>
      </c>
      <c r="AI2" s="12" t="s">
        <v>114</v>
      </c>
      <c r="AJ2" s="12" t="s">
        <v>115</v>
      </c>
      <c r="AK2" s="13" t="s">
        <v>116</v>
      </c>
      <c r="AL2" s="14" t="s">
        <v>117</v>
      </c>
      <c r="AM2" s="14" t="s">
        <v>111</v>
      </c>
      <c r="AN2" s="9" t="s">
        <v>112</v>
      </c>
      <c r="AO2" s="225" t="s">
        <v>113</v>
      </c>
      <c r="AR2" s="6"/>
      <c r="AV2" s="491" t="s">
        <v>48</v>
      </c>
      <c r="AW2" s="492"/>
      <c r="AX2" s="492"/>
    </row>
    <row r="3" spans="1:226" ht="24.6" customHeight="1" thickBot="1">
      <c r="A3" s="484"/>
      <c r="B3" s="486"/>
      <c r="C3" s="486"/>
      <c r="D3" s="488"/>
      <c r="E3" s="490"/>
      <c r="F3" s="15" t="s">
        <v>118</v>
      </c>
      <c r="G3" s="15" t="s">
        <v>119</v>
      </c>
      <c r="H3" s="16" t="s">
        <v>120</v>
      </c>
      <c r="I3" s="480"/>
      <c r="J3" s="498"/>
      <c r="K3" s="220">
        <v>1</v>
      </c>
      <c r="L3" s="63">
        <v>2</v>
      </c>
      <c r="M3" s="63">
        <v>3</v>
      </c>
      <c r="N3" s="63">
        <v>4</v>
      </c>
      <c r="O3" s="63">
        <v>5</v>
      </c>
      <c r="P3" s="63">
        <v>6</v>
      </c>
      <c r="Q3" s="221">
        <v>7</v>
      </c>
      <c r="R3" s="221">
        <v>8</v>
      </c>
      <c r="S3" s="63">
        <v>9</v>
      </c>
      <c r="T3" s="63">
        <v>10</v>
      </c>
      <c r="U3" s="63">
        <v>11</v>
      </c>
      <c r="V3" s="63">
        <v>12</v>
      </c>
      <c r="W3" s="63">
        <v>13</v>
      </c>
      <c r="X3" s="221">
        <v>14</v>
      </c>
      <c r="Y3" s="221">
        <v>15</v>
      </c>
      <c r="Z3" s="63">
        <v>16</v>
      </c>
      <c r="AA3" s="63">
        <v>17</v>
      </c>
      <c r="AB3" s="63">
        <v>18</v>
      </c>
      <c r="AC3" s="63">
        <v>19</v>
      </c>
      <c r="AD3" s="63">
        <v>20</v>
      </c>
      <c r="AE3" s="221">
        <v>21</v>
      </c>
      <c r="AF3" s="221">
        <v>22</v>
      </c>
      <c r="AG3" s="63">
        <v>23</v>
      </c>
      <c r="AH3" s="63">
        <v>24</v>
      </c>
      <c r="AI3" s="63">
        <v>25</v>
      </c>
      <c r="AJ3" s="63">
        <v>26</v>
      </c>
      <c r="AK3" s="63">
        <v>27</v>
      </c>
      <c r="AL3" s="221">
        <v>28</v>
      </c>
      <c r="AM3" s="221">
        <v>29</v>
      </c>
      <c r="AN3" s="63">
        <v>30</v>
      </c>
      <c r="AO3" s="127">
        <v>31</v>
      </c>
      <c r="AP3" s="19" t="s">
        <v>121</v>
      </c>
      <c r="AQ3" s="19" t="s">
        <v>122</v>
      </c>
      <c r="AR3" s="20" t="s">
        <v>123</v>
      </c>
      <c r="AS3" s="21" t="s">
        <v>109</v>
      </c>
      <c r="AT3" s="22" t="s">
        <v>124</v>
      </c>
      <c r="AV3" s="117" t="s">
        <v>49</v>
      </c>
      <c r="AW3" s="117" t="s">
        <v>50</v>
      </c>
      <c r="AX3" s="117" t="s">
        <v>51</v>
      </c>
    </row>
    <row r="4" spans="1:226" ht="25.5" customHeight="1">
      <c r="A4" s="23">
        <f>COUNTIF(K4:AO4,1)+COUNTIF(K4:AO4,"早")+COUNTIF(K4:AO4,"M1")+COUNTIF(K4:AO4,"T早")+COUNTIF(K4:AO4,"日")</f>
        <v>0</v>
      </c>
      <c r="B4" s="24">
        <f>COUNTIF(K4:AO4,2)+COUNTIF(K4:AO4,"中")+COUNTIF(K4:AO4,"M2")+COUNTIF(K4:AO4,"T中")+COUNTIF(K4:AO4,"小夜")</f>
        <v>0</v>
      </c>
      <c r="C4" s="25">
        <f>COUNTIF(K4:AO4,3)+COUNTIF(K4:AO4,"晚")+COUNTIF(K4:AO4,"大夜")</f>
        <v>13</v>
      </c>
      <c r="D4" s="24">
        <f>COUNTIF(K4:AO4,"N")+COUNTIF(K4:AO4,"N8")</f>
        <v>0</v>
      </c>
      <c r="E4" s="26">
        <f>COUNTIF(K4:AO4,"S")</f>
        <v>9</v>
      </c>
      <c r="F4" s="26">
        <f>COUNTIF(K4:AO4,"X")</f>
        <v>5</v>
      </c>
      <c r="G4" s="26">
        <f>COUNTIF(K4:AO4,"Y")</f>
        <v>4</v>
      </c>
      <c r="H4" s="26">
        <f>COUNTIF(K4:AO4,"Z")</f>
        <v>0</v>
      </c>
      <c r="I4" s="27">
        <f t="shared" ref="I4:I40" si="0">SUM(A4:H4)</f>
        <v>31</v>
      </c>
      <c r="J4" s="267" t="s">
        <v>152</v>
      </c>
      <c r="K4" s="279" t="s">
        <v>0</v>
      </c>
      <c r="L4" s="271" t="s">
        <v>1</v>
      </c>
      <c r="M4" s="271" t="s">
        <v>1</v>
      </c>
      <c r="N4" s="271" t="s">
        <v>1</v>
      </c>
      <c r="O4" s="271" t="s">
        <v>1</v>
      </c>
      <c r="P4" s="271" t="s">
        <v>1</v>
      </c>
      <c r="Q4" s="272" t="s">
        <v>52</v>
      </c>
      <c r="R4" s="271" t="s">
        <v>1</v>
      </c>
      <c r="S4" s="271" t="s">
        <v>1</v>
      </c>
      <c r="T4" s="271" t="s">
        <v>1</v>
      </c>
      <c r="U4" s="271" t="s">
        <v>0</v>
      </c>
      <c r="V4" s="280">
        <v>3</v>
      </c>
      <c r="W4" s="280">
        <v>3</v>
      </c>
      <c r="X4" s="280">
        <v>3</v>
      </c>
      <c r="Y4" s="270" t="s">
        <v>0</v>
      </c>
      <c r="Z4" s="270" t="s">
        <v>52</v>
      </c>
      <c r="AA4" s="270" t="s">
        <v>40</v>
      </c>
      <c r="AB4" s="280">
        <v>3</v>
      </c>
      <c r="AC4" s="280">
        <v>3</v>
      </c>
      <c r="AD4" s="280">
        <v>3</v>
      </c>
      <c r="AE4" s="280">
        <v>3</v>
      </c>
      <c r="AF4" s="280">
        <v>3</v>
      </c>
      <c r="AG4" s="271" t="s">
        <v>52</v>
      </c>
      <c r="AH4" s="271" t="s">
        <v>1</v>
      </c>
      <c r="AI4" s="271" t="s">
        <v>0</v>
      </c>
      <c r="AJ4" s="280">
        <v>3</v>
      </c>
      <c r="AK4" s="280">
        <v>3</v>
      </c>
      <c r="AL4" s="280">
        <v>3</v>
      </c>
      <c r="AM4" s="280">
        <v>3</v>
      </c>
      <c r="AN4" s="270" t="s">
        <v>52</v>
      </c>
      <c r="AO4" s="272" t="s">
        <v>0</v>
      </c>
      <c r="AP4" s="35">
        <v>0</v>
      </c>
      <c r="AQ4" s="36">
        <f t="shared" ref="AQ4:AQ46" si="1">$F4+$G4+H4-$I$1</f>
        <v>0</v>
      </c>
      <c r="AR4" s="36">
        <v>0</v>
      </c>
      <c r="AS4" s="133">
        <f>SUM(AP4:AR4)</f>
        <v>0</v>
      </c>
      <c r="AT4" s="138" t="s">
        <v>126</v>
      </c>
      <c r="AV4" s="6" cm="2">
        <f t="array" ref="AV4">SUMPRODUCT(COUNTIF(K4:K4,{"X";"Y";"Z";"S"}))+SUMPRODUCT(COUNTIF(Q4:R4,{"X";"Y";"Z";"S"}))+SUMPRODUCT(COUNTIF(X4:Y4,{"X";"Y";"Z";"S"}))+SUMPRODUCT(COUNTIF(AE4:AF4,{"X";"Y";"Z";"S"}))+SUMPRODUCT(COUNTIF(AL4:AM4,{"X";"Y";"Z";"S"}))-5</f>
        <v>-1</v>
      </c>
      <c r="AW4" s="6">
        <v>3</v>
      </c>
      <c r="AX4" s="6">
        <f>AV4+AW4</f>
        <v>2</v>
      </c>
    </row>
    <row r="5" spans="1:226" ht="25.5" customHeight="1">
      <c r="A5" s="38">
        <f t="shared" ref="A5:A40" si="2">COUNTIF(K5:AO5,1)+COUNTIF(K5:AO5,"早")+COUNTIF(K5:AO5,"M1")+COUNTIF(K5:AO5,"T早")+COUNTIF(K5:AO5,"日")</f>
        <v>1</v>
      </c>
      <c r="B5" s="39">
        <f t="shared" ref="B5:B40" si="3">COUNTIF(K5:AO5,2)+COUNTIF(K5:AO5,"中")+COUNTIF(K5:AO5,"M2")+COUNTIF(K5:AO5,"T中")+COUNTIF(K5:AO5,"小夜")</f>
        <v>0</v>
      </c>
      <c r="C5" s="40">
        <f t="shared" ref="C5:C40" si="4">COUNTIF(K5:AO5,3)+COUNTIF(K5:AO5,"晚")+COUNTIF(K5:AO5,"大夜")</f>
        <v>20</v>
      </c>
      <c r="D5" s="39">
        <f t="shared" ref="D5:D40" si="5">COUNTIF(K5:AO5,"N")+COUNTIF(K5:AO5,"N8")</f>
        <v>1</v>
      </c>
      <c r="E5" s="41">
        <f t="shared" ref="E5:E40" si="6">COUNTIF(K5:AO5,"S")</f>
        <v>0</v>
      </c>
      <c r="F5" s="41">
        <f t="shared" ref="F5:F40" si="7">COUNTIF(K5:AO5,"X")</f>
        <v>5</v>
      </c>
      <c r="G5" s="41">
        <f t="shared" ref="G5:G40" si="8">COUNTIF(K5:AO5,"Y")</f>
        <v>4</v>
      </c>
      <c r="H5" s="41">
        <f t="shared" ref="H5:H40" si="9">COUNTIF(K5:AO5,"Z")</f>
        <v>0</v>
      </c>
      <c r="I5" s="42">
        <f t="shared" si="0"/>
        <v>31</v>
      </c>
      <c r="J5" s="43" t="s">
        <v>2</v>
      </c>
      <c r="K5" s="237" t="s">
        <v>0</v>
      </c>
      <c r="L5" s="259">
        <v>3</v>
      </c>
      <c r="M5" s="259">
        <v>3</v>
      </c>
      <c r="N5" s="259">
        <v>3</v>
      </c>
      <c r="O5" s="259">
        <v>3</v>
      </c>
      <c r="P5" s="259" t="s">
        <v>40</v>
      </c>
      <c r="Q5" s="238" t="s">
        <v>52</v>
      </c>
      <c r="R5" s="238">
        <v>3</v>
      </c>
      <c r="S5" s="259">
        <v>3</v>
      </c>
      <c r="T5" s="259" t="s">
        <v>40</v>
      </c>
      <c r="U5" s="259">
        <v>3</v>
      </c>
      <c r="V5" s="238" t="s">
        <v>3</v>
      </c>
      <c r="W5" s="30" t="s">
        <v>36</v>
      </c>
      <c r="X5" s="239" t="s">
        <v>52</v>
      </c>
      <c r="Y5" s="259">
        <v>3</v>
      </c>
      <c r="Z5" s="259">
        <v>3</v>
      </c>
      <c r="AA5" s="259">
        <v>3</v>
      </c>
      <c r="AB5" s="238" t="s">
        <v>0</v>
      </c>
      <c r="AC5" s="238" t="s">
        <v>52</v>
      </c>
      <c r="AD5" s="238" t="s">
        <v>40</v>
      </c>
      <c r="AE5" s="238" t="s">
        <v>40</v>
      </c>
      <c r="AF5" s="238" t="s">
        <v>40</v>
      </c>
      <c r="AG5" s="259">
        <v>3</v>
      </c>
      <c r="AH5" s="259">
        <v>3</v>
      </c>
      <c r="AI5" s="259">
        <v>3</v>
      </c>
      <c r="AJ5" s="240" t="s">
        <v>0</v>
      </c>
      <c r="AK5" s="240" t="s">
        <v>0</v>
      </c>
      <c r="AL5" s="239" t="s">
        <v>52</v>
      </c>
      <c r="AM5" s="239" t="s">
        <v>0</v>
      </c>
      <c r="AN5" s="259">
        <v>3</v>
      </c>
      <c r="AO5" s="260">
        <v>3</v>
      </c>
      <c r="AP5" s="45">
        <v>0</v>
      </c>
      <c r="AQ5" s="46">
        <f t="shared" si="1"/>
        <v>0</v>
      </c>
      <c r="AR5" s="46">
        <v>0</v>
      </c>
      <c r="AS5" s="134">
        <f t="shared" ref="AS5:AS46" si="10">SUM(AP5:AR5)</f>
        <v>0</v>
      </c>
      <c r="AT5" s="139" t="s">
        <v>128</v>
      </c>
    </row>
    <row r="6" spans="1:226" ht="25.5" customHeight="1">
      <c r="A6" s="38">
        <f t="shared" si="2"/>
        <v>9</v>
      </c>
      <c r="B6" s="39">
        <f t="shared" si="3"/>
        <v>0</v>
      </c>
      <c r="C6" s="40">
        <f t="shared" si="4"/>
        <v>0</v>
      </c>
      <c r="D6" s="39">
        <f t="shared" si="5"/>
        <v>9</v>
      </c>
      <c r="E6" s="41">
        <f t="shared" si="6"/>
        <v>4</v>
      </c>
      <c r="F6" s="41">
        <f t="shared" si="7"/>
        <v>5</v>
      </c>
      <c r="G6" s="41">
        <f t="shared" si="8"/>
        <v>4</v>
      </c>
      <c r="H6" s="41">
        <f t="shared" si="9"/>
        <v>0</v>
      </c>
      <c r="I6" s="42">
        <f t="shared" si="0"/>
        <v>31</v>
      </c>
      <c r="J6" s="47" t="s">
        <v>129</v>
      </c>
      <c r="K6" s="200" t="s">
        <v>36</v>
      </c>
      <c r="L6" s="238" t="s">
        <v>3</v>
      </c>
      <c r="M6" s="30" t="s">
        <v>36</v>
      </c>
      <c r="N6" s="234" t="s">
        <v>52</v>
      </c>
      <c r="O6" s="234" t="s">
        <v>1</v>
      </c>
      <c r="P6" s="30" t="s">
        <v>36</v>
      </c>
      <c r="Q6" s="259">
        <v>1</v>
      </c>
      <c r="R6" s="239" t="s">
        <v>0</v>
      </c>
      <c r="S6" s="238" t="s">
        <v>52</v>
      </c>
      <c r="T6" s="238" t="s">
        <v>0</v>
      </c>
      <c r="U6" s="238" t="s">
        <v>3</v>
      </c>
      <c r="V6" s="234" t="s">
        <v>1</v>
      </c>
      <c r="W6" s="238">
        <v>1</v>
      </c>
      <c r="X6" s="259">
        <v>1</v>
      </c>
      <c r="Y6" s="239" t="s">
        <v>0</v>
      </c>
      <c r="Z6" s="234" t="s">
        <v>1</v>
      </c>
      <c r="AA6" s="234" t="s">
        <v>1</v>
      </c>
      <c r="AB6" s="238" t="s">
        <v>3</v>
      </c>
      <c r="AC6" s="238" t="s">
        <v>3</v>
      </c>
      <c r="AD6" s="242" t="s">
        <v>3</v>
      </c>
      <c r="AE6" s="239" t="s">
        <v>52</v>
      </c>
      <c r="AF6" s="238" t="s">
        <v>0</v>
      </c>
      <c r="AG6" s="238" t="s">
        <v>36</v>
      </c>
      <c r="AH6" s="238" t="s">
        <v>3</v>
      </c>
      <c r="AI6" s="238" t="s">
        <v>3</v>
      </c>
      <c r="AJ6" s="238" t="s">
        <v>3</v>
      </c>
      <c r="AK6" s="238" t="s">
        <v>36</v>
      </c>
      <c r="AL6" s="239" t="s">
        <v>52</v>
      </c>
      <c r="AM6" s="239" t="s">
        <v>0</v>
      </c>
      <c r="AN6" s="30" t="s">
        <v>36</v>
      </c>
      <c r="AO6" s="241" t="s">
        <v>3</v>
      </c>
      <c r="AP6" s="45">
        <v>0</v>
      </c>
      <c r="AQ6" s="46">
        <f t="shared" si="1"/>
        <v>0</v>
      </c>
      <c r="AR6" s="46">
        <v>0</v>
      </c>
      <c r="AS6" s="134">
        <f t="shared" si="10"/>
        <v>0</v>
      </c>
      <c r="AT6" s="139" t="s">
        <v>128</v>
      </c>
      <c r="AV6" s="6" cm="2">
        <f t="array" ref="AV6">SUMPRODUCT(COUNTIF(K6:K6,{"X";"Y";"Z";"S"}))+SUMPRODUCT(COUNTIF(Q6:R6,{"X";"Y";"Z";"S"}))+SUMPRODUCT(COUNTIF(X6:Y6,{"X";"Y";"Z";"S"}))+SUMPRODUCT(COUNTIF(AE6:AF6,{"X";"Y";"Z";"S"}))+SUMPRODUCT(COUNTIF(AL6:AM6,{"X";"Y";"Z";"S"}))-5</f>
        <v>1</v>
      </c>
      <c r="AW6" s="6">
        <v>1</v>
      </c>
      <c r="AX6" s="6">
        <f t="shared" ref="AX6:AX18" si="11">AV6+AW6</f>
        <v>2</v>
      </c>
    </row>
    <row r="7" spans="1:226" ht="25.5" customHeight="1">
      <c r="A7" s="38">
        <f t="shared" si="2"/>
        <v>14</v>
      </c>
      <c r="B7" s="39">
        <f t="shared" si="3"/>
        <v>2</v>
      </c>
      <c r="C7" s="40">
        <f t="shared" si="4"/>
        <v>0</v>
      </c>
      <c r="D7" s="39">
        <f t="shared" si="5"/>
        <v>2</v>
      </c>
      <c r="E7" s="41">
        <f t="shared" si="6"/>
        <v>4</v>
      </c>
      <c r="F7" s="41">
        <f t="shared" si="7"/>
        <v>5</v>
      </c>
      <c r="G7" s="41">
        <f t="shared" si="8"/>
        <v>4</v>
      </c>
      <c r="H7" s="41">
        <f t="shared" si="9"/>
        <v>0</v>
      </c>
      <c r="I7" s="42">
        <f t="shared" si="0"/>
        <v>31</v>
      </c>
      <c r="J7" s="47" t="s">
        <v>130</v>
      </c>
      <c r="K7" s="237" t="s">
        <v>0</v>
      </c>
      <c r="L7" s="238" t="s">
        <v>52</v>
      </c>
      <c r="M7" s="242" t="s">
        <v>3</v>
      </c>
      <c r="N7" s="234" t="s">
        <v>1</v>
      </c>
      <c r="O7" s="239" t="s">
        <v>0</v>
      </c>
      <c r="P7" s="238">
        <v>1</v>
      </c>
      <c r="Q7" s="238" t="s">
        <v>38</v>
      </c>
      <c r="R7" s="238" t="s">
        <v>38</v>
      </c>
      <c r="S7" s="238" t="s">
        <v>52</v>
      </c>
      <c r="T7" s="121" t="s">
        <v>36</v>
      </c>
      <c r="U7" s="238">
        <v>1</v>
      </c>
      <c r="V7" s="30" t="s">
        <v>36</v>
      </c>
      <c r="W7" s="234" t="s">
        <v>1</v>
      </c>
      <c r="X7" s="234" t="s">
        <v>1</v>
      </c>
      <c r="Y7" s="239" t="s">
        <v>0</v>
      </c>
      <c r="Z7" s="121" t="s">
        <v>36</v>
      </c>
      <c r="AA7" s="121" t="s">
        <v>36</v>
      </c>
      <c r="AB7" s="121" t="s">
        <v>36</v>
      </c>
      <c r="AC7" s="234" t="s">
        <v>3</v>
      </c>
      <c r="AD7" s="238" t="s">
        <v>52</v>
      </c>
      <c r="AE7" s="30" t="s">
        <v>36</v>
      </c>
      <c r="AF7" s="30" t="s">
        <v>36</v>
      </c>
      <c r="AG7" s="121" t="s">
        <v>36</v>
      </c>
      <c r="AH7" s="121" t="s">
        <v>36</v>
      </c>
      <c r="AI7" s="121" t="s">
        <v>36</v>
      </c>
      <c r="AJ7" s="238" t="s">
        <v>0</v>
      </c>
      <c r="AK7" s="234" t="s">
        <v>1</v>
      </c>
      <c r="AL7" s="239" t="s">
        <v>52</v>
      </c>
      <c r="AM7" s="239" t="s">
        <v>0</v>
      </c>
      <c r="AN7" s="30" t="s">
        <v>36</v>
      </c>
      <c r="AO7" s="30" t="s">
        <v>36</v>
      </c>
      <c r="AP7" s="45">
        <v>0</v>
      </c>
      <c r="AQ7" s="46">
        <f t="shared" si="1"/>
        <v>0</v>
      </c>
      <c r="AR7" s="46">
        <v>0</v>
      </c>
      <c r="AS7" s="134">
        <f t="shared" si="10"/>
        <v>0</v>
      </c>
      <c r="AT7" s="139" t="s">
        <v>128</v>
      </c>
      <c r="AV7" s="6" cm="2">
        <f t="array" ref="AV7">SUMPRODUCT(COUNTIF(K7:K7,{"X";"Y";"Z";"S"}))+SUMPRODUCT(COUNTIF(Q7:R7,{"X";"Y";"Z";"S"}))+SUMPRODUCT(COUNTIF(X7:Y7,{"X";"Y";"Z";"S"}))+SUMPRODUCT(COUNTIF(AE7:AF7,{"X";"Y";"Z";"S"}))+SUMPRODUCT(COUNTIF(AL7:AM7,{"X";"Y";"Z";"S"}))-5</f>
        <v>0</v>
      </c>
      <c r="AW7" s="6">
        <v>2</v>
      </c>
      <c r="AX7" s="6">
        <f t="shared" si="11"/>
        <v>2</v>
      </c>
    </row>
    <row r="8" spans="1:226" ht="24" customHeight="1">
      <c r="A8" s="38">
        <f t="shared" si="2"/>
        <v>0</v>
      </c>
      <c r="B8" s="39">
        <f t="shared" si="3"/>
        <v>0</v>
      </c>
      <c r="C8" s="40">
        <f t="shared" si="4"/>
        <v>0</v>
      </c>
      <c r="D8" s="39">
        <f t="shared" si="5"/>
        <v>22</v>
      </c>
      <c r="E8" s="41">
        <f t="shared" si="6"/>
        <v>0</v>
      </c>
      <c r="F8" s="41">
        <f t="shared" si="7"/>
        <v>5</v>
      </c>
      <c r="G8" s="41">
        <f t="shared" si="8"/>
        <v>4</v>
      </c>
      <c r="H8" s="41">
        <f t="shared" si="9"/>
        <v>0</v>
      </c>
      <c r="I8" s="42">
        <f t="shared" si="0"/>
        <v>31</v>
      </c>
      <c r="J8" s="47" t="s">
        <v>132</v>
      </c>
      <c r="K8" s="237" t="s">
        <v>0</v>
      </c>
      <c r="L8" s="238" t="s">
        <v>3</v>
      </c>
      <c r="M8" s="238" t="s">
        <v>3</v>
      </c>
      <c r="N8" s="238" t="s">
        <v>3</v>
      </c>
      <c r="O8" s="238" t="s">
        <v>3</v>
      </c>
      <c r="P8" s="238" t="s">
        <v>3</v>
      </c>
      <c r="Q8" s="239" t="s">
        <v>52</v>
      </c>
      <c r="R8" s="239" t="s">
        <v>0</v>
      </c>
      <c r="S8" s="238" t="s">
        <v>3</v>
      </c>
      <c r="T8" s="238" t="s">
        <v>3</v>
      </c>
      <c r="U8" s="238" t="s">
        <v>3</v>
      </c>
      <c r="V8" s="238" t="s">
        <v>3</v>
      </c>
      <c r="W8" s="238" t="s">
        <v>3</v>
      </c>
      <c r="X8" s="239" t="s">
        <v>52</v>
      </c>
      <c r="Y8" s="239" t="s">
        <v>0</v>
      </c>
      <c r="Z8" s="238" t="s">
        <v>3</v>
      </c>
      <c r="AA8" s="238" t="s">
        <v>3</v>
      </c>
      <c r="AB8" s="238" t="s">
        <v>3</v>
      </c>
      <c r="AC8" s="242" t="s">
        <v>3</v>
      </c>
      <c r="AD8" s="242" t="s">
        <v>3</v>
      </c>
      <c r="AE8" s="239" t="s">
        <v>52</v>
      </c>
      <c r="AF8" s="239" t="s">
        <v>0</v>
      </c>
      <c r="AG8" s="242" t="s">
        <v>3</v>
      </c>
      <c r="AH8" s="242" t="s">
        <v>3</v>
      </c>
      <c r="AI8" s="242" t="s">
        <v>3</v>
      </c>
      <c r="AJ8" s="242" t="s">
        <v>3</v>
      </c>
      <c r="AK8" s="242" t="s">
        <v>3</v>
      </c>
      <c r="AL8" s="239" t="s">
        <v>52</v>
      </c>
      <c r="AM8" s="239" t="s">
        <v>0</v>
      </c>
      <c r="AN8" s="238" t="s">
        <v>3</v>
      </c>
      <c r="AO8" s="241" t="s">
        <v>3</v>
      </c>
      <c r="AP8" s="45">
        <v>0</v>
      </c>
      <c r="AQ8" s="46">
        <f t="shared" si="1"/>
        <v>0</v>
      </c>
      <c r="AR8" s="46">
        <v>0</v>
      </c>
      <c r="AS8" s="134">
        <f t="shared" si="10"/>
        <v>0</v>
      </c>
      <c r="AT8" s="139" t="s">
        <v>133</v>
      </c>
    </row>
    <row r="9" spans="1:226" s="50" customFormat="1" ht="24.75" customHeight="1">
      <c r="A9" s="38">
        <f t="shared" si="2"/>
        <v>16</v>
      </c>
      <c r="B9" s="39">
        <f t="shared" si="3"/>
        <v>2</v>
      </c>
      <c r="C9" s="40">
        <f t="shared" si="4"/>
        <v>0</v>
      </c>
      <c r="D9" s="39">
        <f t="shared" si="5"/>
        <v>2</v>
      </c>
      <c r="E9" s="41">
        <f t="shared" si="6"/>
        <v>2</v>
      </c>
      <c r="F9" s="41">
        <f t="shared" si="7"/>
        <v>5</v>
      </c>
      <c r="G9" s="41">
        <f t="shared" si="8"/>
        <v>4</v>
      </c>
      <c r="H9" s="41">
        <f t="shared" si="9"/>
        <v>0</v>
      </c>
      <c r="I9" s="42">
        <f t="shared" si="0"/>
        <v>31</v>
      </c>
      <c r="J9" s="47" t="s">
        <v>4</v>
      </c>
      <c r="K9" s="245" t="s">
        <v>0</v>
      </c>
      <c r="L9" s="238">
        <v>1</v>
      </c>
      <c r="M9" s="30" t="s">
        <v>36</v>
      </c>
      <c r="N9" s="30" t="s">
        <v>36</v>
      </c>
      <c r="O9" s="30" t="s">
        <v>36</v>
      </c>
      <c r="P9" s="234" t="s">
        <v>1</v>
      </c>
      <c r="Q9" s="239" t="s">
        <v>52</v>
      </c>
      <c r="R9" s="239" t="s">
        <v>0</v>
      </c>
      <c r="S9" s="30" t="s">
        <v>36</v>
      </c>
      <c r="T9" s="30" t="s">
        <v>36</v>
      </c>
      <c r="U9" s="238" t="s">
        <v>3</v>
      </c>
      <c r="V9" s="256" t="s">
        <v>5</v>
      </c>
      <c r="W9" s="234" t="s">
        <v>52</v>
      </c>
      <c r="X9" s="239" t="s">
        <v>0</v>
      </c>
      <c r="Y9" s="30">
        <v>1</v>
      </c>
      <c r="Z9" s="259">
        <v>1</v>
      </c>
      <c r="AA9" s="30" t="s">
        <v>36</v>
      </c>
      <c r="AB9" s="30" t="s">
        <v>36</v>
      </c>
      <c r="AC9" s="30" t="s">
        <v>36</v>
      </c>
      <c r="AD9" s="256" t="s">
        <v>5</v>
      </c>
      <c r="AE9" s="239" t="s">
        <v>52</v>
      </c>
      <c r="AF9" s="234" t="s">
        <v>1</v>
      </c>
      <c r="AG9" s="259">
        <v>1</v>
      </c>
      <c r="AH9" s="238" t="s">
        <v>3</v>
      </c>
      <c r="AI9" s="30" t="s">
        <v>36</v>
      </c>
      <c r="AJ9" s="30" t="s">
        <v>36</v>
      </c>
      <c r="AK9" s="239" t="s">
        <v>52</v>
      </c>
      <c r="AL9" s="259">
        <v>2</v>
      </c>
      <c r="AM9" s="259">
        <v>2</v>
      </c>
      <c r="AN9" s="238" t="s">
        <v>0</v>
      </c>
      <c r="AO9" s="241" t="s">
        <v>0</v>
      </c>
      <c r="AP9" s="45">
        <v>0</v>
      </c>
      <c r="AQ9" s="46">
        <f t="shared" si="1"/>
        <v>0</v>
      </c>
      <c r="AR9" s="46">
        <v>0</v>
      </c>
      <c r="AS9" s="134">
        <f t="shared" si="10"/>
        <v>0</v>
      </c>
      <c r="AT9" s="139" t="s">
        <v>126</v>
      </c>
      <c r="AU9" s="6"/>
      <c r="AV9" s="6" cm="2">
        <f t="array" ref="AV9">SUMPRODUCT(COUNTIF(K9:K9,{"X";"Y";"Z";"S"}))+SUMPRODUCT(COUNTIF(Q9:R9,{"X";"Y";"Z";"S"}))+SUMPRODUCT(COUNTIF(X9:Y9,{"X";"Y";"Z";"S"}))+SUMPRODUCT(COUNTIF(AE9:AF9,{"X";"Y";"Z";"S"}))+SUMPRODUCT(COUNTIF(AL9:AM9,{"X";"Y";"Z";"S"}))-5</f>
        <v>1</v>
      </c>
      <c r="AW9" s="6">
        <v>2</v>
      </c>
      <c r="AX9" s="6">
        <f t="shared" si="11"/>
        <v>3</v>
      </c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1:226" s="50" customFormat="1" ht="24" customHeight="1">
      <c r="A10" s="38">
        <f t="shared" si="2"/>
        <v>17</v>
      </c>
      <c r="B10" s="39">
        <f t="shared" si="3"/>
        <v>3</v>
      </c>
      <c r="C10" s="40">
        <f t="shared" si="4"/>
        <v>0</v>
      </c>
      <c r="D10" s="39">
        <f t="shared" si="5"/>
        <v>2</v>
      </c>
      <c r="E10" s="41">
        <f t="shared" si="6"/>
        <v>0</v>
      </c>
      <c r="F10" s="41">
        <f t="shared" si="7"/>
        <v>5</v>
      </c>
      <c r="G10" s="41">
        <f t="shared" si="8"/>
        <v>4</v>
      </c>
      <c r="H10" s="41">
        <f t="shared" si="9"/>
        <v>0</v>
      </c>
      <c r="I10" s="42">
        <f t="shared" si="0"/>
        <v>31</v>
      </c>
      <c r="J10" s="51" t="s">
        <v>134</v>
      </c>
      <c r="K10" s="237" t="s">
        <v>0</v>
      </c>
      <c r="L10" s="238">
        <v>1</v>
      </c>
      <c r="M10" s="30" t="s">
        <v>36</v>
      </c>
      <c r="N10" s="30" t="s">
        <v>36</v>
      </c>
      <c r="O10" s="30" t="s">
        <v>36</v>
      </c>
      <c r="P10" s="30" t="s">
        <v>36</v>
      </c>
      <c r="Q10" s="239" t="s">
        <v>52</v>
      </c>
      <c r="R10" s="239" t="s">
        <v>0</v>
      </c>
      <c r="S10" s="234" t="s">
        <v>0</v>
      </c>
      <c r="T10" s="238" t="s">
        <v>36</v>
      </c>
      <c r="U10" s="238" t="s">
        <v>3</v>
      </c>
      <c r="V10" s="30" t="s">
        <v>36</v>
      </c>
      <c r="W10" s="30" t="s">
        <v>36</v>
      </c>
      <c r="X10" s="239" t="s">
        <v>52</v>
      </c>
      <c r="Y10" s="239" t="s">
        <v>0</v>
      </c>
      <c r="Z10" s="238" t="s">
        <v>3</v>
      </c>
      <c r="AA10" s="30">
        <v>1</v>
      </c>
      <c r="AB10" s="30">
        <v>1</v>
      </c>
      <c r="AC10" s="238" t="s">
        <v>52</v>
      </c>
      <c r="AD10" s="238" t="s">
        <v>36</v>
      </c>
      <c r="AE10" s="30" t="s">
        <v>36</v>
      </c>
      <c r="AF10" s="30" t="s">
        <v>36</v>
      </c>
      <c r="AG10" s="259">
        <v>2</v>
      </c>
      <c r="AH10" s="259">
        <v>2</v>
      </c>
      <c r="AI10" s="259">
        <v>2</v>
      </c>
      <c r="AJ10" s="240" t="s">
        <v>52</v>
      </c>
      <c r="AK10" s="30" t="s">
        <v>36</v>
      </c>
      <c r="AL10" s="121" t="s">
        <v>36</v>
      </c>
      <c r="AM10" s="30" t="s">
        <v>0</v>
      </c>
      <c r="AN10" s="121" t="s">
        <v>36</v>
      </c>
      <c r="AO10" s="126" t="s">
        <v>36</v>
      </c>
      <c r="AP10" s="45">
        <v>0</v>
      </c>
      <c r="AQ10" s="46">
        <f t="shared" si="1"/>
        <v>0</v>
      </c>
      <c r="AR10" s="46">
        <v>0</v>
      </c>
      <c r="AS10" s="134">
        <f t="shared" si="10"/>
        <v>0</v>
      </c>
      <c r="AT10" s="139" t="s">
        <v>128</v>
      </c>
      <c r="AU10" s="6"/>
      <c r="AV10" s="6" cm="2">
        <f t="array" ref="AV10">SUMPRODUCT(COUNTIF(K10:K10,{"X";"Y";"Z";"S"}))+SUMPRODUCT(COUNTIF(Q10:R10,{"X";"Y";"Z";"S"}))+SUMPRODUCT(COUNTIF(X10:Y10,{"X";"Y";"Z";"S"}))+SUMPRODUCT(COUNTIF(AE10:AF10,{"X";"Y";"Z";"S"}))+SUMPRODUCT(COUNTIF(AL10:AM10,{"X";"Y";"Z";"S"}))-5</f>
        <v>1</v>
      </c>
      <c r="AW10" s="6">
        <v>1</v>
      </c>
      <c r="AX10" s="6">
        <f t="shared" si="11"/>
        <v>2</v>
      </c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1:226" s="50" customFormat="1" ht="25.5" customHeight="1">
      <c r="A11" s="38">
        <f>COUNTIF(K11:AO11,1)+COUNTIF(K11:AO11,"早")+COUNTIF(K11:AO11,"M1")+COUNTIF(K11:AO11,"T早")+COUNTIF(K11:AO11,"日")</f>
        <v>13</v>
      </c>
      <c r="B11" s="39">
        <f>COUNTIF(K11:AO11,2)+COUNTIF(K11:AO11,"中")+COUNTIF(K11:AO11,"M2")+COUNTIF(K11:AO11,"T中")+COUNTIF(K11:AO11,"小夜")</f>
        <v>2</v>
      </c>
      <c r="C11" s="40">
        <f>COUNTIF(K11:AO11,3)+COUNTIF(K11:AO11,"晚")+COUNTIF(K11:AO11,"大夜")</f>
        <v>0</v>
      </c>
      <c r="D11" s="39">
        <f>COUNTIF(K11:AO11,"N")+COUNTIF(K11:AO11,"N8")</f>
        <v>5</v>
      </c>
      <c r="E11" s="41">
        <f>COUNTIF(K11:AO11,"S")</f>
        <v>2</v>
      </c>
      <c r="F11" s="41">
        <f>COUNTIF(K11:AO11,"X")</f>
        <v>5</v>
      </c>
      <c r="G11" s="41">
        <f>COUNTIF(K11:AO11,"Y")</f>
        <v>4</v>
      </c>
      <c r="H11" s="41">
        <f>COUNTIF(K11:AO11,"Z")</f>
        <v>0</v>
      </c>
      <c r="I11" s="42">
        <f t="shared" si="0"/>
        <v>31</v>
      </c>
      <c r="J11" s="47" t="s">
        <v>6</v>
      </c>
      <c r="K11" s="258">
        <v>2</v>
      </c>
      <c r="L11" s="246" t="s">
        <v>52</v>
      </c>
      <c r="M11" s="242" t="s">
        <v>3</v>
      </c>
      <c r="N11" s="30" t="s">
        <v>36</v>
      </c>
      <c r="O11" s="242" t="s">
        <v>3</v>
      </c>
      <c r="P11" s="234" t="s">
        <v>1</v>
      </c>
      <c r="Q11" s="259">
        <v>2</v>
      </c>
      <c r="R11" s="238" t="s">
        <v>0</v>
      </c>
      <c r="S11" s="259">
        <v>1</v>
      </c>
      <c r="T11" s="259">
        <v>1</v>
      </c>
      <c r="U11" s="30" t="s">
        <v>36</v>
      </c>
      <c r="V11" s="30" t="s">
        <v>36</v>
      </c>
      <c r="W11" s="242" t="s">
        <v>3</v>
      </c>
      <c r="X11" s="239" t="s">
        <v>52</v>
      </c>
      <c r="Y11" s="239" t="s">
        <v>0</v>
      </c>
      <c r="Z11" s="234" t="s">
        <v>0</v>
      </c>
      <c r="AA11" s="234" t="s">
        <v>1</v>
      </c>
      <c r="AB11" s="30">
        <v>1</v>
      </c>
      <c r="AC11" s="256" t="s">
        <v>5</v>
      </c>
      <c r="AD11" s="238" t="s">
        <v>36</v>
      </c>
      <c r="AE11" s="239" t="s">
        <v>52</v>
      </c>
      <c r="AF11" s="239" t="s">
        <v>0</v>
      </c>
      <c r="AG11" s="238" t="s">
        <v>3</v>
      </c>
      <c r="AH11" s="238" t="s">
        <v>36</v>
      </c>
      <c r="AI11" s="238" t="s">
        <v>36</v>
      </c>
      <c r="AJ11" s="256" t="s">
        <v>5</v>
      </c>
      <c r="AK11" s="238" t="s">
        <v>3</v>
      </c>
      <c r="AL11" s="238" t="s">
        <v>52</v>
      </c>
      <c r="AM11" s="121" t="s">
        <v>36</v>
      </c>
      <c r="AN11" s="256" t="s">
        <v>5</v>
      </c>
      <c r="AO11" s="261" t="s">
        <v>0</v>
      </c>
      <c r="AP11" s="45">
        <v>0</v>
      </c>
      <c r="AQ11" s="46">
        <f t="shared" si="1"/>
        <v>0</v>
      </c>
      <c r="AR11" s="46">
        <v>0</v>
      </c>
      <c r="AS11" s="134">
        <f t="shared" si="10"/>
        <v>0</v>
      </c>
      <c r="AT11" s="139" t="s">
        <v>126</v>
      </c>
      <c r="AU11" s="6"/>
      <c r="AV11" s="6" cm="2">
        <f t="array" ref="AV11">SUMPRODUCT(COUNTIF(K11:K11,{"X";"Y";"Z";"S"}))+SUMPRODUCT(COUNTIF(Q11:R11,{"X";"Y";"Z";"S"}))+SUMPRODUCT(COUNTIF(X11:Y11,{"X";"Y";"Z";"S"}))+SUMPRODUCT(COUNTIF(AE11:AF11,{"X";"Y";"Z";"S"}))+SUMPRODUCT(COUNTIF(AL11:AM11,{"X";"Y";"Z";"S"}))-5</f>
        <v>1</v>
      </c>
      <c r="AW11" s="6">
        <v>2</v>
      </c>
      <c r="AX11" s="6">
        <f t="shared" si="11"/>
        <v>3</v>
      </c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1:226" s="50" customFormat="1" ht="25.5" customHeight="1">
      <c r="A12" s="38">
        <f t="shared" si="2"/>
        <v>19</v>
      </c>
      <c r="B12" s="39">
        <f t="shared" si="3"/>
        <v>1</v>
      </c>
      <c r="C12" s="40">
        <f t="shared" si="4"/>
        <v>0</v>
      </c>
      <c r="D12" s="39">
        <f t="shared" si="5"/>
        <v>2</v>
      </c>
      <c r="E12" s="41">
        <f t="shared" si="6"/>
        <v>0</v>
      </c>
      <c r="F12" s="41">
        <f t="shared" si="7"/>
        <v>5</v>
      </c>
      <c r="G12" s="41">
        <f t="shared" si="8"/>
        <v>4</v>
      </c>
      <c r="H12" s="41">
        <f t="shared" si="9"/>
        <v>0</v>
      </c>
      <c r="I12" s="42">
        <f t="shared" si="0"/>
        <v>31</v>
      </c>
      <c r="J12" s="47" t="s">
        <v>135</v>
      </c>
      <c r="K12" s="237" t="s">
        <v>0</v>
      </c>
      <c r="L12" s="238" t="s">
        <v>3</v>
      </c>
      <c r="M12" s="238" t="s">
        <v>36</v>
      </c>
      <c r="N12" s="234" t="s">
        <v>52</v>
      </c>
      <c r="O12" s="30" t="s">
        <v>36</v>
      </c>
      <c r="P12" s="30" t="s">
        <v>36</v>
      </c>
      <c r="Q12" s="238">
        <v>1</v>
      </c>
      <c r="R12" s="259">
        <v>2</v>
      </c>
      <c r="S12" s="238" t="s">
        <v>0</v>
      </c>
      <c r="T12" s="238" t="s">
        <v>0</v>
      </c>
      <c r="U12" s="238" t="s">
        <v>3</v>
      </c>
      <c r="V12" s="238">
        <v>1</v>
      </c>
      <c r="W12" s="259">
        <v>1</v>
      </c>
      <c r="X12" s="239" t="s">
        <v>52</v>
      </c>
      <c r="Y12" s="239" t="s">
        <v>0</v>
      </c>
      <c r="Z12" s="238">
        <v>1</v>
      </c>
      <c r="AA12" s="259">
        <v>1</v>
      </c>
      <c r="AB12" s="259">
        <v>1</v>
      </c>
      <c r="AC12" s="30" t="s">
        <v>36</v>
      </c>
      <c r="AD12" s="30" t="s">
        <v>36</v>
      </c>
      <c r="AE12" s="259">
        <v>1</v>
      </c>
      <c r="AF12" s="238" t="s">
        <v>52</v>
      </c>
      <c r="AG12" s="30" t="s">
        <v>36</v>
      </c>
      <c r="AH12" s="30" t="s">
        <v>36</v>
      </c>
      <c r="AI12" s="259">
        <v>1</v>
      </c>
      <c r="AJ12" s="238">
        <v>1</v>
      </c>
      <c r="AK12" s="259">
        <v>1</v>
      </c>
      <c r="AL12" s="239" t="s">
        <v>52</v>
      </c>
      <c r="AM12" s="239" t="s">
        <v>0</v>
      </c>
      <c r="AN12" s="30" t="s">
        <v>36</v>
      </c>
      <c r="AO12" s="48" t="s">
        <v>36</v>
      </c>
      <c r="AP12" s="45">
        <v>0</v>
      </c>
      <c r="AQ12" s="46">
        <f t="shared" si="1"/>
        <v>0</v>
      </c>
      <c r="AR12" s="46">
        <v>0</v>
      </c>
      <c r="AS12" s="134">
        <f t="shared" si="10"/>
        <v>0</v>
      </c>
      <c r="AT12" s="139" t="s">
        <v>128</v>
      </c>
      <c r="AU12" s="6"/>
      <c r="AV12" s="6" cm="2">
        <f t="array" ref="AV12">SUMPRODUCT(COUNTIF(K12:K12,{"X";"Y";"Z";"S"}))+SUMPRODUCT(COUNTIF(Q12:R12,{"X";"Y";"Z";"S"}))+SUMPRODUCT(COUNTIF(X12:Y12,{"X";"Y";"Z";"S"}))+SUMPRODUCT(COUNTIF(AE12:AF12,{"X";"Y";"Z";"S"}))+SUMPRODUCT(COUNTIF(AL12:AM12,{"X";"Y";"Z";"S"}))-5</f>
        <v>1</v>
      </c>
      <c r="AW12" s="6">
        <v>1</v>
      </c>
      <c r="AX12" s="6">
        <f t="shared" si="11"/>
        <v>2</v>
      </c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</row>
    <row r="13" spans="1:226" s="50" customFormat="1" ht="28.35" customHeight="1">
      <c r="A13" s="38">
        <f t="shared" si="2"/>
        <v>14</v>
      </c>
      <c r="B13" s="39">
        <f t="shared" si="3"/>
        <v>2</v>
      </c>
      <c r="C13" s="40">
        <f t="shared" si="4"/>
        <v>0</v>
      </c>
      <c r="D13" s="39">
        <f t="shared" si="5"/>
        <v>5</v>
      </c>
      <c r="E13" s="41">
        <f t="shared" si="6"/>
        <v>1</v>
      </c>
      <c r="F13" s="41">
        <f t="shared" si="7"/>
        <v>5</v>
      </c>
      <c r="G13" s="41">
        <f t="shared" si="8"/>
        <v>4</v>
      </c>
      <c r="H13" s="41">
        <f t="shared" si="9"/>
        <v>0</v>
      </c>
      <c r="I13" s="42">
        <f t="shared" si="0"/>
        <v>31</v>
      </c>
      <c r="J13" s="51" t="s">
        <v>136</v>
      </c>
      <c r="K13" s="245" t="s">
        <v>0</v>
      </c>
      <c r="L13" s="121" t="s">
        <v>36</v>
      </c>
      <c r="M13" s="256" t="s">
        <v>58</v>
      </c>
      <c r="N13" s="238">
        <v>1</v>
      </c>
      <c r="O13" s="238" t="s">
        <v>3</v>
      </c>
      <c r="P13" s="234" t="s">
        <v>1</v>
      </c>
      <c r="Q13" s="239" t="s">
        <v>52</v>
      </c>
      <c r="R13" s="239" t="s">
        <v>0</v>
      </c>
      <c r="S13" s="238" t="s">
        <v>3</v>
      </c>
      <c r="T13" s="30" t="s">
        <v>36</v>
      </c>
      <c r="U13" s="259">
        <v>1</v>
      </c>
      <c r="V13" s="238" t="s">
        <v>52</v>
      </c>
      <c r="W13" s="256" t="s">
        <v>58</v>
      </c>
      <c r="X13" s="259">
        <v>2</v>
      </c>
      <c r="Y13" s="259">
        <v>2</v>
      </c>
      <c r="Z13" s="238" t="s">
        <v>0</v>
      </c>
      <c r="AA13" s="242" t="s">
        <v>3</v>
      </c>
      <c r="AB13" s="238" t="s">
        <v>3</v>
      </c>
      <c r="AC13" s="256" t="s">
        <v>58</v>
      </c>
      <c r="AD13" s="30">
        <v>1</v>
      </c>
      <c r="AE13" s="239" t="s">
        <v>52</v>
      </c>
      <c r="AF13" s="239" t="s">
        <v>0</v>
      </c>
      <c r="AG13" s="30" t="s">
        <v>36</v>
      </c>
      <c r="AH13" s="30" t="s">
        <v>36</v>
      </c>
      <c r="AI13" s="238" t="s">
        <v>3</v>
      </c>
      <c r="AJ13" s="240" t="s">
        <v>52</v>
      </c>
      <c r="AK13" s="256" t="s">
        <v>58</v>
      </c>
      <c r="AL13" s="238" t="s">
        <v>36</v>
      </c>
      <c r="AM13" s="238" t="s">
        <v>36</v>
      </c>
      <c r="AN13" s="238" t="s">
        <v>0</v>
      </c>
      <c r="AO13" s="241">
        <v>1</v>
      </c>
      <c r="AP13" s="45">
        <v>0</v>
      </c>
      <c r="AQ13" s="46">
        <f t="shared" si="1"/>
        <v>0</v>
      </c>
      <c r="AR13" s="46">
        <v>0</v>
      </c>
      <c r="AS13" s="134">
        <f t="shared" si="10"/>
        <v>0</v>
      </c>
      <c r="AT13" s="139" t="s">
        <v>126</v>
      </c>
      <c r="AU13" s="6"/>
      <c r="AV13" s="6" cm="2">
        <f t="array" ref="AV13">SUMPRODUCT(COUNTIF(K13:K13,{"X";"Y";"Z";"S"}))+SUMPRODUCT(COUNTIF(Q13:R13,{"X";"Y";"Z";"S"}))+SUMPRODUCT(COUNTIF(X13:Y13,{"X";"Y";"Z";"S"}))+SUMPRODUCT(COUNTIF(AE13:AF13,{"X";"Y";"Z";"S"}))+SUMPRODUCT(COUNTIF(AL13:AM13,{"X";"Y";"Z";"S"}))-5</f>
        <v>0</v>
      </c>
      <c r="AW13" s="6">
        <v>3</v>
      </c>
      <c r="AX13" s="6">
        <f t="shared" si="11"/>
        <v>3</v>
      </c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</row>
    <row r="14" spans="1:226" s="50" customFormat="1" ht="25.5" customHeight="1">
      <c r="A14" s="38">
        <f t="shared" si="2"/>
        <v>0</v>
      </c>
      <c r="B14" s="39">
        <f t="shared" si="3"/>
        <v>13</v>
      </c>
      <c r="C14" s="40">
        <f t="shared" si="4"/>
        <v>5</v>
      </c>
      <c r="D14" s="39">
        <f t="shared" si="5"/>
        <v>1</v>
      </c>
      <c r="E14" s="41">
        <f t="shared" si="6"/>
        <v>3</v>
      </c>
      <c r="F14" s="41">
        <f t="shared" si="7"/>
        <v>5</v>
      </c>
      <c r="G14" s="41">
        <f t="shared" si="8"/>
        <v>4</v>
      </c>
      <c r="H14" s="41">
        <f t="shared" si="9"/>
        <v>0</v>
      </c>
      <c r="I14" s="42">
        <f t="shared" si="0"/>
        <v>31</v>
      </c>
      <c r="J14" s="151" t="s">
        <v>7</v>
      </c>
      <c r="K14" s="237" t="s">
        <v>0</v>
      </c>
      <c r="L14" s="259">
        <v>2</v>
      </c>
      <c r="M14" s="234" t="s">
        <v>52</v>
      </c>
      <c r="N14" s="259">
        <v>2</v>
      </c>
      <c r="O14" s="259">
        <v>2</v>
      </c>
      <c r="P14" s="234" t="s">
        <v>0</v>
      </c>
      <c r="Q14" s="259" t="s">
        <v>40</v>
      </c>
      <c r="R14" s="259" t="s">
        <v>40</v>
      </c>
      <c r="S14" s="259">
        <v>2</v>
      </c>
      <c r="T14" s="259">
        <v>2</v>
      </c>
      <c r="U14" s="259">
        <v>2</v>
      </c>
      <c r="V14" s="259">
        <v>2</v>
      </c>
      <c r="W14" s="234" t="s">
        <v>0</v>
      </c>
      <c r="X14" s="239" t="s">
        <v>52</v>
      </c>
      <c r="Y14" s="234" t="s">
        <v>1</v>
      </c>
      <c r="Z14" s="234" t="s">
        <v>1</v>
      </c>
      <c r="AA14" s="242" t="s">
        <v>3</v>
      </c>
      <c r="AB14" s="259">
        <v>2</v>
      </c>
      <c r="AC14" s="259">
        <v>2</v>
      </c>
      <c r="AD14" s="238" t="s">
        <v>0</v>
      </c>
      <c r="AE14" s="238">
        <v>3</v>
      </c>
      <c r="AF14" s="238">
        <v>3</v>
      </c>
      <c r="AG14" s="238" t="s">
        <v>52</v>
      </c>
      <c r="AH14" s="238">
        <v>2</v>
      </c>
      <c r="AI14" s="238">
        <v>2</v>
      </c>
      <c r="AJ14" s="259">
        <v>2</v>
      </c>
      <c r="AK14" s="234" t="s">
        <v>0</v>
      </c>
      <c r="AL14" s="239" t="s">
        <v>52</v>
      </c>
      <c r="AM14" s="238">
        <v>3</v>
      </c>
      <c r="AN14" s="234" t="s">
        <v>1</v>
      </c>
      <c r="AO14" s="241">
        <v>2</v>
      </c>
      <c r="AP14" s="45">
        <v>0</v>
      </c>
      <c r="AQ14" s="46">
        <f t="shared" si="1"/>
        <v>0</v>
      </c>
      <c r="AR14" s="46">
        <v>0</v>
      </c>
      <c r="AS14" s="134">
        <f t="shared" si="10"/>
        <v>0</v>
      </c>
      <c r="AT14" s="139" t="s">
        <v>128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</row>
    <row r="15" spans="1:226" s="50" customFormat="1" ht="25.2" customHeight="1">
      <c r="A15" s="38">
        <f t="shared" si="2"/>
        <v>16</v>
      </c>
      <c r="B15" s="39">
        <f t="shared" si="3"/>
        <v>2</v>
      </c>
      <c r="C15" s="40">
        <f t="shared" si="4"/>
        <v>0</v>
      </c>
      <c r="D15" s="39">
        <f t="shared" si="5"/>
        <v>3</v>
      </c>
      <c r="E15" s="41">
        <f t="shared" si="6"/>
        <v>1</v>
      </c>
      <c r="F15" s="41">
        <f t="shared" si="7"/>
        <v>5</v>
      </c>
      <c r="G15" s="41">
        <f t="shared" si="8"/>
        <v>4</v>
      </c>
      <c r="H15" s="41">
        <f t="shared" si="9"/>
        <v>0</v>
      </c>
      <c r="I15" s="42">
        <f t="shared" si="0"/>
        <v>31</v>
      </c>
      <c r="J15" s="47" t="s">
        <v>8</v>
      </c>
      <c r="K15" s="49" t="s">
        <v>36</v>
      </c>
      <c r="L15" s="30" t="s">
        <v>36</v>
      </c>
      <c r="M15" s="238" t="s">
        <v>52</v>
      </c>
      <c r="N15" s="238" t="s">
        <v>52</v>
      </c>
      <c r="O15" s="256" t="s">
        <v>58</v>
      </c>
      <c r="P15" s="121" t="s">
        <v>36</v>
      </c>
      <c r="Q15" s="239" t="s">
        <v>52</v>
      </c>
      <c r="R15" s="239" t="s">
        <v>0</v>
      </c>
      <c r="S15" s="30" t="s">
        <v>36</v>
      </c>
      <c r="T15" s="238">
        <v>1</v>
      </c>
      <c r="U15" s="121" t="s">
        <v>36</v>
      </c>
      <c r="V15" s="256" t="s">
        <v>58</v>
      </c>
      <c r="W15" s="238" t="s">
        <v>3</v>
      </c>
      <c r="X15" s="30" t="s">
        <v>36</v>
      </c>
      <c r="Y15" s="238" t="s">
        <v>0</v>
      </c>
      <c r="Z15" s="238">
        <v>1</v>
      </c>
      <c r="AA15" s="242" t="s">
        <v>3</v>
      </c>
      <c r="AB15" s="30" t="s">
        <v>36</v>
      </c>
      <c r="AC15" s="238">
        <v>1</v>
      </c>
      <c r="AD15" s="256" t="s">
        <v>58</v>
      </c>
      <c r="AE15" s="239" t="s">
        <v>52</v>
      </c>
      <c r="AF15" s="239" t="s">
        <v>0</v>
      </c>
      <c r="AG15" s="238" t="s">
        <v>0</v>
      </c>
      <c r="AH15" s="30">
        <v>1</v>
      </c>
      <c r="AI15" s="30">
        <v>1</v>
      </c>
      <c r="AJ15" s="256" t="s">
        <v>58</v>
      </c>
      <c r="AK15" s="238" t="s">
        <v>3</v>
      </c>
      <c r="AL15" s="238">
        <v>2</v>
      </c>
      <c r="AM15" s="244">
        <v>2</v>
      </c>
      <c r="AN15" s="238" t="s">
        <v>0</v>
      </c>
      <c r="AO15" s="261" t="s">
        <v>1</v>
      </c>
      <c r="AP15" s="45">
        <v>0</v>
      </c>
      <c r="AQ15" s="46">
        <f t="shared" si="1"/>
        <v>0</v>
      </c>
      <c r="AR15" s="46">
        <v>0</v>
      </c>
      <c r="AS15" s="134">
        <f t="shared" si="10"/>
        <v>0</v>
      </c>
      <c r="AT15" s="139" t="s">
        <v>126</v>
      </c>
      <c r="AU15" s="6"/>
      <c r="AV15" s="6" cm="2">
        <f t="array" ref="AV15">SUMPRODUCT(COUNTIF(K15:K15,{"X";"Y";"Z";"S"}))+SUMPRODUCT(COUNTIF(Q15:R15,{"X";"Y";"Z";"S"}))+SUMPRODUCT(COUNTIF(X15:Y15,{"X";"Y";"Z";"S"}))+SUMPRODUCT(COUNTIF(AE15:AF15,{"X";"Y";"Z";"S"}))+SUMPRODUCT(COUNTIF(AL15:AM15,{"X";"Y";"Z";"S"}))-5</f>
        <v>0</v>
      </c>
      <c r="AW15" s="6">
        <v>2</v>
      </c>
      <c r="AX15" s="6">
        <f t="shared" si="11"/>
        <v>2</v>
      </c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1:226" s="50" customFormat="1" ht="25.5" customHeight="1">
      <c r="A16" s="38">
        <f t="shared" si="2"/>
        <v>9</v>
      </c>
      <c r="B16" s="39">
        <f t="shared" si="3"/>
        <v>2</v>
      </c>
      <c r="C16" s="40">
        <f t="shared" si="4"/>
        <v>0</v>
      </c>
      <c r="D16" s="39">
        <f t="shared" si="5"/>
        <v>8</v>
      </c>
      <c r="E16" s="41">
        <f t="shared" si="6"/>
        <v>3</v>
      </c>
      <c r="F16" s="41">
        <f t="shared" si="7"/>
        <v>5</v>
      </c>
      <c r="G16" s="41">
        <f t="shared" si="8"/>
        <v>4</v>
      </c>
      <c r="H16" s="41">
        <f t="shared" si="9"/>
        <v>0</v>
      </c>
      <c r="I16" s="42">
        <f t="shared" si="0"/>
        <v>31</v>
      </c>
      <c r="J16" s="152" t="s">
        <v>93</v>
      </c>
      <c r="K16" s="237" t="s">
        <v>0</v>
      </c>
      <c r="L16" s="246" t="s">
        <v>52</v>
      </c>
      <c r="M16" s="259">
        <v>1</v>
      </c>
      <c r="N16" s="30" t="s">
        <v>36</v>
      </c>
      <c r="O16" s="259">
        <v>1</v>
      </c>
      <c r="P16" s="238">
        <v>1</v>
      </c>
      <c r="Q16" s="238" t="s">
        <v>52</v>
      </c>
      <c r="R16" s="259">
        <v>1</v>
      </c>
      <c r="S16" s="238" t="s">
        <v>36</v>
      </c>
      <c r="T16" s="238" t="s">
        <v>3</v>
      </c>
      <c r="U16" s="234" t="s">
        <v>1</v>
      </c>
      <c r="V16" s="234" t="s">
        <v>1</v>
      </c>
      <c r="W16" s="242" t="s">
        <v>3</v>
      </c>
      <c r="X16" s="239" t="s">
        <v>52</v>
      </c>
      <c r="Y16" s="239" t="s">
        <v>0</v>
      </c>
      <c r="Z16" s="238" t="s">
        <v>3</v>
      </c>
      <c r="AA16" s="238" t="s">
        <v>3</v>
      </c>
      <c r="AB16" s="234" t="s">
        <v>0</v>
      </c>
      <c r="AC16" s="242" t="s">
        <v>3</v>
      </c>
      <c r="AD16" s="242" t="s">
        <v>3</v>
      </c>
      <c r="AE16" s="259">
        <v>2</v>
      </c>
      <c r="AF16" s="259">
        <v>2</v>
      </c>
      <c r="AG16" s="238" t="s">
        <v>0</v>
      </c>
      <c r="AH16" s="256" t="s">
        <v>5</v>
      </c>
      <c r="AI16" s="238" t="s">
        <v>3</v>
      </c>
      <c r="AJ16" s="238" t="s">
        <v>3</v>
      </c>
      <c r="AK16" s="234" t="s">
        <v>1</v>
      </c>
      <c r="AL16" s="239" t="s">
        <v>52</v>
      </c>
      <c r="AM16" s="239" t="s">
        <v>0</v>
      </c>
      <c r="AN16" s="30" t="s">
        <v>36</v>
      </c>
      <c r="AO16" s="257" t="s">
        <v>5</v>
      </c>
      <c r="AP16" s="45">
        <v>0</v>
      </c>
      <c r="AQ16" s="46">
        <f t="shared" si="1"/>
        <v>0</v>
      </c>
      <c r="AR16" s="46">
        <v>0</v>
      </c>
      <c r="AS16" s="134">
        <f t="shared" si="10"/>
        <v>0</v>
      </c>
      <c r="AT16" s="139" t="s">
        <v>128</v>
      </c>
      <c r="AU16" s="6"/>
      <c r="AV16" s="6" cm="2">
        <f t="array" ref="AV16">SUMPRODUCT(COUNTIF(K16:K16,{"X";"Y";"Z";"S"}))+SUMPRODUCT(COUNTIF(Q16:R16,{"X";"Y";"Z";"S"}))+SUMPRODUCT(COUNTIF(X16:Y16,{"X";"Y";"Z";"S"}))+SUMPRODUCT(COUNTIF(AE16:AF16,{"X";"Y";"Z";"S"}))+SUMPRODUCT(COUNTIF(AL16:AM16,{"X";"Y";"Z";"S"}))-5</f>
        <v>1</v>
      </c>
      <c r="AW16" s="6">
        <v>3</v>
      </c>
      <c r="AX16" s="6">
        <f t="shared" si="11"/>
        <v>4</v>
      </c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</row>
    <row r="17" spans="1:226" ht="25.2" customHeight="1">
      <c r="A17" s="54">
        <f>COUNTIF(K17:AO17,1)+COUNTIF(K17:AO17,"早")+COUNTIF(K17:AO17,"M1")+COUNTIF(K17:AO17,"T早")+COUNTIF(K17:AO17,"日")</f>
        <v>7</v>
      </c>
      <c r="B17" s="55">
        <f>COUNTIF(K17:AO17,2)+COUNTIF(K17:AO17,"中")+COUNTIF(K17:AO17,"M2")+COUNTIF(K17:AO17,"T中")+COUNTIF(K17:AO17,"小夜")</f>
        <v>11</v>
      </c>
      <c r="C17" s="56">
        <f>COUNTIF(K17:AO17,3)+COUNTIF(K17:AO17,"晚")+COUNTIF(K17:AO17,"大夜")</f>
        <v>1</v>
      </c>
      <c r="D17" s="55">
        <f>COUNTIF(K17:AO17,"N")+COUNTIF(K17:AO17,"N8")</f>
        <v>2</v>
      </c>
      <c r="E17" s="17">
        <f>COUNTIF(K17:AO17,"S")</f>
        <v>1</v>
      </c>
      <c r="F17" s="17">
        <f>COUNTIF(K17:AO17,"X")</f>
        <v>5</v>
      </c>
      <c r="G17" s="17">
        <f>COUNTIF(K17:AO17,"Y")</f>
        <v>4</v>
      </c>
      <c r="H17" s="17">
        <f>COUNTIF(K17:AO17,"Z")</f>
        <v>0</v>
      </c>
      <c r="I17" s="57">
        <f>SUM(A17:H17)</f>
        <v>31</v>
      </c>
      <c r="J17" s="47" t="s">
        <v>9</v>
      </c>
      <c r="K17" s="258">
        <v>3</v>
      </c>
      <c r="L17" s="246" t="s">
        <v>0</v>
      </c>
      <c r="M17" s="259">
        <v>2</v>
      </c>
      <c r="N17" s="238">
        <v>2</v>
      </c>
      <c r="O17" s="238">
        <v>2</v>
      </c>
      <c r="P17" s="259">
        <v>2</v>
      </c>
      <c r="Q17" s="239" t="s">
        <v>52</v>
      </c>
      <c r="R17" s="239" t="s">
        <v>0</v>
      </c>
      <c r="S17" s="238" t="s">
        <v>0</v>
      </c>
      <c r="T17" s="238" t="s">
        <v>3</v>
      </c>
      <c r="U17" s="238">
        <v>1</v>
      </c>
      <c r="V17" s="238" t="s">
        <v>3</v>
      </c>
      <c r="W17" s="30" t="s">
        <v>36</v>
      </c>
      <c r="X17" s="238" t="s">
        <v>52</v>
      </c>
      <c r="Y17" s="121" t="s">
        <v>36</v>
      </c>
      <c r="Z17" s="259">
        <v>2</v>
      </c>
      <c r="AA17" s="259">
        <v>2</v>
      </c>
      <c r="AB17" s="238">
        <v>2</v>
      </c>
      <c r="AC17" s="238">
        <v>2</v>
      </c>
      <c r="AD17" s="259">
        <v>2</v>
      </c>
      <c r="AE17" s="239" t="s">
        <v>52</v>
      </c>
      <c r="AF17" s="239" t="s">
        <v>0</v>
      </c>
      <c r="AG17" s="234" t="s">
        <v>1</v>
      </c>
      <c r="AH17" s="238">
        <v>1</v>
      </c>
      <c r="AI17" s="238">
        <v>1</v>
      </c>
      <c r="AJ17" s="238" t="s">
        <v>36</v>
      </c>
      <c r="AK17" s="238" t="s">
        <v>36</v>
      </c>
      <c r="AL17" s="238" t="s">
        <v>52</v>
      </c>
      <c r="AM17" s="238" t="s">
        <v>0</v>
      </c>
      <c r="AN17" s="259">
        <v>2</v>
      </c>
      <c r="AO17" s="260">
        <v>2</v>
      </c>
      <c r="AP17" s="45">
        <v>0</v>
      </c>
      <c r="AQ17" s="46">
        <f t="shared" si="1"/>
        <v>0</v>
      </c>
      <c r="AR17" s="46">
        <v>0</v>
      </c>
      <c r="AS17" s="134">
        <f>SUM(AP17:AR17)</f>
        <v>0</v>
      </c>
      <c r="AT17" s="185" t="s">
        <v>126</v>
      </c>
      <c r="AV17" s="6" cm="2">
        <f t="array" ref="AV17">SUMPRODUCT(COUNTIF(K17:K17,{"X";"Y";"Z";"S"}))+SUMPRODUCT(COUNTIF(Q17:R17,{"X";"Y";"Z";"S"}))+SUMPRODUCT(COUNTIF(X17:Y17,{"X";"Y";"Z";"S"}))+SUMPRODUCT(COUNTIF(AE17:AF17,{"X";"Y";"Z";"S"}))+SUMPRODUCT(COUNTIF(AL17:AM17,{"X";"Y";"Z";"S"}))-5</f>
        <v>2</v>
      </c>
      <c r="AW17" s="6">
        <v>1</v>
      </c>
      <c r="AX17" s="6">
        <f t="shared" si="11"/>
        <v>3</v>
      </c>
    </row>
    <row r="18" spans="1:226" ht="25.5" customHeight="1" thickBot="1">
      <c r="A18" s="38">
        <f t="shared" ref="A18" si="12">COUNTIF(K18:AO18,1)+COUNTIF(K18:AO18,"早")+COUNTIF(K18:AO18,"M1")+COUNTIF(K18:AO18,"T早")+COUNTIF(K18:AO18,"日")</f>
        <v>19</v>
      </c>
      <c r="B18" s="39">
        <f t="shared" ref="B18" si="13">COUNTIF(K18:AO18,2)+COUNTIF(K18:AO18,"中")+COUNTIF(K18:AO18,"M2")+COUNTIF(K18:AO18,"T中")+COUNTIF(K18:AO18,"小夜")</f>
        <v>2</v>
      </c>
      <c r="C18" s="40">
        <f t="shared" ref="C18" si="14">COUNTIF(K18:AO18,3)+COUNTIF(K18:AO18,"晚")+COUNTIF(K18:AO18,"大夜")</f>
        <v>0</v>
      </c>
      <c r="D18" s="39">
        <f t="shared" ref="D18" si="15">COUNTIF(K18:AO18,"N")+COUNTIF(K18:AO18,"N8")</f>
        <v>1</v>
      </c>
      <c r="E18" s="41">
        <f t="shared" ref="E18" si="16">COUNTIF(K18:AO18,"S")</f>
        <v>0</v>
      </c>
      <c r="F18" s="41">
        <f t="shared" ref="F18" si="17">COUNTIF(K18:AO18,"X")</f>
        <v>5</v>
      </c>
      <c r="G18" s="41">
        <f t="shared" ref="G18" si="18">COUNTIF(K18:AO18,"Y")</f>
        <v>4</v>
      </c>
      <c r="H18" s="41">
        <f t="shared" ref="H18" si="19">COUNTIF(K18:AO18,"Z")</f>
        <v>0</v>
      </c>
      <c r="I18" s="42">
        <f t="shared" ref="I18" si="20">SUM(A18:H18)</f>
        <v>31</v>
      </c>
      <c r="J18" s="268" t="s">
        <v>137</v>
      </c>
      <c r="K18" s="262" t="s">
        <v>0</v>
      </c>
      <c r="L18" s="263">
        <v>1</v>
      </c>
      <c r="M18" s="248">
        <v>1</v>
      </c>
      <c r="N18" s="263">
        <v>1</v>
      </c>
      <c r="O18" s="248" t="s">
        <v>52</v>
      </c>
      <c r="P18" s="263">
        <v>1</v>
      </c>
      <c r="Q18" s="60" t="s">
        <v>36</v>
      </c>
      <c r="R18" s="60" t="s">
        <v>36</v>
      </c>
      <c r="S18" s="199" t="s">
        <v>36</v>
      </c>
      <c r="T18" s="248" t="s">
        <v>0</v>
      </c>
      <c r="U18" s="248" t="s">
        <v>52</v>
      </c>
      <c r="V18" s="248" t="s">
        <v>3</v>
      </c>
      <c r="W18" s="263" t="s">
        <v>38</v>
      </c>
      <c r="X18" s="249" t="s">
        <v>52</v>
      </c>
      <c r="Y18" s="249" t="s">
        <v>0</v>
      </c>
      <c r="Z18" s="60" t="s">
        <v>36</v>
      </c>
      <c r="AA18" s="60" t="s">
        <v>36</v>
      </c>
      <c r="AB18" s="60" t="s">
        <v>36</v>
      </c>
      <c r="AC18" s="60" t="s">
        <v>36</v>
      </c>
      <c r="AD18" s="248" t="s">
        <v>36</v>
      </c>
      <c r="AE18" s="248" t="s">
        <v>0</v>
      </c>
      <c r="AF18" s="263">
        <v>1</v>
      </c>
      <c r="AG18" s="238">
        <v>1</v>
      </c>
      <c r="AH18" s="60" t="s">
        <v>36</v>
      </c>
      <c r="AI18" s="60" t="s">
        <v>36</v>
      </c>
      <c r="AJ18" s="60" t="s">
        <v>36</v>
      </c>
      <c r="AK18" s="264">
        <v>2</v>
      </c>
      <c r="AL18" s="249" t="s">
        <v>52</v>
      </c>
      <c r="AM18" s="249" t="s">
        <v>0</v>
      </c>
      <c r="AN18" s="30" t="s">
        <v>36</v>
      </c>
      <c r="AO18" s="252">
        <v>1</v>
      </c>
      <c r="AP18" s="73">
        <v>0</v>
      </c>
      <c r="AQ18" s="74">
        <f t="shared" si="1"/>
        <v>0</v>
      </c>
      <c r="AR18" s="74">
        <v>0</v>
      </c>
      <c r="AS18" s="127">
        <f t="shared" ref="AS18" si="21">SUM(AP18:AR18)</f>
        <v>0</v>
      </c>
      <c r="AT18" s="139" t="s">
        <v>128</v>
      </c>
      <c r="AV18" s="6" cm="2">
        <f t="array" ref="AV18">SUMPRODUCT(COUNTIF(K18:K18,{"X";"Y";"Z";"S"}))+SUMPRODUCT(COUNTIF(Q18:R18,{"X";"Y";"Z";"S"}))+SUMPRODUCT(COUNTIF(X18:Y18,{"X";"Y";"Z";"S"}))+SUMPRODUCT(COUNTIF(AE18:AF18,{"X";"Y";"Z";"S"}))+SUMPRODUCT(COUNTIF(AL18:AM18,{"X";"Y";"Z";"S"}))-5</f>
        <v>1</v>
      </c>
      <c r="AW18" s="6">
        <v>2</v>
      </c>
      <c r="AX18" s="6">
        <f t="shared" si="11"/>
        <v>3</v>
      </c>
    </row>
    <row r="19" spans="1:226" s="50" customFormat="1" ht="25.5" customHeight="1">
      <c r="A19" s="23">
        <f t="shared" si="2"/>
        <v>2</v>
      </c>
      <c r="B19" s="24">
        <f t="shared" si="3"/>
        <v>9</v>
      </c>
      <c r="C19" s="25">
        <f t="shared" si="4"/>
        <v>4</v>
      </c>
      <c r="D19" s="24">
        <f t="shared" si="5"/>
        <v>0</v>
      </c>
      <c r="E19" s="26">
        <f t="shared" si="6"/>
        <v>7</v>
      </c>
      <c r="F19" s="26">
        <f t="shared" si="7"/>
        <v>5</v>
      </c>
      <c r="G19" s="26">
        <f t="shared" si="8"/>
        <v>4</v>
      </c>
      <c r="H19" s="26">
        <f t="shared" si="9"/>
        <v>0</v>
      </c>
      <c r="I19" s="176">
        <f t="shared" si="0"/>
        <v>31</v>
      </c>
      <c r="J19" s="189" t="s">
        <v>10</v>
      </c>
      <c r="K19" s="269">
        <v>3</v>
      </c>
      <c r="L19" s="270">
        <v>3</v>
      </c>
      <c r="M19" s="271" t="s">
        <v>1</v>
      </c>
      <c r="N19" s="271" t="s">
        <v>1</v>
      </c>
      <c r="O19" s="271" t="s">
        <v>1</v>
      </c>
      <c r="P19" s="271" t="s">
        <v>52</v>
      </c>
      <c r="Q19" s="270">
        <v>1</v>
      </c>
      <c r="R19" s="270">
        <v>1</v>
      </c>
      <c r="S19" s="270" t="s">
        <v>0</v>
      </c>
      <c r="T19" s="270">
        <v>3</v>
      </c>
      <c r="U19" s="270">
        <v>3</v>
      </c>
      <c r="V19" s="271" t="s">
        <v>52</v>
      </c>
      <c r="W19" s="271" t="s">
        <v>1</v>
      </c>
      <c r="X19" s="271" t="s">
        <v>1</v>
      </c>
      <c r="Y19" s="272" t="s">
        <v>0</v>
      </c>
      <c r="Z19" s="271" t="s">
        <v>1</v>
      </c>
      <c r="AA19" s="271" t="s">
        <v>1</v>
      </c>
      <c r="AB19" s="271" t="s">
        <v>0</v>
      </c>
      <c r="AC19" s="270" t="s">
        <v>52</v>
      </c>
      <c r="AD19" s="270">
        <v>2</v>
      </c>
      <c r="AE19" s="270">
        <v>2</v>
      </c>
      <c r="AF19" s="270">
        <v>2</v>
      </c>
      <c r="AG19" s="270">
        <v>2</v>
      </c>
      <c r="AH19" s="270" t="s">
        <v>0</v>
      </c>
      <c r="AI19" s="270">
        <v>2</v>
      </c>
      <c r="AJ19" s="273">
        <v>2</v>
      </c>
      <c r="AK19" s="273">
        <v>2</v>
      </c>
      <c r="AL19" s="270">
        <v>2</v>
      </c>
      <c r="AM19" s="270">
        <v>2</v>
      </c>
      <c r="AN19" s="273" t="s">
        <v>52</v>
      </c>
      <c r="AO19" s="274" t="s">
        <v>0</v>
      </c>
      <c r="AP19" s="166">
        <v>0</v>
      </c>
      <c r="AQ19" s="167">
        <f t="shared" si="1"/>
        <v>0</v>
      </c>
      <c r="AR19" s="167">
        <v>0</v>
      </c>
      <c r="AS19" s="168">
        <f t="shared" si="10"/>
        <v>0</v>
      </c>
      <c r="AT19" s="138" t="s">
        <v>128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</row>
    <row r="20" spans="1:226" s="50" customFormat="1" ht="25.5" customHeight="1">
      <c r="A20" s="38">
        <f t="shared" si="2"/>
        <v>4</v>
      </c>
      <c r="B20" s="39">
        <f t="shared" si="3"/>
        <v>12</v>
      </c>
      <c r="C20" s="40">
        <f t="shared" si="4"/>
        <v>5</v>
      </c>
      <c r="D20" s="39">
        <f t="shared" si="5"/>
        <v>0</v>
      </c>
      <c r="E20" s="41">
        <f t="shared" si="6"/>
        <v>1</v>
      </c>
      <c r="F20" s="41">
        <f t="shared" si="7"/>
        <v>5</v>
      </c>
      <c r="G20" s="41">
        <f t="shared" si="8"/>
        <v>4</v>
      </c>
      <c r="H20" s="41">
        <f t="shared" si="9"/>
        <v>0</v>
      </c>
      <c r="I20" s="177">
        <f t="shared" si="0"/>
        <v>31</v>
      </c>
      <c r="J20" s="190" t="s">
        <v>11</v>
      </c>
      <c r="K20" s="237" t="s">
        <v>0</v>
      </c>
      <c r="L20" s="238" t="s">
        <v>38</v>
      </c>
      <c r="M20" s="238" t="s">
        <v>38</v>
      </c>
      <c r="N20" s="238" t="s">
        <v>38</v>
      </c>
      <c r="O20" s="238" t="s">
        <v>38</v>
      </c>
      <c r="P20" s="238" t="s">
        <v>52</v>
      </c>
      <c r="Q20" s="30" t="s">
        <v>36</v>
      </c>
      <c r="R20" s="30" t="s">
        <v>36</v>
      </c>
      <c r="S20" s="234" t="s">
        <v>1</v>
      </c>
      <c r="T20" s="234" t="s">
        <v>0</v>
      </c>
      <c r="U20" s="238" t="s">
        <v>40</v>
      </c>
      <c r="V20" s="238" t="s">
        <v>40</v>
      </c>
      <c r="W20" s="238" t="s">
        <v>40</v>
      </c>
      <c r="X20" s="239" t="s">
        <v>52</v>
      </c>
      <c r="Y20" s="239" t="s">
        <v>0</v>
      </c>
      <c r="Z20" s="238" t="s">
        <v>38</v>
      </c>
      <c r="AA20" s="238" t="s">
        <v>38</v>
      </c>
      <c r="AB20" s="238" t="s">
        <v>38</v>
      </c>
      <c r="AC20" s="238" t="s">
        <v>38</v>
      </c>
      <c r="AD20" s="238" t="s">
        <v>52</v>
      </c>
      <c r="AE20" s="30" t="s">
        <v>36</v>
      </c>
      <c r="AF20" s="30" t="s">
        <v>36</v>
      </c>
      <c r="AG20" s="238">
        <v>2</v>
      </c>
      <c r="AH20" s="238">
        <v>2</v>
      </c>
      <c r="AI20" s="238" t="s">
        <v>0</v>
      </c>
      <c r="AJ20" s="238" t="s">
        <v>38</v>
      </c>
      <c r="AK20" s="238" t="s">
        <v>38</v>
      </c>
      <c r="AL20" s="239" t="s">
        <v>52</v>
      </c>
      <c r="AM20" s="239" t="s">
        <v>0</v>
      </c>
      <c r="AN20" s="238" t="s">
        <v>40</v>
      </c>
      <c r="AO20" s="241" t="s">
        <v>40</v>
      </c>
      <c r="AP20" s="45">
        <v>0</v>
      </c>
      <c r="AQ20" s="46">
        <f t="shared" si="1"/>
        <v>0</v>
      </c>
      <c r="AR20" s="46">
        <v>0</v>
      </c>
      <c r="AS20" s="134">
        <f t="shared" si="10"/>
        <v>0</v>
      </c>
      <c r="AT20" s="139" t="s">
        <v>128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</row>
    <row r="21" spans="1:226" ht="25.5" customHeight="1">
      <c r="A21" s="38">
        <f>COUNTIF(K21:AO21,1)+COUNTIF(K21:AO21,"早")+COUNTIF(K21:AO21,"M1")+COUNTIF(K21:AO21,"T早")+COUNTIF(K21:AO21,"日")</f>
        <v>7</v>
      </c>
      <c r="B21" s="39">
        <f>COUNTIF(K21:AO21,2)+COUNTIF(K21:AO21,"中")+COUNTIF(K21:AO21,"M2")+COUNTIF(K21:AO21,"T中")+COUNTIF(K21:AO21,"小夜")</f>
        <v>7</v>
      </c>
      <c r="C21" s="40">
        <f>COUNTIF(K21:AO21,3)+COUNTIF(K21:AO21,"晚")+COUNTIF(K21:AO21,"大夜")</f>
        <v>8</v>
      </c>
      <c r="D21" s="39">
        <f>COUNTIF(K21:AO21,"N")+COUNTIF(K21:AO21,"N8")</f>
        <v>0</v>
      </c>
      <c r="E21" s="41">
        <f>COUNTIF(K21:AO21,"S")</f>
        <v>0</v>
      </c>
      <c r="F21" s="41">
        <f>COUNTIF(K21:AO21,"X")</f>
        <v>5</v>
      </c>
      <c r="G21" s="41">
        <f>COUNTIF(K21:AO21,"Y")</f>
        <v>4</v>
      </c>
      <c r="H21" s="41">
        <f>COUNTIF(K21:AO21,"Z")</f>
        <v>0</v>
      </c>
      <c r="I21" s="177">
        <f t="shared" si="0"/>
        <v>31</v>
      </c>
      <c r="J21" s="192" t="s">
        <v>12</v>
      </c>
      <c r="K21" s="245">
        <v>1</v>
      </c>
      <c r="L21" s="240" t="s">
        <v>0</v>
      </c>
      <c r="M21" s="238">
        <v>2</v>
      </c>
      <c r="N21" s="238" t="s">
        <v>38</v>
      </c>
      <c r="O21" s="238" t="s">
        <v>38</v>
      </c>
      <c r="P21" s="238" t="s">
        <v>38</v>
      </c>
      <c r="Q21" s="239" t="s">
        <v>52</v>
      </c>
      <c r="R21" s="239" t="s">
        <v>0</v>
      </c>
      <c r="S21" s="238" t="s">
        <v>40</v>
      </c>
      <c r="T21" s="238" t="s">
        <v>40</v>
      </c>
      <c r="U21" s="238" t="s">
        <v>40</v>
      </c>
      <c r="V21" s="238" t="s">
        <v>40</v>
      </c>
      <c r="W21" s="238" t="s">
        <v>52</v>
      </c>
      <c r="X21" s="30" t="s">
        <v>36</v>
      </c>
      <c r="Y21" s="30" t="s">
        <v>36</v>
      </c>
      <c r="Z21" s="30" t="s">
        <v>36</v>
      </c>
      <c r="AA21" s="30" t="s">
        <v>36</v>
      </c>
      <c r="AB21" s="238" t="s">
        <v>0</v>
      </c>
      <c r="AC21" s="238" t="s">
        <v>40</v>
      </c>
      <c r="AD21" s="238" t="s">
        <v>40</v>
      </c>
      <c r="AE21" s="239" t="s">
        <v>52</v>
      </c>
      <c r="AF21" s="239" t="s">
        <v>0</v>
      </c>
      <c r="AG21" s="238" t="s">
        <v>38</v>
      </c>
      <c r="AH21" s="238" t="s">
        <v>38</v>
      </c>
      <c r="AI21" s="238" t="s">
        <v>38</v>
      </c>
      <c r="AJ21" s="238" t="s">
        <v>52</v>
      </c>
      <c r="AK21" s="238">
        <v>1</v>
      </c>
      <c r="AL21" s="238">
        <v>1</v>
      </c>
      <c r="AM21" s="238" t="s">
        <v>0</v>
      </c>
      <c r="AN21" s="238">
        <v>3</v>
      </c>
      <c r="AO21" s="241">
        <v>3</v>
      </c>
      <c r="AP21" s="45">
        <v>0</v>
      </c>
      <c r="AQ21" s="46">
        <f t="shared" si="1"/>
        <v>0</v>
      </c>
      <c r="AR21" s="46">
        <v>0</v>
      </c>
      <c r="AS21" s="134">
        <f t="shared" si="10"/>
        <v>0</v>
      </c>
      <c r="AT21" s="139" t="s">
        <v>126</v>
      </c>
    </row>
    <row r="22" spans="1:226" ht="25.5" customHeight="1">
      <c r="A22" s="38">
        <f t="shared" si="2"/>
        <v>2</v>
      </c>
      <c r="B22" s="39">
        <f t="shared" si="3"/>
        <v>0</v>
      </c>
      <c r="C22" s="40">
        <f t="shared" si="4"/>
        <v>20</v>
      </c>
      <c r="D22" s="39">
        <f t="shared" si="5"/>
        <v>0</v>
      </c>
      <c r="E22" s="41">
        <f t="shared" si="6"/>
        <v>0</v>
      </c>
      <c r="F22" s="41">
        <f t="shared" si="7"/>
        <v>5</v>
      </c>
      <c r="G22" s="41">
        <f t="shared" si="8"/>
        <v>4</v>
      </c>
      <c r="H22" s="41">
        <f t="shared" si="9"/>
        <v>0</v>
      </c>
      <c r="I22" s="177">
        <f t="shared" si="0"/>
        <v>31</v>
      </c>
      <c r="J22" s="190" t="s">
        <v>13</v>
      </c>
      <c r="K22" s="237" t="s">
        <v>52</v>
      </c>
      <c r="L22" s="238" t="s">
        <v>40</v>
      </c>
      <c r="M22" s="238" t="s">
        <v>40</v>
      </c>
      <c r="N22" s="238" t="s">
        <v>40</v>
      </c>
      <c r="O22" s="238" t="s">
        <v>40</v>
      </c>
      <c r="P22" s="238" t="s">
        <v>40</v>
      </c>
      <c r="Q22" s="238">
        <v>3</v>
      </c>
      <c r="R22" s="238" t="s">
        <v>0</v>
      </c>
      <c r="S22" s="238" t="s">
        <v>40</v>
      </c>
      <c r="T22" s="238" t="s">
        <v>40</v>
      </c>
      <c r="U22" s="238" t="s">
        <v>40</v>
      </c>
      <c r="V22" s="238" t="s">
        <v>40</v>
      </c>
      <c r="W22" s="238" t="s">
        <v>40</v>
      </c>
      <c r="X22" s="239" t="s">
        <v>52</v>
      </c>
      <c r="Y22" s="239" t="s">
        <v>0</v>
      </c>
      <c r="Z22" s="238" t="s">
        <v>40</v>
      </c>
      <c r="AA22" s="238" t="s">
        <v>40</v>
      </c>
      <c r="AB22" s="238" t="s">
        <v>40</v>
      </c>
      <c r="AC22" s="238" t="s">
        <v>40</v>
      </c>
      <c r="AD22" s="238" t="s">
        <v>0</v>
      </c>
      <c r="AE22" s="238">
        <v>1</v>
      </c>
      <c r="AF22" s="238">
        <v>1</v>
      </c>
      <c r="AG22" s="238" t="s">
        <v>0</v>
      </c>
      <c r="AH22" s="238" t="s">
        <v>52</v>
      </c>
      <c r="AI22" s="238" t="s">
        <v>40</v>
      </c>
      <c r="AJ22" s="238" t="s">
        <v>40</v>
      </c>
      <c r="AK22" s="238" t="s">
        <v>40</v>
      </c>
      <c r="AL22" s="239" t="s">
        <v>52</v>
      </c>
      <c r="AM22" s="239" t="s">
        <v>0</v>
      </c>
      <c r="AN22" s="238" t="s">
        <v>40</v>
      </c>
      <c r="AO22" s="241" t="s">
        <v>40</v>
      </c>
      <c r="AP22" s="45">
        <v>0</v>
      </c>
      <c r="AQ22" s="46">
        <f t="shared" si="1"/>
        <v>0</v>
      </c>
      <c r="AR22" s="46">
        <v>0</v>
      </c>
      <c r="AS22" s="134">
        <f t="shared" si="10"/>
        <v>0</v>
      </c>
      <c r="AT22" s="139" t="s">
        <v>128</v>
      </c>
    </row>
    <row r="23" spans="1:226" s="50" customFormat="1" ht="25.5" customHeight="1">
      <c r="A23" s="38">
        <f t="shared" si="2"/>
        <v>5</v>
      </c>
      <c r="B23" s="39">
        <f t="shared" si="3"/>
        <v>6</v>
      </c>
      <c r="C23" s="40">
        <f t="shared" si="4"/>
        <v>7</v>
      </c>
      <c r="D23" s="39">
        <f t="shared" si="5"/>
        <v>0</v>
      </c>
      <c r="E23" s="41">
        <f t="shared" si="6"/>
        <v>4</v>
      </c>
      <c r="F23" s="41">
        <f t="shared" si="7"/>
        <v>5</v>
      </c>
      <c r="G23" s="41">
        <f t="shared" si="8"/>
        <v>4</v>
      </c>
      <c r="H23" s="41">
        <f t="shared" si="9"/>
        <v>0</v>
      </c>
      <c r="I23" s="177">
        <f t="shared" si="0"/>
        <v>31</v>
      </c>
      <c r="J23" s="193" t="s">
        <v>138</v>
      </c>
      <c r="K23" s="245" t="s">
        <v>38</v>
      </c>
      <c r="L23" s="238" t="s">
        <v>38</v>
      </c>
      <c r="M23" s="238" t="s">
        <v>38</v>
      </c>
      <c r="N23" s="238" t="s">
        <v>52</v>
      </c>
      <c r="O23" s="30" t="s">
        <v>36</v>
      </c>
      <c r="P23" s="30" t="s">
        <v>36</v>
      </c>
      <c r="Q23" s="30" t="s">
        <v>36</v>
      </c>
      <c r="R23" s="30" t="s">
        <v>36</v>
      </c>
      <c r="S23" s="238" t="s">
        <v>0</v>
      </c>
      <c r="T23" s="238" t="s">
        <v>52</v>
      </c>
      <c r="U23" s="30" t="s">
        <v>36</v>
      </c>
      <c r="V23" s="238">
        <v>2</v>
      </c>
      <c r="W23" s="238" t="s">
        <v>0</v>
      </c>
      <c r="X23" s="238">
        <v>3</v>
      </c>
      <c r="Y23" s="238">
        <v>3</v>
      </c>
      <c r="Z23" s="238" t="s">
        <v>40</v>
      </c>
      <c r="AA23" s="238" t="s">
        <v>40</v>
      </c>
      <c r="AB23" s="238" t="s">
        <v>40</v>
      </c>
      <c r="AC23" s="234" t="s">
        <v>52</v>
      </c>
      <c r="AD23" s="234" t="s">
        <v>1</v>
      </c>
      <c r="AE23" s="239" t="s">
        <v>0</v>
      </c>
      <c r="AF23" s="234" t="s">
        <v>1</v>
      </c>
      <c r="AG23" s="234" t="s">
        <v>1</v>
      </c>
      <c r="AH23" s="234" t="s">
        <v>1</v>
      </c>
      <c r="AI23" s="239" t="s">
        <v>0</v>
      </c>
      <c r="AJ23" s="238" t="s">
        <v>40</v>
      </c>
      <c r="AK23" s="238" t="s">
        <v>40</v>
      </c>
      <c r="AL23" s="239" t="s">
        <v>52</v>
      </c>
      <c r="AM23" s="239" t="s">
        <v>0</v>
      </c>
      <c r="AN23" s="238" t="s">
        <v>38</v>
      </c>
      <c r="AO23" s="241" t="s">
        <v>38</v>
      </c>
      <c r="AP23" s="45">
        <v>0</v>
      </c>
      <c r="AQ23" s="46">
        <f t="shared" si="1"/>
        <v>0</v>
      </c>
      <c r="AR23" s="46">
        <v>0</v>
      </c>
      <c r="AS23" s="134">
        <f t="shared" si="10"/>
        <v>0</v>
      </c>
      <c r="AT23" s="139" t="s">
        <v>126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</row>
    <row r="24" spans="1:226" s="50" customFormat="1" ht="25.5" customHeight="1">
      <c r="A24" s="38">
        <f t="shared" si="2"/>
        <v>1</v>
      </c>
      <c r="B24" s="39">
        <f t="shared" si="3"/>
        <v>9</v>
      </c>
      <c r="C24" s="40">
        <f t="shared" si="4"/>
        <v>0</v>
      </c>
      <c r="D24" s="39">
        <f t="shared" si="5"/>
        <v>11</v>
      </c>
      <c r="E24" s="41">
        <f t="shared" si="6"/>
        <v>1</v>
      </c>
      <c r="F24" s="41">
        <f t="shared" si="7"/>
        <v>5</v>
      </c>
      <c r="G24" s="41">
        <f t="shared" si="8"/>
        <v>4</v>
      </c>
      <c r="H24" s="41">
        <f t="shared" si="9"/>
        <v>0</v>
      </c>
      <c r="I24" s="177">
        <f t="shared" si="0"/>
        <v>31</v>
      </c>
      <c r="J24" s="194" t="s">
        <v>14</v>
      </c>
      <c r="K24" s="237" t="s">
        <v>0</v>
      </c>
      <c r="L24" s="53" t="s">
        <v>3</v>
      </c>
      <c r="M24" s="53" t="s">
        <v>3</v>
      </c>
      <c r="N24" s="53" t="s">
        <v>3</v>
      </c>
      <c r="O24" s="238" t="s">
        <v>52</v>
      </c>
      <c r="P24" s="238">
        <v>2</v>
      </c>
      <c r="Q24" s="238">
        <v>2</v>
      </c>
      <c r="R24" s="238">
        <v>2</v>
      </c>
      <c r="S24" s="238" t="s">
        <v>0</v>
      </c>
      <c r="T24" s="53" t="s">
        <v>3</v>
      </c>
      <c r="U24" s="239" t="s">
        <v>0</v>
      </c>
      <c r="V24" s="53" t="s">
        <v>3</v>
      </c>
      <c r="W24" s="238">
        <v>2</v>
      </c>
      <c r="X24" s="239" t="s">
        <v>52</v>
      </c>
      <c r="Y24" s="238">
        <v>1</v>
      </c>
      <c r="Z24" s="234" t="s">
        <v>1</v>
      </c>
      <c r="AA24" s="242" t="s">
        <v>3</v>
      </c>
      <c r="AB24" s="53" t="s">
        <v>3</v>
      </c>
      <c r="AC24" s="238" t="s">
        <v>0</v>
      </c>
      <c r="AD24" s="238" t="s">
        <v>38</v>
      </c>
      <c r="AE24" s="238" t="s">
        <v>38</v>
      </c>
      <c r="AF24" s="238" t="s">
        <v>38</v>
      </c>
      <c r="AG24" s="238" t="s">
        <v>52</v>
      </c>
      <c r="AH24" s="53" t="s">
        <v>3</v>
      </c>
      <c r="AI24" s="53" t="s">
        <v>3</v>
      </c>
      <c r="AJ24" s="240">
        <v>2</v>
      </c>
      <c r="AK24" s="240">
        <v>2</v>
      </c>
      <c r="AL24" s="239" t="s">
        <v>52</v>
      </c>
      <c r="AM24" s="239" t="s">
        <v>0</v>
      </c>
      <c r="AN24" s="53" t="s">
        <v>3</v>
      </c>
      <c r="AO24" s="265" t="s">
        <v>3</v>
      </c>
      <c r="AP24" s="45">
        <v>0</v>
      </c>
      <c r="AQ24" s="46">
        <f t="shared" si="1"/>
        <v>0</v>
      </c>
      <c r="AR24" s="46">
        <v>0</v>
      </c>
      <c r="AS24" s="134">
        <f t="shared" si="10"/>
        <v>0</v>
      </c>
      <c r="AT24" s="139" t="s">
        <v>128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</row>
    <row r="25" spans="1:226" s="50" customFormat="1" ht="25.5" customHeight="1">
      <c r="A25" s="38">
        <f t="shared" si="2"/>
        <v>9</v>
      </c>
      <c r="B25" s="39">
        <f t="shared" si="3"/>
        <v>0</v>
      </c>
      <c r="C25" s="40">
        <f t="shared" si="4"/>
        <v>0</v>
      </c>
      <c r="D25" s="39">
        <f t="shared" si="5"/>
        <v>13</v>
      </c>
      <c r="E25" s="41">
        <f t="shared" si="6"/>
        <v>0</v>
      </c>
      <c r="F25" s="41">
        <f t="shared" si="7"/>
        <v>5</v>
      </c>
      <c r="G25" s="41">
        <f t="shared" si="8"/>
        <v>4</v>
      </c>
      <c r="H25" s="41">
        <f t="shared" si="9"/>
        <v>0</v>
      </c>
      <c r="I25" s="177">
        <f t="shared" si="0"/>
        <v>31</v>
      </c>
      <c r="J25" s="194" t="s">
        <v>15</v>
      </c>
      <c r="K25" s="237" t="s">
        <v>0</v>
      </c>
      <c r="L25" s="238" t="s">
        <v>3</v>
      </c>
      <c r="M25" s="238">
        <v>1</v>
      </c>
      <c r="N25" s="238">
        <v>1</v>
      </c>
      <c r="O25" s="238">
        <v>1</v>
      </c>
      <c r="P25" s="238" t="s">
        <v>3</v>
      </c>
      <c r="Q25" s="239" t="s">
        <v>52</v>
      </c>
      <c r="R25" s="239" t="s">
        <v>0</v>
      </c>
      <c r="S25" s="238" t="s">
        <v>3</v>
      </c>
      <c r="T25" s="238" t="s">
        <v>3</v>
      </c>
      <c r="U25" s="238">
        <v>1</v>
      </c>
      <c r="V25" s="238" t="s">
        <v>3</v>
      </c>
      <c r="W25" s="238" t="s">
        <v>3</v>
      </c>
      <c r="X25" s="239" t="s">
        <v>52</v>
      </c>
      <c r="Y25" s="239" t="s">
        <v>0</v>
      </c>
      <c r="Z25" s="238" t="s">
        <v>3</v>
      </c>
      <c r="AA25" s="238" t="s">
        <v>3</v>
      </c>
      <c r="AB25" s="238">
        <v>1</v>
      </c>
      <c r="AC25" s="238" t="s">
        <v>3</v>
      </c>
      <c r="AD25" s="242" t="s">
        <v>3</v>
      </c>
      <c r="AE25" s="239" t="s">
        <v>52</v>
      </c>
      <c r="AF25" s="239" t="s">
        <v>0</v>
      </c>
      <c r="AG25" s="238">
        <v>1</v>
      </c>
      <c r="AH25" s="238">
        <v>1</v>
      </c>
      <c r="AI25" s="238">
        <v>1</v>
      </c>
      <c r="AJ25" s="238">
        <v>1</v>
      </c>
      <c r="AK25" s="238" t="s">
        <v>3</v>
      </c>
      <c r="AL25" s="239" t="s">
        <v>52</v>
      </c>
      <c r="AM25" s="239" t="s">
        <v>0</v>
      </c>
      <c r="AN25" s="238" t="s">
        <v>3</v>
      </c>
      <c r="AO25" s="241" t="s">
        <v>3</v>
      </c>
      <c r="AP25" s="45">
        <v>-1</v>
      </c>
      <c r="AQ25" s="46">
        <f t="shared" si="1"/>
        <v>0</v>
      </c>
      <c r="AR25" s="46">
        <v>0</v>
      </c>
      <c r="AS25" s="134">
        <f t="shared" si="10"/>
        <v>-1</v>
      </c>
      <c r="AT25" s="139" t="s">
        <v>133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</row>
    <row r="26" spans="1:226" s="50" customFormat="1" ht="25.5" customHeight="1">
      <c r="A26" s="38">
        <f>COUNTIF(K26:AO26,1)+COUNTIF(K26:AO26,"早")+COUNTIF(K26:AO26,"M1")+COUNTIF(K26:AO26,"T早")+COUNTIF(K26:AO26,"日")</f>
        <v>1</v>
      </c>
      <c r="B26" s="39">
        <f>COUNTIF(K26:AO26,2)+COUNTIF(K26:AO26,"中")+COUNTIF(K26:AO26,"M2")+COUNTIF(K26:AO26,"T中")+COUNTIF(K26:AO26,"小夜")</f>
        <v>17</v>
      </c>
      <c r="C26" s="40">
        <f>COUNTIF(K26:AO26,3)+COUNTIF(K26:AO26,"晚")+COUNTIF(K26:AO26,"大夜")</f>
        <v>3</v>
      </c>
      <c r="D26" s="39">
        <f>COUNTIF(K26:AO26,"N")+COUNTIF(K26:AO26,"N8")</f>
        <v>1</v>
      </c>
      <c r="E26" s="41">
        <f>COUNTIF(K26:AO26,"S")</f>
        <v>0</v>
      </c>
      <c r="F26" s="41">
        <f>COUNTIF(K26:AO26,"X")</f>
        <v>5</v>
      </c>
      <c r="G26" s="41">
        <f>COUNTIF(K26:AO26,"Y")</f>
        <v>4</v>
      </c>
      <c r="H26" s="41">
        <f>COUNTIF(K26:AO26,"Z")</f>
        <v>0</v>
      </c>
      <c r="I26" s="177">
        <f t="shared" si="0"/>
        <v>31</v>
      </c>
      <c r="J26" s="194" t="s">
        <v>16</v>
      </c>
      <c r="K26" s="237" t="s">
        <v>0</v>
      </c>
      <c r="L26" s="30" t="s">
        <v>36</v>
      </c>
      <c r="M26" s="238">
        <v>2</v>
      </c>
      <c r="N26" s="238">
        <v>2</v>
      </c>
      <c r="O26" s="238">
        <v>2</v>
      </c>
      <c r="P26" s="238">
        <v>2</v>
      </c>
      <c r="Q26" s="239" t="s">
        <v>52</v>
      </c>
      <c r="R26" s="239" t="s">
        <v>0</v>
      </c>
      <c r="S26" s="238">
        <v>2</v>
      </c>
      <c r="T26" s="238">
        <v>2</v>
      </c>
      <c r="U26" s="238">
        <v>2</v>
      </c>
      <c r="V26" s="238" t="s">
        <v>52</v>
      </c>
      <c r="W26" s="238" t="s">
        <v>38</v>
      </c>
      <c r="X26" s="238">
        <v>2</v>
      </c>
      <c r="Y26" s="238">
        <v>2</v>
      </c>
      <c r="Z26" s="238">
        <v>2</v>
      </c>
      <c r="AA26" s="238">
        <v>2</v>
      </c>
      <c r="AB26" s="238">
        <v>2</v>
      </c>
      <c r="AC26" s="238" t="s">
        <v>0</v>
      </c>
      <c r="AD26" s="242" t="s">
        <v>3</v>
      </c>
      <c r="AE26" s="239" t="s">
        <v>52</v>
      </c>
      <c r="AF26" s="239" t="s">
        <v>0</v>
      </c>
      <c r="AG26" s="238" t="s">
        <v>40</v>
      </c>
      <c r="AH26" s="238" t="s">
        <v>40</v>
      </c>
      <c r="AI26" s="238" t="s">
        <v>40</v>
      </c>
      <c r="AJ26" s="238" t="s">
        <v>52</v>
      </c>
      <c r="AK26" s="238" t="s">
        <v>38</v>
      </c>
      <c r="AL26" s="238" t="s">
        <v>38</v>
      </c>
      <c r="AM26" s="238" t="s">
        <v>38</v>
      </c>
      <c r="AN26" s="238" t="s">
        <v>38</v>
      </c>
      <c r="AO26" s="241" t="s">
        <v>0</v>
      </c>
      <c r="AP26" s="45">
        <v>0</v>
      </c>
      <c r="AQ26" s="46">
        <f t="shared" si="1"/>
        <v>0</v>
      </c>
      <c r="AR26" s="46">
        <v>0</v>
      </c>
      <c r="AS26" s="134">
        <f t="shared" si="10"/>
        <v>0</v>
      </c>
      <c r="AT26" s="139" t="s">
        <v>126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</row>
    <row r="27" spans="1:226" s="50" customFormat="1" ht="25.5" customHeight="1">
      <c r="A27" s="38">
        <f t="shared" si="2"/>
        <v>20</v>
      </c>
      <c r="B27" s="39">
        <f t="shared" si="3"/>
        <v>0</v>
      </c>
      <c r="C27" s="40">
        <f t="shared" si="4"/>
        <v>0</v>
      </c>
      <c r="D27" s="39">
        <f t="shared" si="5"/>
        <v>0</v>
      </c>
      <c r="E27" s="41">
        <f t="shared" si="6"/>
        <v>2</v>
      </c>
      <c r="F27" s="41">
        <f t="shared" si="7"/>
        <v>5</v>
      </c>
      <c r="G27" s="41">
        <f t="shared" si="8"/>
        <v>4</v>
      </c>
      <c r="H27" s="41">
        <f t="shared" si="9"/>
        <v>0</v>
      </c>
      <c r="I27" s="177">
        <f t="shared" si="0"/>
        <v>31</v>
      </c>
      <c r="J27" s="192" t="s">
        <v>17</v>
      </c>
      <c r="K27" s="237" t="s">
        <v>0</v>
      </c>
      <c r="L27" s="238">
        <v>1</v>
      </c>
      <c r="M27" s="238">
        <v>1</v>
      </c>
      <c r="N27" s="238" t="s">
        <v>52</v>
      </c>
      <c r="O27" s="238">
        <v>1</v>
      </c>
      <c r="P27" s="238">
        <v>1</v>
      </c>
      <c r="Q27" s="239" t="s">
        <v>52</v>
      </c>
      <c r="R27" s="238">
        <v>1</v>
      </c>
      <c r="S27" s="238">
        <v>1</v>
      </c>
      <c r="T27" s="238">
        <v>1</v>
      </c>
      <c r="U27" s="238" t="s">
        <v>0</v>
      </c>
      <c r="V27" s="238">
        <v>1</v>
      </c>
      <c r="W27" s="238">
        <v>1</v>
      </c>
      <c r="X27" s="238">
        <v>1</v>
      </c>
      <c r="Y27" s="239" t="s">
        <v>52</v>
      </c>
      <c r="Z27" s="238">
        <v>1</v>
      </c>
      <c r="AA27" s="238">
        <v>1</v>
      </c>
      <c r="AB27" s="238" t="s">
        <v>0</v>
      </c>
      <c r="AC27" s="238">
        <v>1</v>
      </c>
      <c r="AD27" s="238">
        <v>1</v>
      </c>
      <c r="AE27" s="238">
        <v>1</v>
      </c>
      <c r="AF27" s="239" t="s">
        <v>0</v>
      </c>
      <c r="AG27" s="234" t="s">
        <v>1</v>
      </c>
      <c r="AH27" s="234" t="s">
        <v>1</v>
      </c>
      <c r="AI27" s="238" t="s">
        <v>52</v>
      </c>
      <c r="AJ27" s="238">
        <v>1</v>
      </c>
      <c r="AK27" s="238">
        <v>1</v>
      </c>
      <c r="AL27" s="238">
        <v>1</v>
      </c>
      <c r="AM27" s="238">
        <v>1</v>
      </c>
      <c r="AN27" s="238">
        <v>1</v>
      </c>
      <c r="AO27" s="241" t="s">
        <v>0</v>
      </c>
      <c r="AP27" s="45">
        <v>0</v>
      </c>
      <c r="AQ27" s="46">
        <f t="shared" si="1"/>
        <v>0</v>
      </c>
      <c r="AR27" s="46">
        <v>0</v>
      </c>
      <c r="AS27" s="134">
        <f t="shared" si="10"/>
        <v>0</v>
      </c>
      <c r="AT27" s="139" t="s">
        <v>126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</row>
    <row r="28" spans="1:226" s="50" customFormat="1" ht="27" customHeight="1">
      <c r="A28" s="38">
        <f t="shared" si="2"/>
        <v>4</v>
      </c>
      <c r="B28" s="39">
        <f t="shared" si="3"/>
        <v>6</v>
      </c>
      <c r="C28" s="40">
        <f t="shared" si="4"/>
        <v>9</v>
      </c>
      <c r="D28" s="39">
        <f t="shared" si="5"/>
        <v>0</v>
      </c>
      <c r="E28" s="41">
        <f t="shared" si="6"/>
        <v>3</v>
      </c>
      <c r="F28" s="41">
        <f t="shared" si="7"/>
        <v>5</v>
      </c>
      <c r="G28" s="41">
        <f t="shared" si="8"/>
        <v>4</v>
      </c>
      <c r="H28" s="41">
        <f t="shared" si="9"/>
        <v>0</v>
      </c>
      <c r="I28" s="177">
        <f t="shared" si="0"/>
        <v>31</v>
      </c>
      <c r="J28" s="194" t="s">
        <v>139</v>
      </c>
      <c r="K28" s="237" t="s">
        <v>0</v>
      </c>
      <c r="L28" s="238">
        <v>3</v>
      </c>
      <c r="M28" s="238">
        <v>3</v>
      </c>
      <c r="N28" s="238">
        <v>3</v>
      </c>
      <c r="O28" s="234" t="s">
        <v>52</v>
      </c>
      <c r="P28" s="238">
        <v>3</v>
      </c>
      <c r="Q28" s="238">
        <v>2</v>
      </c>
      <c r="R28" s="238">
        <v>2</v>
      </c>
      <c r="S28" s="238">
        <v>2</v>
      </c>
      <c r="T28" s="238">
        <v>2</v>
      </c>
      <c r="U28" s="238" t="s">
        <v>0</v>
      </c>
      <c r="V28" s="234" t="s">
        <v>52</v>
      </c>
      <c r="W28" s="238">
        <v>1</v>
      </c>
      <c r="X28" s="238">
        <v>1</v>
      </c>
      <c r="Y28" s="238" t="s">
        <v>0</v>
      </c>
      <c r="Z28" s="238">
        <v>3</v>
      </c>
      <c r="AA28" s="238">
        <v>3</v>
      </c>
      <c r="AB28" s="238">
        <v>3</v>
      </c>
      <c r="AC28" s="238">
        <v>3</v>
      </c>
      <c r="AD28" s="238">
        <v>3</v>
      </c>
      <c r="AE28" s="246" t="s">
        <v>52</v>
      </c>
      <c r="AF28" s="246">
        <v>1</v>
      </c>
      <c r="AG28" s="238">
        <v>1</v>
      </c>
      <c r="AH28" s="238" t="s">
        <v>0</v>
      </c>
      <c r="AI28" s="239" t="s">
        <v>52</v>
      </c>
      <c r="AJ28" s="234" t="s">
        <v>1</v>
      </c>
      <c r="AK28" s="234" t="s">
        <v>1</v>
      </c>
      <c r="AL28" s="234" t="s">
        <v>1</v>
      </c>
      <c r="AM28" s="239" t="s">
        <v>0</v>
      </c>
      <c r="AN28" s="238">
        <v>2</v>
      </c>
      <c r="AO28" s="241">
        <v>2</v>
      </c>
      <c r="AP28" s="45">
        <v>0</v>
      </c>
      <c r="AQ28" s="46">
        <f t="shared" si="1"/>
        <v>0</v>
      </c>
      <c r="AR28" s="46">
        <v>0</v>
      </c>
      <c r="AS28" s="134">
        <f t="shared" si="10"/>
        <v>0</v>
      </c>
      <c r="AT28" s="139" t="s">
        <v>126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</row>
    <row r="29" spans="1:226" s="50" customFormat="1" ht="25.5" customHeight="1">
      <c r="A29" s="38">
        <f>COUNTIF(K29:AO29,1)+COUNTIF(K29:AO29,"早")+COUNTIF(K29:AO29,"M1")+COUNTIF(K29:AO29,"T早")+COUNTIF(K29:AO29,"日")</f>
        <v>1</v>
      </c>
      <c r="B29" s="39">
        <f>COUNTIF(K29:AO29,2)+COUNTIF(K29:AO29,"中")+COUNTIF(K29:AO29,"M2")+COUNTIF(K29:AO29,"T中")+COUNTIF(K29:AO29,"小夜")</f>
        <v>8</v>
      </c>
      <c r="C29" s="40">
        <f>COUNTIF(K29:AO29,3)+COUNTIF(K29:AO29,"晚")+COUNTIF(K29:AO29,"大夜")</f>
        <v>0</v>
      </c>
      <c r="D29" s="39">
        <f>COUNTIF(K29:AO29,"N")+COUNTIF(K29:AO29,"N8")</f>
        <v>12</v>
      </c>
      <c r="E29" s="41">
        <f>COUNTIF(K29:AO29,"S")</f>
        <v>1</v>
      </c>
      <c r="F29" s="41">
        <f>COUNTIF(K29:AO29,"X")</f>
        <v>5</v>
      </c>
      <c r="G29" s="41">
        <f>COUNTIF(K29:AO29,"Y")</f>
        <v>4</v>
      </c>
      <c r="H29" s="41">
        <f>COUNTIF(K29:AO29,"Z")</f>
        <v>0</v>
      </c>
      <c r="I29" s="177">
        <f t="shared" si="0"/>
        <v>31</v>
      </c>
      <c r="J29" s="194" t="s">
        <v>18</v>
      </c>
      <c r="K29" s="245">
        <v>2</v>
      </c>
      <c r="L29" s="238">
        <v>2</v>
      </c>
      <c r="M29" s="238" t="s">
        <v>52</v>
      </c>
      <c r="N29" s="53" t="s">
        <v>3</v>
      </c>
      <c r="O29" s="53" t="s">
        <v>3</v>
      </c>
      <c r="P29" s="53" t="s">
        <v>3</v>
      </c>
      <c r="Q29" s="239" t="s">
        <v>52</v>
      </c>
      <c r="R29" s="239" t="s">
        <v>0</v>
      </c>
      <c r="S29" s="53" t="s">
        <v>3</v>
      </c>
      <c r="T29" s="53" t="s">
        <v>3</v>
      </c>
      <c r="U29" s="234" t="s">
        <v>1</v>
      </c>
      <c r="V29" s="238" t="s">
        <v>0</v>
      </c>
      <c r="W29" s="238">
        <v>2</v>
      </c>
      <c r="X29" s="238">
        <v>2</v>
      </c>
      <c r="Y29" s="238">
        <v>2</v>
      </c>
      <c r="Z29" s="238" t="s">
        <v>52</v>
      </c>
      <c r="AA29" s="242" t="s">
        <v>3</v>
      </c>
      <c r="AB29" s="53" t="s">
        <v>3</v>
      </c>
      <c r="AC29" s="53" t="s">
        <v>3</v>
      </c>
      <c r="AD29" s="238">
        <v>2</v>
      </c>
      <c r="AE29" s="239" t="s">
        <v>52</v>
      </c>
      <c r="AF29" s="239" t="s">
        <v>0</v>
      </c>
      <c r="AG29" s="238" t="s">
        <v>0</v>
      </c>
      <c r="AH29" s="53" t="s">
        <v>3</v>
      </c>
      <c r="AI29" s="53" t="s">
        <v>3</v>
      </c>
      <c r="AJ29" s="238">
        <v>2</v>
      </c>
      <c r="AK29" s="238">
        <v>2</v>
      </c>
      <c r="AL29" s="238" t="s">
        <v>0</v>
      </c>
      <c r="AM29" s="238">
        <v>1</v>
      </c>
      <c r="AN29" s="53" t="s">
        <v>3</v>
      </c>
      <c r="AO29" s="265" t="s">
        <v>3</v>
      </c>
      <c r="AP29" s="45">
        <v>0</v>
      </c>
      <c r="AQ29" s="46">
        <f t="shared" si="1"/>
        <v>0</v>
      </c>
      <c r="AR29" s="46">
        <v>0</v>
      </c>
      <c r="AS29" s="134">
        <f t="shared" si="10"/>
        <v>0</v>
      </c>
      <c r="AT29" s="139" t="s">
        <v>126</v>
      </c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</row>
    <row r="30" spans="1:226" s="50" customFormat="1" ht="25.5" customHeight="1">
      <c r="A30" s="38">
        <f>COUNTIF(K30:AO30,1)+COUNTIF(K30:AO30,"早")+COUNTIF(K30:AO30,"M1")+COUNTIF(K30:AO30,"T早")+COUNTIF(K30:AO30,"日")</f>
        <v>3</v>
      </c>
      <c r="B30" s="39">
        <f>COUNTIF(K30:AO30,2)+COUNTIF(K30:AO30,"中")+COUNTIF(K30:AO30,"M2")+COUNTIF(K30:AO30,"T中")+COUNTIF(K30:AO30,"小夜")</f>
        <v>6</v>
      </c>
      <c r="C30" s="40">
        <f>COUNTIF(K30:AO30,3)+COUNTIF(K30:AO30,"晚")+COUNTIF(K30:AO30,"大夜")</f>
        <v>13</v>
      </c>
      <c r="D30" s="39">
        <f>COUNTIF(K30:AO30,"N")+COUNTIF(K30:AO30,"N8")</f>
        <v>0</v>
      </c>
      <c r="E30" s="41">
        <f>COUNTIF(K30:AO30,"S")</f>
        <v>0</v>
      </c>
      <c r="F30" s="41">
        <f>COUNTIF(K30:AO30,"X")</f>
        <v>5</v>
      </c>
      <c r="G30" s="41">
        <f>COUNTIF(K30:AO30,"Y")</f>
        <v>4</v>
      </c>
      <c r="H30" s="41">
        <f>COUNTIF(K30:AO30,"Z")</f>
        <v>0</v>
      </c>
      <c r="I30" s="177">
        <f t="shared" ref="I30" si="22">SUM(A30:H30)</f>
        <v>31</v>
      </c>
      <c r="J30" s="194" t="s">
        <v>140</v>
      </c>
      <c r="K30" s="245">
        <v>1</v>
      </c>
      <c r="L30" s="238">
        <v>2</v>
      </c>
      <c r="M30" s="238" t="s">
        <v>52</v>
      </c>
      <c r="N30" s="238" t="s">
        <v>0</v>
      </c>
      <c r="O30" s="238">
        <v>3</v>
      </c>
      <c r="P30" s="238">
        <v>3</v>
      </c>
      <c r="Q30" s="239" t="s">
        <v>52</v>
      </c>
      <c r="R30" s="239" t="s">
        <v>0</v>
      </c>
      <c r="S30" s="238">
        <v>1</v>
      </c>
      <c r="T30" s="238">
        <v>1</v>
      </c>
      <c r="U30" s="238">
        <v>2</v>
      </c>
      <c r="V30" s="238">
        <v>2</v>
      </c>
      <c r="W30" s="238">
        <v>2</v>
      </c>
      <c r="X30" s="239" t="s">
        <v>52</v>
      </c>
      <c r="Y30" s="239" t="s">
        <v>0</v>
      </c>
      <c r="Z30" s="238">
        <v>3</v>
      </c>
      <c r="AA30" s="238">
        <v>3</v>
      </c>
      <c r="AB30" s="238">
        <v>3</v>
      </c>
      <c r="AC30" s="238">
        <v>3</v>
      </c>
      <c r="AD30" s="238">
        <v>3</v>
      </c>
      <c r="AE30" s="234" t="s">
        <v>52</v>
      </c>
      <c r="AF30" s="234" t="s">
        <v>0</v>
      </c>
      <c r="AG30" s="238">
        <v>3</v>
      </c>
      <c r="AH30" s="238">
        <v>3</v>
      </c>
      <c r="AI30" s="238">
        <v>3</v>
      </c>
      <c r="AJ30" s="238">
        <v>3</v>
      </c>
      <c r="AK30" s="238">
        <v>3</v>
      </c>
      <c r="AL30" s="243">
        <v>3</v>
      </c>
      <c r="AM30" s="243" t="s">
        <v>0</v>
      </c>
      <c r="AN30" s="238">
        <v>2</v>
      </c>
      <c r="AO30" s="241">
        <v>2</v>
      </c>
      <c r="AP30" s="62">
        <v>0</v>
      </c>
      <c r="AQ30" s="46">
        <f t="shared" si="1"/>
        <v>0</v>
      </c>
      <c r="AR30" s="46">
        <v>0</v>
      </c>
      <c r="AS30" s="134">
        <f t="shared" si="10"/>
        <v>0</v>
      </c>
      <c r="AT30" s="139" t="s">
        <v>128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</row>
    <row r="31" spans="1:226" s="50" customFormat="1" ht="25.5" customHeight="1">
      <c r="A31" s="38">
        <f t="shared" si="2"/>
        <v>2</v>
      </c>
      <c r="B31" s="39">
        <f t="shared" si="3"/>
        <v>4</v>
      </c>
      <c r="C31" s="40">
        <f t="shared" si="4"/>
        <v>8</v>
      </c>
      <c r="D31" s="39">
        <f t="shared" si="5"/>
        <v>0</v>
      </c>
      <c r="E31" s="41">
        <f t="shared" si="6"/>
        <v>8</v>
      </c>
      <c r="F31" s="41">
        <f t="shared" si="7"/>
        <v>5</v>
      </c>
      <c r="G31" s="41">
        <f t="shared" si="8"/>
        <v>4</v>
      </c>
      <c r="H31" s="41">
        <f t="shared" si="9"/>
        <v>0</v>
      </c>
      <c r="I31" s="177">
        <f t="shared" si="0"/>
        <v>31</v>
      </c>
      <c r="J31" s="194" t="s">
        <v>19</v>
      </c>
      <c r="K31" s="245" t="s">
        <v>0</v>
      </c>
      <c r="L31" s="234">
        <v>2</v>
      </c>
      <c r="M31" s="238">
        <v>2</v>
      </c>
      <c r="N31" s="238">
        <v>2</v>
      </c>
      <c r="O31" s="238">
        <v>2</v>
      </c>
      <c r="P31" s="238" t="s">
        <v>52</v>
      </c>
      <c r="Q31" s="238">
        <v>3</v>
      </c>
      <c r="R31" s="238">
        <v>3</v>
      </c>
      <c r="S31" s="238">
        <v>3</v>
      </c>
      <c r="T31" s="238">
        <v>3</v>
      </c>
      <c r="U31" s="238" t="s">
        <v>0</v>
      </c>
      <c r="V31" s="238">
        <v>3</v>
      </c>
      <c r="W31" s="238">
        <v>3</v>
      </c>
      <c r="X31" s="239" t="s">
        <v>52</v>
      </c>
      <c r="Y31" s="239" t="s">
        <v>0</v>
      </c>
      <c r="Z31" s="234" t="s">
        <v>1</v>
      </c>
      <c r="AA31" s="234" t="s">
        <v>1</v>
      </c>
      <c r="AB31" s="234" t="s">
        <v>1</v>
      </c>
      <c r="AC31" s="234" t="s">
        <v>1</v>
      </c>
      <c r="AD31" s="234" t="s">
        <v>1</v>
      </c>
      <c r="AE31" s="239" t="s">
        <v>52</v>
      </c>
      <c r="AF31" s="234" t="s">
        <v>1</v>
      </c>
      <c r="AG31" s="234" t="s">
        <v>1</v>
      </c>
      <c r="AH31" s="234" t="s">
        <v>1</v>
      </c>
      <c r="AI31" s="239" t="s">
        <v>0</v>
      </c>
      <c r="AJ31" s="238" t="s">
        <v>52</v>
      </c>
      <c r="AK31" s="240">
        <v>1</v>
      </c>
      <c r="AL31" s="246">
        <v>1</v>
      </c>
      <c r="AM31" s="246" t="s">
        <v>0</v>
      </c>
      <c r="AN31" s="238">
        <v>3</v>
      </c>
      <c r="AO31" s="241">
        <v>3</v>
      </c>
      <c r="AP31" s="62">
        <v>0</v>
      </c>
      <c r="AQ31" s="46">
        <f t="shared" si="1"/>
        <v>0</v>
      </c>
      <c r="AR31" s="46">
        <v>0</v>
      </c>
      <c r="AS31" s="134">
        <f t="shared" si="10"/>
        <v>0</v>
      </c>
      <c r="AT31" s="139" t="s">
        <v>128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</row>
    <row r="32" spans="1:226" s="50" customFormat="1" ht="25.5" customHeight="1">
      <c r="A32" s="38">
        <f>COUNTIF(K32:AO32,1)+COUNTIF(K32:AO32,"早")+COUNTIF(K32:AO32,"M1")+COUNTIF(K32:AO32,"T早")+COUNTIF(K32:AO32,"日")</f>
        <v>3</v>
      </c>
      <c r="B32" s="39">
        <f>COUNTIF(K32:AO32,2)+COUNTIF(K32:AO32,"中")+COUNTIF(K32:AO32,"M2")+COUNTIF(K32:AO32,"T中")+COUNTIF(K32:AO32,"小夜")</f>
        <v>8</v>
      </c>
      <c r="C32" s="40">
        <f>COUNTIF(K32:AO32,3)+COUNTIF(K32:AO32,"晚")+COUNTIF(K32:AO32,"大夜")</f>
        <v>10</v>
      </c>
      <c r="D32" s="39">
        <f>COUNTIF(K32:AO32,"N")+COUNTIF(K32:AO32,"N8")</f>
        <v>0</v>
      </c>
      <c r="E32" s="41">
        <f>COUNTIF(K32:AO32,"S")</f>
        <v>1</v>
      </c>
      <c r="F32" s="41">
        <f>COUNTIF(K32:AO32,"X")</f>
        <v>5</v>
      </c>
      <c r="G32" s="41">
        <f>COUNTIF(K32:AO32,"Y")</f>
        <v>4</v>
      </c>
      <c r="H32" s="41">
        <f>COUNTIF(K32:AO32,"Z")</f>
        <v>0</v>
      </c>
      <c r="I32" s="177">
        <f>SUM(A32:H32)</f>
        <v>31</v>
      </c>
      <c r="J32" s="194" t="s">
        <v>20</v>
      </c>
      <c r="K32" s="245">
        <v>2</v>
      </c>
      <c r="L32" s="238">
        <v>2</v>
      </c>
      <c r="M32" s="238" t="s">
        <v>52</v>
      </c>
      <c r="N32" s="238">
        <v>1</v>
      </c>
      <c r="O32" s="238">
        <v>1</v>
      </c>
      <c r="P32" s="238">
        <v>2</v>
      </c>
      <c r="Q32" s="239" t="s">
        <v>52</v>
      </c>
      <c r="R32" s="239" t="s">
        <v>0</v>
      </c>
      <c r="S32" s="238">
        <v>3</v>
      </c>
      <c r="T32" s="238">
        <v>3</v>
      </c>
      <c r="U32" s="238">
        <v>3</v>
      </c>
      <c r="V32" s="238">
        <v>3</v>
      </c>
      <c r="W32" s="238">
        <v>3</v>
      </c>
      <c r="X32" s="238" t="s">
        <v>52</v>
      </c>
      <c r="Y32" s="234" t="s">
        <v>1</v>
      </c>
      <c r="Z32" s="238">
        <v>2</v>
      </c>
      <c r="AA32" s="238">
        <v>2</v>
      </c>
      <c r="AB32" s="238" t="s">
        <v>0</v>
      </c>
      <c r="AC32" s="238">
        <v>2</v>
      </c>
      <c r="AD32" s="238">
        <v>2</v>
      </c>
      <c r="AE32" s="239" t="s">
        <v>52</v>
      </c>
      <c r="AF32" s="239" t="s">
        <v>0</v>
      </c>
      <c r="AG32" s="238">
        <v>3</v>
      </c>
      <c r="AH32" s="238">
        <v>3</v>
      </c>
      <c r="AI32" s="238">
        <v>3</v>
      </c>
      <c r="AJ32" s="238">
        <v>3</v>
      </c>
      <c r="AK32" s="238">
        <v>3</v>
      </c>
      <c r="AL32" s="238" t="s">
        <v>0</v>
      </c>
      <c r="AM32" s="238">
        <v>1</v>
      </c>
      <c r="AN32" s="238">
        <v>2</v>
      </c>
      <c r="AO32" s="241" t="s">
        <v>0</v>
      </c>
      <c r="AP32" s="62">
        <v>0</v>
      </c>
      <c r="AQ32" s="46">
        <f t="shared" si="1"/>
        <v>0</v>
      </c>
      <c r="AR32" s="46">
        <v>0</v>
      </c>
      <c r="AS32" s="134">
        <f>SUM(AP32:AR32)</f>
        <v>0</v>
      </c>
      <c r="AT32" s="139" t="s">
        <v>126</v>
      </c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</row>
    <row r="33" spans="1:226" s="50" customFormat="1" ht="25.5" customHeight="1" thickBot="1">
      <c r="A33" s="69">
        <f t="shared" si="2"/>
        <v>4</v>
      </c>
      <c r="B33" s="70">
        <f t="shared" si="3"/>
        <v>14</v>
      </c>
      <c r="C33" s="71">
        <f t="shared" si="4"/>
        <v>4</v>
      </c>
      <c r="D33" s="70">
        <f t="shared" si="5"/>
        <v>0</v>
      </c>
      <c r="E33" s="63">
        <f t="shared" si="6"/>
        <v>0</v>
      </c>
      <c r="F33" s="63">
        <f t="shared" si="7"/>
        <v>5</v>
      </c>
      <c r="G33" s="63">
        <f t="shared" si="8"/>
        <v>4</v>
      </c>
      <c r="H33" s="63">
        <f t="shared" si="9"/>
        <v>0</v>
      </c>
      <c r="I33" s="178">
        <f t="shared" si="0"/>
        <v>31</v>
      </c>
      <c r="J33" s="195" t="s">
        <v>21</v>
      </c>
      <c r="K33" s="247">
        <v>1</v>
      </c>
      <c r="L33" s="248" t="s">
        <v>0</v>
      </c>
      <c r="M33" s="248">
        <v>3</v>
      </c>
      <c r="N33" s="248">
        <v>3</v>
      </c>
      <c r="O33" s="248">
        <v>3</v>
      </c>
      <c r="P33" s="248">
        <v>3</v>
      </c>
      <c r="Q33" s="249" t="s">
        <v>52</v>
      </c>
      <c r="R33" s="249" t="s">
        <v>0</v>
      </c>
      <c r="S33" s="248">
        <v>2</v>
      </c>
      <c r="T33" s="248">
        <v>2</v>
      </c>
      <c r="U33" s="248">
        <v>2</v>
      </c>
      <c r="V33" s="248">
        <v>2</v>
      </c>
      <c r="W33" s="248">
        <v>2</v>
      </c>
      <c r="X33" s="74" t="s">
        <v>52</v>
      </c>
      <c r="Y33" s="248">
        <v>1</v>
      </c>
      <c r="Z33" s="248">
        <v>2</v>
      </c>
      <c r="AA33" s="248">
        <v>2</v>
      </c>
      <c r="AB33" s="248">
        <v>2</v>
      </c>
      <c r="AC33" s="248">
        <v>2</v>
      </c>
      <c r="AD33" s="248" t="s">
        <v>0</v>
      </c>
      <c r="AE33" s="250">
        <v>2</v>
      </c>
      <c r="AF33" s="250">
        <v>2</v>
      </c>
      <c r="AG33" s="248">
        <v>2</v>
      </c>
      <c r="AH33" s="248">
        <v>2</v>
      </c>
      <c r="AI33" s="248">
        <v>2</v>
      </c>
      <c r="AJ33" s="248" t="s">
        <v>52</v>
      </c>
      <c r="AK33" s="248" t="s">
        <v>0</v>
      </c>
      <c r="AL33" s="251" t="s">
        <v>52</v>
      </c>
      <c r="AM33" s="251" t="s">
        <v>0</v>
      </c>
      <c r="AN33" s="252">
        <v>1</v>
      </c>
      <c r="AO33" s="252">
        <v>1</v>
      </c>
      <c r="AP33" s="142">
        <v>0</v>
      </c>
      <c r="AQ33" s="74">
        <f t="shared" si="1"/>
        <v>0</v>
      </c>
      <c r="AR33" s="74">
        <v>0</v>
      </c>
      <c r="AS33" s="127">
        <f t="shared" si="10"/>
        <v>0</v>
      </c>
      <c r="AT33" s="140" t="s">
        <v>126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</row>
    <row r="34" spans="1:226" s="50" customFormat="1" ht="25.5" customHeight="1">
      <c r="A34" s="23">
        <f t="shared" si="2"/>
        <v>8</v>
      </c>
      <c r="B34" s="24">
        <f t="shared" si="3"/>
        <v>0</v>
      </c>
      <c r="C34" s="25">
        <f t="shared" si="4"/>
        <v>14</v>
      </c>
      <c r="D34" s="24">
        <f t="shared" si="5"/>
        <v>0</v>
      </c>
      <c r="E34" s="26">
        <f t="shared" si="6"/>
        <v>0</v>
      </c>
      <c r="F34" s="26">
        <f t="shared" si="7"/>
        <v>5</v>
      </c>
      <c r="G34" s="26">
        <f t="shared" si="8"/>
        <v>4</v>
      </c>
      <c r="H34" s="26">
        <f t="shared" si="9"/>
        <v>0</v>
      </c>
      <c r="I34" s="176">
        <f t="shared" si="0"/>
        <v>31</v>
      </c>
      <c r="J34" s="189" t="s">
        <v>22</v>
      </c>
      <c r="K34" s="253" t="s">
        <v>0</v>
      </c>
      <c r="L34" s="235" t="s">
        <v>40</v>
      </c>
      <c r="M34" s="235" t="s">
        <v>40</v>
      </c>
      <c r="N34" s="235" t="s">
        <v>40</v>
      </c>
      <c r="O34" s="235" t="s">
        <v>40</v>
      </c>
      <c r="P34" s="235" t="s">
        <v>52</v>
      </c>
      <c r="Q34" s="235" t="s">
        <v>40</v>
      </c>
      <c r="R34" s="235" t="s">
        <v>40</v>
      </c>
      <c r="S34" s="235" t="s">
        <v>40</v>
      </c>
      <c r="T34" s="235" t="s">
        <v>0</v>
      </c>
      <c r="U34" s="235" t="s">
        <v>36</v>
      </c>
      <c r="V34" s="235" t="s">
        <v>36</v>
      </c>
      <c r="W34" s="235" t="s">
        <v>36</v>
      </c>
      <c r="X34" s="233" t="s">
        <v>52</v>
      </c>
      <c r="Y34" s="233" t="s">
        <v>0</v>
      </c>
      <c r="Z34" s="235" t="s">
        <v>36</v>
      </c>
      <c r="AA34" s="235" t="s">
        <v>36</v>
      </c>
      <c r="AB34" s="235" t="s">
        <v>36</v>
      </c>
      <c r="AC34" s="235" t="s">
        <v>36</v>
      </c>
      <c r="AD34" s="235" t="s">
        <v>52</v>
      </c>
      <c r="AE34" s="235" t="s">
        <v>40</v>
      </c>
      <c r="AF34" s="235" t="s">
        <v>40</v>
      </c>
      <c r="AG34" s="235" t="s">
        <v>40</v>
      </c>
      <c r="AH34" s="235" t="s">
        <v>40</v>
      </c>
      <c r="AI34" s="235" t="s">
        <v>40</v>
      </c>
      <c r="AJ34" s="254" t="s">
        <v>0</v>
      </c>
      <c r="AK34" s="235" t="s">
        <v>36</v>
      </c>
      <c r="AL34" s="233" t="s">
        <v>52</v>
      </c>
      <c r="AM34" s="233" t="s">
        <v>0</v>
      </c>
      <c r="AN34" s="235" t="s">
        <v>40</v>
      </c>
      <c r="AO34" s="236" t="s">
        <v>40</v>
      </c>
      <c r="AP34" s="65">
        <v>0</v>
      </c>
      <c r="AQ34" s="36">
        <f t="shared" si="1"/>
        <v>0</v>
      </c>
      <c r="AR34" s="36">
        <v>0</v>
      </c>
      <c r="AS34" s="133">
        <f t="shared" si="10"/>
        <v>0</v>
      </c>
      <c r="AT34" s="138" t="s">
        <v>128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</row>
    <row r="35" spans="1:226" s="50" customFormat="1" ht="27.75" customHeight="1">
      <c r="A35" s="38">
        <f>COUNTIF(K35:AO35,1)+COUNTIF(K35:AO35,"早")+COUNTIF(K35:AO35,"M1")+COUNTIF(K35:AO35,"T早")+COUNTIF(K35:AO35,"日")</f>
        <v>3</v>
      </c>
      <c r="B35" s="39">
        <f>COUNTIF(K35:AO35,2)+COUNTIF(K35:AO35,"中")+COUNTIF(K35:AO35,"M2")+COUNTIF(K35:AO35,"T中")+COUNTIF(K35:AO35,"小夜")</f>
        <v>13</v>
      </c>
      <c r="C35" s="40">
        <f>COUNTIF(K35:AO35,3)+COUNTIF(K35:AO35,"晚")+COUNTIF(K35:AO35,"大夜")</f>
        <v>0</v>
      </c>
      <c r="D35" s="39">
        <f>COUNTIF(K35:AO35,"N")+COUNTIF(K35:AO35,"N8")</f>
        <v>3</v>
      </c>
      <c r="E35" s="41">
        <f>COUNTIF(K35:AO35,"S")</f>
        <v>3</v>
      </c>
      <c r="F35" s="41">
        <f>COUNTIF(K35:AO35,"X")</f>
        <v>5</v>
      </c>
      <c r="G35" s="41">
        <f>COUNTIF(K35:AO35,"Y")</f>
        <v>4</v>
      </c>
      <c r="H35" s="41">
        <f>COUNTIF(K35:AO35,"Z")</f>
        <v>0</v>
      </c>
      <c r="I35" s="177">
        <f t="shared" si="0"/>
        <v>31</v>
      </c>
      <c r="J35" s="193" t="s">
        <v>23</v>
      </c>
      <c r="K35" s="237" t="s">
        <v>0</v>
      </c>
      <c r="L35" s="238" t="s">
        <v>36</v>
      </c>
      <c r="M35" s="242" t="s">
        <v>3</v>
      </c>
      <c r="N35" s="238" t="s">
        <v>36</v>
      </c>
      <c r="O35" s="242" t="s">
        <v>3</v>
      </c>
      <c r="P35" s="239" t="s">
        <v>52</v>
      </c>
      <c r="Q35" s="234" t="s">
        <v>1</v>
      </c>
      <c r="R35" s="239" t="s">
        <v>0</v>
      </c>
      <c r="S35" s="238" t="s">
        <v>38</v>
      </c>
      <c r="T35" s="238" t="s">
        <v>38</v>
      </c>
      <c r="U35" s="238" t="s">
        <v>38</v>
      </c>
      <c r="V35" s="238" t="s">
        <v>52</v>
      </c>
      <c r="W35" s="242" t="s">
        <v>3</v>
      </c>
      <c r="X35" s="238" t="s">
        <v>38</v>
      </c>
      <c r="Y35" s="238" t="s">
        <v>38</v>
      </c>
      <c r="Z35" s="238" t="s">
        <v>38</v>
      </c>
      <c r="AA35" s="238" t="s">
        <v>38</v>
      </c>
      <c r="AB35" s="238" t="s">
        <v>0</v>
      </c>
      <c r="AC35" s="238" t="s">
        <v>38</v>
      </c>
      <c r="AD35" s="238" t="s">
        <v>38</v>
      </c>
      <c r="AE35" s="238" t="s">
        <v>38</v>
      </c>
      <c r="AF35" s="238" t="s">
        <v>38</v>
      </c>
      <c r="AG35" s="238" t="s">
        <v>52</v>
      </c>
      <c r="AH35" s="238" t="s">
        <v>38</v>
      </c>
      <c r="AI35" s="238" t="s">
        <v>38</v>
      </c>
      <c r="AJ35" s="240" t="s">
        <v>0</v>
      </c>
      <c r="AK35" s="239" t="s">
        <v>52</v>
      </c>
      <c r="AL35" s="234" t="s">
        <v>1</v>
      </c>
      <c r="AM35" s="234" t="s">
        <v>1</v>
      </c>
      <c r="AN35" s="239" t="s">
        <v>0</v>
      </c>
      <c r="AO35" s="241" t="s">
        <v>36</v>
      </c>
      <c r="AP35" s="45">
        <v>0</v>
      </c>
      <c r="AQ35" s="46">
        <f t="shared" si="1"/>
        <v>0</v>
      </c>
      <c r="AR35" s="46">
        <v>0</v>
      </c>
      <c r="AS35" s="134">
        <f t="shared" si="10"/>
        <v>0</v>
      </c>
      <c r="AT35" s="139" t="s">
        <v>128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</row>
    <row r="36" spans="1:226" s="50" customFormat="1" ht="27.75" customHeight="1">
      <c r="A36" s="38">
        <f t="shared" si="2"/>
        <v>0</v>
      </c>
      <c r="B36" s="39">
        <f t="shared" si="3"/>
        <v>20</v>
      </c>
      <c r="C36" s="40">
        <f t="shared" si="4"/>
        <v>0</v>
      </c>
      <c r="D36" s="39">
        <f t="shared" si="5"/>
        <v>1</v>
      </c>
      <c r="E36" s="41">
        <f t="shared" si="6"/>
        <v>1</v>
      </c>
      <c r="F36" s="41">
        <f t="shared" si="7"/>
        <v>5</v>
      </c>
      <c r="G36" s="41">
        <f t="shared" si="8"/>
        <v>4</v>
      </c>
      <c r="H36" s="41">
        <f t="shared" si="9"/>
        <v>0</v>
      </c>
      <c r="I36" s="177">
        <f t="shared" si="0"/>
        <v>31</v>
      </c>
      <c r="J36" s="193" t="s">
        <v>24</v>
      </c>
      <c r="K36" s="245" t="s">
        <v>38</v>
      </c>
      <c r="L36" s="238" t="s">
        <v>0</v>
      </c>
      <c r="M36" s="242" t="s">
        <v>3</v>
      </c>
      <c r="N36" s="238" t="s">
        <v>38</v>
      </c>
      <c r="O36" s="238" t="s">
        <v>38</v>
      </c>
      <c r="P36" s="238" t="s">
        <v>38</v>
      </c>
      <c r="Q36" s="239" t="s">
        <v>52</v>
      </c>
      <c r="R36" s="239" t="s">
        <v>0</v>
      </c>
      <c r="S36" s="238" t="s">
        <v>0</v>
      </c>
      <c r="T36" s="238" t="s">
        <v>38</v>
      </c>
      <c r="U36" s="238" t="s">
        <v>38</v>
      </c>
      <c r="V36" s="238" t="s">
        <v>38</v>
      </c>
      <c r="W36" s="238" t="s">
        <v>52</v>
      </c>
      <c r="X36" s="238" t="s">
        <v>38</v>
      </c>
      <c r="Y36" s="238" t="s">
        <v>38</v>
      </c>
      <c r="Z36" s="238" t="s">
        <v>0</v>
      </c>
      <c r="AA36" s="238" t="s">
        <v>38</v>
      </c>
      <c r="AB36" s="238" t="s">
        <v>38</v>
      </c>
      <c r="AC36" s="238" t="s">
        <v>38</v>
      </c>
      <c r="AD36" s="239" t="s">
        <v>52</v>
      </c>
      <c r="AE36" s="234" t="s">
        <v>1</v>
      </c>
      <c r="AF36" s="239" t="s">
        <v>0</v>
      </c>
      <c r="AG36" s="238" t="s">
        <v>38</v>
      </c>
      <c r="AH36" s="238" t="s">
        <v>38</v>
      </c>
      <c r="AI36" s="238" t="s">
        <v>38</v>
      </c>
      <c r="AJ36" s="238" t="s">
        <v>38</v>
      </c>
      <c r="AK36" s="238" t="s">
        <v>52</v>
      </c>
      <c r="AL36" s="238" t="s">
        <v>38</v>
      </c>
      <c r="AM36" s="238" t="s">
        <v>38</v>
      </c>
      <c r="AN36" s="238" t="s">
        <v>38</v>
      </c>
      <c r="AO36" s="241" t="s">
        <v>38</v>
      </c>
      <c r="AP36" s="45">
        <v>0</v>
      </c>
      <c r="AQ36" s="46">
        <f t="shared" si="1"/>
        <v>0</v>
      </c>
      <c r="AR36" s="46">
        <v>0</v>
      </c>
      <c r="AS36" s="134">
        <f t="shared" si="10"/>
        <v>0</v>
      </c>
      <c r="AT36" s="139" t="s">
        <v>126</v>
      </c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</row>
    <row r="37" spans="1:226" s="50" customFormat="1" ht="27.6" customHeight="1">
      <c r="A37" s="38">
        <f t="shared" si="2"/>
        <v>2</v>
      </c>
      <c r="B37" s="39">
        <f t="shared" si="3"/>
        <v>16</v>
      </c>
      <c r="C37" s="40">
        <f t="shared" si="4"/>
        <v>0</v>
      </c>
      <c r="D37" s="39">
        <f t="shared" si="5"/>
        <v>0</v>
      </c>
      <c r="E37" s="41">
        <f t="shared" si="6"/>
        <v>4</v>
      </c>
      <c r="F37" s="41">
        <f t="shared" si="7"/>
        <v>5</v>
      </c>
      <c r="G37" s="41">
        <f t="shared" si="8"/>
        <v>4</v>
      </c>
      <c r="H37" s="41">
        <f t="shared" si="9"/>
        <v>0</v>
      </c>
      <c r="I37" s="177">
        <f t="shared" si="0"/>
        <v>31</v>
      </c>
      <c r="J37" s="214" t="s">
        <v>25</v>
      </c>
      <c r="K37" s="245" t="s">
        <v>38</v>
      </c>
      <c r="L37" s="238" t="s">
        <v>38</v>
      </c>
      <c r="M37" s="238" t="s">
        <v>38</v>
      </c>
      <c r="N37" s="238" t="s">
        <v>52</v>
      </c>
      <c r="O37" s="234" t="s">
        <v>1</v>
      </c>
      <c r="P37" s="238" t="s">
        <v>38</v>
      </c>
      <c r="Q37" s="238" t="s">
        <v>26</v>
      </c>
      <c r="R37" s="238" t="s">
        <v>38</v>
      </c>
      <c r="S37" s="238" t="s">
        <v>38</v>
      </c>
      <c r="T37" s="238" t="s">
        <v>52</v>
      </c>
      <c r="U37" s="238" t="s">
        <v>0</v>
      </c>
      <c r="V37" s="238" t="s">
        <v>38</v>
      </c>
      <c r="W37" s="238" t="s">
        <v>38</v>
      </c>
      <c r="X37" s="238" t="s">
        <v>26</v>
      </c>
      <c r="Y37" s="238" t="s">
        <v>38</v>
      </c>
      <c r="Z37" s="238" t="s">
        <v>38</v>
      </c>
      <c r="AA37" s="238" t="s">
        <v>0</v>
      </c>
      <c r="AB37" s="234" t="s">
        <v>52</v>
      </c>
      <c r="AC37" s="234" t="s">
        <v>1</v>
      </c>
      <c r="AD37" s="238" t="s">
        <v>38</v>
      </c>
      <c r="AE37" s="238" t="s">
        <v>38</v>
      </c>
      <c r="AF37" s="238" t="s">
        <v>38</v>
      </c>
      <c r="AG37" s="238" t="s">
        <v>38</v>
      </c>
      <c r="AH37" s="238" t="s">
        <v>0</v>
      </c>
      <c r="AI37" s="238" t="s">
        <v>52</v>
      </c>
      <c r="AJ37" s="238" t="s">
        <v>0</v>
      </c>
      <c r="AK37" s="234" t="s">
        <v>1</v>
      </c>
      <c r="AL37" s="238" t="s">
        <v>36</v>
      </c>
      <c r="AM37" s="238" t="s">
        <v>36</v>
      </c>
      <c r="AN37" s="234" t="s">
        <v>0</v>
      </c>
      <c r="AO37" s="234" t="s">
        <v>1</v>
      </c>
      <c r="AP37" s="45">
        <v>0</v>
      </c>
      <c r="AQ37" s="46">
        <f t="shared" si="1"/>
        <v>0</v>
      </c>
      <c r="AR37" s="46">
        <v>0</v>
      </c>
      <c r="AS37" s="134">
        <f t="shared" si="10"/>
        <v>0</v>
      </c>
      <c r="AT37" s="139" t="s">
        <v>128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</row>
    <row r="38" spans="1:226" s="50" customFormat="1" ht="24" customHeight="1">
      <c r="A38" s="38">
        <f t="shared" si="2"/>
        <v>4</v>
      </c>
      <c r="B38" s="39">
        <f t="shared" si="3"/>
        <v>11</v>
      </c>
      <c r="C38" s="40">
        <f t="shared" si="4"/>
        <v>4</v>
      </c>
      <c r="D38" s="39">
        <f t="shared" si="5"/>
        <v>1</v>
      </c>
      <c r="E38" s="41">
        <f t="shared" si="6"/>
        <v>2</v>
      </c>
      <c r="F38" s="41">
        <f t="shared" si="7"/>
        <v>5</v>
      </c>
      <c r="G38" s="41">
        <f t="shared" si="8"/>
        <v>4</v>
      </c>
      <c r="H38" s="41">
        <f t="shared" si="9"/>
        <v>0</v>
      </c>
      <c r="I38" s="177">
        <f t="shared" si="0"/>
        <v>31</v>
      </c>
      <c r="J38" s="193" t="s">
        <v>27</v>
      </c>
      <c r="K38" s="245" t="s">
        <v>40</v>
      </c>
      <c r="L38" s="238" t="s">
        <v>40</v>
      </c>
      <c r="M38" s="238" t="s">
        <v>40</v>
      </c>
      <c r="N38" s="238" t="s">
        <v>40</v>
      </c>
      <c r="O38" s="238" t="s">
        <v>52</v>
      </c>
      <c r="P38" s="238" t="s">
        <v>0</v>
      </c>
      <c r="Q38" s="238" t="s">
        <v>38</v>
      </c>
      <c r="R38" s="238" t="s">
        <v>38</v>
      </c>
      <c r="S38" s="238" t="s">
        <v>38</v>
      </c>
      <c r="T38" s="238" t="s">
        <v>38</v>
      </c>
      <c r="U38" s="238" t="s">
        <v>38</v>
      </c>
      <c r="V38" s="238" t="s">
        <v>38</v>
      </c>
      <c r="W38" s="238" t="s">
        <v>52</v>
      </c>
      <c r="X38" s="238" t="s">
        <v>36</v>
      </c>
      <c r="Y38" s="238" t="s">
        <v>36</v>
      </c>
      <c r="Z38" s="238" t="s">
        <v>36</v>
      </c>
      <c r="AA38" s="242" t="s">
        <v>3</v>
      </c>
      <c r="AB38" s="238" t="s">
        <v>38</v>
      </c>
      <c r="AC38" s="234" t="s">
        <v>0</v>
      </c>
      <c r="AD38" s="234" t="s">
        <v>1</v>
      </c>
      <c r="AE38" s="239" t="s">
        <v>52</v>
      </c>
      <c r="AF38" s="239" t="s">
        <v>0</v>
      </c>
      <c r="AG38" s="234" t="s">
        <v>1</v>
      </c>
      <c r="AH38" s="234" t="s">
        <v>0</v>
      </c>
      <c r="AI38" s="238" t="s">
        <v>36</v>
      </c>
      <c r="AJ38" s="238" t="s">
        <v>38</v>
      </c>
      <c r="AK38" s="238" t="s">
        <v>38</v>
      </c>
      <c r="AL38" s="238" t="s">
        <v>38</v>
      </c>
      <c r="AM38" s="238" t="s">
        <v>38</v>
      </c>
      <c r="AN38" s="246" t="s">
        <v>0</v>
      </c>
      <c r="AO38" s="241" t="s">
        <v>52</v>
      </c>
      <c r="AP38" s="45">
        <v>0</v>
      </c>
      <c r="AQ38" s="46">
        <f t="shared" si="1"/>
        <v>0</v>
      </c>
      <c r="AR38" s="46">
        <v>0</v>
      </c>
      <c r="AS38" s="134">
        <f t="shared" si="10"/>
        <v>0</v>
      </c>
      <c r="AT38" s="139" t="s">
        <v>126</v>
      </c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</row>
    <row r="39" spans="1:226" ht="25.5" customHeight="1">
      <c r="A39" s="38">
        <f t="shared" si="2"/>
        <v>6</v>
      </c>
      <c r="B39" s="39">
        <f t="shared" si="3"/>
        <v>0</v>
      </c>
      <c r="C39" s="40">
        <f t="shared" si="4"/>
        <v>15</v>
      </c>
      <c r="D39" s="39">
        <f t="shared" si="5"/>
        <v>1</v>
      </c>
      <c r="E39" s="41">
        <f t="shared" si="6"/>
        <v>0</v>
      </c>
      <c r="F39" s="41">
        <f t="shared" si="7"/>
        <v>5</v>
      </c>
      <c r="G39" s="41">
        <f t="shared" si="8"/>
        <v>4</v>
      </c>
      <c r="H39" s="41">
        <f t="shared" si="9"/>
        <v>0</v>
      </c>
      <c r="I39" s="177">
        <f t="shared" si="0"/>
        <v>31</v>
      </c>
      <c r="J39" s="193" t="s">
        <v>57</v>
      </c>
      <c r="K39" s="245" t="s">
        <v>36</v>
      </c>
      <c r="L39" s="238" t="s">
        <v>36</v>
      </c>
      <c r="M39" s="242" t="s">
        <v>3</v>
      </c>
      <c r="N39" s="234" t="s">
        <v>0</v>
      </c>
      <c r="O39" s="238" t="s">
        <v>40</v>
      </c>
      <c r="P39" s="238" t="s">
        <v>40</v>
      </c>
      <c r="Q39" s="239" t="s">
        <v>52</v>
      </c>
      <c r="R39" s="239" t="s">
        <v>0</v>
      </c>
      <c r="S39" s="238" t="s">
        <v>36</v>
      </c>
      <c r="T39" s="238" t="s">
        <v>36</v>
      </c>
      <c r="U39" s="238" t="s">
        <v>36</v>
      </c>
      <c r="V39" s="238" t="s">
        <v>52</v>
      </c>
      <c r="W39" s="238" t="s">
        <v>40</v>
      </c>
      <c r="X39" s="238" t="s">
        <v>40</v>
      </c>
      <c r="Y39" s="238" t="s">
        <v>40</v>
      </c>
      <c r="Z39" s="238" t="s">
        <v>40</v>
      </c>
      <c r="AA39" s="238" t="s">
        <v>0</v>
      </c>
      <c r="AB39" s="238" t="s">
        <v>40</v>
      </c>
      <c r="AC39" s="238" t="s">
        <v>40</v>
      </c>
      <c r="AD39" s="238" t="s">
        <v>40</v>
      </c>
      <c r="AE39" s="239" t="s">
        <v>52</v>
      </c>
      <c r="AF39" s="239" t="s">
        <v>0</v>
      </c>
      <c r="AG39" s="238" t="s">
        <v>40</v>
      </c>
      <c r="AH39" s="238" t="s">
        <v>40</v>
      </c>
      <c r="AI39" s="238" t="s">
        <v>52</v>
      </c>
      <c r="AJ39" s="238" t="s">
        <v>40</v>
      </c>
      <c r="AK39" s="238" t="s">
        <v>40</v>
      </c>
      <c r="AL39" s="238" t="s">
        <v>40</v>
      </c>
      <c r="AM39" s="238" t="s">
        <v>40</v>
      </c>
      <c r="AN39" s="234" t="s">
        <v>0</v>
      </c>
      <c r="AO39" s="241" t="s">
        <v>36</v>
      </c>
      <c r="AP39" s="45">
        <v>0</v>
      </c>
      <c r="AQ39" s="46">
        <f t="shared" si="1"/>
        <v>0</v>
      </c>
      <c r="AR39" s="46">
        <v>0</v>
      </c>
      <c r="AS39" s="134">
        <f t="shared" si="10"/>
        <v>0</v>
      </c>
      <c r="AT39" s="139" t="s">
        <v>126</v>
      </c>
    </row>
    <row r="40" spans="1:226" ht="25.5" customHeight="1" thickBot="1">
      <c r="A40" s="69">
        <f t="shared" si="2"/>
        <v>9</v>
      </c>
      <c r="B40" s="70">
        <f t="shared" si="3"/>
        <v>1</v>
      </c>
      <c r="C40" s="71">
        <f t="shared" si="4"/>
        <v>5</v>
      </c>
      <c r="D40" s="70">
        <f t="shared" si="5"/>
        <v>6</v>
      </c>
      <c r="E40" s="63">
        <f t="shared" si="6"/>
        <v>1</v>
      </c>
      <c r="F40" s="63">
        <f t="shared" si="7"/>
        <v>5</v>
      </c>
      <c r="G40" s="63">
        <f t="shared" si="8"/>
        <v>4</v>
      </c>
      <c r="H40" s="63">
        <f t="shared" si="9"/>
        <v>0</v>
      </c>
      <c r="I40" s="178">
        <f t="shared" si="0"/>
        <v>31</v>
      </c>
      <c r="J40" s="266" t="s">
        <v>28</v>
      </c>
      <c r="K40" s="247" t="s">
        <v>40</v>
      </c>
      <c r="L40" s="248" t="s">
        <v>0</v>
      </c>
      <c r="M40" s="182" t="s">
        <v>3</v>
      </c>
      <c r="N40" s="182">
        <v>1</v>
      </c>
      <c r="O40" s="234" t="s">
        <v>1</v>
      </c>
      <c r="P40" s="182">
        <v>1</v>
      </c>
      <c r="Q40" s="249" t="s">
        <v>52</v>
      </c>
      <c r="R40" s="249" t="s">
        <v>0</v>
      </c>
      <c r="S40" s="248">
        <v>1</v>
      </c>
      <c r="T40" s="182" t="s">
        <v>3</v>
      </c>
      <c r="U40" s="182" t="s">
        <v>3</v>
      </c>
      <c r="V40" s="248">
        <v>1</v>
      </c>
      <c r="W40" s="248" t="s">
        <v>0</v>
      </c>
      <c r="X40" s="248" t="s">
        <v>40</v>
      </c>
      <c r="Y40" s="248" t="s">
        <v>40</v>
      </c>
      <c r="Z40" s="248" t="s">
        <v>52</v>
      </c>
      <c r="AA40" s="248">
        <v>1</v>
      </c>
      <c r="AB40" s="182" t="s">
        <v>3</v>
      </c>
      <c r="AC40" s="248">
        <v>1</v>
      </c>
      <c r="AD40" s="248">
        <v>1</v>
      </c>
      <c r="AE40" s="249" t="s">
        <v>52</v>
      </c>
      <c r="AF40" s="249" t="s">
        <v>0</v>
      </c>
      <c r="AG40" s="248" t="s">
        <v>36</v>
      </c>
      <c r="AH40" s="182" t="s">
        <v>3</v>
      </c>
      <c r="AI40" s="182" t="s">
        <v>3</v>
      </c>
      <c r="AJ40" s="248" t="s">
        <v>36</v>
      </c>
      <c r="AK40" s="248" t="s">
        <v>52</v>
      </c>
      <c r="AL40" s="248" t="s">
        <v>40</v>
      </c>
      <c r="AM40" s="248" t="s">
        <v>40</v>
      </c>
      <c r="AN40" s="255" t="s">
        <v>0</v>
      </c>
      <c r="AO40" s="252" t="s">
        <v>38</v>
      </c>
      <c r="AP40" s="73">
        <v>0</v>
      </c>
      <c r="AQ40" s="74">
        <f t="shared" si="1"/>
        <v>0</v>
      </c>
      <c r="AR40" s="74">
        <v>0</v>
      </c>
      <c r="AS40" s="127">
        <f t="shared" si="10"/>
        <v>0</v>
      </c>
      <c r="AT40" s="140" t="s">
        <v>126</v>
      </c>
    </row>
    <row r="41" spans="1:226" s="50" customFormat="1" ht="24.75" customHeight="1">
      <c r="A41" s="23">
        <f>COUNTIF(K41:AO41,1)+COUNTIF(K41:AO41,"早")+COUNTIF(K41:AO41,"M1")+COUNTIF(K41:AO41,"T早")+COUNTIF(K41:AO41,"日")</f>
        <v>4</v>
      </c>
      <c r="B41" s="24">
        <f>COUNTIF(K41:AO41,2)+COUNTIF(K41:AO41,"中")+COUNTIF(K41:AO41,"M2")+COUNTIF(K41:AO41,"T中")+COUNTIF(K41:AO41,"小夜")</f>
        <v>0</v>
      </c>
      <c r="C41" s="25">
        <f>COUNTIF(K41:AO41,3)+COUNTIF(K41:AO41,"晚")+COUNTIF(K41:AO41,"大夜")</f>
        <v>12</v>
      </c>
      <c r="D41" s="24">
        <f>COUNTIF(K41:AO41,"N")+COUNTIF(K41:AO41,"N8")</f>
        <v>6</v>
      </c>
      <c r="E41" s="26">
        <f>COUNTIF(K41:AO41,"S")</f>
        <v>0</v>
      </c>
      <c r="F41" s="26">
        <f>COUNTIF(K41:AO41,"X")</f>
        <v>5</v>
      </c>
      <c r="G41" s="26">
        <f>COUNTIF(K41:AO41,"Y")</f>
        <v>4</v>
      </c>
      <c r="H41" s="26">
        <f>COUNTIF(K41:AO41,"Z")</f>
        <v>0</v>
      </c>
      <c r="I41" s="176">
        <f>SUM(A41:H41)</f>
        <v>31</v>
      </c>
      <c r="J41" s="278" t="s">
        <v>142</v>
      </c>
      <c r="K41" s="226" t="s">
        <v>0</v>
      </c>
      <c r="L41" s="29" t="s">
        <v>3</v>
      </c>
      <c r="M41" s="29" t="s">
        <v>3</v>
      </c>
      <c r="N41" s="33" t="s">
        <v>0</v>
      </c>
      <c r="O41" s="29" t="s">
        <v>54</v>
      </c>
      <c r="P41" s="29" t="s">
        <v>54</v>
      </c>
      <c r="Q41" s="31" t="s">
        <v>52</v>
      </c>
      <c r="R41" s="31" t="s">
        <v>0</v>
      </c>
      <c r="S41" s="29" t="s">
        <v>54</v>
      </c>
      <c r="T41" s="29" t="s">
        <v>3</v>
      </c>
      <c r="U41" s="29" t="s">
        <v>52</v>
      </c>
      <c r="V41" s="29" t="s">
        <v>55</v>
      </c>
      <c r="W41" s="29" t="s">
        <v>55</v>
      </c>
      <c r="X41" s="29" t="s">
        <v>55</v>
      </c>
      <c r="Y41" s="29" t="s">
        <v>55</v>
      </c>
      <c r="Z41" s="29" t="s">
        <v>55</v>
      </c>
      <c r="AA41" s="29" t="s">
        <v>55</v>
      </c>
      <c r="AB41" s="29" t="s">
        <v>52</v>
      </c>
      <c r="AC41" s="29" t="s">
        <v>55</v>
      </c>
      <c r="AD41" s="29" t="s">
        <v>55</v>
      </c>
      <c r="AE41" s="29" t="s">
        <v>55</v>
      </c>
      <c r="AF41" s="29" t="s">
        <v>55</v>
      </c>
      <c r="AG41" s="29" t="s">
        <v>55</v>
      </c>
      <c r="AH41" s="29" t="s">
        <v>55</v>
      </c>
      <c r="AI41" s="29" t="s">
        <v>0</v>
      </c>
      <c r="AJ41" s="29" t="s">
        <v>3</v>
      </c>
      <c r="AK41" s="29" t="s">
        <v>54</v>
      </c>
      <c r="AL41" s="31" t="s">
        <v>52</v>
      </c>
      <c r="AM41" s="31" t="s">
        <v>0</v>
      </c>
      <c r="AN41" s="29" t="s">
        <v>3</v>
      </c>
      <c r="AO41" s="34" t="s">
        <v>3</v>
      </c>
      <c r="AP41" s="35">
        <v>0</v>
      </c>
      <c r="AQ41" s="36">
        <f t="shared" si="1"/>
        <v>0</v>
      </c>
      <c r="AR41" s="36">
        <v>0</v>
      </c>
      <c r="AS41" s="133">
        <f t="shared" si="10"/>
        <v>0</v>
      </c>
      <c r="AT41" s="138" t="s">
        <v>128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</row>
    <row r="42" spans="1:226" s="50" customFormat="1" ht="24.75" customHeight="1">
      <c r="A42" s="38">
        <f t="shared" ref="A42:A45" si="23">COUNTIF(K42:AO42,1)+COUNTIF(K42:AO42,"早")+COUNTIF(K42:AO42,"M1")+COUNTIF(K42:AO42,"T早")+COUNTIF(K42:AO42,"日")</f>
        <v>3</v>
      </c>
      <c r="B42" s="39">
        <f t="shared" ref="B42:B45" si="24">COUNTIF(K42:AO42,2)+COUNTIF(K42:AO42,"中")+COUNTIF(K42:AO42,"M2")+COUNTIF(K42:AO42,"T中")+COUNTIF(K42:AO42,"小夜")</f>
        <v>12</v>
      </c>
      <c r="C42" s="40">
        <f t="shared" ref="C42:C45" si="25">COUNTIF(K42:AO42,3)+COUNTIF(K42:AO42,"晚")+COUNTIF(K42:AO42,"大夜")</f>
        <v>0</v>
      </c>
      <c r="D42" s="39">
        <f t="shared" ref="D42:D45" si="26">COUNTIF(K42:AO42,"N")+COUNTIF(K42:AO42,"N8")</f>
        <v>5</v>
      </c>
      <c r="E42" s="41">
        <f t="shared" ref="E42:E45" si="27">COUNTIF(K42:AO42,"S")</f>
        <v>2</v>
      </c>
      <c r="F42" s="41">
        <f t="shared" ref="F42:F45" si="28">COUNTIF(K42:AO42,"X")</f>
        <v>5</v>
      </c>
      <c r="G42" s="41">
        <f t="shared" ref="G42:G45" si="29">COUNTIF(K42:AO42,"Y")</f>
        <v>4</v>
      </c>
      <c r="H42" s="41">
        <f t="shared" ref="H42:H45" si="30">COUNTIF(K42:AO42,"Z")</f>
        <v>0</v>
      </c>
      <c r="I42" s="177">
        <f t="shared" ref="I42:I45" si="31">SUM(A42:H42)</f>
        <v>31</v>
      </c>
      <c r="J42" s="276" t="s">
        <v>29</v>
      </c>
      <c r="K42" s="137" t="s">
        <v>0</v>
      </c>
      <c r="L42" s="30" t="s">
        <v>3</v>
      </c>
      <c r="M42" s="30" t="s">
        <v>54</v>
      </c>
      <c r="N42" s="234" t="s">
        <v>1</v>
      </c>
      <c r="O42" s="30" t="s">
        <v>56</v>
      </c>
      <c r="P42" s="30" t="s">
        <v>56</v>
      </c>
      <c r="Q42" s="44" t="s">
        <v>52</v>
      </c>
      <c r="R42" s="44" t="s">
        <v>0</v>
      </c>
      <c r="S42" s="30" t="s">
        <v>3</v>
      </c>
      <c r="T42" s="30" t="s">
        <v>56</v>
      </c>
      <c r="U42" s="30" t="s">
        <v>56</v>
      </c>
      <c r="V42" s="30" t="s">
        <v>56</v>
      </c>
      <c r="W42" s="30" t="s">
        <v>0</v>
      </c>
      <c r="X42" s="30" t="s">
        <v>54</v>
      </c>
      <c r="Y42" s="30" t="s">
        <v>54</v>
      </c>
      <c r="Z42" s="234" t="s">
        <v>1</v>
      </c>
      <c r="AA42" s="30" t="s">
        <v>3</v>
      </c>
      <c r="AB42" s="30" t="s">
        <v>56</v>
      </c>
      <c r="AC42" s="30" t="s">
        <v>52</v>
      </c>
      <c r="AD42" s="30" t="s">
        <v>0</v>
      </c>
      <c r="AE42" s="30" t="s">
        <v>56</v>
      </c>
      <c r="AF42" s="30" t="s">
        <v>56</v>
      </c>
      <c r="AG42" s="30" t="s">
        <v>56</v>
      </c>
      <c r="AH42" s="30" t="s">
        <v>56</v>
      </c>
      <c r="AI42" s="30" t="s">
        <v>52</v>
      </c>
      <c r="AJ42" s="30" t="s">
        <v>3</v>
      </c>
      <c r="AK42" s="30" t="s">
        <v>3</v>
      </c>
      <c r="AL42" s="44" t="s">
        <v>52</v>
      </c>
      <c r="AM42" s="44" t="s">
        <v>0</v>
      </c>
      <c r="AN42" s="30" t="s">
        <v>56</v>
      </c>
      <c r="AO42" s="48" t="s">
        <v>56</v>
      </c>
      <c r="AP42" s="45">
        <v>0</v>
      </c>
      <c r="AQ42" s="46">
        <f t="shared" si="1"/>
        <v>0</v>
      </c>
      <c r="AR42" s="46">
        <v>0</v>
      </c>
      <c r="AS42" s="134">
        <f t="shared" si="10"/>
        <v>0</v>
      </c>
      <c r="AT42" s="139" t="s">
        <v>128</v>
      </c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</row>
    <row r="43" spans="1:226" ht="25.5" customHeight="1">
      <c r="A43" s="38">
        <f t="shared" si="23"/>
        <v>6</v>
      </c>
      <c r="B43" s="39">
        <f t="shared" si="24"/>
        <v>8</v>
      </c>
      <c r="C43" s="40">
        <f t="shared" si="25"/>
        <v>2</v>
      </c>
      <c r="D43" s="39">
        <f t="shared" si="26"/>
        <v>4</v>
      </c>
      <c r="E43" s="41">
        <f t="shared" si="27"/>
        <v>2</v>
      </c>
      <c r="F43" s="41">
        <f t="shared" si="28"/>
        <v>5</v>
      </c>
      <c r="G43" s="41">
        <f t="shared" si="29"/>
        <v>4</v>
      </c>
      <c r="H43" s="41">
        <f t="shared" si="30"/>
        <v>0</v>
      </c>
      <c r="I43" s="177">
        <f t="shared" si="31"/>
        <v>31</v>
      </c>
      <c r="J43" s="275" t="s">
        <v>30</v>
      </c>
      <c r="K43" s="137" t="s">
        <v>0</v>
      </c>
      <c r="L43" s="30" t="s">
        <v>56</v>
      </c>
      <c r="M43" s="30" t="s">
        <v>56</v>
      </c>
      <c r="N43" s="30" t="s">
        <v>56</v>
      </c>
      <c r="O43" s="30" t="s">
        <v>52</v>
      </c>
      <c r="P43" s="30" t="s">
        <v>3</v>
      </c>
      <c r="Q43" s="30" t="s">
        <v>56</v>
      </c>
      <c r="R43" s="30" t="s">
        <v>56</v>
      </c>
      <c r="S43" s="30" t="s">
        <v>0</v>
      </c>
      <c r="T43" s="30" t="s">
        <v>54</v>
      </c>
      <c r="U43" s="30" t="s">
        <v>3</v>
      </c>
      <c r="V43" s="30" t="s">
        <v>3</v>
      </c>
      <c r="W43" s="30" t="s">
        <v>54</v>
      </c>
      <c r="X43" s="44" t="s">
        <v>52</v>
      </c>
      <c r="Y43" s="44" t="s">
        <v>0</v>
      </c>
      <c r="Z43" s="30" t="s">
        <v>0</v>
      </c>
      <c r="AA43" s="30" t="s">
        <v>54</v>
      </c>
      <c r="AB43" s="30" t="s">
        <v>54</v>
      </c>
      <c r="AC43" s="234" t="s">
        <v>1</v>
      </c>
      <c r="AD43" s="234" t="s">
        <v>1</v>
      </c>
      <c r="AE43" s="30" t="s">
        <v>54</v>
      </c>
      <c r="AF43" s="30" t="s">
        <v>54</v>
      </c>
      <c r="AG43" s="30" t="s">
        <v>52</v>
      </c>
      <c r="AH43" s="30" t="s">
        <v>3</v>
      </c>
      <c r="AI43" s="30" t="s">
        <v>56</v>
      </c>
      <c r="AJ43" s="30" t="s">
        <v>56</v>
      </c>
      <c r="AK43" s="30" t="s">
        <v>56</v>
      </c>
      <c r="AL43" s="44" t="s">
        <v>52</v>
      </c>
      <c r="AM43" s="44" t="s">
        <v>0</v>
      </c>
      <c r="AN43" s="30" t="s">
        <v>55</v>
      </c>
      <c r="AO43" s="48" t="s">
        <v>55</v>
      </c>
      <c r="AP43" s="45">
        <v>0</v>
      </c>
      <c r="AQ43" s="46">
        <f t="shared" si="1"/>
        <v>0</v>
      </c>
      <c r="AR43" s="46">
        <v>0</v>
      </c>
      <c r="AS43" s="134">
        <f t="shared" si="10"/>
        <v>0</v>
      </c>
      <c r="AT43" s="139" t="s">
        <v>128</v>
      </c>
    </row>
    <row r="44" spans="1:226" s="50" customFormat="1" ht="25.5" customHeight="1">
      <c r="A44" s="38">
        <f t="shared" si="23"/>
        <v>6</v>
      </c>
      <c r="B44" s="39">
        <f t="shared" si="24"/>
        <v>7</v>
      </c>
      <c r="C44" s="40">
        <f t="shared" si="25"/>
        <v>3</v>
      </c>
      <c r="D44" s="39">
        <f t="shared" si="26"/>
        <v>4</v>
      </c>
      <c r="E44" s="41">
        <f t="shared" si="27"/>
        <v>2</v>
      </c>
      <c r="F44" s="41">
        <f t="shared" si="28"/>
        <v>5</v>
      </c>
      <c r="G44" s="41">
        <f t="shared" si="29"/>
        <v>4</v>
      </c>
      <c r="H44" s="41">
        <f t="shared" si="30"/>
        <v>0</v>
      </c>
      <c r="I44" s="177">
        <f t="shared" si="31"/>
        <v>31</v>
      </c>
      <c r="J44" s="275" t="s">
        <v>31</v>
      </c>
      <c r="K44" s="49" t="s">
        <v>54</v>
      </c>
      <c r="L44" s="30" t="s">
        <v>54</v>
      </c>
      <c r="M44" s="30" t="s">
        <v>0</v>
      </c>
      <c r="N44" s="30" t="s">
        <v>3</v>
      </c>
      <c r="O44" s="30" t="s">
        <v>3</v>
      </c>
      <c r="P44" s="234" t="s">
        <v>1</v>
      </c>
      <c r="Q44" s="44" t="s">
        <v>52</v>
      </c>
      <c r="R44" s="44" t="s">
        <v>0</v>
      </c>
      <c r="S44" s="30" t="s">
        <v>55</v>
      </c>
      <c r="T44" s="30" t="s">
        <v>55</v>
      </c>
      <c r="U44" s="30" t="s">
        <v>55</v>
      </c>
      <c r="V44" s="30" t="s">
        <v>0</v>
      </c>
      <c r="W44" s="30" t="s">
        <v>56</v>
      </c>
      <c r="X44" s="30" t="s">
        <v>56</v>
      </c>
      <c r="Y44" s="30" t="s">
        <v>56</v>
      </c>
      <c r="Z44" s="30" t="s">
        <v>56</v>
      </c>
      <c r="AA44" s="30" t="s">
        <v>56</v>
      </c>
      <c r="AB44" s="32" t="s">
        <v>52</v>
      </c>
      <c r="AC44" s="30" t="s">
        <v>3</v>
      </c>
      <c r="AD44" s="30" t="s">
        <v>54</v>
      </c>
      <c r="AE44" s="44" t="s">
        <v>52</v>
      </c>
      <c r="AF44" s="44" t="s">
        <v>0</v>
      </c>
      <c r="AG44" s="30" t="s">
        <v>54</v>
      </c>
      <c r="AH44" s="30" t="s">
        <v>54</v>
      </c>
      <c r="AI44" s="30" t="s">
        <v>54</v>
      </c>
      <c r="AJ44" s="234" t="s">
        <v>1</v>
      </c>
      <c r="AK44" s="30" t="s">
        <v>0</v>
      </c>
      <c r="AL44" s="30" t="s">
        <v>56</v>
      </c>
      <c r="AM44" s="30" t="s">
        <v>56</v>
      </c>
      <c r="AN44" s="30" t="s">
        <v>52</v>
      </c>
      <c r="AO44" s="48" t="s">
        <v>3</v>
      </c>
      <c r="AP44" s="45">
        <v>0</v>
      </c>
      <c r="AQ44" s="46">
        <f t="shared" si="1"/>
        <v>0</v>
      </c>
      <c r="AR44" s="46">
        <v>0</v>
      </c>
      <c r="AS44" s="134">
        <f t="shared" si="10"/>
        <v>0</v>
      </c>
      <c r="AT44" s="139" t="s">
        <v>126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</row>
    <row r="45" spans="1:226" s="50" customFormat="1" ht="25.5" customHeight="1">
      <c r="A45" s="38">
        <f t="shared" si="23"/>
        <v>6</v>
      </c>
      <c r="B45" s="39">
        <f t="shared" si="24"/>
        <v>3</v>
      </c>
      <c r="C45" s="40">
        <f t="shared" si="25"/>
        <v>7</v>
      </c>
      <c r="D45" s="39">
        <f t="shared" si="26"/>
        <v>6</v>
      </c>
      <c r="E45" s="41">
        <f t="shared" si="27"/>
        <v>0</v>
      </c>
      <c r="F45" s="41">
        <f t="shared" si="28"/>
        <v>5</v>
      </c>
      <c r="G45" s="41">
        <f t="shared" si="29"/>
        <v>4</v>
      </c>
      <c r="H45" s="41">
        <f t="shared" si="30"/>
        <v>0</v>
      </c>
      <c r="I45" s="177">
        <f t="shared" si="31"/>
        <v>31</v>
      </c>
      <c r="J45" s="275" t="s">
        <v>32</v>
      </c>
      <c r="K45" s="49" t="s">
        <v>56</v>
      </c>
      <c r="L45" s="41" t="s">
        <v>52</v>
      </c>
      <c r="M45" s="30" t="s">
        <v>55</v>
      </c>
      <c r="N45" s="30" t="s">
        <v>55</v>
      </c>
      <c r="O45" s="30" t="s">
        <v>55</v>
      </c>
      <c r="P45" s="30" t="s">
        <v>55</v>
      </c>
      <c r="Q45" s="30" t="s">
        <v>55</v>
      </c>
      <c r="R45" s="30" t="s">
        <v>55</v>
      </c>
      <c r="S45" s="30" t="s">
        <v>0</v>
      </c>
      <c r="T45" s="30" t="s">
        <v>3</v>
      </c>
      <c r="U45" s="30" t="s">
        <v>54</v>
      </c>
      <c r="V45" s="30" t="s">
        <v>54</v>
      </c>
      <c r="W45" s="30" t="s">
        <v>3</v>
      </c>
      <c r="X45" s="44" t="s">
        <v>52</v>
      </c>
      <c r="Y45" s="44" t="s">
        <v>0</v>
      </c>
      <c r="Z45" s="32" t="s">
        <v>0</v>
      </c>
      <c r="AA45" s="30" t="s">
        <v>0</v>
      </c>
      <c r="AB45" s="30" t="s">
        <v>55</v>
      </c>
      <c r="AC45" s="30" t="s">
        <v>56</v>
      </c>
      <c r="AD45" s="30" t="s">
        <v>56</v>
      </c>
      <c r="AE45" s="44" t="s">
        <v>52</v>
      </c>
      <c r="AF45" s="44" t="s">
        <v>0</v>
      </c>
      <c r="AG45" s="30" t="s">
        <v>3</v>
      </c>
      <c r="AH45" s="30" t="s">
        <v>3</v>
      </c>
      <c r="AI45" s="30" t="s">
        <v>3</v>
      </c>
      <c r="AJ45" s="30" t="s">
        <v>54</v>
      </c>
      <c r="AK45" s="30" t="s">
        <v>52</v>
      </c>
      <c r="AL45" s="30" t="s">
        <v>54</v>
      </c>
      <c r="AM45" s="30" t="s">
        <v>54</v>
      </c>
      <c r="AN45" s="30" t="s">
        <v>54</v>
      </c>
      <c r="AO45" s="48" t="s">
        <v>3</v>
      </c>
      <c r="AP45" s="45">
        <v>0</v>
      </c>
      <c r="AQ45" s="46">
        <f t="shared" si="1"/>
        <v>0</v>
      </c>
      <c r="AR45" s="46">
        <v>0</v>
      </c>
      <c r="AS45" s="134">
        <f t="shared" si="10"/>
        <v>0</v>
      </c>
      <c r="AT45" s="139" t="s">
        <v>126</v>
      </c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</row>
    <row r="46" spans="1:226" s="50" customFormat="1" ht="25.5" customHeight="1" thickBot="1">
      <c r="A46" s="69">
        <f t="shared" ref="A46" si="32">COUNTIF(K46:AO46,1)+COUNTIF(K46:AO46,"早")+COUNTIF(K46:AO46,"M1")+COUNTIF(K46:AO46,"T早")+COUNTIF(K46:AO46,"日")</f>
        <v>6</v>
      </c>
      <c r="B46" s="70">
        <f t="shared" ref="B46" si="33">COUNTIF(K46:AO46,2)+COUNTIF(K46:AO46,"中")+COUNTIF(K46:AO46,"M2")+COUNTIF(K46:AO46,"T中")+COUNTIF(K46:AO46,"小夜")</f>
        <v>1</v>
      </c>
      <c r="C46" s="71">
        <f t="shared" ref="C46" si="34">COUNTIF(K46:AO46,3)+COUNTIF(K46:AO46,"晚")+COUNTIF(K46:AO46,"大夜")</f>
        <v>7</v>
      </c>
      <c r="D46" s="70">
        <f t="shared" ref="D46" si="35">COUNTIF(K46:AO46,"N")+COUNTIF(K46:AO46,"N8")</f>
        <v>6</v>
      </c>
      <c r="E46" s="63">
        <f t="shared" ref="E46" si="36">COUNTIF(K46:AO46,"S")</f>
        <v>2</v>
      </c>
      <c r="F46" s="63">
        <f t="shared" ref="F46" si="37">COUNTIF(K46:AO46,"X")</f>
        <v>5</v>
      </c>
      <c r="G46" s="63">
        <f t="shared" ref="G46" si="38">COUNTIF(K46:AO46,"Y")</f>
        <v>4</v>
      </c>
      <c r="H46" s="63">
        <f t="shared" ref="H46" si="39">COUNTIF(K46:AO46,"Z")</f>
        <v>0</v>
      </c>
      <c r="I46" s="178">
        <f t="shared" ref="I46" si="40">SUM(A46:H46)</f>
        <v>31</v>
      </c>
      <c r="J46" s="277" t="s">
        <v>33</v>
      </c>
      <c r="K46" s="227" t="s">
        <v>55</v>
      </c>
      <c r="L46" s="60" t="s">
        <v>55</v>
      </c>
      <c r="M46" s="59" t="s">
        <v>0</v>
      </c>
      <c r="N46" s="60" t="s">
        <v>54</v>
      </c>
      <c r="O46" s="60" t="s">
        <v>3</v>
      </c>
      <c r="P46" s="60" t="s">
        <v>52</v>
      </c>
      <c r="Q46" s="60" t="s">
        <v>54</v>
      </c>
      <c r="R46" s="60" t="s">
        <v>54</v>
      </c>
      <c r="S46" s="60" t="s">
        <v>56</v>
      </c>
      <c r="T46" s="60" t="s">
        <v>0</v>
      </c>
      <c r="U46" s="60" t="s">
        <v>3</v>
      </c>
      <c r="V46" s="60" t="s">
        <v>3</v>
      </c>
      <c r="W46" s="60" t="s">
        <v>3</v>
      </c>
      <c r="X46" s="59" t="s">
        <v>52</v>
      </c>
      <c r="Y46" s="59" t="s">
        <v>0</v>
      </c>
      <c r="Z46" s="60" t="s">
        <v>54</v>
      </c>
      <c r="AA46" s="60" t="s">
        <v>3</v>
      </c>
      <c r="AB46" s="60" t="s">
        <v>3</v>
      </c>
      <c r="AC46" s="60" t="s">
        <v>54</v>
      </c>
      <c r="AD46" s="60" t="s">
        <v>0</v>
      </c>
      <c r="AE46" s="59" t="s">
        <v>52</v>
      </c>
      <c r="AF46" s="52" t="s">
        <v>1</v>
      </c>
      <c r="AG46" s="52" t="s">
        <v>1</v>
      </c>
      <c r="AH46" s="60" t="s">
        <v>0</v>
      </c>
      <c r="AI46" s="60" t="s">
        <v>55</v>
      </c>
      <c r="AJ46" s="60" t="s">
        <v>55</v>
      </c>
      <c r="AK46" s="60" t="s">
        <v>55</v>
      </c>
      <c r="AL46" s="60" t="s">
        <v>55</v>
      </c>
      <c r="AM46" s="60" t="s">
        <v>55</v>
      </c>
      <c r="AN46" s="52" t="s">
        <v>52</v>
      </c>
      <c r="AO46" s="61" t="s">
        <v>54</v>
      </c>
      <c r="AP46" s="73">
        <v>0</v>
      </c>
      <c r="AQ46" s="74">
        <f t="shared" si="1"/>
        <v>0</v>
      </c>
      <c r="AR46" s="74">
        <v>0</v>
      </c>
      <c r="AS46" s="127">
        <f t="shared" si="10"/>
        <v>0</v>
      </c>
      <c r="AT46" s="140" t="s">
        <v>126</v>
      </c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</row>
    <row r="47" spans="1:226" s="77" customFormat="1" ht="16.2">
      <c r="A47" s="75"/>
      <c r="B47" s="75"/>
      <c r="C47" s="75"/>
      <c r="D47" s="75"/>
      <c r="E47" s="76"/>
      <c r="I47" s="75"/>
      <c r="J47" s="78">
        <v>1</v>
      </c>
      <c r="K47" s="128" cm="2">
        <f t="array" ref="K47">SUMPRODUCT(COUNTIF(K4:K46,{"1";"M1"}))</f>
        <v>3</v>
      </c>
      <c r="L47" s="128" cm="2">
        <f t="array" ref="L47">SUMPRODUCT(COUNTIF(L4:L46,{"1";"M1"}))</f>
        <v>4</v>
      </c>
      <c r="M47" s="128" cm="2">
        <f t="array" ref="M47">SUMPRODUCT(COUNTIF(M4:M46,{"1";"M1"}))</f>
        <v>4</v>
      </c>
      <c r="N47" s="128" cm="2">
        <f t="array" ref="N47">SUMPRODUCT(COUNTIF(N4:N46,{"1";"M1"}))</f>
        <v>5</v>
      </c>
      <c r="O47" s="128" cm="2">
        <f t="array" ref="O47">SUMPRODUCT(COUNTIF(O4:O46,{"1";"M1"}))</f>
        <v>4</v>
      </c>
      <c r="P47" s="128" cm="2">
        <f t="array" ref="P47">SUMPRODUCT(COUNTIF(P4:P46,{"1";"M1"}))</f>
        <v>5</v>
      </c>
      <c r="Q47" s="128" cm="2">
        <f t="array" ref="Q47">SUMPRODUCT(COUNTIF(Q4:Q46,{"1";"M1"}))</f>
        <v>3</v>
      </c>
      <c r="R47" s="128" cm="2">
        <f t="array" ref="R47">SUMPRODUCT(COUNTIF(R4:R46,{"1";"M1"}))</f>
        <v>3</v>
      </c>
      <c r="S47" s="128" cm="2">
        <f t="array" ref="S47">SUMPRODUCT(COUNTIF(S4:S46,{"1";"M1"}))</f>
        <v>4</v>
      </c>
      <c r="T47" s="128" cm="2">
        <f t="array" ref="T47">SUMPRODUCT(COUNTIF(T4:T46,{"1";"M1"}))</f>
        <v>4</v>
      </c>
      <c r="U47" s="128" cm="2">
        <f t="array" ref="U47">SUMPRODUCT(COUNTIF(U4:U46,{"1";"M1"}))</f>
        <v>4</v>
      </c>
      <c r="V47" s="128" cm="2">
        <f t="array" ref="V47">SUMPRODUCT(COUNTIF(V4:V46,{"1";"M1"}))</f>
        <v>4</v>
      </c>
      <c r="W47" s="128" cm="2">
        <f t="array" ref="W47">SUMPRODUCT(COUNTIF(W4:W46,{"1";"M1"}))</f>
        <v>4</v>
      </c>
      <c r="X47" s="128" cm="2">
        <f t="array" ref="X47">SUMPRODUCT(COUNTIF(X4:X46,{"1";"M1"}))</f>
        <v>3</v>
      </c>
      <c r="Y47" s="128" cm="2">
        <f t="array" ref="Y47">SUMPRODUCT(COUNTIF(Y4:Y46,{"1";"M1"}))</f>
        <v>3</v>
      </c>
      <c r="Z47" s="128" cm="2">
        <f t="array" ref="Z47">SUMPRODUCT(COUNTIF(Z4:Z46,{"1";"M1"}))</f>
        <v>4</v>
      </c>
      <c r="AA47" s="128" cm="2">
        <f t="array" ref="AA47">SUMPRODUCT(COUNTIF(AA4:AA46,{"1";"M1"}))</f>
        <v>4</v>
      </c>
      <c r="AB47" s="128" cm="2">
        <f t="array" ref="AB47">SUMPRODUCT(COUNTIF(AB4:AB46,{"1";"M1"}))</f>
        <v>4</v>
      </c>
      <c r="AC47" s="128" cm="2">
        <f t="array" ref="AC47">SUMPRODUCT(COUNTIF(AC4:AC46,{"1";"M1"}))</f>
        <v>4</v>
      </c>
      <c r="AD47" s="128" cm="2">
        <f t="array" ref="AD47">SUMPRODUCT(COUNTIF(AD4:AD46,{"1";"M1"}))</f>
        <v>4</v>
      </c>
      <c r="AE47" s="128" cm="2">
        <f t="array" ref="AE47">SUMPRODUCT(COUNTIF(AE4:AE46,{"1";"M1"}))</f>
        <v>3</v>
      </c>
      <c r="AF47" s="128" cm="2">
        <f t="array" ref="AF47">SUMPRODUCT(COUNTIF(AF4:AF46,{"1";"M1"}))</f>
        <v>3</v>
      </c>
      <c r="AG47" s="128" cm="2">
        <f t="array" ref="AG47">SUMPRODUCT(COUNTIF(AG4:AG46,{"1";"M1"}))</f>
        <v>4</v>
      </c>
      <c r="AH47" s="128" cm="2">
        <f t="array" ref="AH47">SUMPRODUCT(COUNTIF(AH4:AH46,{"1";"M1"}))</f>
        <v>4</v>
      </c>
      <c r="AI47" s="128" cm="2">
        <f t="array" ref="AI47">SUMPRODUCT(COUNTIF(AI4:AI46,{"1";"M1"}))</f>
        <v>4</v>
      </c>
      <c r="AJ47" s="128" cm="2">
        <f t="array" ref="AJ47">SUMPRODUCT(COUNTIF(AJ4:AJ46,{"1";"M1"}))</f>
        <v>4</v>
      </c>
      <c r="AK47" s="128" cm="2">
        <f t="array" ref="AK47">SUMPRODUCT(COUNTIF(AK4:AK46,{"1";"M1"}))</f>
        <v>4</v>
      </c>
      <c r="AL47" s="128" cm="2">
        <f t="array" ref="AL47">SUMPRODUCT(COUNTIF(AL4:AL46,{"1";"M1"}))</f>
        <v>3</v>
      </c>
      <c r="AM47" s="128" cm="2">
        <f t="array" ref="AM47">SUMPRODUCT(COUNTIF(AM4:AM46,{"1";"M1"}))</f>
        <v>3</v>
      </c>
      <c r="AN47" s="128" cm="2">
        <f t="array" ref="AN47">SUMPRODUCT(COUNTIF(AN4:AN46,{"1";"M1"}))</f>
        <v>3</v>
      </c>
      <c r="AO47" s="128" cm="2">
        <f t="array" ref="AO47">SUMPRODUCT(COUNTIF(AO4:AO46,{"1";"M1"}))</f>
        <v>4</v>
      </c>
      <c r="AQ47" s="50"/>
      <c r="AR47" s="6"/>
      <c r="AS47" s="75"/>
      <c r="AT47" s="79"/>
    </row>
    <row r="48" spans="1:226" s="77" customFormat="1" ht="18" customHeight="1">
      <c r="A48" s="80"/>
      <c r="B48" s="80"/>
      <c r="C48" s="81"/>
      <c r="D48" s="81"/>
      <c r="E48" s="75"/>
      <c r="I48" s="81"/>
      <c r="J48" s="82">
        <v>2</v>
      </c>
      <c r="K48" s="129" cm="2">
        <f t="array" ref="K48">SUMPRODUCT(COUNTIF(K4:K46,{"2";"M2"}))</f>
        <v>3</v>
      </c>
      <c r="L48" s="129" cm="2">
        <f t="array" ref="L48">SUMPRODUCT(COUNTIF(L4:L46,{"2";"M2"}))</f>
        <v>5</v>
      </c>
      <c r="M48" s="129" cm="2">
        <f t="array" ref="M48">SUMPRODUCT(COUNTIF(M4:M46,{"2";"M2"}))</f>
        <v>4</v>
      </c>
      <c r="N48" s="129" cm="2">
        <f t="array" ref="N48">SUMPRODUCT(COUNTIF(N4:N46,{"2";"M2"}))</f>
        <v>4</v>
      </c>
      <c r="O48" s="129" cm="2">
        <f t="array" ref="O48">SUMPRODUCT(COUNTIF(O4:O46,{"2";"M2"}))</f>
        <v>4</v>
      </c>
      <c r="P48" s="129" cm="2">
        <f t="array" ref="P48">SUMPRODUCT(COUNTIF(P4:P46,{"2";"M2"}))</f>
        <v>4</v>
      </c>
      <c r="Q48" s="129" cm="2">
        <f t="array" ref="Q48">SUMPRODUCT(COUNTIF(Q4:Q46,{"2";"M2"}))</f>
        <v>3</v>
      </c>
      <c r="R48" s="129" cm="2">
        <f t="array" ref="R48">SUMPRODUCT(COUNTIF(R4:R46,{"2";"M2"}))</f>
        <v>3</v>
      </c>
      <c r="S48" s="129" cm="2">
        <f t="array" ref="S48">SUMPRODUCT(COUNTIF(S4:S46,{"2";"M2"}))</f>
        <v>4</v>
      </c>
      <c r="T48" s="129" cm="2">
        <f t="array" ref="T48">SUMPRODUCT(COUNTIF(T4:T46,{"2";"M2"}))</f>
        <v>4</v>
      </c>
      <c r="U48" s="129" cm="2">
        <f t="array" ref="U48">SUMPRODUCT(COUNTIF(U4:U46,{"2";"M2"}))</f>
        <v>4</v>
      </c>
      <c r="V48" s="129" cm="2">
        <f t="array" ref="V48">SUMPRODUCT(COUNTIF(V4:V46,{"2";"M2"}))</f>
        <v>4</v>
      </c>
      <c r="W48" s="129" cm="2">
        <f t="array" ref="W48">SUMPRODUCT(COUNTIF(W4:W46,{"2";"M2"}))</f>
        <v>4</v>
      </c>
      <c r="X48" s="129" cm="2">
        <f t="array" ref="X48">SUMPRODUCT(COUNTIF(X4:X46,{"2";"M2"}))</f>
        <v>3</v>
      </c>
      <c r="Y48" s="129" cm="2">
        <f t="array" ref="Y48">SUMPRODUCT(COUNTIF(Y4:Y46,{"2";"M2"}))</f>
        <v>3</v>
      </c>
      <c r="Z48" s="129" cm="2">
        <f t="array" ref="Z48">SUMPRODUCT(COUNTIF(Z4:Z46,{"2";"M2"}))</f>
        <v>4</v>
      </c>
      <c r="AA48" s="129" cm="2">
        <f t="array" ref="AA48">SUMPRODUCT(COUNTIF(AA4:AA46,{"2";"M2"}))</f>
        <v>4</v>
      </c>
      <c r="AB48" s="129" cm="2">
        <f t="array" ref="AB48">SUMPRODUCT(COUNTIF(AB4:AB46,{"2";"M2"}))</f>
        <v>4</v>
      </c>
      <c r="AC48" s="129" cm="2">
        <f t="array" ref="AC48">SUMPRODUCT(COUNTIF(AC4:AC46,{"2";"M2"}))</f>
        <v>4</v>
      </c>
      <c r="AD48" s="129" cm="2">
        <f t="array" ref="AD48">SUMPRODUCT(COUNTIF(AD4:AD46,{"2";"M2"}))</f>
        <v>4</v>
      </c>
      <c r="AE48" s="129" cm="2">
        <f t="array" ref="AE48">SUMPRODUCT(COUNTIF(AE4:AE46,{"2";"M2"}))</f>
        <v>3</v>
      </c>
      <c r="AF48" s="129" cm="2">
        <f t="array" ref="AF48">SUMPRODUCT(COUNTIF(AF4:AF46,{"2";"M2"}))</f>
        <v>3</v>
      </c>
      <c r="AG48" s="129" cm="2">
        <f t="array" ref="AG48">SUMPRODUCT(COUNTIF(AG4:AG46,{"2";"M2"}))</f>
        <v>4</v>
      </c>
      <c r="AH48" s="129" cm="2">
        <f t="array" ref="AH48">SUMPRODUCT(COUNTIF(AH4:AH46,{"2";"M2"}))</f>
        <v>4</v>
      </c>
      <c r="AI48" s="129" cm="2">
        <f t="array" ref="AI48">SUMPRODUCT(COUNTIF(AI4:AI46,{"2";"M2"}))</f>
        <v>4</v>
      </c>
      <c r="AJ48" s="129" cm="2">
        <f t="array" ref="AJ48">SUMPRODUCT(COUNTIF(AJ4:AJ46,{"2";"M2"}))</f>
        <v>4</v>
      </c>
      <c r="AK48" s="129" cm="2">
        <f t="array" ref="AK48">SUMPRODUCT(COUNTIF(AK4:AK46,{"2";"M2"}))</f>
        <v>4</v>
      </c>
      <c r="AL48" s="129" cm="2">
        <f t="array" ref="AL48">SUMPRODUCT(COUNTIF(AL4:AL46,{"2";"M2"}))</f>
        <v>3</v>
      </c>
      <c r="AM48" s="129" cm="2">
        <f t="array" ref="AM48">SUMPRODUCT(COUNTIF(AM4:AM46,{"2";"M2"}))</f>
        <v>3</v>
      </c>
      <c r="AN48" s="129" cm="2">
        <f t="array" ref="AN48">SUMPRODUCT(COUNTIF(AN4:AN46,{"2";"M2"}))</f>
        <v>4</v>
      </c>
      <c r="AO48" s="129" cm="2">
        <f t="array" ref="AO48">SUMPRODUCT(COUNTIF(AO4:AO46,{"2";"M2"}))</f>
        <v>4</v>
      </c>
      <c r="AQ48" s="50"/>
      <c r="AR48" s="6" t="s">
        <v>34</v>
      </c>
      <c r="AS48" s="75" t="s">
        <v>35</v>
      </c>
      <c r="AT48" s="84"/>
    </row>
    <row r="49" spans="1:47" s="77" customFormat="1" ht="18" customHeight="1" thickBot="1">
      <c r="A49" s="80"/>
      <c r="B49" s="80"/>
      <c r="C49" s="81"/>
      <c r="D49" s="81"/>
      <c r="E49" s="75"/>
      <c r="I49" s="81"/>
      <c r="J49" s="85">
        <v>3</v>
      </c>
      <c r="K49" s="130">
        <f t="shared" ref="K49:AO49" si="41">COUNTIF(K4:K46,3)</f>
        <v>2</v>
      </c>
      <c r="L49" s="130">
        <f t="shared" si="41"/>
        <v>3</v>
      </c>
      <c r="M49" s="130">
        <f t="shared" ref="M49:U49" si="42">COUNTIF(M4:M46,3)</f>
        <v>3</v>
      </c>
      <c r="N49" s="130">
        <f t="shared" si="42"/>
        <v>3</v>
      </c>
      <c r="O49" s="130">
        <f t="shared" si="42"/>
        <v>3</v>
      </c>
      <c r="P49" s="130">
        <f t="shared" si="42"/>
        <v>3</v>
      </c>
      <c r="Q49" s="130">
        <f t="shared" si="42"/>
        <v>2</v>
      </c>
      <c r="R49" s="130">
        <f t="shared" si="42"/>
        <v>2</v>
      </c>
      <c r="S49" s="130">
        <f t="shared" si="42"/>
        <v>3</v>
      </c>
      <c r="T49" s="130">
        <f t="shared" si="42"/>
        <v>3</v>
      </c>
      <c r="U49" s="130">
        <f t="shared" si="42"/>
        <v>3</v>
      </c>
      <c r="V49" s="130">
        <f t="shared" si="41"/>
        <v>3</v>
      </c>
      <c r="W49" s="130">
        <f t="shared" si="41"/>
        <v>3</v>
      </c>
      <c r="X49" s="130">
        <f t="shared" si="41"/>
        <v>2</v>
      </c>
      <c r="Y49" s="130">
        <f t="shared" si="41"/>
        <v>2</v>
      </c>
      <c r="Z49" s="130">
        <f t="shared" si="41"/>
        <v>3</v>
      </c>
      <c r="AA49" s="130">
        <f t="shared" si="41"/>
        <v>3</v>
      </c>
      <c r="AB49" s="130">
        <f t="shared" si="41"/>
        <v>3</v>
      </c>
      <c r="AC49" s="130">
        <f t="shared" si="41"/>
        <v>3</v>
      </c>
      <c r="AD49" s="130">
        <f t="shared" si="41"/>
        <v>3</v>
      </c>
      <c r="AE49" s="130">
        <f t="shared" si="41"/>
        <v>2</v>
      </c>
      <c r="AF49" s="130">
        <f t="shared" si="41"/>
        <v>2</v>
      </c>
      <c r="AG49" s="130">
        <f t="shared" si="41"/>
        <v>3</v>
      </c>
      <c r="AH49" s="130">
        <f t="shared" si="41"/>
        <v>3</v>
      </c>
      <c r="AI49" s="130">
        <f t="shared" si="41"/>
        <v>3</v>
      </c>
      <c r="AJ49" s="130">
        <f t="shared" si="41"/>
        <v>3</v>
      </c>
      <c r="AK49" s="130">
        <f t="shared" si="41"/>
        <v>3</v>
      </c>
      <c r="AL49" s="130">
        <f t="shared" si="41"/>
        <v>2</v>
      </c>
      <c r="AM49" s="130">
        <f t="shared" si="41"/>
        <v>2</v>
      </c>
      <c r="AN49" s="130">
        <f t="shared" si="41"/>
        <v>3</v>
      </c>
      <c r="AO49" s="130">
        <f t="shared" si="41"/>
        <v>3</v>
      </c>
      <c r="AQ49" s="75" t="s">
        <v>109</v>
      </c>
      <c r="AR49" s="75">
        <f>37*31</f>
        <v>1147</v>
      </c>
      <c r="AS49" s="75">
        <f>6*31</f>
        <v>186</v>
      </c>
      <c r="AT49" s="84"/>
    </row>
    <row r="50" spans="1:47" s="77" customFormat="1" ht="18" customHeight="1">
      <c r="A50" s="80"/>
      <c r="B50" s="80"/>
      <c r="C50" s="81"/>
      <c r="D50" s="81"/>
      <c r="E50" s="75"/>
      <c r="I50" s="81"/>
      <c r="J50" s="86" t="s">
        <v>36</v>
      </c>
      <c r="K50" s="128" cm="2">
        <f t="array" ref="K50">SUMPRODUCT(COUNTIF(K4:K46,{"早";"T早"}))</f>
        <v>3</v>
      </c>
      <c r="L50" s="128" cm="2">
        <f t="array" ref="L50">SUMPRODUCT(COUNTIF(L4:L46,{"早";"T早"}))</f>
        <v>5</v>
      </c>
      <c r="M50" s="128" cm="2">
        <f t="array" ref="M50">SUMPRODUCT(COUNTIF(M4:M46,{"早";"T早"}))</f>
        <v>5</v>
      </c>
      <c r="N50" s="128" cm="2">
        <f t="array" ref="N50">SUMPRODUCT(COUNTIF(N4:N46,{"早";"T早"}))</f>
        <v>5</v>
      </c>
      <c r="O50" s="128" cm="2">
        <f t="array" ref="O50">SUMPRODUCT(COUNTIF(O4:O46,{"早";"T早"}))</f>
        <v>5</v>
      </c>
      <c r="P50" s="128" cm="2">
        <f t="array" ref="P50">SUMPRODUCT(COUNTIF(P4:P46,{"早";"T早"}))</f>
        <v>5</v>
      </c>
      <c r="Q50" s="128" cm="2">
        <f t="array" ref="Q50">SUMPRODUCT(COUNTIF(Q4:Q46,{"早";"T早"}))</f>
        <v>3</v>
      </c>
      <c r="R50" s="128" cm="2">
        <f t="array" ref="R50">SUMPRODUCT(COUNTIF(R4:R46,{"早";"T早"}))</f>
        <v>3</v>
      </c>
      <c r="S50" s="128" cm="2">
        <f t="array" ref="S50">SUMPRODUCT(COUNTIF(S4:S46,{"早";"T早"}))</f>
        <v>5</v>
      </c>
      <c r="T50" s="128" cm="2">
        <f t="array" ref="T50">SUMPRODUCT(COUNTIF(T4:T46,{"早";"T早"}))</f>
        <v>5</v>
      </c>
      <c r="U50" s="128" cm="2">
        <f t="array" ref="U50">SUMPRODUCT(COUNTIF(U4:U46,{"早";"T早"}))</f>
        <v>5</v>
      </c>
      <c r="V50" s="128" cm="2">
        <f t="array" ref="V50">SUMPRODUCT(COUNTIF(V4:V46,{"早";"T早"}))</f>
        <v>5</v>
      </c>
      <c r="W50" s="128" cm="2">
        <f t="array" ref="W50">SUMPRODUCT(COUNTIF(W4:W46,{"早";"T早"}))</f>
        <v>5</v>
      </c>
      <c r="X50" s="128" cm="2">
        <f t="array" ref="X50">SUMPRODUCT(COUNTIF(X4:X46,{"早";"T早"}))</f>
        <v>3</v>
      </c>
      <c r="Y50" s="128" cm="2">
        <f t="array" ref="Y50">SUMPRODUCT(COUNTIF(Y4:Y46,{"早";"T早"}))</f>
        <v>3</v>
      </c>
      <c r="Z50" s="128" cm="2">
        <f t="array" ref="Z50">SUMPRODUCT(COUNTIF(Z4:Z46,{"早";"T早"}))</f>
        <v>5</v>
      </c>
      <c r="AA50" s="128" cm="2">
        <f t="array" ref="AA50">SUMPRODUCT(COUNTIF(AA4:AA46,{"早";"T早"}))</f>
        <v>5</v>
      </c>
      <c r="AB50" s="128" cm="2">
        <f t="array" ref="AB50">SUMPRODUCT(COUNTIF(AB4:AB46,{"早";"T早"}))</f>
        <v>5</v>
      </c>
      <c r="AC50" s="128" cm="2">
        <f t="array" ref="AC50">SUMPRODUCT(COUNTIF(AC4:AC46,{"早";"T早"}))</f>
        <v>5</v>
      </c>
      <c r="AD50" s="128" cm="2">
        <f t="array" ref="AD50">SUMPRODUCT(COUNTIF(AD4:AD46,{"早";"T早"}))</f>
        <v>5</v>
      </c>
      <c r="AE50" s="128" cm="2">
        <f t="array" ref="AE50">SUMPRODUCT(COUNTIF(AE4:AE46,{"早";"T早"}))</f>
        <v>3</v>
      </c>
      <c r="AF50" s="128" cm="2">
        <f t="array" ref="AF50">SUMPRODUCT(COUNTIF(AF4:AF46,{"早";"T早"}))</f>
        <v>3</v>
      </c>
      <c r="AG50" s="128" cm="2">
        <f t="array" ref="AG50">SUMPRODUCT(COUNTIF(AG4:AG46,{"早";"T早"}))</f>
        <v>5</v>
      </c>
      <c r="AH50" s="128" cm="2">
        <f t="array" ref="AH50">SUMPRODUCT(COUNTIF(AH4:AH46,{"早";"T早"}))</f>
        <v>5</v>
      </c>
      <c r="AI50" s="128" cm="2">
        <f t="array" ref="AI50">SUMPRODUCT(COUNTIF(AI4:AI46,{"早";"T早"}))</f>
        <v>5</v>
      </c>
      <c r="AJ50" s="128" cm="2">
        <f t="array" ref="AJ50">SUMPRODUCT(COUNTIF(AJ4:AJ46,{"早";"T早"}))</f>
        <v>5</v>
      </c>
      <c r="AK50" s="128" cm="2">
        <f t="array" ref="AK50">SUMPRODUCT(COUNTIF(AK4:AK46,{"早";"T早"}))</f>
        <v>5</v>
      </c>
      <c r="AL50" s="128" cm="2">
        <f t="array" ref="AL50">SUMPRODUCT(COUNTIF(AL4:AL46,{"早";"T早"}))</f>
        <v>3</v>
      </c>
      <c r="AM50" s="128" cm="2">
        <f t="array" ref="AM50">SUMPRODUCT(COUNTIF(AM4:AM46,{"早";"T早"}))</f>
        <v>3</v>
      </c>
      <c r="AN50" s="128" cm="2">
        <f t="array" ref="AN50">SUMPRODUCT(COUNTIF(AN4:AN46,{"早";"T早"}))</f>
        <v>6</v>
      </c>
      <c r="AO50" s="128" cm="2">
        <f t="array" ref="AO50">SUMPRODUCT(COUNTIF(AO4:AO46,{"早";"T早"}))</f>
        <v>5</v>
      </c>
      <c r="AQ50" s="87" t="s">
        <v>37</v>
      </c>
      <c r="AR50" s="75">
        <f>22*(31-I1)</f>
        <v>484</v>
      </c>
      <c r="AS50" s="75">
        <f>3*(31-I1)</f>
        <v>66</v>
      </c>
      <c r="AU50" s="84"/>
    </row>
    <row r="51" spans="1:47" s="77" customFormat="1" ht="18" customHeight="1">
      <c r="A51" s="80"/>
      <c r="B51" s="80"/>
      <c r="C51" s="81"/>
      <c r="D51" s="81"/>
      <c r="E51" s="75"/>
      <c r="I51" s="81"/>
      <c r="J51" s="88" t="s">
        <v>38</v>
      </c>
      <c r="K51" s="129" cm="2">
        <f t="array" ref="K51">SUMPRODUCT(COUNTIF(K4:K46,{"中";"T中"}))</f>
        <v>3</v>
      </c>
      <c r="L51" s="129" cm="2">
        <f t="array" ref="L51">SUMPRODUCT(COUNTIF(L4:L46,{"中";"T中"}))</f>
        <v>3</v>
      </c>
      <c r="M51" s="129" cm="2">
        <f t="array" ref="M51">SUMPRODUCT(COUNTIF(M4:M46,{"中";"T中"}))</f>
        <v>3</v>
      </c>
      <c r="N51" s="129" cm="2">
        <f t="array" ref="N51">SUMPRODUCT(COUNTIF(N4:N46,{"中";"T中"}))</f>
        <v>3</v>
      </c>
      <c r="O51" s="129" cm="2">
        <f t="array" ref="O51">SUMPRODUCT(COUNTIF(O4:O46,{"中";"T中"}))</f>
        <v>3</v>
      </c>
      <c r="P51" s="129" cm="2">
        <f t="array" ref="P51">SUMPRODUCT(COUNTIF(P4:P46,{"中";"T中"}))</f>
        <v>3</v>
      </c>
      <c r="Q51" s="129" cm="2">
        <f t="array" ref="Q51">SUMPRODUCT(COUNTIF(Q4:Q46,{"中";"T中"}))</f>
        <v>3</v>
      </c>
      <c r="R51" s="129" cm="2">
        <f t="array" ref="R51">SUMPRODUCT(COUNTIF(R4:R46,{"中";"T中"}))</f>
        <v>3</v>
      </c>
      <c r="S51" s="129" cm="2">
        <f t="array" ref="S51">SUMPRODUCT(COUNTIF(S4:S46,{"中";"T中"}))</f>
        <v>3</v>
      </c>
      <c r="T51" s="129" cm="2">
        <f t="array" ref="T51">SUMPRODUCT(COUNTIF(T4:T46,{"中";"T中"}))</f>
        <v>3</v>
      </c>
      <c r="U51" s="129" cm="2">
        <f t="array" ref="U51">SUMPRODUCT(COUNTIF(U4:U46,{"中";"T中"}))</f>
        <v>3</v>
      </c>
      <c r="V51" s="129" cm="2">
        <f t="array" ref="V51">SUMPRODUCT(COUNTIF(V4:V46,{"中";"T中"}))</f>
        <v>3</v>
      </c>
      <c r="W51" s="129" cm="2">
        <f t="array" ref="W51">SUMPRODUCT(COUNTIF(W4:W46,{"中";"T中"}))</f>
        <v>3</v>
      </c>
      <c r="X51" s="129" cm="2">
        <f t="array" ref="X51">SUMPRODUCT(COUNTIF(X4:X46,{"中";"T中"}))</f>
        <v>3</v>
      </c>
      <c r="Y51" s="129" cm="2">
        <f t="array" ref="Y51">SUMPRODUCT(COUNTIF(Y4:Y46,{"中";"T中"}))</f>
        <v>3</v>
      </c>
      <c r="Z51" s="129" cm="2">
        <f t="array" ref="Z51">SUMPRODUCT(COUNTIF(Z4:Z46,{"中";"T中"}))</f>
        <v>3</v>
      </c>
      <c r="AA51" s="129" cm="2">
        <f t="array" ref="AA51">SUMPRODUCT(COUNTIF(AA4:AA46,{"中";"T中"}))</f>
        <v>3</v>
      </c>
      <c r="AB51" s="129" cm="2">
        <f t="array" ref="AB51">SUMPRODUCT(COUNTIF(AB4:AB46,{"中";"T中"}))</f>
        <v>3</v>
      </c>
      <c r="AC51" s="129" cm="2">
        <f t="array" ref="AC51">SUMPRODUCT(COUNTIF(AC4:AC46,{"中";"T中"}))</f>
        <v>3</v>
      </c>
      <c r="AD51" s="129" cm="2">
        <f t="array" ref="AD51">SUMPRODUCT(COUNTIF(AD4:AD46,{"中";"T中"}))</f>
        <v>3</v>
      </c>
      <c r="AE51" s="129" cm="2">
        <f t="array" ref="AE51">SUMPRODUCT(COUNTIF(AE4:AE46,{"中";"T中"}))</f>
        <v>3</v>
      </c>
      <c r="AF51" s="129" cm="2">
        <f t="array" ref="AF51">SUMPRODUCT(COUNTIF(AF4:AF46,{"中";"T中"}))</f>
        <v>3</v>
      </c>
      <c r="AG51" s="129" cm="2">
        <f t="array" ref="AG51">SUMPRODUCT(COUNTIF(AG4:AG46,{"中";"T中"}))</f>
        <v>3</v>
      </c>
      <c r="AH51" s="129" cm="2">
        <f t="array" ref="AH51">SUMPRODUCT(COUNTIF(AH4:AH46,{"中";"T中"}))</f>
        <v>3</v>
      </c>
      <c r="AI51" s="129" cm="2">
        <f t="array" ref="AI51">SUMPRODUCT(COUNTIF(AI4:AI46,{"中";"T中"}))</f>
        <v>3</v>
      </c>
      <c r="AJ51" s="129" cm="2">
        <f t="array" ref="AJ51">SUMPRODUCT(COUNTIF(AJ4:AJ46,{"中";"T中"}))</f>
        <v>3</v>
      </c>
      <c r="AK51" s="129" cm="2">
        <f t="array" ref="AK51">SUMPRODUCT(COUNTIF(AK4:AK46,{"中";"T中"}))</f>
        <v>3</v>
      </c>
      <c r="AL51" s="129" cm="2">
        <f t="array" ref="AL51">SUMPRODUCT(COUNTIF(AL4:AL46,{"中";"T中"}))</f>
        <v>3</v>
      </c>
      <c r="AM51" s="129" cm="2">
        <f t="array" ref="AM51">SUMPRODUCT(COUNTIF(AM4:AM46,{"中";"T中"}))</f>
        <v>3</v>
      </c>
      <c r="AN51" s="129" cm="2">
        <f t="array" ref="AN51">SUMPRODUCT(COUNTIF(AN4:AN46,{"中";"T中"}))</f>
        <v>3</v>
      </c>
      <c r="AO51" s="129" cm="2">
        <f t="array" ref="AO51">SUMPRODUCT(COUNTIF(AO4:AO46,{"中";"T中"}))</f>
        <v>3</v>
      </c>
      <c r="AQ51" s="87" t="s">
        <v>39</v>
      </c>
      <c r="AR51" s="75">
        <f>16*I1</f>
        <v>144</v>
      </c>
      <c r="AS51" s="75">
        <f>3*I1</f>
        <v>27</v>
      </c>
      <c r="AU51" s="89"/>
    </row>
    <row r="52" spans="1:47" s="77" customFormat="1" ht="18" customHeight="1" thickBot="1">
      <c r="A52" s="80"/>
      <c r="B52" s="80"/>
      <c r="C52" s="81"/>
      <c r="D52" s="81"/>
      <c r="E52" s="75"/>
      <c r="I52" s="81"/>
      <c r="J52" s="90" t="s">
        <v>40</v>
      </c>
      <c r="K52" s="130">
        <f t="shared" ref="K52:AO52" si="43">COUNTIF(K4:K46,"晚")</f>
        <v>2</v>
      </c>
      <c r="L52" s="130">
        <f t="shared" si="43"/>
        <v>3</v>
      </c>
      <c r="M52" s="130">
        <f t="shared" ref="M52:U52" si="44">COUNTIF(M4:M46,"晚")</f>
        <v>3</v>
      </c>
      <c r="N52" s="130">
        <f t="shared" si="44"/>
        <v>3</v>
      </c>
      <c r="O52" s="130">
        <f t="shared" si="44"/>
        <v>3</v>
      </c>
      <c r="P52" s="130">
        <f t="shared" si="44"/>
        <v>3</v>
      </c>
      <c r="Q52" s="130">
        <f t="shared" si="44"/>
        <v>2</v>
      </c>
      <c r="R52" s="130">
        <f t="shared" si="44"/>
        <v>2</v>
      </c>
      <c r="S52" s="130">
        <f t="shared" si="44"/>
        <v>3</v>
      </c>
      <c r="T52" s="130">
        <f t="shared" si="44"/>
        <v>3</v>
      </c>
      <c r="U52" s="130">
        <f t="shared" si="44"/>
        <v>3</v>
      </c>
      <c r="V52" s="130">
        <f t="shared" si="43"/>
        <v>3</v>
      </c>
      <c r="W52" s="130">
        <f t="shared" si="43"/>
        <v>3</v>
      </c>
      <c r="X52" s="130">
        <f t="shared" si="43"/>
        <v>2</v>
      </c>
      <c r="Y52" s="130">
        <f t="shared" si="43"/>
        <v>2</v>
      </c>
      <c r="Z52" s="130">
        <f t="shared" si="43"/>
        <v>3</v>
      </c>
      <c r="AA52" s="130">
        <f t="shared" si="43"/>
        <v>3</v>
      </c>
      <c r="AB52" s="130">
        <f t="shared" si="43"/>
        <v>3</v>
      </c>
      <c r="AC52" s="130">
        <f t="shared" si="43"/>
        <v>3</v>
      </c>
      <c r="AD52" s="130">
        <f t="shared" si="43"/>
        <v>3</v>
      </c>
      <c r="AE52" s="130">
        <f t="shared" si="43"/>
        <v>2</v>
      </c>
      <c r="AF52" s="130">
        <f t="shared" si="43"/>
        <v>2</v>
      </c>
      <c r="AG52" s="130">
        <f t="shared" si="43"/>
        <v>3</v>
      </c>
      <c r="AH52" s="130">
        <f t="shared" si="43"/>
        <v>3</v>
      </c>
      <c r="AI52" s="130">
        <f t="shared" si="43"/>
        <v>3</v>
      </c>
      <c r="AJ52" s="130">
        <f t="shared" si="43"/>
        <v>3</v>
      </c>
      <c r="AK52" s="130">
        <f t="shared" si="43"/>
        <v>3</v>
      </c>
      <c r="AL52" s="130">
        <f t="shared" si="43"/>
        <v>2</v>
      </c>
      <c r="AM52" s="130">
        <f t="shared" si="43"/>
        <v>2</v>
      </c>
      <c r="AN52" s="130">
        <f t="shared" si="43"/>
        <v>3</v>
      </c>
      <c r="AO52" s="130">
        <f t="shared" si="43"/>
        <v>3</v>
      </c>
      <c r="AQ52" s="75" t="s">
        <v>0</v>
      </c>
      <c r="AR52" s="91">
        <f>37*I1</f>
        <v>333</v>
      </c>
      <c r="AS52" s="75">
        <f>6*I1</f>
        <v>54</v>
      </c>
    </row>
    <row r="53" spans="1:47" s="77" customFormat="1" ht="18" customHeight="1">
      <c r="A53" s="80"/>
      <c r="B53" s="80"/>
      <c r="C53" s="81"/>
      <c r="D53" s="81"/>
      <c r="E53" s="75"/>
      <c r="I53" s="81"/>
      <c r="J53" s="86" t="s">
        <v>111</v>
      </c>
      <c r="K53" s="128">
        <f t="shared" ref="K53:AO53" si="45">COUNTIF(K4:K46,"日")</f>
        <v>1</v>
      </c>
      <c r="L53" s="128">
        <f t="shared" si="45"/>
        <v>1</v>
      </c>
      <c r="M53" s="128">
        <f t="shared" ref="M53:U53" si="46">COUNTIF(M4:M46,"日")</f>
        <v>1</v>
      </c>
      <c r="N53" s="128">
        <f t="shared" si="46"/>
        <v>1</v>
      </c>
      <c r="O53" s="128">
        <f t="shared" si="46"/>
        <v>1</v>
      </c>
      <c r="P53" s="128">
        <f t="shared" si="46"/>
        <v>1</v>
      </c>
      <c r="Q53" s="128">
        <f t="shared" si="46"/>
        <v>1</v>
      </c>
      <c r="R53" s="128">
        <f t="shared" si="46"/>
        <v>1</v>
      </c>
      <c r="S53" s="128">
        <f t="shared" si="46"/>
        <v>1</v>
      </c>
      <c r="T53" s="128">
        <f t="shared" si="46"/>
        <v>1</v>
      </c>
      <c r="U53" s="128">
        <f t="shared" si="46"/>
        <v>1</v>
      </c>
      <c r="V53" s="128">
        <f t="shared" si="45"/>
        <v>1</v>
      </c>
      <c r="W53" s="128">
        <f t="shared" si="45"/>
        <v>1</v>
      </c>
      <c r="X53" s="128">
        <f t="shared" si="45"/>
        <v>1</v>
      </c>
      <c r="Y53" s="128">
        <f t="shared" si="45"/>
        <v>1</v>
      </c>
      <c r="Z53" s="128">
        <f t="shared" si="45"/>
        <v>1</v>
      </c>
      <c r="AA53" s="128">
        <f t="shared" si="45"/>
        <v>1</v>
      </c>
      <c r="AB53" s="128">
        <f t="shared" si="45"/>
        <v>1</v>
      </c>
      <c r="AC53" s="128">
        <f t="shared" si="45"/>
        <v>1</v>
      </c>
      <c r="AD53" s="128">
        <f t="shared" si="45"/>
        <v>1</v>
      </c>
      <c r="AE53" s="128">
        <f t="shared" si="45"/>
        <v>1</v>
      </c>
      <c r="AF53" s="128">
        <f t="shared" si="45"/>
        <v>1</v>
      </c>
      <c r="AG53" s="128">
        <f t="shared" si="45"/>
        <v>1</v>
      </c>
      <c r="AH53" s="128">
        <f t="shared" si="45"/>
        <v>1</v>
      </c>
      <c r="AI53" s="128">
        <f t="shared" si="45"/>
        <v>1</v>
      </c>
      <c r="AJ53" s="128">
        <f t="shared" si="45"/>
        <v>1</v>
      </c>
      <c r="AK53" s="128">
        <f t="shared" si="45"/>
        <v>1</v>
      </c>
      <c r="AL53" s="128">
        <f t="shared" si="45"/>
        <v>1</v>
      </c>
      <c r="AM53" s="128">
        <f t="shared" si="45"/>
        <v>1</v>
      </c>
      <c r="AN53" s="128">
        <f t="shared" si="45"/>
        <v>1</v>
      </c>
      <c r="AO53" s="128">
        <f t="shared" si="45"/>
        <v>1</v>
      </c>
      <c r="AQ53" s="50" t="s">
        <v>104</v>
      </c>
      <c r="AR53" s="91" cm="1">
        <f t="array" ref="AR53">SUMPRODUCT(COUNTIF(K4:AO40,{"N";"N8"}))</f>
        <v>114</v>
      </c>
      <c r="AS53" s="91" cm="1">
        <f t="array" ref="AS53">SUMPRODUCT(COUNTIF(K41:AO46,{"N";"N8"}))</f>
        <v>31</v>
      </c>
    </row>
    <row r="54" spans="1:47" s="77" customFormat="1" ht="18" customHeight="1">
      <c r="A54" s="80"/>
      <c r="B54" s="80"/>
      <c r="C54" s="81"/>
      <c r="D54" s="81"/>
      <c r="E54" s="75"/>
      <c r="I54" s="81"/>
      <c r="J54" s="88" t="s">
        <v>143</v>
      </c>
      <c r="K54" s="129">
        <f t="shared" ref="K54:AO54" si="47">COUNTIF(K4:K46,"小夜")</f>
        <v>1</v>
      </c>
      <c r="L54" s="129">
        <f t="shared" si="47"/>
        <v>1</v>
      </c>
      <c r="M54" s="129">
        <f t="shared" ref="M54:U54" si="48">COUNTIF(M4:M46,"小夜")</f>
        <v>1</v>
      </c>
      <c r="N54" s="129">
        <f t="shared" si="48"/>
        <v>1</v>
      </c>
      <c r="O54" s="129">
        <f t="shared" si="48"/>
        <v>1</v>
      </c>
      <c r="P54" s="129">
        <f t="shared" si="48"/>
        <v>1</v>
      </c>
      <c r="Q54" s="129">
        <f t="shared" si="48"/>
        <v>1</v>
      </c>
      <c r="R54" s="129">
        <f t="shared" si="48"/>
        <v>1</v>
      </c>
      <c r="S54" s="129">
        <f t="shared" si="48"/>
        <v>1</v>
      </c>
      <c r="T54" s="129">
        <f t="shared" si="48"/>
        <v>1</v>
      </c>
      <c r="U54" s="129">
        <f t="shared" si="48"/>
        <v>1</v>
      </c>
      <c r="V54" s="129">
        <f t="shared" si="47"/>
        <v>1</v>
      </c>
      <c r="W54" s="129">
        <f t="shared" si="47"/>
        <v>1</v>
      </c>
      <c r="X54" s="129">
        <f t="shared" si="47"/>
        <v>1</v>
      </c>
      <c r="Y54" s="129">
        <f t="shared" si="47"/>
        <v>1</v>
      </c>
      <c r="Z54" s="129">
        <f t="shared" si="47"/>
        <v>1</v>
      </c>
      <c r="AA54" s="129">
        <f t="shared" si="47"/>
        <v>1</v>
      </c>
      <c r="AB54" s="129">
        <f t="shared" si="47"/>
        <v>1</v>
      </c>
      <c r="AC54" s="129">
        <f t="shared" si="47"/>
        <v>1</v>
      </c>
      <c r="AD54" s="129">
        <f t="shared" si="47"/>
        <v>1</v>
      </c>
      <c r="AE54" s="129">
        <f t="shared" si="47"/>
        <v>1</v>
      </c>
      <c r="AF54" s="129">
        <f t="shared" si="47"/>
        <v>1</v>
      </c>
      <c r="AG54" s="129">
        <f t="shared" si="47"/>
        <v>1</v>
      </c>
      <c r="AH54" s="129">
        <f t="shared" si="47"/>
        <v>1</v>
      </c>
      <c r="AI54" s="129">
        <f t="shared" si="47"/>
        <v>1</v>
      </c>
      <c r="AJ54" s="129">
        <f t="shared" si="47"/>
        <v>1</v>
      </c>
      <c r="AK54" s="129">
        <f t="shared" si="47"/>
        <v>1</v>
      </c>
      <c r="AL54" s="129">
        <f t="shared" si="47"/>
        <v>1</v>
      </c>
      <c r="AM54" s="129">
        <f t="shared" si="47"/>
        <v>1</v>
      </c>
      <c r="AN54" s="129">
        <f t="shared" si="47"/>
        <v>1</v>
      </c>
      <c r="AO54" s="129">
        <f t="shared" si="47"/>
        <v>1</v>
      </c>
      <c r="AQ54" s="50" t="s">
        <v>105</v>
      </c>
      <c r="AR54" s="92">
        <f>SUMPRODUCT(COUNTIF(K4:AO40,{"S"}))</f>
        <v>69</v>
      </c>
      <c r="AS54" s="75">
        <f>SUMPRODUCT(COUNTIF(K41:AO46,{"S"}))</f>
        <v>8</v>
      </c>
    </row>
    <row r="55" spans="1:47" s="77" customFormat="1" ht="18" customHeight="1" thickBot="1">
      <c r="A55" s="80"/>
      <c r="B55" s="80"/>
      <c r="C55" s="81"/>
      <c r="D55" s="81"/>
      <c r="E55" s="75"/>
      <c r="I55" s="81"/>
      <c r="J55" s="90" t="s">
        <v>144</v>
      </c>
      <c r="K55" s="130">
        <f t="shared" ref="K55:AO55" si="49">COUNTIF(K7:K49,"大夜")</f>
        <v>1</v>
      </c>
      <c r="L55" s="130">
        <f t="shared" si="49"/>
        <v>1</v>
      </c>
      <c r="M55" s="130">
        <f t="shared" ref="M55:U55" si="50">COUNTIF(M7:M49,"大夜")</f>
        <v>1</v>
      </c>
      <c r="N55" s="130">
        <f t="shared" si="50"/>
        <v>1</v>
      </c>
      <c r="O55" s="130">
        <f t="shared" si="50"/>
        <v>1</v>
      </c>
      <c r="P55" s="130">
        <f t="shared" si="50"/>
        <v>1</v>
      </c>
      <c r="Q55" s="130">
        <f t="shared" si="50"/>
        <v>1</v>
      </c>
      <c r="R55" s="130">
        <f t="shared" si="50"/>
        <v>1</v>
      </c>
      <c r="S55" s="130">
        <f t="shared" si="50"/>
        <v>1</v>
      </c>
      <c r="T55" s="130">
        <f t="shared" si="50"/>
        <v>1</v>
      </c>
      <c r="U55" s="130">
        <f t="shared" si="50"/>
        <v>1</v>
      </c>
      <c r="V55" s="130">
        <f t="shared" si="49"/>
        <v>1</v>
      </c>
      <c r="W55" s="130">
        <f t="shared" si="49"/>
        <v>1</v>
      </c>
      <c r="X55" s="130">
        <f t="shared" si="49"/>
        <v>1</v>
      </c>
      <c r="Y55" s="130">
        <f t="shared" si="49"/>
        <v>1</v>
      </c>
      <c r="Z55" s="130">
        <f t="shared" si="49"/>
        <v>1</v>
      </c>
      <c r="AA55" s="130">
        <f t="shared" si="49"/>
        <v>1</v>
      </c>
      <c r="AB55" s="130">
        <f t="shared" si="49"/>
        <v>1</v>
      </c>
      <c r="AC55" s="130">
        <f t="shared" si="49"/>
        <v>1</v>
      </c>
      <c r="AD55" s="130">
        <f t="shared" si="49"/>
        <v>1</v>
      </c>
      <c r="AE55" s="130">
        <f t="shared" si="49"/>
        <v>1</v>
      </c>
      <c r="AF55" s="130">
        <f t="shared" si="49"/>
        <v>1</v>
      </c>
      <c r="AG55" s="130">
        <f t="shared" si="49"/>
        <v>1</v>
      </c>
      <c r="AH55" s="130">
        <f t="shared" si="49"/>
        <v>1</v>
      </c>
      <c r="AI55" s="130">
        <f t="shared" si="49"/>
        <v>1</v>
      </c>
      <c r="AJ55" s="130">
        <f t="shared" si="49"/>
        <v>1</v>
      </c>
      <c r="AK55" s="130">
        <f t="shared" si="49"/>
        <v>1</v>
      </c>
      <c r="AL55" s="130">
        <f t="shared" si="49"/>
        <v>1</v>
      </c>
      <c r="AM55" s="130">
        <f t="shared" si="49"/>
        <v>1</v>
      </c>
      <c r="AN55" s="130">
        <f t="shared" si="49"/>
        <v>1</v>
      </c>
      <c r="AO55" s="130">
        <f t="shared" si="49"/>
        <v>1</v>
      </c>
      <c r="AQ55" s="93" t="s">
        <v>145</v>
      </c>
      <c r="AR55" s="75">
        <v>0</v>
      </c>
      <c r="AS55" s="75">
        <v>0</v>
      </c>
    </row>
    <row r="56" spans="1:47" s="77" customFormat="1" ht="18" customHeight="1" thickBot="1">
      <c r="A56" s="80"/>
      <c r="B56" s="80"/>
      <c r="C56" s="81"/>
      <c r="D56" s="81"/>
      <c r="E56" s="75"/>
      <c r="I56" s="81"/>
      <c r="J56" s="95" t="s">
        <v>41</v>
      </c>
      <c r="K56" s="96">
        <f t="shared" ref="K56:AO56" si="51">COUNTIF(K4:K46,"N")+COUNTIF(K4:K46,"N8")</f>
        <v>0</v>
      </c>
      <c r="L56" s="96">
        <f t="shared" si="51"/>
        <v>7</v>
      </c>
      <c r="M56" s="96">
        <f t="shared" ref="M56:U56" si="52">COUNTIF(M4:M46,"N")+COUNTIF(M4:M46,"N8")</f>
        <v>9</v>
      </c>
      <c r="N56" s="96">
        <f t="shared" si="52"/>
        <v>4</v>
      </c>
      <c r="O56" s="96">
        <f t="shared" si="52"/>
        <v>7</v>
      </c>
      <c r="P56" s="96">
        <f t="shared" si="52"/>
        <v>4</v>
      </c>
      <c r="Q56" s="96">
        <f t="shared" si="52"/>
        <v>0</v>
      </c>
      <c r="R56" s="96">
        <f t="shared" si="52"/>
        <v>0</v>
      </c>
      <c r="S56" s="96">
        <f t="shared" si="52"/>
        <v>5</v>
      </c>
      <c r="T56" s="96">
        <f t="shared" si="52"/>
        <v>9</v>
      </c>
      <c r="U56" s="96">
        <f t="shared" si="52"/>
        <v>8</v>
      </c>
      <c r="V56" s="96">
        <f t="shared" si="51"/>
        <v>8</v>
      </c>
      <c r="W56" s="96">
        <f t="shared" si="51"/>
        <v>8</v>
      </c>
      <c r="X56" s="96">
        <f>COUNTIF(X4:X46,"N")+COUNTIF(X4:X46,"N8")</f>
        <v>0</v>
      </c>
      <c r="Y56" s="96">
        <f>COUNTIF(Y4:Y46,"N")+COUNTIF(Y4:Y46,"N8")</f>
        <v>0</v>
      </c>
      <c r="Z56" s="96">
        <f t="shared" si="51"/>
        <v>4</v>
      </c>
      <c r="AA56" s="96">
        <f t="shared" si="51"/>
        <v>11</v>
      </c>
      <c r="AB56" s="96">
        <f t="shared" si="51"/>
        <v>7</v>
      </c>
      <c r="AC56" s="96">
        <f t="shared" si="51"/>
        <v>7</v>
      </c>
      <c r="AD56" s="96">
        <f t="shared" si="51"/>
        <v>5</v>
      </c>
      <c r="AE56" s="96">
        <f t="shared" si="51"/>
        <v>0</v>
      </c>
      <c r="AF56" s="96">
        <f t="shared" si="51"/>
        <v>0</v>
      </c>
      <c r="AG56" s="96">
        <f t="shared" si="51"/>
        <v>3</v>
      </c>
      <c r="AH56" s="96">
        <f t="shared" si="51"/>
        <v>8</v>
      </c>
      <c r="AI56" s="96">
        <f t="shared" si="51"/>
        <v>8</v>
      </c>
      <c r="AJ56" s="96">
        <f t="shared" si="51"/>
        <v>5</v>
      </c>
      <c r="AK56" s="96">
        <f t="shared" si="51"/>
        <v>5</v>
      </c>
      <c r="AL56" s="96">
        <f t="shared" si="51"/>
        <v>0</v>
      </c>
      <c r="AM56" s="97">
        <f t="shared" si="51"/>
        <v>0</v>
      </c>
      <c r="AN56" s="98">
        <f t="shared" si="51"/>
        <v>5</v>
      </c>
      <c r="AO56" s="99">
        <f t="shared" si="51"/>
        <v>8</v>
      </c>
      <c r="AQ56" s="100" t="s">
        <v>42</v>
      </c>
      <c r="AR56" s="101">
        <f>SUM(AP4:AP40)</f>
        <v>-1</v>
      </c>
      <c r="AS56" s="75">
        <v>0</v>
      </c>
    </row>
    <row r="57" spans="1:47" s="77" customFormat="1" ht="18" customHeight="1">
      <c r="A57" s="80"/>
      <c r="B57" s="80"/>
      <c r="C57" s="80"/>
      <c r="D57" s="80"/>
      <c r="E57" s="75"/>
      <c r="I57" s="81"/>
      <c r="J57" s="78" t="s">
        <v>43</v>
      </c>
      <c r="K57" s="149">
        <f t="shared" ref="K57:AO57" si="53">COUNTIF(K4:K46,"X")+COUNTIF(K4:K46,"Y")+COUNTIF(K4:K46,"Z")</f>
        <v>24</v>
      </c>
      <c r="L57" s="24">
        <f t="shared" si="53"/>
        <v>9</v>
      </c>
      <c r="M57" s="24">
        <f t="shared" ref="M57:U57" si="54">COUNTIF(M4:M46,"X")+COUNTIF(M4:M46,"Y")+COUNTIF(M4:M46,"Z")</f>
        <v>7</v>
      </c>
      <c r="N57" s="24">
        <f t="shared" si="54"/>
        <v>9</v>
      </c>
      <c r="O57" s="24">
        <f t="shared" si="54"/>
        <v>6</v>
      </c>
      <c r="P57" s="24">
        <f t="shared" si="54"/>
        <v>8</v>
      </c>
      <c r="Q57" s="24">
        <f t="shared" si="54"/>
        <v>23</v>
      </c>
      <c r="R57" s="24">
        <f t="shared" si="54"/>
        <v>23</v>
      </c>
      <c r="S57" s="24">
        <f t="shared" si="54"/>
        <v>11</v>
      </c>
      <c r="T57" s="24">
        <f t="shared" si="54"/>
        <v>8</v>
      </c>
      <c r="U57" s="24">
        <f t="shared" si="54"/>
        <v>8</v>
      </c>
      <c r="V57" s="24">
        <f t="shared" si="53"/>
        <v>8</v>
      </c>
      <c r="W57" s="24">
        <f t="shared" si="53"/>
        <v>8</v>
      </c>
      <c r="X57" s="24">
        <f>COUNTIF(X4:X46,"X")+COUNTIF(X4:X46,"Y")+COUNTIF(X4:X46,"Z")</f>
        <v>22</v>
      </c>
      <c r="Y57" s="24">
        <f>COUNTIF(Y4:Y46,"X")+COUNTIF(Y4:Y46,"Y")+COUNTIF(Y4:Y46,"Z")</f>
        <v>22</v>
      </c>
      <c r="Z57" s="24">
        <f t="shared" si="53"/>
        <v>8</v>
      </c>
      <c r="AA57" s="24">
        <f t="shared" si="53"/>
        <v>3</v>
      </c>
      <c r="AB57" s="24">
        <f t="shared" si="53"/>
        <v>10</v>
      </c>
      <c r="AC57" s="24">
        <f t="shared" si="53"/>
        <v>8</v>
      </c>
      <c r="AD57" s="24">
        <f t="shared" si="53"/>
        <v>9</v>
      </c>
      <c r="AE57" s="24">
        <f t="shared" si="53"/>
        <v>23</v>
      </c>
      <c r="AF57" s="24">
        <f t="shared" si="53"/>
        <v>20</v>
      </c>
      <c r="AG57" s="24">
        <f t="shared" si="53"/>
        <v>9</v>
      </c>
      <c r="AH57" s="24">
        <f t="shared" si="53"/>
        <v>6</v>
      </c>
      <c r="AI57" s="24">
        <f t="shared" si="53"/>
        <v>10</v>
      </c>
      <c r="AJ57" s="24">
        <f t="shared" si="53"/>
        <v>11</v>
      </c>
      <c r="AK57" s="24">
        <f t="shared" si="53"/>
        <v>9</v>
      </c>
      <c r="AL57" s="24">
        <f t="shared" si="53"/>
        <v>22</v>
      </c>
      <c r="AM57" s="24">
        <f t="shared" si="53"/>
        <v>23</v>
      </c>
      <c r="AN57" s="24">
        <f t="shared" si="53"/>
        <v>12</v>
      </c>
      <c r="AO57" s="102">
        <f t="shared" si="53"/>
        <v>8</v>
      </c>
      <c r="AQ57" s="100" t="s">
        <v>146</v>
      </c>
      <c r="AR57" s="101">
        <v>0</v>
      </c>
      <c r="AS57" s="75">
        <v>0</v>
      </c>
    </row>
    <row r="58" spans="1:47" s="77" customFormat="1" ht="18" customHeight="1">
      <c r="A58" s="80"/>
      <c r="B58" s="80"/>
      <c r="C58" s="80"/>
      <c r="D58" s="80"/>
      <c r="E58" s="75"/>
      <c r="I58" s="81"/>
      <c r="J58" s="103" t="s">
        <v>44</v>
      </c>
      <c r="K58" s="143">
        <f t="shared" ref="K58:AO58" si="55">COUNTIF(K4:K46,"S")</f>
        <v>0</v>
      </c>
      <c r="L58" s="39">
        <f t="shared" si="55"/>
        <v>1</v>
      </c>
      <c r="M58" s="39">
        <f t="shared" ref="M58:U58" si="56">COUNTIF(M4:M46,"S")</f>
        <v>2</v>
      </c>
      <c r="N58" s="39">
        <f t="shared" si="56"/>
        <v>4</v>
      </c>
      <c r="O58" s="39">
        <f t="shared" si="56"/>
        <v>5</v>
      </c>
      <c r="P58" s="39">
        <f t="shared" si="56"/>
        <v>5</v>
      </c>
      <c r="Q58" s="39">
        <f t="shared" si="56"/>
        <v>1</v>
      </c>
      <c r="R58" s="39">
        <f t="shared" si="56"/>
        <v>1</v>
      </c>
      <c r="S58" s="39">
        <f t="shared" si="56"/>
        <v>2</v>
      </c>
      <c r="T58" s="39">
        <f t="shared" si="56"/>
        <v>1</v>
      </c>
      <c r="U58" s="39">
        <f t="shared" si="56"/>
        <v>2</v>
      </c>
      <c r="V58" s="39">
        <f t="shared" si="55"/>
        <v>2</v>
      </c>
      <c r="W58" s="39">
        <f t="shared" si="55"/>
        <v>2</v>
      </c>
      <c r="X58" s="39">
        <f>COUNTIF(X4:X46,"S")</f>
        <v>2</v>
      </c>
      <c r="Y58" s="39">
        <f>COUNTIF(Y4:Y46,"S")</f>
        <v>2</v>
      </c>
      <c r="Z58" s="39">
        <f t="shared" si="55"/>
        <v>6</v>
      </c>
      <c r="AA58" s="39">
        <f t="shared" si="55"/>
        <v>4</v>
      </c>
      <c r="AB58" s="39">
        <f t="shared" si="55"/>
        <v>1</v>
      </c>
      <c r="AC58" s="39">
        <f t="shared" si="55"/>
        <v>3</v>
      </c>
      <c r="AD58" s="39">
        <f t="shared" si="55"/>
        <v>4</v>
      </c>
      <c r="AE58" s="39">
        <f t="shared" si="55"/>
        <v>1</v>
      </c>
      <c r="AF58" s="39">
        <f t="shared" si="55"/>
        <v>4</v>
      </c>
      <c r="AG58" s="39">
        <f t="shared" si="55"/>
        <v>6</v>
      </c>
      <c r="AH58" s="39">
        <f t="shared" si="55"/>
        <v>4</v>
      </c>
      <c r="AI58" s="39">
        <f t="shared" si="55"/>
        <v>0</v>
      </c>
      <c r="AJ58" s="39">
        <f t="shared" si="55"/>
        <v>2</v>
      </c>
      <c r="AK58" s="39">
        <f t="shared" si="55"/>
        <v>4</v>
      </c>
      <c r="AL58" s="39">
        <f t="shared" si="55"/>
        <v>2</v>
      </c>
      <c r="AM58" s="39">
        <f t="shared" si="55"/>
        <v>1</v>
      </c>
      <c r="AN58" s="39">
        <f t="shared" si="55"/>
        <v>1</v>
      </c>
      <c r="AO58" s="83">
        <f t="shared" si="55"/>
        <v>2</v>
      </c>
      <c r="AQ58" s="107" t="s">
        <v>46</v>
      </c>
      <c r="AR58" s="105">
        <f>AR49-AR50-AR52-AR53-AR54-AR55+AR56+AR57-AR51</f>
        <v>2</v>
      </c>
      <c r="AS58" s="105">
        <f>AS49-AS50-AS52-AS53-AS54-AS55+AS56+AS57-AS51</f>
        <v>0</v>
      </c>
      <c r="AT58" s="6"/>
    </row>
    <row r="59" spans="1:47" ht="18" customHeight="1" thickBot="1">
      <c r="A59" s="80"/>
      <c r="B59" s="80"/>
      <c r="C59" s="80"/>
      <c r="D59" s="80"/>
      <c r="I59" s="80"/>
      <c r="J59" s="103" t="s">
        <v>45</v>
      </c>
      <c r="K59" s="143">
        <f t="shared" ref="K59:AO59" si="57">COUNTIF(K4:K46,"T")</f>
        <v>0</v>
      </c>
      <c r="L59" s="39">
        <f t="shared" si="57"/>
        <v>0</v>
      </c>
      <c r="M59" s="39">
        <f t="shared" ref="M59:U59" si="58">COUNTIF(M4:M46,"T")</f>
        <v>0</v>
      </c>
      <c r="N59" s="39">
        <f t="shared" si="58"/>
        <v>0</v>
      </c>
      <c r="O59" s="39">
        <f t="shared" si="58"/>
        <v>0</v>
      </c>
      <c r="P59" s="39">
        <f t="shared" si="58"/>
        <v>0</v>
      </c>
      <c r="Q59" s="39">
        <f t="shared" si="58"/>
        <v>0</v>
      </c>
      <c r="R59" s="39">
        <f t="shared" si="58"/>
        <v>0</v>
      </c>
      <c r="S59" s="39">
        <f t="shared" si="58"/>
        <v>0</v>
      </c>
      <c r="T59" s="39">
        <f t="shared" si="58"/>
        <v>0</v>
      </c>
      <c r="U59" s="39">
        <f t="shared" si="58"/>
        <v>0</v>
      </c>
      <c r="V59" s="39">
        <f t="shared" si="57"/>
        <v>0</v>
      </c>
      <c r="W59" s="39">
        <f t="shared" si="57"/>
        <v>0</v>
      </c>
      <c r="X59" s="39">
        <f>COUNTIF(X4:X46,"T")</f>
        <v>0</v>
      </c>
      <c r="Y59" s="39">
        <f>COUNTIF(Y4:Y46,"T")</f>
        <v>0</v>
      </c>
      <c r="Z59" s="39">
        <f t="shared" si="57"/>
        <v>0</v>
      </c>
      <c r="AA59" s="39">
        <f t="shared" si="57"/>
        <v>0</v>
      </c>
      <c r="AB59" s="39">
        <f t="shared" si="57"/>
        <v>0</v>
      </c>
      <c r="AC59" s="39">
        <f t="shared" si="57"/>
        <v>0</v>
      </c>
      <c r="AD59" s="39">
        <f t="shared" si="57"/>
        <v>0</v>
      </c>
      <c r="AE59" s="39">
        <f t="shared" si="57"/>
        <v>0</v>
      </c>
      <c r="AF59" s="39">
        <f t="shared" si="57"/>
        <v>0</v>
      </c>
      <c r="AG59" s="39">
        <f t="shared" si="57"/>
        <v>0</v>
      </c>
      <c r="AH59" s="39">
        <f t="shared" si="57"/>
        <v>0</v>
      </c>
      <c r="AI59" s="39">
        <f t="shared" si="57"/>
        <v>0</v>
      </c>
      <c r="AJ59" s="39">
        <f t="shared" si="57"/>
        <v>0</v>
      </c>
      <c r="AK59" s="39">
        <f t="shared" si="57"/>
        <v>0</v>
      </c>
      <c r="AL59" s="39">
        <f t="shared" si="57"/>
        <v>0</v>
      </c>
      <c r="AM59" s="39">
        <f t="shared" si="57"/>
        <v>0</v>
      </c>
      <c r="AN59" s="39">
        <f t="shared" si="57"/>
        <v>0</v>
      </c>
      <c r="AO59" s="83">
        <f t="shared" si="57"/>
        <v>0</v>
      </c>
      <c r="AP59" s="77"/>
      <c r="AR59" s="50"/>
      <c r="AS59" s="111"/>
      <c r="AU59" s="77"/>
    </row>
    <row r="60" spans="1:47" ht="18" customHeight="1" thickBot="1">
      <c r="A60" s="80"/>
      <c r="B60" s="80"/>
      <c r="C60" s="80"/>
      <c r="D60" s="80"/>
      <c r="I60" s="80"/>
      <c r="J60" s="108" t="s">
        <v>109</v>
      </c>
      <c r="K60" s="150">
        <f>SUM(K47:K59)</f>
        <v>43</v>
      </c>
      <c r="L60" s="109">
        <f t="shared" ref="L60:AO60" si="59">SUM(L47:L59)</f>
        <v>43</v>
      </c>
      <c r="M60" s="109">
        <f t="shared" si="59"/>
        <v>43</v>
      </c>
      <c r="N60" s="109">
        <f t="shared" si="59"/>
        <v>43</v>
      </c>
      <c r="O60" s="109">
        <f t="shared" si="59"/>
        <v>43</v>
      </c>
      <c r="P60" s="109">
        <f t="shared" si="59"/>
        <v>43</v>
      </c>
      <c r="Q60" s="109">
        <f t="shared" si="59"/>
        <v>43</v>
      </c>
      <c r="R60" s="109">
        <f t="shared" si="59"/>
        <v>43</v>
      </c>
      <c r="S60" s="109">
        <f t="shared" si="59"/>
        <v>43</v>
      </c>
      <c r="T60" s="109">
        <f t="shared" si="59"/>
        <v>43</v>
      </c>
      <c r="U60" s="109">
        <f t="shared" si="59"/>
        <v>43</v>
      </c>
      <c r="V60" s="109">
        <f t="shared" si="59"/>
        <v>43</v>
      </c>
      <c r="W60" s="109">
        <f t="shared" si="59"/>
        <v>43</v>
      </c>
      <c r="X60" s="109">
        <f t="shared" si="59"/>
        <v>43</v>
      </c>
      <c r="Y60" s="109">
        <f t="shared" si="59"/>
        <v>43</v>
      </c>
      <c r="Z60" s="109">
        <f t="shared" si="59"/>
        <v>43</v>
      </c>
      <c r="AA60" s="109">
        <f t="shared" si="59"/>
        <v>43</v>
      </c>
      <c r="AB60" s="109">
        <f t="shared" si="59"/>
        <v>43</v>
      </c>
      <c r="AC60" s="109">
        <f t="shared" si="59"/>
        <v>43</v>
      </c>
      <c r="AD60" s="109">
        <f t="shared" si="59"/>
        <v>43</v>
      </c>
      <c r="AE60" s="109">
        <f t="shared" si="59"/>
        <v>43</v>
      </c>
      <c r="AF60" s="109">
        <f t="shared" si="59"/>
        <v>43</v>
      </c>
      <c r="AG60" s="109">
        <f t="shared" si="59"/>
        <v>43</v>
      </c>
      <c r="AH60" s="109">
        <f t="shared" si="59"/>
        <v>43</v>
      </c>
      <c r="AI60" s="109">
        <f t="shared" si="59"/>
        <v>43</v>
      </c>
      <c r="AJ60" s="109">
        <f t="shared" si="59"/>
        <v>43</v>
      </c>
      <c r="AK60" s="109">
        <f t="shared" si="59"/>
        <v>43</v>
      </c>
      <c r="AL60" s="109">
        <f t="shared" si="59"/>
        <v>43</v>
      </c>
      <c r="AM60" s="109">
        <f t="shared" si="59"/>
        <v>43</v>
      </c>
      <c r="AN60" s="109">
        <f t="shared" si="59"/>
        <v>43</v>
      </c>
      <c r="AO60" s="110">
        <f t="shared" si="59"/>
        <v>43</v>
      </c>
      <c r="AQ60" s="7"/>
      <c r="AR60" s="6"/>
      <c r="AS60" s="111"/>
      <c r="AU60" s="37"/>
    </row>
    <row r="61" spans="1:47" ht="24.6" customHeight="1">
      <c r="A61" s="80"/>
      <c r="B61" s="80"/>
      <c r="C61" s="80"/>
      <c r="D61" s="80"/>
      <c r="G61" s="80"/>
      <c r="H61" s="112"/>
      <c r="I61" s="113"/>
      <c r="K61" s="113">
        <f>43-K56-K57-K58-19</f>
        <v>0</v>
      </c>
      <c r="L61" s="113">
        <f>43-L56-L57-L58-25</f>
        <v>1</v>
      </c>
      <c r="M61" s="113">
        <f t="shared" ref="M61:P61" si="60">43-M56-M57-M58-25</f>
        <v>0</v>
      </c>
      <c r="N61" s="113">
        <f t="shared" si="60"/>
        <v>1</v>
      </c>
      <c r="O61" s="113">
        <f t="shared" si="60"/>
        <v>0</v>
      </c>
      <c r="P61" s="113">
        <f t="shared" si="60"/>
        <v>1</v>
      </c>
      <c r="Q61" s="113">
        <f>43-Q56-Q57-Q58-19</f>
        <v>0</v>
      </c>
      <c r="R61" s="113">
        <f>43-R56-R57-R58-19</f>
        <v>0</v>
      </c>
      <c r="S61" s="113">
        <f>43-S56-S57-S58-25</f>
        <v>0</v>
      </c>
      <c r="T61" s="113">
        <f t="shared" ref="T61:W61" si="61">43-T56-T57-T58-25</f>
        <v>0</v>
      </c>
      <c r="U61" s="113">
        <f t="shared" si="61"/>
        <v>0</v>
      </c>
      <c r="V61" s="113">
        <f t="shared" si="61"/>
        <v>0</v>
      </c>
      <c r="W61" s="113">
        <f t="shared" si="61"/>
        <v>0</v>
      </c>
      <c r="X61" s="113">
        <f>43-X56-X57-X58-19</f>
        <v>0</v>
      </c>
      <c r="Y61" s="113">
        <f>43-Y56-Y57-Y58-19</f>
        <v>0</v>
      </c>
      <c r="Z61" s="113">
        <f>43-Z56-Z57-Z58-25</f>
        <v>0</v>
      </c>
      <c r="AA61" s="113">
        <f t="shared" ref="AA61:AD61" si="62">43-AA56-AA57-AA58-25</f>
        <v>0</v>
      </c>
      <c r="AB61" s="113">
        <f t="shared" si="62"/>
        <v>0</v>
      </c>
      <c r="AC61" s="113">
        <f t="shared" si="62"/>
        <v>0</v>
      </c>
      <c r="AD61" s="113">
        <f t="shared" si="62"/>
        <v>0</v>
      </c>
      <c r="AE61" s="113">
        <f>43-AE56-AE57-AE58-19</f>
        <v>0</v>
      </c>
      <c r="AF61" s="113">
        <f>43-AF56-AF57-AF58-19</f>
        <v>0</v>
      </c>
      <c r="AG61" s="113">
        <f>43-AG56-AG57-AG58-25</f>
        <v>0</v>
      </c>
      <c r="AH61" s="113">
        <f t="shared" ref="AH61:AK61" si="63">43-AH56-AH57-AH58-25</f>
        <v>0</v>
      </c>
      <c r="AI61" s="113">
        <f t="shared" si="63"/>
        <v>0</v>
      </c>
      <c r="AJ61" s="113">
        <f t="shared" si="63"/>
        <v>0</v>
      </c>
      <c r="AK61" s="113">
        <f t="shared" si="63"/>
        <v>0</v>
      </c>
      <c r="AL61" s="113">
        <f>43-AL56-AL57-AL58-19</f>
        <v>0</v>
      </c>
      <c r="AM61" s="113">
        <f>43-AM56-AM57-AM58-19</f>
        <v>0</v>
      </c>
      <c r="AN61" s="113">
        <f t="shared" ref="AN61" si="64">43-AN56-AN57-AN58-25</f>
        <v>0</v>
      </c>
      <c r="AO61" s="113">
        <f t="shared" ref="AO61" si="65">43-AO56-AO57-AO58-25</f>
        <v>0</v>
      </c>
    </row>
    <row r="62" spans="1:47" ht="24.6" customHeight="1">
      <c r="A62" s="80"/>
      <c r="B62" s="80"/>
      <c r="C62" s="80"/>
      <c r="D62" s="80"/>
      <c r="I62" s="80"/>
      <c r="J62" s="112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  <c r="AP62" s="7"/>
    </row>
    <row r="63" spans="1:47" ht="24.6" customHeight="1" thickBot="1">
      <c r="A63" s="80"/>
      <c r="B63" s="80"/>
      <c r="C63" s="80"/>
      <c r="D63" s="80"/>
      <c r="I63" s="80"/>
      <c r="J63" s="112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</row>
    <row r="64" spans="1:47" ht="24.6" customHeight="1" thickBot="1">
      <c r="A64" s="80"/>
      <c r="B64" s="80"/>
      <c r="C64" s="80"/>
      <c r="D64" s="80"/>
      <c r="I64" s="80"/>
      <c r="J64" s="228" t="s">
        <v>47</v>
      </c>
      <c r="K64" s="229" cm="1">
        <f t="array" ref="K64">SUMPRODUCT(COUNTIF(K4:K18,{"1";"M1"}))</f>
        <v>0</v>
      </c>
      <c r="L64" s="230" cm="1">
        <f t="array" ref="L64">SUMPRODUCT(COUNTIF(L4:L18,{"1";"M1"}))</f>
        <v>3</v>
      </c>
      <c r="M64" s="230" cm="1">
        <f t="array" ref="M64">SUMPRODUCT(COUNTIF(M4:M18,{"1";"M1"}))</f>
        <v>2</v>
      </c>
      <c r="N64" s="230" cm="1">
        <f t="array" ref="N64">SUMPRODUCT(COUNTIF(N4:N18,{"1";"M1"}))</f>
        <v>2</v>
      </c>
      <c r="O64" s="230" cm="1">
        <f t="array" ref="O64">SUMPRODUCT(COUNTIF(O4:O18,{"1";"M1"}))</f>
        <v>1</v>
      </c>
      <c r="P64" s="230" cm="1">
        <f t="array" ref="P64">SUMPRODUCT(COUNTIF(P4:P18,{"1";"M1"}))</f>
        <v>3</v>
      </c>
      <c r="Q64" s="231" cm="1">
        <f t="array" ref="Q64">SUMPRODUCT(COUNTIF(Q4:Q18,{"1";"M1"}))</f>
        <v>2</v>
      </c>
      <c r="R64" s="231" cm="1">
        <f t="array" ref="R64">SUMPRODUCT(COUNTIF(R4:R18,{"1";"M1"}))</f>
        <v>1</v>
      </c>
      <c r="S64" s="230" cm="1">
        <f t="array" ref="S64">SUMPRODUCT(COUNTIF(S4:S18,{"1";"M1"}))</f>
        <v>1</v>
      </c>
      <c r="T64" s="230" cm="1">
        <f t="array" ref="T64">SUMPRODUCT(COUNTIF(T4:T18,{"1";"M1"}))</f>
        <v>2</v>
      </c>
      <c r="U64" s="230" cm="1">
        <f t="array" ref="U64">SUMPRODUCT(COUNTIF(U4:U18,{"1";"M1"}))</f>
        <v>3</v>
      </c>
      <c r="V64" s="230" cm="1">
        <f t="array" ref="V64">SUMPRODUCT(COUNTIF(V4:V18,{"1";"M1"}))</f>
        <v>2</v>
      </c>
      <c r="W64" s="230" cm="1">
        <f t="array" ref="W64">SUMPRODUCT(COUNTIF(W4:W18,{"1";"M1"}))</f>
        <v>2</v>
      </c>
      <c r="X64" s="231" cm="1">
        <f t="array" ref="X64">SUMPRODUCT(COUNTIF(X4:X18,{"1";"M1"}))</f>
        <v>1</v>
      </c>
      <c r="Y64" s="231" cm="1">
        <f t="array" ref="Y64">SUMPRODUCT(COUNTIF(Y4:Y18,{"1";"M1"}))</f>
        <v>1</v>
      </c>
      <c r="Z64" s="230" cm="1">
        <f t="array" ref="Z64">SUMPRODUCT(COUNTIF(Z4:Z18,{"1";"M1"}))</f>
        <v>3</v>
      </c>
      <c r="AA64" s="230" cm="1">
        <f t="array" ref="AA64">SUMPRODUCT(COUNTIF(AA4:AA18,{"1";"M1"}))</f>
        <v>2</v>
      </c>
      <c r="AB64" s="230" cm="1">
        <f t="array" ref="AB64">SUMPRODUCT(COUNTIF(AB4:AB18,{"1";"M1"}))</f>
        <v>3</v>
      </c>
      <c r="AC64" s="230" cm="1">
        <f t="array" ref="AC64">SUMPRODUCT(COUNTIF(AC4:AC18,{"1";"M1"}))</f>
        <v>2</v>
      </c>
      <c r="AD64" s="230" cm="1">
        <f t="array" ref="AD64">SUMPRODUCT(COUNTIF(AD4:AD18,{"1";"M1"}))</f>
        <v>2</v>
      </c>
      <c r="AE64" s="231" cm="1">
        <f t="array" ref="AE64">SUMPRODUCT(COUNTIF(AE4:AE18,{"1";"M1"}))</f>
        <v>1</v>
      </c>
      <c r="AF64" s="231" cm="1">
        <f t="array" ref="AF64">SUMPRODUCT(COUNTIF(AF4:AF18,{"1";"M1"}))</f>
        <v>1</v>
      </c>
      <c r="AG64" s="230" cm="1">
        <f t="array" ref="AG64">SUMPRODUCT(COUNTIF(AG4:AG18,{"1";"M1"}))</f>
        <v>2</v>
      </c>
      <c r="AH64" s="230" cm="1">
        <f t="array" ref="AH64">SUMPRODUCT(COUNTIF(AH4:AH18,{"1";"M1"}))</f>
        <v>3</v>
      </c>
      <c r="AI64" s="230" cm="1">
        <f t="array" ref="AI64">SUMPRODUCT(COUNTIF(AI4:AI18,{"1";"M1"}))</f>
        <v>3</v>
      </c>
      <c r="AJ64" s="230" cm="1">
        <f t="array" ref="AJ64">SUMPRODUCT(COUNTIF(AJ4:AJ18,{"1";"M1"}))</f>
        <v>2</v>
      </c>
      <c r="AK64" s="230" cm="1">
        <f t="array" ref="AK64">SUMPRODUCT(COUNTIF(AK4:AK18,{"1";"M1"}))</f>
        <v>1</v>
      </c>
      <c r="AL64" s="231" cm="1">
        <f t="array" ref="AL64">SUMPRODUCT(COUNTIF(AL4:AL18,{"1";"M1"}))</f>
        <v>0</v>
      </c>
      <c r="AM64" s="231" cm="1">
        <f t="array" ref="AM64">SUMPRODUCT(COUNTIF(AM4:AM18,{"1";"M1"}))</f>
        <v>0</v>
      </c>
      <c r="AN64" s="230" cm="1">
        <f t="array" ref="AN64">SUMPRODUCT(COUNTIF(AN4:AN18,{"1";"M1"}))</f>
        <v>1</v>
      </c>
      <c r="AO64" s="232" cm="1">
        <f t="array" ref="AO64">SUMPRODUCT(COUNTIF(AO4:AO18,{"1";"M1"}))</f>
        <v>3</v>
      </c>
    </row>
    <row r="65" spans="1:17" ht="24.6" customHeight="1">
      <c r="A65" s="80"/>
      <c r="B65" s="80"/>
      <c r="C65" s="80"/>
      <c r="D65" s="80"/>
      <c r="I65" s="80"/>
      <c r="L65" s="116"/>
      <c r="M65" s="116"/>
      <c r="N65" s="116"/>
      <c r="Q65" s="116"/>
    </row>
    <row r="117" ht="13.8"/>
  </sheetData>
  <autoFilter ref="AT3:AT59" xr:uid="{00000000-0001-0000-0200-000000000000}"/>
  <mergeCells count="11">
    <mergeCell ref="A2:A3"/>
    <mergeCell ref="B2:B3"/>
    <mergeCell ref="C2:C3"/>
    <mergeCell ref="D2:D3"/>
    <mergeCell ref="E2:E3"/>
    <mergeCell ref="AV2:AX2"/>
    <mergeCell ref="K1:AH1"/>
    <mergeCell ref="AI1:AK1"/>
    <mergeCell ref="AL1:AN1"/>
    <mergeCell ref="I2:I3"/>
    <mergeCell ref="J2:J3"/>
  </mergeCells>
  <conditionalFormatting sqref="K4:AO46">
    <cfRule type="expression" dxfId="316" priority="1">
      <formula>OR(K4=3, K4="晚",  K4="大夜")</formula>
    </cfRule>
    <cfRule type="expression" dxfId="315" priority="2">
      <formula>OR(K4="M2", K4=2, K4="中", K4="T中", K4="小夜")</formula>
    </cfRule>
    <cfRule type="expression" dxfId="314" priority="3">
      <formula>OR(K4="M1", K4=1, K4="早", K4="T早", K4="日")</formula>
    </cfRule>
    <cfRule type="expression" dxfId="313" priority="4">
      <formula>OR(     SUM(COUNTIF(K4:Q4, 上班代號)) &gt; 6,     AND(COLUMN()&gt;11, OR(         AND(SUM(COUNTIF(OFFSET(K4,0,-1), 中班組)), SUM(COUNTIF(K4, 早班組), COUNTIF(K4, 晚班組))),         AND(SUM(COUNTIF(OFFSET(K4,0,-1), 早班組)), SUM(COUNTIF(K4, 晚班組)))     )) )</formula>
    </cfRule>
  </conditionalFormatting>
  <conditionalFormatting sqref="K47:AO55">
    <cfRule type="cellIs" dxfId="312" priority="202" operator="equal">
      <formula>5</formula>
    </cfRule>
    <cfRule type="cellIs" dxfId="311" priority="203" operator="equal">
      <formula>4</formula>
    </cfRule>
    <cfRule type="cellIs" dxfId="310" priority="204" operator="equal">
      <formula>3</formula>
    </cfRule>
    <cfRule type="cellIs" dxfId="309" priority="205" operator="equal">
      <formula>2</formula>
    </cfRule>
    <cfRule type="cellIs" dxfId="308" priority="206" operator="equal">
      <formula>1</formula>
    </cfRule>
  </conditionalFormatting>
  <conditionalFormatting sqref="K53:AO55">
    <cfRule type="cellIs" dxfId="307" priority="207" operator="equal">
      <formula>"T中"</formula>
    </cfRule>
  </conditionalFormatting>
  <conditionalFormatting sqref="AP25">
    <cfRule type="cellIs" dxfId="306" priority="210" operator="equal">
      <formula>"大夜"</formula>
    </cfRule>
    <cfRule type="cellIs" dxfId="305" priority="211" operator="equal">
      <formula>"晚"</formula>
    </cfRule>
    <cfRule type="cellIs" dxfId="304" priority="212" operator="equal">
      <formula>3</formula>
    </cfRule>
    <cfRule type="cellIs" dxfId="303" priority="213" operator="equal">
      <formula>"小夜"</formula>
    </cfRule>
    <cfRule type="cellIs" dxfId="302" priority="214" operator="equal">
      <formula>"T中"</formula>
    </cfRule>
    <cfRule type="cellIs" dxfId="301" priority="215" operator="equal">
      <formula>"中"</formula>
    </cfRule>
    <cfRule type="cellIs" dxfId="300" priority="216" operator="equal">
      <formula>"M2"</formula>
    </cfRule>
    <cfRule type="cellIs" dxfId="299" priority="217" operator="equal">
      <formula>2</formula>
    </cfRule>
    <cfRule type="cellIs" dxfId="298" priority="218" operator="equal">
      <formula>"日"</formula>
    </cfRule>
    <cfRule type="cellIs" dxfId="297" priority="219" operator="equal">
      <formula>"T早"</formula>
    </cfRule>
    <cfRule type="cellIs" dxfId="296" priority="220" operator="equal">
      <formula>"早"</formula>
    </cfRule>
    <cfRule type="cellIs" dxfId="295" priority="221" operator="equal">
      <formula>"M1"</formula>
    </cfRule>
    <cfRule type="cellIs" dxfId="294" priority="222" operator="equal">
      <formula>1</formula>
    </cfRule>
  </conditionalFormatting>
  <conditionalFormatting sqref="AS4:AS46">
    <cfRule type="cellIs" dxfId="293" priority="208" operator="equal">
      <formula>-2</formula>
    </cfRule>
    <cfRule type="cellIs" dxfId="292" priority="209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304B-4C75-47E3-90F7-6F7106B55A50}">
  <sheetPr>
    <pageSetUpPr fitToPage="1"/>
  </sheetPr>
  <dimension ref="A1:HP117"/>
  <sheetViews>
    <sheetView zoomScale="70" zoomScaleNormal="7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J19" sqref="J19"/>
    </sheetView>
  </sheetViews>
  <sheetFormatPr defaultColWidth="9" defaultRowHeight="24.6" customHeight="1"/>
  <cols>
    <col min="1" max="9" width="4.109375" style="77" customWidth="1"/>
    <col min="10" max="10" width="23.109375" style="6" customWidth="1"/>
    <col min="11" max="31" width="6.109375" style="6" customWidth="1"/>
    <col min="32" max="32" width="6.44140625" style="6" customWidth="1"/>
    <col min="33" max="38" width="6.109375" style="6" customWidth="1"/>
    <col min="39" max="39" width="6" style="6" customWidth="1"/>
    <col min="40" max="40" width="6.109375" style="6" customWidth="1"/>
    <col min="41" max="42" width="7.88671875" style="6" customWidth="1"/>
    <col min="43" max="43" width="7.88671875" style="7" customWidth="1"/>
    <col min="44" max="44" width="5.88671875" style="6" customWidth="1"/>
    <col min="45" max="232" width="9" style="6" customWidth="1"/>
    <col min="233" max="233" width="7.109375" style="6" customWidth="1"/>
    <col min="234" max="16384" width="9" style="6"/>
  </cols>
  <sheetData>
    <row r="1" spans="1:224" ht="24.6" customHeight="1" thickBot="1">
      <c r="A1" s="1"/>
      <c r="B1" s="2" t="s">
        <v>103</v>
      </c>
      <c r="C1" s="1"/>
      <c r="D1" s="1"/>
      <c r="E1" s="1"/>
      <c r="F1" s="1"/>
      <c r="G1" s="1"/>
      <c r="H1" s="1"/>
      <c r="I1" s="3">
        <v>10</v>
      </c>
      <c r="J1" s="4"/>
      <c r="K1" s="474" t="str">
        <f>"TPKC剩餘人力："&amp;AQ58&amp;" / NK剩餘人力："&amp;AR58&amp;" /  N班人力："&amp;AQ53</f>
        <v>TPKC剩餘人力：0 / NK剩餘人力：0 /  N班人力：76</v>
      </c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6"/>
      <c r="AJ1" s="475"/>
      <c r="AK1" s="475"/>
      <c r="AL1" s="477"/>
      <c r="AM1" s="478"/>
      <c r="AN1" s="478"/>
      <c r="AQ1" s="6"/>
      <c r="AR1" s="7"/>
    </row>
    <row r="2" spans="1:224" ht="23.25" customHeight="1" thickBot="1">
      <c r="A2" s="483">
        <v>1</v>
      </c>
      <c r="B2" s="485">
        <v>2</v>
      </c>
      <c r="C2" s="485">
        <v>3</v>
      </c>
      <c r="D2" s="487" t="s">
        <v>104</v>
      </c>
      <c r="E2" s="489" t="s">
        <v>105</v>
      </c>
      <c r="F2" s="8" t="s">
        <v>106</v>
      </c>
      <c r="G2" s="8" t="s">
        <v>107</v>
      </c>
      <c r="H2" s="8" t="s">
        <v>108</v>
      </c>
      <c r="I2" s="479" t="s">
        <v>109</v>
      </c>
      <c r="J2" s="493" t="s">
        <v>153</v>
      </c>
      <c r="K2" s="281" t="s">
        <v>114</v>
      </c>
      <c r="L2" s="9" t="s">
        <v>115</v>
      </c>
      <c r="M2" s="10" t="s">
        <v>116</v>
      </c>
      <c r="N2" s="11" t="s">
        <v>117</v>
      </c>
      <c r="O2" s="11" t="s">
        <v>111</v>
      </c>
      <c r="P2" s="12" t="s">
        <v>112</v>
      </c>
      <c r="Q2" s="12" t="s">
        <v>113</v>
      </c>
      <c r="R2" s="12" t="s">
        <v>114</v>
      </c>
      <c r="S2" s="12" t="s">
        <v>115</v>
      </c>
      <c r="T2" s="13" t="s">
        <v>116</v>
      </c>
      <c r="U2" s="14" t="s">
        <v>117</v>
      </c>
      <c r="V2" s="14" t="s">
        <v>111</v>
      </c>
      <c r="W2" s="9" t="s">
        <v>112</v>
      </c>
      <c r="X2" s="9" t="s">
        <v>113</v>
      </c>
      <c r="Y2" s="9" t="s">
        <v>114</v>
      </c>
      <c r="Z2" s="9" t="s">
        <v>115</v>
      </c>
      <c r="AA2" s="10" t="s">
        <v>116</v>
      </c>
      <c r="AB2" s="11" t="s">
        <v>117</v>
      </c>
      <c r="AC2" s="11" t="s">
        <v>111</v>
      </c>
      <c r="AD2" s="12" t="s">
        <v>112</v>
      </c>
      <c r="AE2" s="12" t="s">
        <v>113</v>
      </c>
      <c r="AF2" s="12" t="s">
        <v>114</v>
      </c>
      <c r="AG2" s="12" t="s">
        <v>115</v>
      </c>
      <c r="AH2" s="13" t="s">
        <v>116</v>
      </c>
      <c r="AI2" s="14" t="s">
        <v>117</v>
      </c>
      <c r="AJ2" s="14" t="s">
        <v>111</v>
      </c>
      <c r="AK2" s="9" t="s">
        <v>112</v>
      </c>
      <c r="AL2" s="9" t="s">
        <v>113</v>
      </c>
      <c r="AM2" s="9" t="s">
        <v>114</v>
      </c>
      <c r="AN2" s="225" t="s">
        <v>115</v>
      </c>
      <c r="AQ2" s="6"/>
      <c r="AU2" s="491" t="s">
        <v>48</v>
      </c>
      <c r="AV2" s="492"/>
      <c r="AW2" s="492"/>
    </row>
    <row r="3" spans="1:224" ht="24.6" customHeight="1" thickBot="1">
      <c r="A3" s="484"/>
      <c r="B3" s="486"/>
      <c r="C3" s="486"/>
      <c r="D3" s="488"/>
      <c r="E3" s="490"/>
      <c r="F3" s="15" t="s">
        <v>118</v>
      </c>
      <c r="G3" s="15" t="s">
        <v>119</v>
      </c>
      <c r="H3" s="16" t="s">
        <v>120</v>
      </c>
      <c r="I3" s="480"/>
      <c r="J3" s="499"/>
      <c r="K3" s="286">
        <v>1</v>
      </c>
      <c r="L3" s="63">
        <v>2</v>
      </c>
      <c r="M3" s="221">
        <v>3</v>
      </c>
      <c r="N3" s="221">
        <v>4</v>
      </c>
      <c r="O3" s="221">
        <v>5</v>
      </c>
      <c r="P3" s="221">
        <v>6</v>
      </c>
      <c r="Q3" s="63">
        <v>7</v>
      </c>
      <c r="R3" s="63">
        <v>8</v>
      </c>
      <c r="S3" s="63">
        <v>9</v>
      </c>
      <c r="T3" s="63">
        <v>10</v>
      </c>
      <c r="U3" s="221">
        <v>11</v>
      </c>
      <c r="V3" s="221">
        <v>12</v>
      </c>
      <c r="W3" s="63">
        <v>13</v>
      </c>
      <c r="X3" s="63">
        <v>14</v>
      </c>
      <c r="Y3" s="63">
        <v>15</v>
      </c>
      <c r="Z3" s="63">
        <v>16</v>
      </c>
      <c r="AA3" s="63">
        <v>17</v>
      </c>
      <c r="AB3" s="221">
        <v>18</v>
      </c>
      <c r="AC3" s="221">
        <v>19</v>
      </c>
      <c r="AD3" s="63">
        <v>20</v>
      </c>
      <c r="AE3" s="63">
        <v>21</v>
      </c>
      <c r="AF3" s="63">
        <v>22</v>
      </c>
      <c r="AG3" s="63">
        <v>23</v>
      </c>
      <c r="AH3" s="63">
        <v>24</v>
      </c>
      <c r="AI3" s="221">
        <v>25</v>
      </c>
      <c r="AJ3" s="221">
        <v>26</v>
      </c>
      <c r="AK3" s="63">
        <v>27</v>
      </c>
      <c r="AL3" s="63">
        <v>28</v>
      </c>
      <c r="AM3" s="63">
        <v>29</v>
      </c>
      <c r="AN3" s="127">
        <v>30</v>
      </c>
      <c r="AO3" s="19" t="s">
        <v>121</v>
      </c>
      <c r="AP3" s="19" t="s">
        <v>122</v>
      </c>
      <c r="AQ3" s="20" t="s">
        <v>123</v>
      </c>
      <c r="AR3" s="21" t="s">
        <v>109</v>
      </c>
      <c r="AS3" s="22" t="s">
        <v>124</v>
      </c>
      <c r="AU3" s="117" t="s">
        <v>49</v>
      </c>
      <c r="AV3" s="117" t="s">
        <v>50</v>
      </c>
      <c r="AW3" s="117" t="s">
        <v>51</v>
      </c>
    </row>
    <row r="4" spans="1:224" ht="25.2" customHeight="1">
      <c r="A4" s="23">
        <f t="shared" ref="A4:A29" si="0">COUNTIF(K4:AN4,1)+COUNTIF(K4:AN4,"早")+COUNTIF(K4:AN4,"M1")+COUNTIF(K4:AN4,"T早")+COUNTIF(K4:AN4,"日")</f>
        <v>0</v>
      </c>
      <c r="B4" s="24">
        <f t="shared" ref="B4:B29" si="1">COUNTIF(K4:AN4,2)+COUNTIF(K4:AN4,"中")+COUNTIF(K4:AN4,"M2")+COUNTIF(K4:AN4,"T中")+COUNTIF(K4:AN4,"小夜")</f>
        <v>0</v>
      </c>
      <c r="C4" s="25">
        <f t="shared" ref="C4:C29" si="2">COUNTIF(K4:AN4,3)+COUNTIF(K4:AN4,"晚")+COUNTIF(K4:AN4,"大夜")</f>
        <v>16</v>
      </c>
      <c r="D4" s="24">
        <f t="shared" ref="D4:D29" si="3">COUNTIF(K4:AN4,"N")+COUNTIF(K4:AN4,"N8")</f>
        <v>0</v>
      </c>
      <c r="E4" s="26">
        <f t="shared" ref="E4:E29" si="4">COUNTIF(K4:AN4,"S")</f>
        <v>4</v>
      </c>
      <c r="F4" s="26">
        <f t="shared" ref="F4:F29" si="5">COUNTIF(K4:AN4,"X")</f>
        <v>4</v>
      </c>
      <c r="G4" s="26">
        <f t="shared" ref="G4:G29" si="6">COUNTIF(K4:AN4,"Y")</f>
        <v>4</v>
      </c>
      <c r="H4" s="26">
        <f t="shared" ref="H4:H29" si="7">COUNTIF(K4:AN4,"Z")</f>
        <v>2</v>
      </c>
      <c r="I4" s="27">
        <f t="shared" ref="I4:I40" si="8">SUM(A4:H4)</f>
        <v>30</v>
      </c>
      <c r="J4" s="282" t="s">
        <v>152</v>
      </c>
      <c r="K4" s="315" t="s">
        <v>1</v>
      </c>
      <c r="L4" s="316" t="s">
        <v>1</v>
      </c>
      <c r="M4" s="316" t="s">
        <v>154</v>
      </c>
      <c r="N4" s="165" t="s">
        <v>52</v>
      </c>
      <c r="O4" s="165" t="s">
        <v>53</v>
      </c>
      <c r="P4" s="316" t="s">
        <v>53</v>
      </c>
      <c r="Q4" s="316" t="s">
        <v>0</v>
      </c>
      <c r="R4" s="216">
        <v>3</v>
      </c>
      <c r="S4" s="216">
        <v>3</v>
      </c>
      <c r="T4" s="216">
        <v>3</v>
      </c>
      <c r="U4" s="216">
        <v>3</v>
      </c>
      <c r="V4" s="164" t="s">
        <v>0</v>
      </c>
      <c r="W4" s="216" t="s">
        <v>40</v>
      </c>
      <c r="X4" s="216" t="s">
        <v>40</v>
      </c>
      <c r="Y4" s="216" t="s">
        <v>40</v>
      </c>
      <c r="Z4" s="216" t="s">
        <v>40</v>
      </c>
      <c r="AA4" s="216">
        <v>3</v>
      </c>
      <c r="AB4" s="165" t="s">
        <v>52</v>
      </c>
      <c r="AC4" s="165" t="s">
        <v>0</v>
      </c>
      <c r="AD4" s="216">
        <v>3</v>
      </c>
      <c r="AE4" s="216">
        <v>3</v>
      </c>
      <c r="AF4" s="216">
        <v>3</v>
      </c>
      <c r="AG4" s="216">
        <v>3</v>
      </c>
      <c r="AH4" s="216">
        <v>3</v>
      </c>
      <c r="AI4" s="216">
        <v>3</v>
      </c>
      <c r="AJ4" s="164" t="s">
        <v>0</v>
      </c>
      <c r="AK4" s="164" t="s">
        <v>52</v>
      </c>
      <c r="AL4" s="164" t="s">
        <v>52</v>
      </c>
      <c r="AM4" s="121">
        <v>3</v>
      </c>
      <c r="AN4" s="32" t="s">
        <v>154</v>
      </c>
      <c r="AO4" s="283">
        <v>0</v>
      </c>
      <c r="AP4" s="36">
        <f t="shared" ref="AP4:AP46" si="9">$F4+$G4+H4-$I$1</f>
        <v>0</v>
      </c>
      <c r="AQ4" s="36">
        <v>0</v>
      </c>
      <c r="AR4" s="133">
        <f>SUM(AO4:AQ4)</f>
        <v>0</v>
      </c>
      <c r="AS4" s="37" t="s">
        <v>128</v>
      </c>
      <c r="AU4" s="6" cm="2">
        <f t="array" ref="AU4">SUMPRODUCT(COUNTIF(N4:O4,{"X";"Y";"Z";"S"}))+SUMPRODUCT(COUNTIF(U4:V4,{"X";"Y";"Z";"S"}))+SUMPRODUCT(COUNTIF(AB4:AC4,{"X";"Y";"Z";"S"}))+SUMPRODUCT(COUNTIF(AI4:AJ4,{"X";"Y";"Z";"S"}))-5</f>
        <v>1</v>
      </c>
      <c r="AV4" s="6">
        <v>2</v>
      </c>
      <c r="AW4" s="6">
        <f>AU4+AV4</f>
        <v>3</v>
      </c>
    </row>
    <row r="5" spans="1:224" ht="25.5" customHeight="1">
      <c r="A5" s="38">
        <f t="shared" si="0"/>
        <v>2</v>
      </c>
      <c r="B5" s="39">
        <f t="shared" si="1"/>
        <v>2</v>
      </c>
      <c r="C5" s="40">
        <f t="shared" si="2"/>
        <v>10</v>
      </c>
      <c r="D5" s="39">
        <f t="shared" si="3"/>
        <v>2</v>
      </c>
      <c r="E5" s="41">
        <f t="shared" si="4"/>
        <v>4</v>
      </c>
      <c r="F5" s="41">
        <f t="shared" si="5"/>
        <v>4</v>
      </c>
      <c r="G5" s="41">
        <f t="shared" si="6"/>
        <v>4</v>
      </c>
      <c r="H5" s="41">
        <f t="shared" si="7"/>
        <v>2</v>
      </c>
      <c r="I5" s="42">
        <f t="shared" si="8"/>
        <v>30</v>
      </c>
      <c r="J5" s="208" t="s">
        <v>2</v>
      </c>
      <c r="K5" s="305">
        <v>3</v>
      </c>
      <c r="L5" s="121">
        <v>3</v>
      </c>
      <c r="M5" s="121">
        <v>3</v>
      </c>
      <c r="N5" s="30" t="s">
        <v>52</v>
      </c>
      <c r="O5" s="121">
        <v>3</v>
      </c>
      <c r="P5" s="121">
        <v>3</v>
      </c>
      <c r="Q5" s="121">
        <v>3</v>
      </c>
      <c r="R5" s="53" t="s">
        <v>3</v>
      </c>
      <c r="S5" s="30" t="s">
        <v>0</v>
      </c>
      <c r="T5" s="32" t="s">
        <v>53</v>
      </c>
      <c r="U5" s="44" t="s">
        <v>53</v>
      </c>
      <c r="V5" s="44" t="s">
        <v>0</v>
      </c>
      <c r="W5" s="32" t="s">
        <v>1</v>
      </c>
      <c r="X5" s="32" t="s">
        <v>1</v>
      </c>
      <c r="Y5" s="32" t="s">
        <v>1</v>
      </c>
      <c r="Z5" s="32" t="s">
        <v>1</v>
      </c>
      <c r="AA5" s="32" t="s">
        <v>0</v>
      </c>
      <c r="AB5" s="44" t="s">
        <v>52</v>
      </c>
      <c r="AC5" s="30" t="s">
        <v>38</v>
      </c>
      <c r="AD5" s="30" t="s">
        <v>52</v>
      </c>
      <c r="AE5" s="30" t="s">
        <v>36</v>
      </c>
      <c r="AF5" s="30" t="s">
        <v>36</v>
      </c>
      <c r="AG5" s="53" t="s">
        <v>3</v>
      </c>
      <c r="AH5" s="121">
        <v>2</v>
      </c>
      <c r="AI5" s="44" t="s">
        <v>52</v>
      </c>
      <c r="AJ5" s="121">
        <v>3</v>
      </c>
      <c r="AK5" s="120">
        <v>3</v>
      </c>
      <c r="AL5" s="121">
        <v>3</v>
      </c>
      <c r="AM5" s="32" t="s">
        <v>0</v>
      </c>
      <c r="AN5" s="126">
        <v>3</v>
      </c>
      <c r="AO5" s="175">
        <v>0</v>
      </c>
      <c r="AP5" s="46">
        <f t="shared" si="9"/>
        <v>0</v>
      </c>
      <c r="AQ5" s="46">
        <v>0</v>
      </c>
      <c r="AR5" s="134">
        <f t="shared" ref="AR5:AR46" si="10">SUM(AO5:AQ5)</f>
        <v>0</v>
      </c>
      <c r="AS5" s="284" t="s">
        <v>126</v>
      </c>
    </row>
    <row r="6" spans="1:224" ht="25.5" customHeight="1">
      <c r="A6" s="38">
        <f t="shared" si="0"/>
        <v>13</v>
      </c>
      <c r="B6" s="39">
        <f t="shared" si="1"/>
        <v>1</v>
      </c>
      <c r="C6" s="40">
        <f t="shared" si="2"/>
        <v>0</v>
      </c>
      <c r="D6" s="39">
        <f t="shared" si="3"/>
        <v>6</v>
      </c>
      <c r="E6" s="41">
        <f t="shared" si="4"/>
        <v>0</v>
      </c>
      <c r="F6" s="41">
        <f t="shared" si="5"/>
        <v>4</v>
      </c>
      <c r="G6" s="41">
        <f t="shared" si="6"/>
        <v>4</v>
      </c>
      <c r="H6" s="41">
        <f t="shared" si="7"/>
        <v>2</v>
      </c>
      <c r="I6" s="42">
        <f t="shared" si="8"/>
        <v>30</v>
      </c>
      <c r="J6" s="209" t="s">
        <v>129</v>
      </c>
      <c r="K6" s="306" t="s">
        <v>0</v>
      </c>
      <c r="L6" s="30" t="s">
        <v>36</v>
      </c>
      <c r="M6" s="32" t="s">
        <v>52</v>
      </c>
      <c r="N6" s="121" t="s">
        <v>36</v>
      </c>
      <c r="O6" s="121" t="s">
        <v>36</v>
      </c>
      <c r="P6" s="44" t="s">
        <v>0</v>
      </c>
      <c r="Q6" s="30" t="s">
        <v>36</v>
      </c>
      <c r="R6" s="53" t="s">
        <v>3</v>
      </c>
      <c r="S6" s="53" t="s">
        <v>3</v>
      </c>
      <c r="T6" s="30" t="s">
        <v>3</v>
      </c>
      <c r="U6" s="30" t="s">
        <v>53</v>
      </c>
      <c r="V6" s="44" t="s">
        <v>0</v>
      </c>
      <c r="W6" s="30" t="s">
        <v>3</v>
      </c>
      <c r="X6" s="30" t="s">
        <v>36</v>
      </c>
      <c r="Y6" s="53" t="s">
        <v>3</v>
      </c>
      <c r="Z6" s="30" t="s">
        <v>3</v>
      </c>
      <c r="AA6" s="121">
        <v>2</v>
      </c>
      <c r="AB6" s="44" t="s">
        <v>52</v>
      </c>
      <c r="AC6" s="44" t="s">
        <v>53</v>
      </c>
      <c r="AD6" s="121" t="s">
        <v>36</v>
      </c>
      <c r="AE6" s="121" t="s">
        <v>36</v>
      </c>
      <c r="AF6" s="30" t="s">
        <v>0</v>
      </c>
      <c r="AG6" s="30" t="s">
        <v>36</v>
      </c>
      <c r="AH6" s="30" t="s">
        <v>36</v>
      </c>
      <c r="AI6" s="30" t="s">
        <v>52</v>
      </c>
      <c r="AJ6" s="121">
        <v>1</v>
      </c>
      <c r="AK6" s="30" t="s">
        <v>36</v>
      </c>
      <c r="AL6" s="30" t="s">
        <v>36</v>
      </c>
      <c r="AM6" s="30" t="s">
        <v>52</v>
      </c>
      <c r="AN6" s="30">
        <v>1</v>
      </c>
      <c r="AO6" s="175">
        <v>0</v>
      </c>
      <c r="AP6" s="46">
        <f t="shared" si="9"/>
        <v>0</v>
      </c>
      <c r="AQ6" s="46">
        <v>0</v>
      </c>
      <c r="AR6" s="134">
        <f t="shared" si="10"/>
        <v>0</v>
      </c>
      <c r="AS6" s="284" t="s">
        <v>126</v>
      </c>
      <c r="AU6" s="6" cm="2">
        <f t="array" ref="AU6">SUMPRODUCT(COUNTIF(N6:O6,{"X";"Y";"Z";"S"}))+SUMPRODUCT(COUNTIF(U6:V6,{"X";"Y";"Z";"S"}))+SUMPRODUCT(COUNTIF(AB6:AC6,{"X";"Y";"Z";"S"}))+SUMPRODUCT(COUNTIF(AI6:AJ6,{"X";"Y";"Z";"S"}))-5</f>
        <v>0</v>
      </c>
      <c r="AV6" s="6">
        <v>2</v>
      </c>
      <c r="AW6" s="6">
        <f t="shared" ref="AW6:AW7" si="11">AU6+AV6</f>
        <v>2</v>
      </c>
    </row>
    <row r="7" spans="1:224" ht="25.5" customHeight="1">
      <c r="A7" s="38">
        <f t="shared" si="0"/>
        <v>15</v>
      </c>
      <c r="B7" s="39">
        <f t="shared" si="1"/>
        <v>0</v>
      </c>
      <c r="C7" s="40">
        <f t="shared" si="2"/>
        <v>1</v>
      </c>
      <c r="D7" s="39">
        <f t="shared" si="3"/>
        <v>1</v>
      </c>
      <c r="E7" s="41">
        <f t="shared" si="4"/>
        <v>3</v>
      </c>
      <c r="F7" s="41">
        <f t="shared" si="5"/>
        <v>4</v>
      </c>
      <c r="G7" s="41">
        <f t="shared" si="6"/>
        <v>4</v>
      </c>
      <c r="H7" s="41">
        <f t="shared" si="7"/>
        <v>2</v>
      </c>
      <c r="I7" s="42">
        <f t="shared" si="8"/>
        <v>30</v>
      </c>
      <c r="J7" s="209" t="s">
        <v>130</v>
      </c>
      <c r="K7" s="306" t="s">
        <v>53</v>
      </c>
      <c r="L7" s="32" t="s">
        <v>1</v>
      </c>
      <c r="M7" s="32" t="s">
        <v>52</v>
      </c>
      <c r="N7" s="121">
        <v>3</v>
      </c>
      <c r="O7" s="30" t="s">
        <v>0</v>
      </c>
      <c r="P7" s="32" t="s">
        <v>1</v>
      </c>
      <c r="Q7" s="121" t="s">
        <v>36</v>
      </c>
      <c r="R7" s="30">
        <v>1</v>
      </c>
      <c r="S7" s="30" t="s">
        <v>36</v>
      </c>
      <c r="T7" s="30" t="s">
        <v>36</v>
      </c>
      <c r="U7" s="44" t="s">
        <v>52</v>
      </c>
      <c r="V7" s="44" t="s">
        <v>53</v>
      </c>
      <c r="W7" s="30" t="s">
        <v>0</v>
      </c>
      <c r="X7" s="30">
        <v>1</v>
      </c>
      <c r="Y7" s="30" t="s">
        <v>52</v>
      </c>
      <c r="Z7" s="30" t="s">
        <v>36</v>
      </c>
      <c r="AA7" s="32" t="s">
        <v>1</v>
      </c>
      <c r="AB7" s="30" t="s">
        <v>36</v>
      </c>
      <c r="AC7" s="30" t="s">
        <v>36</v>
      </c>
      <c r="AD7" s="30" t="s">
        <v>36</v>
      </c>
      <c r="AE7" s="30" t="s">
        <v>0</v>
      </c>
      <c r="AF7" s="30">
        <v>1</v>
      </c>
      <c r="AG7" s="30">
        <v>1</v>
      </c>
      <c r="AH7" s="121" t="s">
        <v>36</v>
      </c>
      <c r="AI7" s="44" t="s">
        <v>52</v>
      </c>
      <c r="AJ7" s="44" t="s">
        <v>0</v>
      </c>
      <c r="AK7" s="121" t="s">
        <v>36</v>
      </c>
      <c r="AL7" s="53" t="s">
        <v>3</v>
      </c>
      <c r="AM7" s="121" t="s">
        <v>36</v>
      </c>
      <c r="AN7" s="30">
        <v>1</v>
      </c>
      <c r="AO7" s="175">
        <v>0</v>
      </c>
      <c r="AP7" s="46">
        <f t="shared" si="9"/>
        <v>0</v>
      </c>
      <c r="AQ7" s="46">
        <v>0</v>
      </c>
      <c r="AR7" s="134">
        <f t="shared" si="10"/>
        <v>0</v>
      </c>
      <c r="AS7" s="284" t="s">
        <v>126</v>
      </c>
      <c r="AU7" s="6" cm="2">
        <f t="array" ref="AU7">SUMPRODUCT(COUNTIF(N7:O7,{"X";"Y";"Z";"S"}))+SUMPRODUCT(COUNTIF(U7:V7,{"X";"Y";"Z";"S"}))+SUMPRODUCT(COUNTIF(AB7:AC7,{"X";"Y";"Z";"S"}))+SUMPRODUCT(COUNTIF(AI7:AJ7,{"X";"Y";"Z";"S"}))-5</f>
        <v>0</v>
      </c>
      <c r="AV7" s="6">
        <v>2</v>
      </c>
      <c r="AW7" s="6">
        <f t="shared" si="11"/>
        <v>2</v>
      </c>
    </row>
    <row r="8" spans="1:224" ht="24" customHeight="1">
      <c r="A8" s="38">
        <f t="shared" si="0"/>
        <v>0</v>
      </c>
      <c r="B8" s="39">
        <f t="shared" si="1"/>
        <v>0</v>
      </c>
      <c r="C8" s="40">
        <f t="shared" si="2"/>
        <v>0</v>
      </c>
      <c r="D8" s="39">
        <f t="shared" si="3"/>
        <v>17</v>
      </c>
      <c r="E8" s="41">
        <f t="shared" si="4"/>
        <v>3</v>
      </c>
      <c r="F8" s="41">
        <f t="shared" si="5"/>
        <v>4</v>
      </c>
      <c r="G8" s="41">
        <f t="shared" si="6"/>
        <v>4</v>
      </c>
      <c r="H8" s="41">
        <f t="shared" si="7"/>
        <v>2</v>
      </c>
      <c r="I8" s="42">
        <f t="shared" si="8"/>
        <v>30</v>
      </c>
      <c r="J8" s="209" t="s">
        <v>132</v>
      </c>
      <c r="K8" s="306" t="s">
        <v>3</v>
      </c>
      <c r="L8" s="30" t="s">
        <v>3</v>
      </c>
      <c r="M8" s="44" t="s">
        <v>52</v>
      </c>
      <c r="N8" s="44" t="s">
        <v>53</v>
      </c>
      <c r="O8" s="44" t="s">
        <v>53</v>
      </c>
      <c r="P8" s="44" t="s">
        <v>0</v>
      </c>
      <c r="Q8" s="30" t="s">
        <v>3</v>
      </c>
      <c r="R8" s="30" t="s">
        <v>3</v>
      </c>
      <c r="S8" s="30" t="s">
        <v>3</v>
      </c>
      <c r="T8" s="30" t="s">
        <v>3</v>
      </c>
      <c r="U8" s="44" t="s">
        <v>52</v>
      </c>
      <c r="V8" s="44" t="s">
        <v>0</v>
      </c>
      <c r="W8" s="30" t="s">
        <v>3</v>
      </c>
      <c r="X8" s="32" t="s">
        <v>1</v>
      </c>
      <c r="Y8" s="30" t="s">
        <v>3</v>
      </c>
      <c r="Z8" s="30" t="s">
        <v>3</v>
      </c>
      <c r="AA8" s="30" t="s">
        <v>3</v>
      </c>
      <c r="AB8" s="44" t="s">
        <v>52</v>
      </c>
      <c r="AC8" s="44" t="s">
        <v>0</v>
      </c>
      <c r="AD8" s="30" t="s">
        <v>3</v>
      </c>
      <c r="AE8" s="30" t="s">
        <v>3</v>
      </c>
      <c r="AF8" s="30" t="s">
        <v>3</v>
      </c>
      <c r="AG8" s="30" t="s">
        <v>3</v>
      </c>
      <c r="AH8" s="30" t="s">
        <v>3</v>
      </c>
      <c r="AI8" s="44" t="s">
        <v>52</v>
      </c>
      <c r="AJ8" s="44" t="s">
        <v>0</v>
      </c>
      <c r="AK8" s="30" t="s">
        <v>3</v>
      </c>
      <c r="AL8" s="30" t="s">
        <v>3</v>
      </c>
      <c r="AM8" s="32" t="s">
        <v>1</v>
      </c>
      <c r="AN8" s="32" t="s">
        <v>1</v>
      </c>
      <c r="AO8" s="175">
        <v>0</v>
      </c>
      <c r="AP8" s="46">
        <f t="shared" si="9"/>
        <v>0</v>
      </c>
      <c r="AQ8" s="46">
        <v>0</v>
      </c>
      <c r="AR8" s="134">
        <f t="shared" si="10"/>
        <v>0</v>
      </c>
      <c r="AS8" s="284" t="s">
        <v>133</v>
      </c>
    </row>
    <row r="9" spans="1:224" s="50" customFormat="1" ht="24.75" customHeight="1">
      <c r="A9" s="38">
        <f t="shared" si="0"/>
        <v>16</v>
      </c>
      <c r="B9" s="39">
        <f t="shared" si="1"/>
        <v>2</v>
      </c>
      <c r="C9" s="40">
        <f t="shared" si="2"/>
        <v>0</v>
      </c>
      <c r="D9" s="39">
        <f t="shared" si="3"/>
        <v>1</v>
      </c>
      <c r="E9" s="41">
        <f t="shared" si="4"/>
        <v>1</v>
      </c>
      <c r="F9" s="41">
        <f t="shared" si="5"/>
        <v>4</v>
      </c>
      <c r="G9" s="41">
        <f t="shared" si="6"/>
        <v>4</v>
      </c>
      <c r="H9" s="41">
        <f t="shared" si="7"/>
        <v>2</v>
      </c>
      <c r="I9" s="42">
        <f t="shared" si="8"/>
        <v>30</v>
      </c>
      <c r="J9" s="209" t="s">
        <v>4</v>
      </c>
      <c r="K9" s="30" t="s">
        <v>36</v>
      </c>
      <c r="L9" s="30" t="s">
        <v>36</v>
      </c>
      <c r="M9" s="32" t="s">
        <v>53</v>
      </c>
      <c r="N9" s="44" t="s">
        <v>53</v>
      </c>
      <c r="O9" s="44" t="s">
        <v>52</v>
      </c>
      <c r="P9" s="32" t="s">
        <v>1</v>
      </c>
      <c r="Q9" s="30" t="s">
        <v>36</v>
      </c>
      <c r="R9" s="30" t="s">
        <v>36</v>
      </c>
      <c r="S9" s="30" t="s">
        <v>36</v>
      </c>
      <c r="T9" s="30" t="s">
        <v>36</v>
      </c>
      <c r="U9" s="121" t="s">
        <v>36</v>
      </c>
      <c r="V9" s="30" t="s">
        <v>0</v>
      </c>
      <c r="W9" s="30" t="s">
        <v>52</v>
      </c>
      <c r="X9" s="30">
        <v>1</v>
      </c>
      <c r="Y9" s="30">
        <v>1</v>
      </c>
      <c r="Z9" s="124" t="s">
        <v>155</v>
      </c>
      <c r="AA9" s="32" t="s">
        <v>52</v>
      </c>
      <c r="AB9" s="121">
        <v>2</v>
      </c>
      <c r="AC9" s="44" t="s">
        <v>0</v>
      </c>
      <c r="AD9" s="30" t="s">
        <v>36</v>
      </c>
      <c r="AE9" s="30" t="s">
        <v>36</v>
      </c>
      <c r="AF9" s="30" t="s">
        <v>36</v>
      </c>
      <c r="AG9" s="124" t="s">
        <v>155</v>
      </c>
      <c r="AH9" s="32" t="s">
        <v>0</v>
      </c>
      <c r="AI9" s="121">
        <v>2</v>
      </c>
      <c r="AJ9" s="44" t="s">
        <v>0</v>
      </c>
      <c r="AK9" s="30" t="s">
        <v>52</v>
      </c>
      <c r="AL9" s="30" t="s">
        <v>3</v>
      </c>
      <c r="AM9" s="121">
        <v>1</v>
      </c>
      <c r="AN9" s="121">
        <v>1</v>
      </c>
      <c r="AO9" s="175">
        <v>0</v>
      </c>
      <c r="AP9" s="46">
        <f t="shared" si="9"/>
        <v>0</v>
      </c>
      <c r="AQ9" s="46">
        <v>0</v>
      </c>
      <c r="AR9" s="134">
        <f t="shared" si="10"/>
        <v>0</v>
      </c>
      <c r="AS9" s="284" t="s">
        <v>128</v>
      </c>
      <c r="AT9" s="6"/>
      <c r="AU9" s="6" cm="2">
        <f t="array" ref="AU9">SUMPRODUCT(COUNTIF(N9:O9,{"X";"Y";"Z";"S"}))+SUMPRODUCT(COUNTIF(U9:V9,{"X";"Y";"Z";"S"}))+SUMPRODUCT(COUNTIF(AB9:AC9,{"X";"Y";"Z";"S"}))+SUMPRODUCT(COUNTIF(AI9:AJ9,{"X";"Y";"Z";"S"}))-5</f>
        <v>0</v>
      </c>
      <c r="AV9" s="6">
        <v>3</v>
      </c>
      <c r="AW9" s="6">
        <f t="shared" ref="AW9:AW13" si="12">AU9+AV9</f>
        <v>3</v>
      </c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</row>
    <row r="10" spans="1:224" s="50" customFormat="1" ht="24" customHeight="1">
      <c r="A10" s="38">
        <f t="shared" si="0"/>
        <v>16</v>
      </c>
      <c r="B10" s="39">
        <f t="shared" si="1"/>
        <v>4</v>
      </c>
      <c r="C10" s="40">
        <f t="shared" si="2"/>
        <v>0</v>
      </c>
      <c r="D10" s="39">
        <f t="shared" si="3"/>
        <v>0</v>
      </c>
      <c r="E10" s="41">
        <f t="shared" si="4"/>
        <v>0</v>
      </c>
      <c r="F10" s="41">
        <f t="shared" si="5"/>
        <v>4</v>
      </c>
      <c r="G10" s="41">
        <f t="shared" si="6"/>
        <v>4</v>
      </c>
      <c r="H10" s="41">
        <f t="shared" si="7"/>
        <v>2</v>
      </c>
      <c r="I10" s="42">
        <f t="shared" si="8"/>
        <v>30</v>
      </c>
      <c r="J10" s="210" t="s">
        <v>134</v>
      </c>
      <c r="K10" s="306" t="s">
        <v>36</v>
      </c>
      <c r="L10" s="30" t="s">
        <v>36</v>
      </c>
      <c r="M10" s="32" t="s">
        <v>52</v>
      </c>
      <c r="N10" s="30" t="s">
        <v>36</v>
      </c>
      <c r="O10" s="30" t="s">
        <v>36</v>
      </c>
      <c r="P10" s="121">
        <v>2</v>
      </c>
      <c r="Q10" s="30" t="s">
        <v>0</v>
      </c>
      <c r="R10" s="32" t="s">
        <v>52</v>
      </c>
      <c r="S10" s="30" t="s">
        <v>36</v>
      </c>
      <c r="T10" s="30" t="s">
        <v>36</v>
      </c>
      <c r="U10" s="44" t="s">
        <v>53</v>
      </c>
      <c r="V10" s="44" t="s">
        <v>0</v>
      </c>
      <c r="W10" s="30" t="s">
        <v>36</v>
      </c>
      <c r="X10" s="30" t="s">
        <v>36</v>
      </c>
      <c r="Y10" s="30" t="s">
        <v>36</v>
      </c>
      <c r="Z10" s="30" t="s">
        <v>36</v>
      </c>
      <c r="AA10" s="30" t="s">
        <v>36</v>
      </c>
      <c r="AB10" s="30" t="s">
        <v>52</v>
      </c>
      <c r="AC10" s="121" t="s">
        <v>36</v>
      </c>
      <c r="AD10" s="30" t="s">
        <v>36</v>
      </c>
      <c r="AE10" s="30" t="s">
        <v>36</v>
      </c>
      <c r="AF10" s="30" t="s">
        <v>36</v>
      </c>
      <c r="AG10" s="30" t="s">
        <v>36</v>
      </c>
      <c r="AH10" s="32" t="s">
        <v>52</v>
      </c>
      <c r="AI10" s="44" t="s">
        <v>53</v>
      </c>
      <c r="AJ10" s="44" t="s">
        <v>0</v>
      </c>
      <c r="AK10" s="121">
        <v>2</v>
      </c>
      <c r="AL10" s="121">
        <v>2</v>
      </c>
      <c r="AM10" s="121">
        <v>2</v>
      </c>
      <c r="AN10" s="48" t="s">
        <v>0</v>
      </c>
      <c r="AO10" s="175">
        <v>0</v>
      </c>
      <c r="AP10" s="46">
        <f t="shared" si="9"/>
        <v>0</v>
      </c>
      <c r="AQ10" s="46">
        <v>0</v>
      </c>
      <c r="AR10" s="134">
        <f t="shared" si="10"/>
        <v>0</v>
      </c>
      <c r="AS10" s="284" t="s">
        <v>126</v>
      </c>
      <c r="AT10" s="6"/>
      <c r="AU10" s="6" cm="2">
        <f t="array" ref="AU10">SUMPRODUCT(COUNTIF(N10:O10,{"X";"Y";"Z";"S"}))+SUMPRODUCT(COUNTIF(U10:V10,{"X";"Y";"Z";"S"}))+SUMPRODUCT(COUNTIF(AB10:AC10,{"X";"Y";"Z";"S"}))+SUMPRODUCT(COUNTIF(AI10:AJ10,{"X";"Y";"Z";"S"}))-5</f>
        <v>0</v>
      </c>
      <c r="AV10" s="6">
        <v>2</v>
      </c>
      <c r="AW10" s="6">
        <f t="shared" si="12"/>
        <v>2</v>
      </c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</row>
    <row r="11" spans="1:224" s="50" customFormat="1" ht="24" customHeight="1">
      <c r="A11" s="38">
        <f t="shared" si="0"/>
        <v>17</v>
      </c>
      <c r="B11" s="39">
        <f t="shared" si="1"/>
        <v>2</v>
      </c>
      <c r="C11" s="40">
        <f t="shared" si="2"/>
        <v>0</v>
      </c>
      <c r="D11" s="39">
        <f t="shared" si="3"/>
        <v>0</v>
      </c>
      <c r="E11" s="41">
        <f t="shared" si="4"/>
        <v>1</v>
      </c>
      <c r="F11" s="41">
        <f t="shared" si="5"/>
        <v>4</v>
      </c>
      <c r="G11" s="41">
        <f t="shared" si="6"/>
        <v>4</v>
      </c>
      <c r="H11" s="41">
        <f t="shared" si="7"/>
        <v>2</v>
      </c>
      <c r="I11" s="42">
        <f t="shared" si="8"/>
        <v>30</v>
      </c>
      <c r="J11" s="209" t="s">
        <v>6</v>
      </c>
      <c r="K11" s="306">
        <v>1</v>
      </c>
      <c r="L11" s="124" t="s">
        <v>155</v>
      </c>
      <c r="M11" s="32" t="s">
        <v>52</v>
      </c>
      <c r="N11" s="44" t="s">
        <v>53</v>
      </c>
      <c r="O11" s="44" t="s">
        <v>53</v>
      </c>
      <c r="P11" s="32" t="s">
        <v>0</v>
      </c>
      <c r="Q11" s="30">
        <v>1</v>
      </c>
      <c r="R11" s="30" t="s">
        <v>36</v>
      </c>
      <c r="S11" s="124" t="s">
        <v>155</v>
      </c>
      <c r="T11" s="32" t="s">
        <v>52</v>
      </c>
      <c r="U11" s="317">
        <v>1</v>
      </c>
      <c r="V11" s="44" t="s">
        <v>52</v>
      </c>
      <c r="W11" s="30" t="s">
        <v>36</v>
      </c>
      <c r="X11" s="30" t="s">
        <v>0</v>
      </c>
      <c r="Y11" s="121">
        <v>1</v>
      </c>
      <c r="Z11" s="30" t="s">
        <v>36</v>
      </c>
      <c r="AA11" s="30" t="s">
        <v>36</v>
      </c>
      <c r="AB11" s="30" t="s">
        <v>38</v>
      </c>
      <c r="AC11" s="44" t="s">
        <v>0</v>
      </c>
      <c r="AD11" s="124" t="s">
        <v>155</v>
      </c>
      <c r="AE11" s="30" t="s">
        <v>36</v>
      </c>
      <c r="AF11" s="30" t="s">
        <v>36</v>
      </c>
      <c r="AG11" s="30" t="s">
        <v>36</v>
      </c>
      <c r="AH11" s="30" t="s">
        <v>52</v>
      </c>
      <c r="AI11" s="30">
        <v>2</v>
      </c>
      <c r="AJ11" s="30" t="s">
        <v>0</v>
      </c>
      <c r="AK11" s="124" t="s">
        <v>155</v>
      </c>
      <c r="AL11" s="32" t="s">
        <v>154</v>
      </c>
      <c r="AM11" s="30">
        <v>1</v>
      </c>
      <c r="AN11" s="30" t="s">
        <v>36</v>
      </c>
      <c r="AO11" s="175">
        <v>0</v>
      </c>
      <c r="AP11" s="46">
        <f t="shared" si="9"/>
        <v>0</v>
      </c>
      <c r="AQ11" s="46">
        <v>0</v>
      </c>
      <c r="AR11" s="134">
        <f t="shared" si="10"/>
        <v>0</v>
      </c>
      <c r="AS11" s="284" t="s">
        <v>128</v>
      </c>
      <c r="AT11" s="6"/>
      <c r="AU11" s="6" cm="2">
        <f t="array" ref="AU11">SUMPRODUCT(COUNTIF(N11:O11,{"X";"Y";"Z";"S"}))+SUMPRODUCT(COUNTIF(U11:V11,{"X";"Y";"Z";"S"}))+SUMPRODUCT(COUNTIF(AB11:AC11,{"X";"Y";"Z";"S"}))+SUMPRODUCT(COUNTIF(AI11:AJ11,{"X";"Y";"Z";"S"}))-5</f>
        <v>0</v>
      </c>
      <c r="AV11" s="6">
        <v>3</v>
      </c>
      <c r="AW11" s="6">
        <f t="shared" si="12"/>
        <v>3</v>
      </c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</row>
    <row r="12" spans="1:224" s="50" customFormat="1" ht="25.5" customHeight="1">
      <c r="A12" s="38">
        <f t="shared" si="0"/>
        <v>18</v>
      </c>
      <c r="B12" s="39">
        <f t="shared" si="1"/>
        <v>0</v>
      </c>
      <c r="C12" s="40">
        <f t="shared" si="2"/>
        <v>0</v>
      </c>
      <c r="D12" s="39">
        <f t="shared" si="3"/>
        <v>0</v>
      </c>
      <c r="E12" s="41">
        <f t="shared" si="4"/>
        <v>2</v>
      </c>
      <c r="F12" s="41">
        <f t="shared" si="5"/>
        <v>4</v>
      </c>
      <c r="G12" s="41">
        <f t="shared" si="6"/>
        <v>4</v>
      </c>
      <c r="H12" s="41">
        <f t="shared" si="7"/>
        <v>2</v>
      </c>
      <c r="I12" s="42">
        <f t="shared" si="8"/>
        <v>30</v>
      </c>
      <c r="J12" s="209" t="s">
        <v>135</v>
      </c>
      <c r="K12" s="305">
        <v>1</v>
      </c>
      <c r="L12" s="32" t="s">
        <v>1</v>
      </c>
      <c r="M12" s="32" t="s">
        <v>52</v>
      </c>
      <c r="N12" s="30" t="s">
        <v>36</v>
      </c>
      <c r="O12" s="30" t="s">
        <v>36</v>
      </c>
      <c r="P12" s="32" t="s">
        <v>0</v>
      </c>
      <c r="Q12" s="121">
        <v>1</v>
      </c>
      <c r="R12" s="121">
        <v>1</v>
      </c>
      <c r="S12" s="30" t="s">
        <v>36</v>
      </c>
      <c r="T12" s="30" t="s">
        <v>53</v>
      </c>
      <c r="U12" s="44" t="s">
        <v>53</v>
      </c>
      <c r="V12" s="44" t="s">
        <v>52</v>
      </c>
      <c r="W12" s="121">
        <v>1</v>
      </c>
      <c r="X12" s="30" t="s">
        <v>36</v>
      </c>
      <c r="Y12" s="121" t="s">
        <v>36</v>
      </c>
      <c r="Z12" s="30" t="s">
        <v>0</v>
      </c>
      <c r="AA12" s="30" t="s">
        <v>36</v>
      </c>
      <c r="AB12" s="121" t="s">
        <v>36</v>
      </c>
      <c r="AC12" s="30" t="s">
        <v>52</v>
      </c>
      <c r="AD12" s="44" t="s">
        <v>0</v>
      </c>
      <c r="AE12" s="30">
        <v>1</v>
      </c>
      <c r="AF12" s="121">
        <v>1</v>
      </c>
      <c r="AG12" s="30" t="s">
        <v>36</v>
      </c>
      <c r="AH12" s="30" t="s">
        <v>36</v>
      </c>
      <c r="AI12" s="32" t="s">
        <v>1</v>
      </c>
      <c r="AJ12" s="44" t="s">
        <v>52</v>
      </c>
      <c r="AK12" s="30" t="s">
        <v>36</v>
      </c>
      <c r="AL12" s="30" t="s">
        <v>36</v>
      </c>
      <c r="AM12" s="30" t="s">
        <v>36</v>
      </c>
      <c r="AN12" s="30" t="s">
        <v>0</v>
      </c>
      <c r="AO12" s="175">
        <v>0</v>
      </c>
      <c r="AP12" s="46">
        <f t="shared" si="9"/>
        <v>0</v>
      </c>
      <c r="AQ12" s="46">
        <v>0</v>
      </c>
      <c r="AR12" s="134">
        <f t="shared" si="10"/>
        <v>0</v>
      </c>
      <c r="AS12" s="284" t="s">
        <v>126</v>
      </c>
      <c r="AT12" s="6"/>
      <c r="AU12" s="6" cm="2">
        <f t="array" ref="AU12">SUMPRODUCT(COUNTIF(N12:O12,{"X";"Y";"Z";"S"}))+SUMPRODUCT(COUNTIF(U12:V12,{"X";"Y";"Z";"S"}))+SUMPRODUCT(COUNTIF(AB12:AC12,{"X";"Y";"Z";"S"}))+SUMPRODUCT(COUNTIF(AI12:AJ12,{"X";"Y";"Z";"S"}))-5</f>
        <v>0</v>
      </c>
      <c r="AV12" s="6">
        <v>2</v>
      </c>
      <c r="AW12" s="6">
        <f t="shared" si="12"/>
        <v>2</v>
      </c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</row>
    <row r="13" spans="1:224" s="50" customFormat="1" ht="28.35" customHeight="1">
      <c r="A13" s="38">
        <f>COUNTIF(K13:AN13,1)+COUNTIF(K13:AN13,"早")+COUNTIF(K13:AN13,"M1")+COUNTIF(K13:AN13,"T早")+COUNTIF(K13:AN13,"日")</f>
        <v>13</v>
      </c>
      <c r="B13" s="39">
        <f>COUNTIF(K13:AN13,2)+COUNTIF(K13:AN13,"中")+COUNTIF(K13:AN13,"M2")+COUNTIF(K13:AN13,"T中")+COUNTIF(K13:AN13,"小夜")</f>
        <v>3</v>
      </c>
      <c r="C13" s="40">
        <f>COUNTIF(K13:AN13,3)+COUNTIF(K13:AN13,"晚")+COUNTIF(K13:AN13,"大夜")</f>
        <v>0</v>
      </c>
      <c r="D13" s="39">
        <f>COUNTIF(K13:AN13,"N")+COUNTIF(K13:AN13,"N8")</f>
        <v>2</v>
      </c>
      <c r="E13" s="41">
        <f>COUNTIF(K13:AN13,"S")</f>
        <v>2</v>
      </c>
      <c r="F13" s="41">
        <f>COUNTIF(K13:AN13,"X")</f>
        <v>4</v>
      </c>
      <c r="G13" s="41">
        <f>COUNTIF(K13:AN13,"Y")</f>
        <v>4</v>
      </c>
      <c r="H13" s="41">
        <f>COUNTIF(K13:AN13,"Z")</f>
        <v>2</v>
      </c>
      <c r="I13" s="42">
        <f t="shared" si="8"/>
        <v>30</v>
      </c>
      <c r="J13" s="210" t="s">
        <v>136</v>
      </c>
      <c r="K13" s="307" t="s">
        <v>58</v>
      </c>
      <c r="L13" s="30">
        <v>1</v>
      </c>
      <c r="M13" s="44" t="s">
        <v>52</v>
      </c>
      <c r="N13" s="32" t="s">
        <v>1</v>
      </c>
      <c r="O13" s="32" t="s">
        <v>1</v>
      </c>
      <c r="P13" s="44" t="s">
        <v>0</v>
      </c>
      <c r="Q13" s="53" t="s">
        <v>3</v>
      </c>
      <c r="R13" s="30">
        <v>1</v>
      </c>
      <c r="S13" s="30">
        <v>1</v>
      </c>
      <c r="T13" s="124" t="s">
        <v>58</v>
      </c>
      <c r="U13" s="121">
        <v>2</v>
      </c>
      <c r="V13" s="124">
        <v>2</v>
      </c>
      <c r="W13" s="30" t="s">
        <v>52</v>
      </c>
      <c r="X13" s="30" t="s">
        <v>0</v>
      </c>
      <c r="Y13" s="30" t="s">
        <v>36</v>
      </c>
      <c r="Z13" s="30" t="s">
        <v>36</v>
      </c>
      <c r="AA13" s="124" t="s">
        <v>58</v>
      </c>
      <c r="AB13" s="44" t="s">
        <v>53</v>
      </c>
      <c r="AC13" s="44" t="s">
        <v>53</v>
      </c>
      <c r="AD13" s="32" t="s">
        <v>52</v>
      </c>
      <c r="AE13" s="53" t="s">
        <v>3</v>
      </c>
      <c r="AF13" s="124" t="s">
        <v>58</v>
      </c>
      <c r="AG13" s="30">
        <v>1</v>
      </c>
      <c r="AH13" s="285">
        <v>1</v>
      </c>
      <c r="AI13" s="30" t="s">
        <v>0</v>
      </c>
      <c r="AJ13" s="121">
        <v>2</v>
      </c>
      <c r="AK13" s="32" t="s">
        <v>52</v>
      </c>
      <c r="AL13" s="124" t="s">
        <v>58</v>
      </c>
      <c r="AM13" s="285">
        <v>1</v>
      </c>
      <c r="AN13" s="30" t="s">
        <v>0</v>
      </c>
      <c r="AO13" s="175">
        <v>0</v>
      </c>
      <c r="AP13" s="46">
        <f t="shared" si="9"/>
        <v>0</v>
      </c>
      <c r="AQ13" s="46">
        <v>0</v>
      </c>
      <c r="AR13" s="134">
        <f t="shared" si="10"/>
        <v>0</v>
      </c>
      <c r="AS13" s="284" t="s">
        <v>128</v>
      </c>
      <c r="AT13" s="6"/>
      <c r="AU13" s="6" cm="2">
        <f t="array" ref="AU13">SUMPRODUCT(COUNTIF(N13:O13,{"X";"Y";"Z";"S"}))+SUMPRODUCT(COUNTIF(U13:V13,{"X";"Y";"Z";"S"}))+SUMPRODUCT(COUNTIF(AB13:AC13,{"X";"Y";"Z";"S"}))+SUMPRODUCT(COUNTIF(AI13:AJ13,{"X";"Y";"Z";"S"}))-5</f>
        <v>0</v>
      </c>
      <c r="AV13" s="6">
        <v>3</v>
      </c>
      <c r="AW13" s="6">
        <f t="shared" si="12"/>
        <v>3</v>
      </c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</row>
    <row r="14" spans="1:224" s="50" customFormat="1" ht="25.2" customHeight="1">
      <c r="A14" s="38">
        <f t="shared" si="0"/>
        <v>0</v>
      </c>
      <c r="B14" s="39">
        <f t="shared" si="1"/>
        <v>13</v>
      </c>
      <c r="C14" s="40">
        <f t="shared" si="2"/>
        <v>3</v>
      </c>
      <c r="D14" s="39">
        <f t="shared" si="3"/>
        <v>3</v>
      </c>
      <c r="E14" s="41">
        <f t="shared" si="4"/>
        <v>1</v>
      </c>
      <c r="F14" s="41">
        <f t="shared" si="5"/>
        <v>4</v>
      </c>
      <c r="G14" s="41">
        <f t="shared" si="6"/>
        <v>4</v>
      </c>
      <c r="H14" s="41">
        <f t="shared" si="7"/>
        <v>2</v>
      </c>
      <c r="I14" s="42">
        <f t="shared" si="8"/>
        <v>30</v>
      </c>
      <c r="J14" s="211" t="s">
        <v>7</v>
      </c>
      <c r="K14" s="306">
        <v>2</v>
      </c>
      <c r="L14" s="30" t="s">
        <v>38</v>
      </c>
      <c r="M14" s="32" t="s">
        <v>52</v>
      </c>
      <c r="N14" s="121">
        <v>2</v>
      </c>
      <c r="O14" s="121" t="s">
        <v>38</v>
      </c>
      <c r="P14" s="32" t="s">
        <v>0</v>
      </c>
      <c r="Q14" s="53" t="s">
        <v>3</v>
      </c>
      <c r="R14" s="32" t="s">
        <v>53</v>
      </c>
      <c r="S14" s="53" t="s">
        <v>3</v>
      </c>
      <c r="T14" s="121">
        <v>2</v>
      </c>
      <c r="U14" s="44" t="s">
        <v>52</v>
      </c>
      <c r="V14" s="121">
        <v>3</v>
      </c>
      <c r="W14" s="121">
        <v>2</v>
      </c>
      <c r="X14" s="32" t="s">
        <v>0</v>
      </c>
      <c r="Y14" s="121">
        <v>2</v>
      </c>
      <c r="Z14" s="121">
        <v>2</v>
      </c>
      <c r="AA14" s="30" t="s">
        <v>52</v>
      </c>
      <c r="AB14" s="121">
        <v>3</v>
      </c>
      <c r="AC14" s="121">
        <v>3</v>
      </c>
      <c r="AD14" s="32" t="s">
        <v>53</v>
      </c>
      <c r="AE14" s="53" t="s">
        <v>3</v>
      </c>
      <c r="AF14" s="30">
        <v>2</v>
      </c>
      <c r="AG14" s="121">
        <v>2</v>
      </c>
      <c r="AH14" s="44" t="s">
        <v>52</v>
      </c>
      <c r="AI14" s="32" t="s">
        <v>1</v>
      </c>
      <c r="AJ14" s="30" t="s">
        <v>0</v>
      </c>
      <c r="AK14" s="30" t="s">
        <v>0</v>
      </c>
      <c r="AL14" s="30">
        <v>2</v>
      </c>
      <c r="AM14" s="30">
        <v>2</v>
      </c>
      <c r="AN14" s="121">
        <v>2</v>
      </c>
      <c r="AO14" s="175">
        <v>0</v>
      </c>
      <c r="AP14" s="46">
        <f t="shared" si="9"/>
        <v>0</v>
      </c>
      <c r="AQ14" s="46">
        <v>0</v>
      </c>
      <c r="AR14" s="134">
        <f t="shared" si="10"/>
        <v>0</v>
      </c>
      <c r="AS14" s="284" t="s">
        <v>126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</row>
    <row r="15" spans="1:224" s="50" customFormat="1" ht="25.5" customHeight="1">
      <c r="A15" s="38">
        <f t="shared" si="0"/>
        <v>11</v>
      </c>
      <c r="B15" s="39">
        <f t="shared" si="1"/>
        <v>1</v>
      </c>
      <c r="C15" s="40">
        <f t="shared" si="2"/>
        <v>0</v>
      </c>
      <c r="D15" s="39">
        <f t="shared" si="3"/>
        <v>6</v>
      </c>
      <c r="E15" s="41">
        <f t="shared" si="4"/>
        <v>2</v>
      </c>
      <c r="F15" s="41">
        <f t="shared" si="5"/>
        <v>4</v>
      </c>
      <c r="G15" s="41">
        <f t="shared" si="6"/>
        <v>4</v>
      </c>
      <c r="H15" s="41">
        <f t="shared" si="7"/>
        <v>2</v>
      </c>
      <c r="I15" s="42">
        <f t="shared" si="8"/>
        <v>30</v>
      </c>
      <c r="J15" s="209" t="s">
        <v>8</v>
      </c>
      <c r="K15" s="308" t="s">
        <v>3</v>
      </c>
      <c r="L15" s="124" t="s">
        <v>58</v>
      </c>
      <c r="M15" s="32" t="s">
        <v>1</v>
      </c>
      <c r="N15" s="44" t="s">
        <v>53</v>
      </c>
      <c r="O15" s="44" t="s">
        <v>52</v>
      </c>
      <c r="P15" s="121" t="s">
        <v>36</v>
      </c>
      <c r="Q15" s="53" t="s">
        <v>3</v>
      </c>
      <c r="R15" s="121" t="s">
        <v>36</v>
      </c>
      <c r="S15" s="124" t="s">
        <v>58</v>
      </c>
      <c r="T15" s="53" t="s">
        <v>3</v>
      </c>
      <c r="U15" s="30" t="s">
        <v>36</v>
      </c>
      <c r="V15" s="30" t="s">
        <v>0</v>
      </c>
      <c r="W15" s="30">
        <v>1</v>
      </c>
      <c r="X15" s="121">
        <v>2</v>
      </c>
      <c r="Y15" s="30" t="s">
        <v>52</v>
      </c>
      <c r="Z15" s="124" t="s">
        <v>58</v>
      </c>
      <c r="AA15" s="32" t="s">
        <v>1</v>
      </c>
      <c r="AB15" s="44" t="s">
        <v>52</v>
      </c>
      <c r="AC15" s="44" t="s">
        <v>53</v>
      </c>
      <c r="AD15" s="30" t="s">
        <v>0</v>
      </c>
      <c r="AE15" s="53" t="s">
        <v>3</v>
      </c>
      <c r="AF15" s="30">
        <v>1</v>
      </c>
      <c r="AG15" s="124" t="s">
        <v>58</v>
      </c>
      <c r="AH15" s="53" t="s">
        <v>3</v>
      </c>
      <c r="AI15" s="121">
        <v>1</v>
      </c>
      <c r="AJ15" s="30" t="s">
        <v>0</v>
      </c>
      <c r="AK15" s="30" t="s">
        <v>52</v>
      </c>
      <c r="AL15" s="30" t="s">
        <v>0</v>
      </c>
      <c r="AM15" s="53" t="s">
        <v>3</v>
      </c>
      <c r="AN15" s="125" t="s">
        <v>58</v>
      </c>
      <c r="AO15" s="175">
        <v>0</v>
      </c>
      <c r="AP15" s="46">
        <f t="shared" si="9"/>
        <v>0</v>
      </c>
      <c r="AQ15" s="46">
        <v>0</v>
      </c>
      <c r="AR15" s="134">
        <f t="shared" si="10"/>
        <v>0</v>
      </c>
      <c r="AS15" s="284" t="s">
        <v>128</v>
      </c>
      <c r="AT15" s="6"/>
      <c r="AU15" s="6" cm="2">
        <f t="array" ref="AU15">SUMPRODUCT(COUNTIF(N15:O15,{"X";"Y";"Z";"S"}))+SUMPRODUCT(COUNTIF(U15:V15,{"X";"Y";"Z";"S"}))+SUMPRODUCT(COUNTIF(AB15:AC15,{"X";"Y";"Z";"S"}))+SUMPRODUCT(COUNTIF(AI15:AJ15,{"X";"Y";"Z";"S"}))-5</f>
        <v>1</v>
      </c>
      <c r="AV15" s="6">
        <v>2</v>
      </c>
      <c r="AW15" s="6">
        <f t="shared" ref="AW15:AW18" si="13">AU15+AV15</f>
        <v>3</v>
      </c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</row>
    <row r="16" spans="1:224" s="50" customFormat="1" ht="25.2" customHeight="1">
      <c r="A16" s="38">
        <f t="shared" si="0"/>
        <v>13</v>
      </c>
      <c r="B16" s="39">
        <f t="shared" si="1"/>
        <v>2</v>
      </c>
      <c r="C16" s="40">
        <f t="shared" si="2"/>
        <v>0</v>
      </c>
      <c r="D16" s="39">
        <f t="shared" si="3"/>
        <v>5</v>
      </c>
      <c r="E16" s="41">
        <f t="shared" si="4"/>
        <v>0</v>
      </c>
      <c r="F16" s="41">
        <f t="shared" si="5"/>
        <v>4</v>
      </c>
      <c r="G16" s="41">
        <f t="shared" si="6"/>
        <v>4</v>
      </c>
      <c r="H16" s="41">
        <f t="shared" si="7"/>
        <v>2</v>
      </c>
      <c r="I16" s="42">
        <f t="shared" si="8"/>
        <v>30</v>
      </c>
      <c r="J16" s="212" t="s">
        <v>93</v>
      </c>
      <c r="K16" s="308" t="s">
        <v>3</v>
      </c>
      <c r="L16" s="30" t="s">
        <v>52</v>
      </c>
      <c r="M16" s="121" t="s">
        <v>36</v>
      </c>
      <c r="N16" s="30" t="s">
        <v>53</v>
      </c>
      <c r="O16" s="44" t="s">
        <v>53</v>
      </c>
      <c r="P16" s="32" t="s">
        <v>0</v>
      </c>
      <c r="Q16" s="124" t="s">
        <v>155</v>
      </c>
      <c r="R16" s="30" t="s">
        <v>36</v>
      </c>
      <c r="S16" s="53" t="s">
        <v>3</v>
      </c>
      <c r="T16" s="30">
        <v>1</v>
      </c>
      <c r="U16" s="44" t="s">
        <v>52</v>
      </c>
      <c r="V16" s="44" t="s">
        <v>0</v>
      </c>
      <c r="W16" s="32" t="s">
        <v>0</v>
      </c>
      <c r="X16" s="124" t="s">
        <v>155</v>
      </c>
      <c r="Y16" s="30">
        <v>1</v>
      </c>
      <c r="Z16" s="53" t="s">
        <v>3</v>
      </c>
      <c r="AA16" s="30" t="s">
        <v>36</v>
      </c>
      <c r="AB16" s="30">
        <v>2</v>
      </c>
      <c r="AC16" s="124">
        <v>2</v>
      </c>
      <c r="AD16" s="32" t="s">
        <v>0</v>
      </c>
      <c r="AE16" s="121">
        <v>1</v>
      </c>
      <c r="AF16" s="53" t="s">
        <v>3</v>
      </c>
      <c r="AG16" s="53" t="s">
        <v>3</v>
      </c>
      <c r="AH16" s="124" t="s">
        <v>5</v>
      </c>
      <c r="AI16" s="44" t="s">
        <v>52</v>
      </c>
      <c r="AJ16" s="30" t="s">
        <v>36</v>
      </c>
      <c r="AK16" s="30" t="s">
        <v>36</v>
      </c>
      <c r="AL16" s="124" t="s">
        <v>155</v>
      </c>
      <c r="AM16" s="30" t="s">
        <v>52</v>
      </c>
      <c r="AN16" s="30" t="s">
        <v>36</v>
      </c>
      <c r="AO16" s="175">
        <v>0</v>
      </c>
      <c r="AP16" s="46">
        <f t="shared" si="9"/>
        <v>0</v>
      </c>
      <c r="AQ16" s="46">
        <v>0</v>
      </c>
      <c r="AR16" s="134">
        <f t="shared" si="10"/>
        <v>0</v>
      </c>
      <c r="AS16" s="284" t="s">
        <v>126</v>
      </c>
      <c r="AT16" s="6"/>
      <c r="AU16" s="6" cm="2">
        <f t="array" ref="AU16">SUMPRODUCT(COUNTIF(N16:O16,{"X";"Y";"Z";"S"}))+SUMPRODUCT(COUNTIF(U16:V16,{"X";"Y";"Z";"S"}))+SUMPRODUCT(COUNTIF(AB16:AC16,{"X";"Y";"Z";"S"}))+SUMPRODUCT(COUNTIF(AI16:AJ16,{"X";"Y";"Z";"S"}))-5</f>
        <v>0</v>
      </c>
      <c r="AV16" s="6">
        <v>4</v>
      </c>
      <c r="AW16" s="6">
        <f t="shared" si="13"/>
        <v>4</v>
      </c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</row>
    <row r="17" spans="1:224" ht="25.5" customHeight="1">
      <c r="A17" s="54">
        <f t="shared" si="0"/>
        <v>7</v>
      </c>
      <c r="B17" s="55">
        <f t="shared" si="1"/>
        <v>9</v>
      </c>
      <c r="C17" s="56">
        <f t="shared" si="2"/>
        <v>0</v>
      </c>
      <c r="D17" s="55">
        <f t="shared" si="3"/>
        <v>2</v>
      </c>
      <c r="E17" s="17">
        <f t="shared" si="4"/>
        <v>2</v>
      </c>
      <c r="F17" s="17">
        <f t="shared" si="5"/>
        <v>4</v>
      </c>
      <c r="G17" s="17">
        <f t="shared" si="6"/>
        <v>4</v>
      </c>
      <c r="H17" s="17">
        <f t="shared" si="7"/>
        <v>2</v>
      </c>
      <c r="I17" s="57">
        <f>SUM(A17:H17)</f>
        <v>30</v>
      </c>
      <c r="J17" s="209" t="s">
        <v>9</v>
      </c>
      <c r="K17" s="305">
        <v>2</v>
      </c>
      <c r="L17" s="121">
        <v>2</v>
      </c>
      <c r="M17" s="121" t="s">
        <v>38</v>
      </c>
      <c r="N17" s="44" t="s">
        <v>52</v>
      </c>
      <c r="O17" s="44" t="s">
        <v>53</v>
      </c>
      <c r="P17" s="30" t="s">
        <v>36</v>
      </c>
      <c r="Q17" s="30" t="s">
        <v>36</v>
      </c>
      <c r="R17" s="53" t="s">
        <v>3</v>
      </c>
      <c r="S17" s="121">
        <v>2</v>
      </c>
      <c r="T17" s="30" t="s">
        <v>52</v>
      </c>
      <c r="U17" s="30" t="s">
        <v>53</v>
      </c>
      <c r="V17" s="121" t="s">
        <v>36</v>
      </c>
      <c r="W17" s="30" t="s">
        <v>36</v>
      </c>
      <c r="X17" s="30" t="s">
        <v>0</v>
      </c>
      <c r="Y17" s="53" t="s">
        <v>3</v>
      </c>
      <c r="Z17" s="30">
        <v>1</v>
      </c>
      <c r="AA17" s="30" t="s">
        <v>52</v>
      </c>
      <c r="AB17" s="30" t="s">
        <v>38</v>
      </c>
      <c r="AC17" s="30">
        <v>2</v>
      </c>
      <c r="AD17" s="121">
        <v>2</v>
      </c>
      <c r="AE17" s="121">
        <v>2</v>
      </c>
      <c r="AF17" s="121">
        <v>2</v>
      </c>
      <c r="AG17" s="30" t="s">
        <v>0</v>
      </c>
      <c r="AH17" s="44" t="s">
        <v>52</v>
      </c>
      <c r="AI17" s="32" t="s">
        <v>1</v>
      </c>
      <c r="AJ17" s="32" t="s">
        <v>1</v>
      </c>
      <c r="AK17" s="44" t="s">
        <v>0</v>
      </c>
      <c r="AL17" s="30" t="s">
        <v>36</v>
      </c>
      <c r="AM17" s="30" t="s">
        <v>36</v>
      </c>
      <c r="AN17" s="48" t="s">
        <v>0</v>
      </c>
      <c r="AO17" s="175">
        <v>0</v>
      </c>
      <c r="AP17" s="46">
        <f t="shared" si="9"/>
        <v>0</v>
      </c>
      <c r="AQ17" s="46">
        <v>0</v>
      </c>
      <c r="AR17" s="134">
        <f>SUM(AO17:AQ17)</f>
        <v>0</v>
      </c>
      <c r="AS17" s="284" t="s">
        <v>128</v>
      </c>
      <c r="AU17" s="6" cm="2">
        <f t="array" ref="AU17">SUMPRODUCT(COUNTIF(N17:O17,{"X";"Y";"Z";"S"}))+SUMPRODUCT(COUNTIF(U17:V17,{"X";"Y";"Z";"S"}))+SUMPRODUCT(COUNTIF(AB17:AC17,{"X";"Y";"Z";"S"}))+SUMPRODUCT(COUNTIF(AI17:AJ17,{"X";"Y";"Z";"S"}))-5</f>
        <v>0</v>
      </c>
      <c r="AV17" s="6">
        <v>3</v>
      </c>
      <c r="AW17" s="6">
        <f t="shared" si="13"/>
        <v>3</v>
      </c>
    </row>
    <row r="18" spans="1:224" ht="25.2" customHeight="1" thickBot="1">
      <c r="A18" s="38">
        <f t="shared" si="0"/>
        <v>15</v>
      </c>
      <c r="B18" s="39">
        <f t="shared" si="1"/>
        <v>2</v>
      </c>
      <c r="C18" s="40">
        <f t="shared" si="2"/>
        <v>0</v>
      </c>
      <c r="D18" s="39">
        <f t="shared" si="3"/>
        <v>0</v>
      </c>
      <c r="E18" s="41">
        <f t="shared" si="4"/>
        <v>3</v>
      </c>
      <c r="F18" s="41">
        <f t="shared" si="5"/>
        <v>4</v>
      </c>
      <c r="G18" s="41">
        <f t="shared" si="6"/>
        <v>4</v>
      </c>
      <c r="H18" s="41">
        <f t="shared" si="7"/>
        <v>2</v>
      </c>
      <c r="I18" s="42">
        <f t="shared" ref="I18" si="14">SUM(A18:H18)</f>
        <v>30</v>
      </c>
      <c r="J18" s="224" t="s">
        <v>137</v>
      </c>
      <c r="K18" s="309" t="s">
        <v>1</v>
      </c>
      <c r="L18" s="52" t="s">
        <v>1</v>
      </c>
      <c r="M18" s="52" t="s">
        <v>53</v>
      </c>
      <c r="N18" s="59" t="s">
        <v>52</v>
      </c>
      <c r="O18" s="59" t="s">
        <v>53</v>
      </c>
      <c r="P18" s="52" t="s">
        <v>0</v>
      </c>
      <c r="Q18" s="199">
        <v>2</v>
      </c>
      <c r="R18" s="199">
        <v>2</v>
      </c>
      <c r="S18" s="60" t="s">
        <v>0</v>
      </c>
      <c r="T18" s="121">
        <v>1</v>
      </c>
      <c r="U18" s="60">
        <v>1</v>
      </c>
      <c r="V18" s="30" t="s">
        <v>52</v>
      </c>
      <c r="W18" s="121" t="s">
        <v>36</v>
      </c>
      <c r="X18" s="121" t="s">
        <v>36</v>
      </c>
      <c r="Y18" s="60" t="s">
        <v>0</v>
      </c>
      <c r="Z18" s="30">
        <v>1</v>
      </c>
      <c r="AA18" s="121">
        <v>1</v>
      </c>
      <c r="AB18" s="30" t="s">
        <v>36</v>
      </c>
      <c r="AC18" s="30" t="s">
        <v>36</v>
      </c>
      <c r="AD18" s="30" t="s">
        <v>36</v>
      </c>
      <c r="AE18" s="60" t="s">
        <v>52</v>
      </c>
      <c r="AF18" s="60">
        <v>1</v>
      </c>
      <c r="AG18" s="60">
        <v>1</v>
      </c>
      <c r="AH18" s="52" t="s">
        <v>1</v>
      </c>
      <c r="AI18" s="59" t="s">
        <v>52</v>
      </c>
      <c r="AJ18" s="59" t="s">
        <v>0</v>
      </c>
      <c r="AK18" s="30" t="s">
        <v>36</v>
      </c>
      <c r="AL18" s="30" t="s">
        <v>36</v>
      </c>
      <c r="AM18" s="30" t="s">
        <v>36</v>
      </c>
      <c r="AN18" s="30" t="s">
        <v>36</v>
      </c>
      <c r="AO18" s="286">
        <v>0</v>
      </c>
      <c r="AP18" s="74">
        <f t="shared" si="9"/>
        <v>0</v>
      </c>
      <c r="AQ18" s="74">
        <v>0</v>
      </c>
      <c r="AR18" s="127">
        <f t="shared" ref="AR18" si="15">SUM(AO18:AQ18)</f>
        <v>0</v>
      </c>
      <c r="AS18" s="287" t="s">
        <v>126</v>
      </c>
      <c r="AU18" s="6" cm="2">
        <f t="array" ref="AU18">SUMPRODUCT(COUNTIF(N18:O18,{"X";"Y";"Z";"S"}))+SUMPRODUCT(COUNTIF(U18:V18,{"X";"Y";"Z";"S"}))+SUMPRODUCT(COUNTIF(AB18:AC18,{"X";"Y";"Z";"S"}))+SUMPRODUCT(COUNTIF(AI18:AJ18,{"X";"Y";"Z";"S"}))-5</f>
        <v>0</v>
      </c>
      <c r="AV18" s="6">
        <v>3</v>
      </c>
      <c r="AW18" s="6">
        <f t="shared" si="13"/>
        <v>3</v>
      </c>
    </row>
    <row r="19" spans="1:224" s="50" customFormat="1" ht="25.5" customHeight="1">
      <c r="A19" s="23">
        <f t="shared" si="0"/>
        <v>5</v>
      </c>
      <c r="B19" s="24">
        <f t="shared" si="1"/>
        <v>6</v>
      </c>
      <c r="C19" s="25">
        <f t="shared" si="2"/>
        <v>8</v>
      </c>
      <c r="D19" s="24">
        <f t="shared" si="3"/>
        <v>0</v>
      </c>
      <c r="E19" s="26">
        <f t="shared" si="4"/>
        <v>1</v>
      </c>
      <c r="F19" s="26">
        <f t="shared" si="5"/>
        <v>4</v>
      </c>
      <c r="G19" s="26">
        <f t="shared" si="6"/>
        <v>4</v>
      </c>
      <c r="H19" s="26">
        <f t="shared" si="7"/>
        <v>2</v>
      </c>
      <c r="I19" s="27">
        <f t="shared" si="8"/>
        <v>30</v>
      </c>
      <c r="J19" s="301" t="s">
        <v>10</v>
      </c>
      <c r="K19" s="304" t="s">
        <v>52</v>
      </c>
      <c r="L19" s="30">
        <v>1</v>
      </c>
      <c r="M19" s="29">
        <v>1</v>
      </c>
      <c r="N19" s="29">
        <v>2</v>
      </c>
      <c r="O19" s="29">
        <v>2</v>
      </c>
      <c r="P19" s="33" t="s">
        <v>0</v>
      </c>
      <c r="Q19" s="33" t="s">
        <v>1</v>
      </c>
      <c r="R19" s="33" t="s">
        <v>53</v>
      </c>
      <c r="S19" s="33" t="s">
        <v>53</v>
      </c>
      <c r="T19" s="33" t="s">
        <v>0</v>
      </c>
      <c r="U19" s="29">
        <v>3</v>
      </c>
      <c r="V19" s="288">
        <v>3</v>
      </c>
      <c r="W19" s="29">
        <v>3</v>
      </c>
      <c r="X19" s="29">
        <v>3</v>
      </c>
      <c r="Y19" s="29">
        <v>3</v>
      </c>
      <c r="Z19" s="29" t="s">
        <v>52</v>
      </c>
      <c r="AA19" s="29">
        <v>2</v>
      </c>
      <c r="AB19" s="29">
        <v>2</v>
      </c>
      <c r="AC19" s="288">
        <v>2</v>
      </c>
      <c r="AD19" s="29">
        <v>2</v>
      </c>
      <c r="AE19" s="29" t="s">
        <v>0</v>
      </c>
      <c r="AF19" s="29" t="s">
        <v>0</v>
      </c>
      <c r="AG19" s="29" t="s">
        <v>52</v>
      </c>
      <c r="AH19" s="29">
        <v>1</v>
      </c>
      <c r="AI19" s="29">
        <v>1</v>
      </c>
      <c r="AJ19" s="29">
        <v>1</v>
      </c>
      <c r="AK19" s="26" t="s">
        <v>52</v>
      </c>
      <c r="AL19" s="29">
        <v>3</v>
      </c>
      <c r="AM19" s="29">
        <v>3</v>
      </c>
      <c r="AN19" s="133">
        <v>3</v>
      </c>
      <c r="AO19" s="28">
        <v>0</v>
      </c>
      <c r="AP19" s="36">
        <f t="shared" si="9"/>
        <v>0</v>
      </c>
      <c r="AQ19" s="36">
        <v>0</v>
      </c>
      <c r="AR19" s="133">
        <f t="shared" si="10"/>
        <v>0</v>
      </c>
      <c r="AS19" s="37" t="s">
        <v>126</v>
      </c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</row>
    <row r="20" spans="1:224" s="50" customFormat="1" ht="25.5" customHeight="1">
      <c r="A20" s="38">
        <f t="shared" si="0"/>
        <v>1</v>
      </c>
      <c r="B20" s="39">
        <f t="shared" si="1"/>
        <v>14</v>
      </c>
      <c r="C20" s="40">
        <f t="shared" si="2"/>
        <v>3</v>
      </c>
      <c r="D20" s="39">
        <f t="shared" si="3"/>
        <v>2</v>
      </c>
      <c r="E20" s="41">
        <f t="shared" si="4"/>
        <v>0</v>
      </c>
      <c r="F20" s="41">
        <f t="shared" si="5"/>
        <v>4</v>
      </c>
      <c r="G20" s="41">
        <f t="shared" si="6"/>
        <v>4</v>
      </c>
      <c r="H20" s="41">
        <f t="shared" si="7"/>
        <v>2</v>
      </c>
      <c r="I20" s="42">
        <f t="shared" si="8"/>
        <v>30</v>
      </c>
      <c r="J20" s="190" t="s">
        <v>11</v>
      </c>
      <c r="K20" s="308" t="s">
        <v>3</v>
      </c>
      <c r="L20" s="32" t="s">
        <v>53</v>
      </c>
      <c r="M20" s="32" t="s">
        <v>52</v>
      </c>
      <c r="N20" s="30" t="s">
        <v>40</v>
      </c>
      <c r="O20" s="30" t="s">
        <v>40</v>
      </c>
      <c r="P20" s="30" t="s">
        <v>40</v>
      </c>
      <c r="Q20" s="30" t="s">
        <v>0</v>
      </c>
      <c r="R20" s="30" t="s">
        <v>38</v>
      </c>
      <c r="S20" s="317" t="s">
        <v>38</v>
      </c>
      <c r="T20" s="30">
        <v>2</v>
      </c>
      <c r="U20" s="44" t="s">
        <v>0</v>
      </c>
      <c r="V20" s="44" t="s">
        <v>52</v>
      </c>
      <c r="W20" s="32" t="s">
        <v>0</v>
      </c>
      <c r="X20" s="30">
        <v>2</v>
      </c>
      <c r="Y20" s="30">
        <v>2</v>
      </c>
      <c r="Z20" s="30">
        <v>2</v>
      </c>
      <c r="AA20" s="30">
        <v>2</v>
      </c>
      <c r="AB20" s="44" t="s">
        <v>52</v>
      </c>
      <c r="AC20" s="44" t="s">
        <v>53</v>
      </c>
      <c r="AD20" s="30" t="s">
        <v>0</v>
      </c>
      <c r="AE20" s="30">
        <v>1</v>
      </c>
      <c r="AF20" s="53" t="s">
        <v>3</v>
      </c>
      <c r="AG20" s="30" t="s">
        <v>38</v>
      </c>
      <c r="AH20" s="30" t="s">
        <v>38</v>
      </c>
      <c r="AI20" s="46" t="s">
        <v>38</v>
      </c>
      <c r="AJ20" s="46" t="s">
        <v>38</v>
      </c>
      <c r="AK20" s="41" t="s">
        <v>52</v>
      </c>
      <c r="AL20" s="30" t="s">
        <v>38</v>
      </c>
      <c r="AM20" s="30" t="s">
        <v>38</v>
      </c>
      <c r="AN20" s="30" t="s">
        <v>38</v>
      </c>
      <c r="AO20" s="175">
        <v>0</v>
      </c>
      <c r="AP20" s="46">
        <f t="shared" si="9"/>
        <v>0</v>
      </c>
      <c r="AQ20" s="46">
        <v>0</v>
      </c>
      <c r="AR20" s="134">
        <f t="shared" si="10"/>
        <v>0</v>
      </c>
      <c r="AS20" s="284" t="s">
        <v>126</v>
      </c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</row>
    <row r="21" spans="1:224" ht="25.5" customHeight="1">
      <c r="A21" s="38">
        <f t="shared" si="0"/>
        <v>2</v>
      </c>
      <c r="B21" s="39">
        <f t="shared" si="1"/>
        <v>5</v>
      </c>
      <c r="C21" s="40">
        <f t="shared" si="2"/>
        <v>8</v>
      </c>
      <c r="D21" s="39">
        <f t="shared" si="3"/>
        <v>2</v>
      </c>
      <c r="E21" s="41">
        <f t="shared" si="4"/>
        <v>3</v>
      </c>
      <c r="F21" s="41">
        <f t="shared" si="5"/>
        <v>4</v>
      </c>
      <c r="G21" s="41">
        <f t="shared" si="6"/>
        <v>4</v>
      </c>
      <c r="H21" s="41">
        <f t="shared" si="7"/>
        <v>2</v>
      </c>
      <c r="I21" s="42">
        <f t="shared" si="8"/>
        <v>30</v>
      </c>
      <c r="J21" s="192" t="s">
        <v>12</v>
      </c>
      <c r="K21" s="306" t="s">
        <v>40</v>
      </c>
      <c r="L21" s="30" t="s">
        <v>40</v>
      </c>
      <c r="M21" s="30" t="s">
        <v>52</v>
      </c>
      <c r="N21" s="30">
        <v>2</v>
      </c>
      <c r="O21" s="30">
        <v>2</v>
      </c>
      <c r="P21" s="30">
        <v>2</v>
      </c>
      <c r="Q21" s="32" t="s">
        <v>0</v>
      </c>
      <c r="R21" s="32" t="s">
        <v>1</v>
      </c>
      <c r="S21" s="32" t="s">
        <v>1</v>
      </c>
      <c r="T21" s="32" t="s">
        <v>1</v>
      </c>
      <c r="U21" s="44" t="s">
        <v>53</v>
      </c>
      <c r="V21" s="44" t="s">
        <v>52</v>
      </c>
      <c r="W21" s="30" t="s">
        <v>40</v>
      </c>
      <c r="X21" s="30" t="s">
        <v>40</v>
      </c>
      <c r="Y21" s="53" t="s">
        <v>3</v>
      </c>
      <c r="Z21" s="53" t="s">
        <v>3</v>
      </c>
      <c r="AA21" s="30" t="s">
        <v>52</v>
      </c>
      <c r="AB21" s="44" t="s">
        <v>53</v>
      </c>
      <c r="AC21" s="44" t="s">
        <v>0</v>
      </c>
      <c r="AD21" s="30" t="s">
        <v>40</v>
      </c>
      <c r="AE21" s="30" t="s">
        <v>40</v>
      </c>
      <c r="AF21" s="30" t="s">
        <v>40</v>
      </c>
      <c r="AG21" s="30">
        <v>3</v>
      </c>
      <c r="AH21" s="32" t="s">
        <v>52</v>
      </c>
      <c r="AI21" s="30" t="s">
        <v>36</v>
      </c>
      <c r="AJ21" s="30" t="s">
        <v>36</v>
      </c>
      <c r="AK21" s="30" t="s">
        <v>0</v>
      </c>
      <c r="AL21" s="30" t="s">
        <v>38</v>
      </c>
      <c r="AM21" s="30" t="s">
        <v>38</v>
      </c>
      <c r="AN21" s="30" t="s">
        <v>0</v>
      </c>
      <c r="AO21" s="175">
        <v>0</v>
      </c>
      <c r="AP21" s="46">
        <f t="shared" si="9"/>
        <v>0</v>
      </c>
      <c r="AQ21" s="46">
        <v>0</v>
      </c>
      <c r="AR21" s="134">
        <f t="shared" si="10"/>
        <v>0</v>
      </c>
      <c r="AS21" s="284" t="s">
        <v>128</v>
      </c>
    </row>
    <row r="22" spans="1:224" ht="25.5" customHeight="1">
      <c r="A22" s="38">
        <f t="shared" si="0"/>
        <v>0</v>
      </c>
      <c r="B22" s="39">
        <f t="shared" si="1"/>
        <v>1</v>
      </c>
      <c r="C22" s="40">
        <f t="shared" si="2"/>
        <v>19</v>
      </c>
      <c r="D22" s="39">
        <f t="shared" si="3"/>
        <v>0</v>
      </c>
      <c r="E22" s="41">
        <f t="shared" si="4"/>
        <v>0</v>
      </c>
      <c r="F22" s="41">
        <f t="shared" si="5"/>
        <v>4</v>
      </c>
      <c r="G22" s="41">
        <f t="shared" si="6"/>
        <v>4</v>
      </c>
      <c r="H22" s="41">
        <f t="shared" si="7"/>
        <v>2</v>
      </c>
      <c r="I22" s="42">
        <f t="shared" si="8"/>
        <v>30</v>
      </c>
      <c r="J22" s="190" t="s">
        <v>13</v>
      </c>
      <c r="K22" s="306" t="s">
        <v>40</v>
      </c>
      <c r="L22" s="30" t="s">
        <v>0</v>
      </c>
      <c r="M22" s="30">
        <v>3</v>
      </c>
      <c r="N22" s="30">
        <v>3</v>
      </c>
      <c r="O22" s="30">
        <v>3</v>
      </c>
      <c r="P22" s="30" t="s">
        <v>0</v>
      </c>
      <c r="Q22" s="30" t="s">
        <v>40</v>
      </c>
      <c r="R22" s="30" t="s">
        <v>40</v>
      </c>
      <c r="S22" s="30" t="s">
        <v>40</v>
      </c>
      <c r="T22" s="30" t="s">
        <v>40</v>
      </c>
      <c r="U22" s="44" t="s">
        <v>52</v>
      </c>
      <c r="V22" s="44" t="s">
        <v>53</v>
      </c>
      <c r="W22" s="32" t="s">
        <v>0</v>
      </c>
      <c r="X22" s="30" t="s">
        <v>40</v>
      </c>
      <c r="Y22" s="30" t="s">
        <v>40</v>
      </c>
      <c r="Z22" s="30" t="s">
        <v>40</v>
      </c>
      <c r="AA22" s="30" t="s">
        <v>40</v>
      </c>
      <c r="AB22" s="44" t="s">
        <v>52</v>
      </c>
      <c r="AC22" s="44" t="s">
        <v>53</v>
      </c>
      <c r="AD22" s="32" t="s">
        <v>0</v>
      </c>
      <c r="AE22" s="30">
        <v>2</v>
      </c>
      <c r="AF22" s="30" t="s">
        <v>52</v>
      </c>
      <c r="AG22" s="30" t="s">
        <v>40</v>
      </c>
      <c r="AH22" s="30" t="s">
        <v>40</v>
      </c>
      <c r="AI22" s="30" t="s">
        <v>40</v>
      </c>
      <c r="AJ22" s="30" t="s">
        <v>40</v>
      </c>
      <c r="AK22" s="30" t="s">
        <v>40</v>
      </c>
      <c r="AL22" s="30" t="s">
        <v>40</v>
      </c>
      <c r="AM22" s="30" t="s">
        <v>52</v>
      </c>
      <c r="AN22" s="48">
        <v>3</v>
      </c>
      <c r="AO22" s="175">
        <v>0</v>
      </c>
      <c r="AP22" s="46">
        <f t="shared" si="9"/>
        <v>0</v>
      </c>
      <c r="AQ22" s="46">
        <v>0</v>
      </c>
      <c r="AR22" s="134">
        <f t="shared" si="10"/>
        <v>0</v>
      </c>
      <c r="AS22" s="284" t="s">
        <v>126</v>
      </c>
    </row>
    <row r="23" spans="1:224" s="50" customFormat="1" ht="25.5" customHeight="1">
      <c r="A23" s="38">
        <f t="shared" si="0"/>
        <v>2</v>
      </c>
      <c r="B23" s="39">
        <f t="shared" si="1"/>
        <v>11</v>
      </c>
      <c r="C23" s="40">
        <f t="shared" si="2"/>
        <v>5</v>
      </c>
      <c r="D23" s="39">
        <f t="shared" si="3"/>
        <v>0</v>
      </c>
      <c r="E23" s="41">
        <f t="shared" si="4"/>
        <v>2</v>
      </c>
      <c r="F23" s="41">
        <f t="shared" si="5"/>
        <v>4</v>
      </c>
      <c r="G23" s="41">
        <f t="shared" si="6"/>
        <v>4</v>
      </c>
      <c r="H23" s="41">
        <f t="shared" si="7"/>
        <v>2</v>
      </c>
      <c r="I23" s="42">
        <f t="shared" si="8"/>
        <v>30</v>
      </c>
      <c r="J23" s="193" t="s">
        <v>138</v>
      </c>
      <c r="K23" s="306" t="s">
        <v>38</v>
      </c>
      <c r="L23" s="30" t="s">
        <v>52</v>
      </c>
      <c r="M23" s="44" t="s">
        <v>53</v>
      </c>
      <c r="N23" s="32" t="s">
        <v>1</v>
      </c>
      <c r="O23" s="32" t="s">
        <v>1</v>
      </c>
      <c r="P23" s="44" t="s">
        <v>0</v>
      </c>
      <c r="Q23" s="30">
        <v>2</v>
      </c>
      <c r="R23" s="30" t="s">
        <v>38</v>
      </c>
      <c r="S23" s="30" t="s">
        <v>38</v>
      </c>
      <c r="T23" s="30" t="s">
        <v>38</v>
      </c>
      <c r="U23" s="30" t="s">
        <v>38</v>
      </c>
      <c r="V23" s="30" t="s">
        <v>38</v>
      </c>
      <c r="W23" s="30" t="s">
        <v>52</v>
      </c>
      <c r="X23" s="30" t="s">
        <v>0</v>
      </c>
      <c r="Y23" s="30">
        <v>3</v>
      </c>
      <c r="Z23" s="30">
        <v>3</v>
      </c>
      <c r="AA23" s="30">
        <v>3</v>
      </c>
      <c r="AB23" s="44" t="s">
        <v>52</v>
      </c>
      <c r="AC23" s="44" t="s">
        <v>53</v>
      </c>
      <c r="AD23" s="30">
        <v>2</v>
      </c>
      <c r="AE23" s="30">
        <v>2</v>
      </c>
      <c r="AF23" s="30" t="s">
        <v>0</v>
      </c>
      <c r="AG23" s="30">
        <v>2</v>
      </c>
      <c r="AH23" s="30">
        <v>2</v>
      </c>
      <c r="AI23" s="30" t="s">
        <v>52</v>
      </c>
      <c r="AJ23" s="30">
        <v>1</v>
      </c>
      <c r="AK23" s="30">
        <v>1</v>
      </c>
      <c r="AL23" s="30" t="s">
        <v>0</v>
      </c>
      <c r="AM23" s="30" t="s">
        <v>40</v>
      </c>
      <c r="AN23" s="30" t="s">
        <v>40</v>
      </c>
      <c r="AO23" s="175">
        <v>0</v>
      </c>
      <c r="AP23" s="46">
        <f t="shared" si="9"/>
        <v>0</v>
      </c>
      <c r="AQ23" s="46">
        <v>0</v>
      </c>
      <c r="AR23" s="134">
        <f t="shared" si="10"/>
        <v>0</v>
      </c>
      <c r="AS23" s="284" t="s">
        <v>128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</row>
    <row r="24" spans="1:224" s="50" customFormat="1" ht="25.5" customHeight="1">
      <c r="A24" s="38">
        <f t="shared" si="0"/>
        <v>7</v>
      </c>
      <c r="B24" s="39">
        <f t="shared" si="1"/>
        <v>7</v>
      </c>
      <c r="C24" s="40">
        <f t="shared" si="2"/>
        <v>0</v>
      </c>
      <c r="D24" s="39">
        <f t="shared" si="3"/>
        <v>5</v>
      </c>
      <c r="E24" s="41">
        <f t="shared" si="4"/>
        <v>1</v>
      </c>
      <c r="F24" s="41">
        <f t="shared" si="5"/>
        <v>4</v>
      </c>
      <c r="G24" s="41">
        <f t="shared" si="6"/>
        <v>4</v>
      </c>
      <c r="H24" s="41">
        <f t="shared" si="7"/>
        <v>2</v>
      </c>
      <c r="I24" s="42">
        <f t="shared" si="8"/>
        <v>30</v>
      </c>
      <c r="J24" s="194" t="s">
        <v>14</v>
      </c>
      <c r="K24" s="306" t="s">
        <v>36</v>
      </c>
      <c r="L24" s="53" t="s">
        <v>3</v>
      </c>
      <c r="M24" s="30" t="s">
        <v>36</v>
      </c>
      <c r="N24" s="44" t="s">
        <v>52</v>
      </c>
      <c r="O24" s="44" t="s">
        <v>53</v>
      </c>
      <c r="P24" s="30" t="s">
        <v>36</v>
      </c>
      <c r="Q24" s="53" t="s">
        <v>3</v>
      </c>
      <c r="R24" s="32" t="s">
        <v>1</v>
      </c>
      <c r="S24" s="53" t="s">
        <v>3</v>
      </c>
      <c r="T24" s="30" t="s">
        <v>36</v>
      </c>
      <c r="U24" s="44" t="s">
        <v>0</v>
      </c>
      <c r="V24" s="30" t="s">
        <v>36</v>
      </c>
      <c r="W24" s="30" t="s">
        <v>36</v>
      </c>
      <c r="X24" s="53" t="s">
        <v>3</v>
      </c>
      <c r="Y24" s="30" t="s">
        <v>36</v>
      </c>
      <c r="Z24" s="30" t="s">
        <v>52</v>
      </c>
      <c r="AA24" s="30" t="s">
        <v>53</v>
      </c>
      <c r="AB24" s="44" t="s">
        <v>52</v>
      </c>
      <c r="AC24" s="30" t="s">
        <v>38</v>
      </c>
      <c r="AD24" s="30" t="s">
        <v>0</v>
      </c>
      <c r="AE24" s="53" t="s">
        <v>3</v>
      </c>
      <c r="AF24" s="30" t="s">
        <v>38</v>
      </c>
      <c r="AG24" s="30" t="s">
        <v>38</v>
      </c>
      <c r="AH24" s="32" t="s">
        <v>52</v>
      </c>
      <c r="AI24" s="46">
        <v>2</v>
      </c>
      <c r="AJ24" s="46">
        <v>2</v>
      </c>
      <c r="AK24" s="30" t="s">
        <v>38</v>
      </c>
      <c r="AL24" s="30" t="s">
        <v>38</v>
      </c>
      <c r="AM24" s="30" t="s">
        <v>0</v>
      </c>
      <c r="AN24" s="48" t="s">
        <v>0</v>
      </c>
      <c r="AO24" s="175">
        <v>0</v>
      </c>
      <c r="AP24" s="46">
        <f t="shared" si="9"/>
        <v>0</v>
      </c>
      <c r="AQ24" s="46">
        <v>0</v>
      </c>
      <c r="AR24" s="134">
        <f t="shared" si="10"/>
        <v>0</v>
      </c>
      <c r="AS24" s="284" t="s">
        <v>126</v>
      </c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</row>
    <row r="25" spans="1:224" s="50" customFormat="1" ht="25.5" customHeight="1">
      <c r="A25" s="38">
        <f t="shared" si="0"/>
        <v>7</v>
      </c>
      <c r="B25" s="39">
        <f t="shared" si="1"/>
        <v>0</v>
      </c>
      <c r="C25" s="40">
        <f t="shared" si="2"/>
        <v>0</v>
      </c>
      <c r="D25" s="39">
        <f t="shared" si="3"/>
        <v>8</v>
      </c>
      <c r="E25" s="41">
        <f t="shared" si="4"/>
        <v>4</v>
      </c>
      <c r="F25" s="41">
        <f t="shared" si="5"/>
        <v>4</v>
      </c>
      <c r="G25" s="41">
        <f t="shared" si="6"/>
        <v>4</v>
      </c>
      <c r="H25" s="41">
        <f t="shared" si="7"/>
        <v>3</v>
      </c>
      <c r="I25" s="42">
        <f t="shared" si="8"/>
        <v>30</v>
      </c>
      <c r="J25" s="194" t="s">
        <v>15</v>
      </c>
      <c r="K25" s="306" t="s">
        <v>3</v>
      </c>
      <c r="L25" s="30">
        <v>1</v>
      </c>
      <c r="M25" s="46">
        <v>1</v>
      </c>
      <c r="N25" s="44" t="s">
        <v>52</v>
      </c>
      <c r="O25" s="44" t="s">
        <v>0</v>
      </c>
      <c r="P25" s="46">
        <v>1</v>
      </c>
      <c r="Q25" s="30" t="s">
        <v>3</v>
      </c>
      <c r="R25" s="30">
        <v>1</v>
      </c>
      <c r="S25" s="30">
        <v>1</v>
      </c>
      <c r="T25" s="30" t="s">
        <v>3</v>
      </c>
      <c r="U25" s="44" t="s">
        <v>52</v>
      </c>
      <c r="V25" s="44" t="s">
        <v>53</v>
      </c>
      <c r="W25" s="44" t="s">
        <v>53</v>
      </c>
      <c r="X25" s="44" t="s">
        <v>0</v>
      </c>
      <c r="Y25" s="32" t="s">
        <v>1</v>
      </c>
      <c r="Z25" s="32" t="s">
        <v>1</v>
      </c>
      <c r="AA25" s="32" t="s">
        <v>1</v>
      </c>
      <c r="AB25" s="44" t="s">
        <v>52</v>
      </c>
      <c r="AC25" s="44" t="s">
        <v>0</v>
      </c>
      <c r="AD25" s="30">
        <v>1</v>
      </c>
      <c r="AE25" s="30" t="s">
        <v>3</v>
      </c>
      <c r="AF25" s="53" t="s">
        <v>3</v>
      </c>
      <c r="AG25" s="30" t="s">
        <v>3</v>
      </c>
      <c r="AH25" s="289" t="s">
        <v>3</v>
      </c>
      <c r="AI25" s="44" t="s">
        <v>52</v>
      </c>
      <c r="AJ25" s="44" t="s">
        <v>0</v>
      </c>
      <c r="AK25" s="30" t="s">
        <v>3</v>
      </c>
      <c r="AL25" s="30">
        <v>1</v>
      </c>
      <c r="AM25" s="300" t="s">
        <v>53</v>
      </c>
      <c r="AN25" s="290" t="s">
        <v>1</v>
      </c>
      <c r="AO25" s="175">
        <v>-1</v>
      </c>
      <c r="AP25" s="46">
        <f t="shared" si="9"/>
        <v>1</v>
      </c>
      <c r="AQ25" s="46">
        <v>0</v>
      </c>
      <c r="AR25" s="134">
        <f t="shared" si="10"/>
        <v>0</v>
      </c>
      <c r="AS25" s="284" t="s">
        <v>133</v>
      </c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</row>
    <row r="26" spans="1:224" s="50" customFormat="1" ht="25.5" customHeight="1">
      <c r="A26" s="38">
        <f t="shared" si="0"/>
        <v>5</v>
      </c>
      <c r="B26" s="39">
        <f t="shared" si="1"/>
        <v>8</v>
      </c>
      <c r="C26" s="40">
        <f t="shared" si="2"/>
        <v>7</v>
      </c>
      <c r="D26" s="39">
        <f t="shared" si="3"/>
        <v>0</v>
      </c>
      <c r="E26" s="41">
        <f t="shared" si="4"/>
        <v>0</v>
      </c>
      <c r="F26" s="41">
        <f t="shared" si="5"/>
        <v>4</v>
      </c>
      <c r="G26" s="41">
        <f t="shared" si="6"/>
        <v>4</v>
      </c>
      <c r="H26" s="41">
        <f t="shared" si="7"/>
        <v>2</v>
      </c>
      <c r="I26" s="42">
        <f t="shared" si="8"/>
        <v>30</v>
      </c>
      <c r="J26" s="194" t="s">
        <v>16</v>
      </c>
      <c r="K26" s="306" t="s">
        <v>40</v>
      </c>
      <c r="L26" s="30" t="s">
        <v>40</v>
      </c>
      <c r="M26" s="30" t="s">
        <v>40</v>
      </c>
      <c r="N26" s="44" t="s">
        <v>52</v>
      </c>
      <c r="O26" s="44" t="s">
        <v>53</v>
      </c>
      <c r="P26" s="32" t="s">
        <v>53</v>
      </c>
      <c r="Q26" s="30" t="s">
        <v>36</v>
      </c>
      <c r="R26" s="30" t="s">
        <v>36</v>
      </c>
      <c r="S26" s="30" t="s">
        <v>0</v>
      </c>
      <c r="T26" s="30">
        <v>1</v>
      </c>
      <c r="U26" s="30">
        <v>2</v>
      </c>
      <c r="V26" s="285">
        <v>2</v>
      </c>
      <c r="W26" s="30">
        <v>2</v>
      </c>
      <c r="X26" s="30" t="s">
        <v>52</v>
      </c>
      <c r="Y26" s="30" t="s">
        <v>0</v>
      </c>
      <c r="Z26" s="30">
        <v>2</v>
      </c>
      <c r="AA26" s="30">
        <v>2</v>
      </c>
      <c r="AB26" s="44" t="s">
        <v>52</v>
      </c>
      <c r="AC26" s="44" t="s">
        <v>0</v>
      </c>
      <c r="AD26" s="30" t="s">
        <v>38</v>
      </c>
      <c r="AE26" s="30" t="s">
        <v>38</v>
      </c>
      <c r="AF26" s="30" t="s">
        <v>38</v>
      </c>
      <c r="AG26" s="30" t="s">
        <v>52</v>
      </c>
      <c r="AH26" s="30" t="s">
        <v>36</v>
      </c>
      <c r="AI26" s="30" t="s">
        <v>36</v>
      </c>
      <c r="AJ26" s="30" t="s">
        <v>0</v>
      </c>
      <c r="AK26" s="30" t="s">
        <v>40</v>
      </c>
      <c r="AL26" s="30" t="s">
        <v>40</v>
      </c>
      <c r="AM26" s="30" t="s">
        <v>40</v>
      </c>
      <c r="AN26" s="30" t="s">
        <v>40</v>
      </c>
      <c r="AO26" s="175">
        <v>0</v>
      </c>
      <c r="AP26" s="46">
        <f t="shared" si="9"/>
        <v>0</v>
      </c>
      <c r="AQ26" s="46">
        <v>0</v>
      </c>
      <c r="AR26" s="134">
        <f t="shared" si="10"/>
        <v>0</v>
      </c>
      <c r="AS26" s="284" t="s">
        <v>128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</row>
    <row r="27" spans="1:224" s="50" customFormat="1" ht="25.2" customHeight="1">
      <c r="A27" s="38">
        <f t="shared" si="0"/>
        <v>16</v>
      </c>
      <c r="B27" s="39">
        <f t="shared" si="1"/>
        <v>0</v>
      </c>
      <c r="C27" s="40">
        <f t="shared" si="2"/>
        <v>0</v>
      </c>
      <c r="D27" s="39">
        <f t="shared" si="3"/>
        <v>0</v>
      </c>
      <c r="E27" s="41">
        <f t="shared" si="4"/>
        <v>4</v>
      </c>
      <c r="F27" s="41">
        <f t="shared" si="5"/>
        <v>4</v>
      </c>
      <c r="G27" s="41">
        <f t="shared" si="6"/>
        <v>4</v>
      </c>
      <c r="H27" s="41">
        <f t="shared" si="7"/>
        <v>2</v>
      </c>
      <c r="I27" s="42">
        <f t="shared" si="8"/>
        <v>30</v>
      </c>
      <c r="J27" s="193" t="s">
        <v>17</v>
      </c>
      <c r="K27" s="310" t="s">
        <v>53</v>
      </c>
      <c r="L27" s="32" t="s">
        <v>1</v>
      </c>
      <c r="M27" s="32" t="s">
        <v>1</v>
      </c>
      <c r="N27" s="44" t="s">
        <v>53</v>
      </c>
      <c r="O27" s="44" t="s">
        <v>52</v>
      </c>
      <c r="P27" s="30">
        <v>1</v>
      </c>
      <c r="Q27" s="30">
        <v>1</v>
      </c>
      <c r="R27" s="32" t="s">
        <v>0</v>
      </c>
      <c r="S27" s="30">
        <v>1</v>
      </c>
      <c r="T27" s="30">
        <v>1</v>
      </c>
      <c r="U27" s="30">
        <v>1</v>
      </c>
      <c r="V27" s="30">
        <v>1</v>
      </c>
      <c r="W27" s="30">
        <v>1</v>
      </c>
      <c r="X27" s="30">
        <v>1</v>
      </c>
      <c r="Y27" s="32" t="s">
        <v>52</v>
      </c>
      <c r="Z27" s="30">
        <v>1</v>
      </c>
      <c r="AA27" s="30">
        <v>1</v>
      </c>
      <c r="AB27" s="46">
        <v>1</v>
      </c>
      <c r="AC27" s="46">
        <v>1</v>
      </c>
      <c r="AD27" s="30">
        <v>1</v>
      </c>
      <c r="AE27" s="30">
        <v>1</v>
      </c>
      <c r="AF27" s="32" t="s">
        <v>52</v>
      </c>
      <c r="AG27" s="32" t="s">
        <v>1</v>
      </c>
      <c r="AH27" s="32" t="s">
        <v>1</v>
      </c>
      <c r="AI27" s="44" t="s">
        <v>52</v>
      </c>
      <c r="AJ27" s="44" t="s">
        <v>0</v>
      </c>
      <c r="AK27" s="30">
        <v>1</v>
      </c>
      <c r="AL27" s="30">
        <v>1</v>
      </c>
      <c r="AM27" s="32" t="s">
        <v>0</v>
      </c>
      <c r="AN27" s="30" t="s">
        <v>0</v>
      </c>
      <c r="AO27" s="175">
        <v>0</v>
      </c>
      <c r="AP27" s="46">
        <f t="shared" si="9"/>
        <v>0</v>
      </c>
      <c r="AQ27" s="46">
        <v>0</v>
      </c>
      <c r="AR27" s="134">
        <f t="shared" si="10"/>
        <v>0</v>
      </c>
      <c r="AS27" s="284" t="s">
        <v>128</v>
      </c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</row>
    <row r="28" spans="1:224" s="50" customFormat="1" ht="25.8" customHeight="1">
      <c r="A28" s="38">
        <f t="shared" si="0"/>
        <v>2</v>
      </c>
      <c r="B28" s="39">
        <f t="shared" si="1"/>
        <v>4</v>
      </c>
      <c r="C28" s="40">
        <f t="shared" si="2"/>
        <v>14</v>
      </c>
      <c r="D28" s="39">
        <f t="shared" si="3"/>
        <v>0</v>
      </c>
      <c r="E28" s="41">
        <f t="shared" si="4"/>
        <v>0</v>
      </c>
      <c r="F28" s="41">
        <f t="shared" si="5"/>
        <v>4</v>
      </c>
      <c r="G28" s="41">
        <f t="shared" si="6"/>
        <v>4</v>
      </c>
      <c r="H28" s="41">
        <f t="shared" si="7"/>
        <v>2</v>
      </c>
      <c r="I28" s="42">
        <f t="shared" si="8"/>
        <v>30</v>
      </c>
      <c r="J28" s="194" t="s">
        <v>139</v>
      </c>
      <c r="K28" s="306">
        <v>2</v>
      </c>
      <c r="L28" s="30">
        <v>2</v>
      </c>
      <c r="M28" s="30">
        <v>2</v>
      </c>
      <c r="N28" s="44" t="s">
        <v>52</v>
      </c>
      <c r="O28" s="44" t="s">
        <v>0</v>
      </c>
      <c r="P28" s="30">
        <v>3</v>
      </c>
      <c r="Q28" s="30">
        <v>3</v>
      </c>
      <c r="R28" s="30">
        <v>3</v>
      </c>
      <c r="S28" s="30">
        <v>3</v>
      </c>
      <c r="T28" s="30">
        <v>3</v>
      </c>
      <c r="U28" s="30" t="s">
        <v>52</v>
      </c>
      <c r="V28" s="30">
        <v>1</v>
      </c>
      <c r="W28" s="30">
        <v>1</v>
      </c>
      <c r="X28" s="32" t="s">
        <v>53</v>
      </c>
      <c r="Y28" s="32" t="s">
        <v>52</v>
      </c>
      <c r="Z28" s="30">
        <v>3</v>
      </c>
      <c r="AA28" s="30">
        <v>3</v>
      </c>
      <c r="AB28" s="44" t="s">
        <v>53</v>
      </c>
      <c r="AC28" s="44" t="s">
        <v>0</v>
      </c>
      <c r="AD28" s="30">
        <v>3</v>
      </c>
      <c r="AE28" s="46">
        <v>3</v>
      </c>
      <c r="AF28" s="30">
        <v>3</v>
      </c>
      <c r="AG28" s="30" t="s">
        <v>0</v>
      </c>
      <c r="AH28" s="30">
        <v>3</v>
      </c>
      <c r="AI28" s="30" t="s">
        <v>0</v>
      </c>
      <c r="AJ28" s="30">
        <v>3</v>
      </c>
      <c r="AK28" s="30">
        <v>3</v>
      </c>
      <c r="AL28" s="30" t="s">
        <v>52</v>
      </c>
      <c r="AM28" s="30">
        <v>3</v>
      </c>
      <c r="AN28" s="48">
        <v>2</v>
      </c>
      <c r="AO28" s="175">
        <v>0</v>
      </c>
      <c r="AP28" s="46">
        <f t="shared" si="9"/>
        <v>0</v>
      </c>
      <c r="AQ28" s="46">
        <v>0</v>
      </c>
      <c r="AR28" s="134">
        <f t="shared" si="10"/>
        <v>0</v>
      </c>
      <c r="AS28" s="284" t="s">
        <v>128</v>
      </c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</row>
    <row r="29" spans="1:224" s="50" customFormat="1" ht="25.5" customHeight="1">
      <c r="A29" s="38">
        <f t="shared" si="0"/>
        <v>1</v>
      </c>
      <c r="B29" s="39">
        <f t="shared" si="1"/>
        <v>3</v>
      </c>
      <c r="C29" s="40">
        <f t="shared" si="2"/>
        <v>0</v>
      </c>
      <c r="D29" s="39">
        <f t="shared" si="3"/>
        <v>5</v>
      </c>
      <c r="E29" s="41">
        <f t="shared" si="4"/>
        <v>11</v>
      </c>
      <c r="F29" s="41">
        <f t="shared" si="5"/>
        <v>4</v>
      </c>
      <c r="G29" s="41">
        <f t="shared" si="6"/>
        <v>4</v>
      </c>
      <c r="H29" s="41">
        <f t="shared" si="7"/>
        <v>2</v>
      </c>
      <c r="I29" s="42">
        <f t="shared" si="8"/>
        <v>30</v>
      </c>
      <c r="J29" s="302" t="s">
        <v>18</v>
      </c>
      <c r="K29" s="32" t="s">
        <v>1</v>
      </c>
      <c r="L29" s="53" t="s">
        <v>3</v>
      </c>
      <c r="M29" s="30" t="s">
        <v>52</v>
      </c>
      <c r="N29" s="46">
        <v>1</v>
      </c>
      <c r="O29" s="46">
        <v>2</v>
      </c>
      <c r="P29" s="30" t="s">
        <v>0</v>
      </c>
      <c r="Q29" s="53" t="s">
        <v>3</v>
      </c>
      <c r="R29" s="53" t="s">
        <v>3</v>
      </c>
      <c r="S29" s="53" t="s">
        <v>3</v>
      </c>
      <c r="T29" s="30" t="s">
        <v>0</v>
      </c>
      <c r="U29" s="30">
        <v>2</v>
      </c>
      <c r="V29" s="285">
        <v>2</v>
      </c>
      <c r="W29" s="30" t="s">
        <v>52</v>
      </c>
      <c r="X29" s="53" t="s">
        <v>3</v>
      </c>
      <c r="Y29" s="30" t="s">
        <v>0</v>
      </c>
      <c r="Z29" s="32" t="s">
        <v>1</v>
      </c>
      <c r="AA29" s="32" t="s">
        <v>1</v>
      </c>
      <c r="AB29" s="44" t="s">
        <v>52</v>
      </c>
      <c r="AC29" s="44" t="s">
        <v>53</v>
      </c>
      <c r="AD29" s="32" t="s">
        <v>1</v>
      </c>
      <c r="AE29" s="32" t="s">
        <v>1</v>
      </c>
      <c r="AF29" s="32" t="s">
        <v>1</v>
      </c>
      <c r="AG29" s="32" t="s">
        <v>1</v>
      </c>
      <c r="AH29" s="32" t="s">
        <v>52</v>
      </c>
      <c r="AI29" s="44" t="s">
        <v>53</v>
      </c>
      <c r="AJ29" s="44" t="s">
        <v>0</v>
      </c>
      <c r="AK29" s="32" t="s">
        <v>1</v>
      </c>
      <c r="AL29" s="32" t="s">
        <v>1</v>
      </c>
      <c r="AM29" s="32" t="s">
        <v>1</v>
      </c>
      <c r="AN29" s="290" t="s">
        <v>1</v>
      </c>
      <c r="AO29" s="175">
        <v>0</v>
      </c>
      <c r="AP29" s="46">
        <f t="shared" si="9"/>
        <v>0</v>
      </c>
      <c r="AQ29" s="46">
        <v>0</v>
      </c>
      <c r="AR29" s="134">
        <f t="shared" si="10"/>
        <v>0</v>
      </c>
      <c r="AS29" s="284" t="s">
        <v>128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</row>
    <row r="30" spans="1:224" s="50" customFormat="1" ht="25.5" customHeight="1">
      <c r="A30" s="38">
        <f t="shared" ref="A30" si="16">COUNTIF(K30:AN30,1)+COUNTIF(K30:AN30,"早")+COUNTIF(K30:AN30,"M1")+COUNTIF(K30:AN30,"T早")+COUNTIF(K30:AN30,"日")</f>
        <v>4</v>
      </c>
      <c r="B30" s="39">
        <f t="shared" ref="B30" si="17">COUNTIF(K30:AN30,2)+COUNTIF(K30:AN30,"中")+COUNTIF(K30:AN30,"M2")+COUNTIF(K30:AN30,"T中")+COUNTIF(K30:AN30,"小夜")</f>
        <v>6</v>
      </c>
      <c r="C30" s="40">
        <f t="shared" ref="C30" si="18">COUNTIF(K30:AN30,3)+COUNTIF(K30:AN30,"晚")+COUNTIF(K30:AN30,"大夜")</f>
        <v>10</v>
      </c>
      <c r="D30" s="39">
        <f t="shared" ref="D30" si="19">COUNTIF(K30:AN30,"N")+COUNTIF(K30:AN30,"N8")</f>
        <v>0</v>
      </c>
      <c r="E30" s="41">
        <f t="shared" ref="E30" si="20">COUNTIF(K30:AN30,"S")</f>
        <v>0</v>
      </c>
      <c r="F30" s="41">
        <f t="shared" ref="F30" si="21">COUNTIF(K30:AN30,"X")</f>
        <v>4</v>
      </c>
      <c r="G30" s="41">
        <f t="shared" ref="G30" si="22">COUNTIF(K30:AN30,"Y")</f>
        <v>4</v>
      </c>
      <c r="H30" s="41">
        <f t="shared" ref="H30" si="23">COUNTIF(K30:AN30,"Z")</f>
        <v>2</v>
      </c>
      <c r="I30" s="42">
        <f t="shared" ref="I30" si="24">SUM(A30:H30)</f>
        <v>30</v>
      </c>
      <c r="J30" s="194" t="s">
        <v>140</v>
      </c>
      <c r="K30" s="306">
        <v>2</v>
      </c>
      <c r="L30" s="30">
        <v>2</v>
      </c>
      <c r="M30" s="30">
        <v>2</v>
      </c>
      <c r="N30" s="32" t="s">
        <v>52</v>
      </c>
      <c r="O30" s="32" t="s">
        <v>53</v>
      </c>
      <c r="P30" s="30" t="s">
        <v>0</v>
      </c>
      <c r="Q30" s="30">
        <v>3</v>
      </c>
      <c r="R30" s="30">
        <v>3</v>
      </c>
      <c r="S30" s="30">
        <v>3</v>
      </c>
      <c r="T30" s="30">
        <v>3</v>
      </c>
      <c r="U30" s="136" t="s">
        <v>52</v>
      </c>
      <c r="V30" s="136">
        <v>1</v>
      </c>
      <c r="W30" s="30">
        <v>2</v>
      </c>
      <c r="X30" s="30">
        <v>2</v>
      </c>
      <c r="Y30" s="30">
        <v>2</v>
      </c>
      <c r="Z30" s="30" t="s">
        <v>0</v>
      </c>
      <c r="AA30" s="30">
        <v>1</v>
      </c>
      <c r="AB30" s="30">
        <v>1</v>
      </c>
      <c r="AC30" s="30">
        <v>1</v>
      </c>
      <c r="AD30" s="30" t="s">
        <v>53</v>
      </c>
      <c r="AE30" s="30" t="s">
        <v>52</v>
      </c>
      <c r="AF30" s="30">
        <v>3</v>
      </c>
      <c r="AG30" s="30">
        <v>3</v>
      </c>
      <c r="AH30" s="30">
        <v>3</v>
      </c>
      <c r="AI30" s="30">
        <v>3</v>
      </c>
      <c r="AJ30" s="44" t="s">
        <v>0</v>
      </c>
      <c r="AK30" s="30">
        <v>3</v>
      </c>
      <c r="AL30" s="30">
        <v>3</v>
      </c>
      <c r="AM30" s="30" t="s">
        <v>0</v>
      </c>
      <c r="AN30" s="48" t="s">
        <v>52</v>
      </c>
      <c r="AO30" s="291">
        <v>0</v>
      </c>
      <c r="AP30" s="46">
        <f t="shared" si="9"/>
        <v>0</v>
      </c>
      <c r="AQ30" s="46">
        <v>0</v>
      </c>
      <c r="AR30" s="134">
        <f t="shared" si="10"/>
        <v>0</v>
      </c>
      <c r="AS30" s="284" t="s">
        <v>126</v>
      </c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</row>
    <row r="31" spans="1:224" s="50" customFormat="1" ht="25.5" customHeight="1">
      <c r="A31" s="38">
        <f t="shared" ref="A31:A45" si="25">COUNTIF(K31:AN31,1)+COUNTIF(K31:AN31,"早")+COUNTIF(K31:AN31,"M1")+COUNTIF(K31:AN31,"T早")+COUNTIF(K31:AN31,"日")</f>
        <v>6</v>
      </c>
      <c r="B31" s="39">
        <f t="shared" ref="B31:B45" si="26">COUNTIF(K31:AN31,2)+COUNTIF(K31:AN31,"中")+COUNTIF(K31:AN31,"M2")+COUNTIF(K31:AN31,"T中")+COUNTIF(K31:AN31,"小夜")</f>
        <v>10</v>
      </c>
      <c r="C31" s="40">
        <f t="shared" ref="C31:C45" si="27">COUNTIF(K31:AN31,3)+COUNTIF(K31:AN31,"晚")+COUNTIF(K31:AN31,"大夜")</f>
        <v>4</v>
      </c>
      <c r="D31" s="39">
        <f t="shared" ref="D31:D45" si="28">COUNTIF(K31:AN31,"N")+COUNTIF(K31:AN31,"N8")</f>
        <v>0</v>
      </c>
      <c r="E31" s="41">
        <f t="shared" ref="E31:E45" si="29">COUNTIF(K31:AN31,"S")</f>
        <v>0</v>
      </c>
      <c r="F31" s="41">
        <f t="shared" ref="F31:F45" si="30">COUNTIF(K31:AN31,"X")</f>
        <v>4</v>
      </c>
      <c r="G31" s="41">
        <f t="shared" ref="G31:G45" si="31">COUNTIF(K31:AN31,"Y")</f>
        <v>4</v>
      </c>
      <c r="H31" s="41">
        <f t="shared" ref="H31:H45" si="32">COUNTIF(K31:AN31,"Z")</f>
        <v>2</v>
      </c>
      <c r="I31" s="42">
        <f t="shared" si="8"/>
        <v>30</v>
      </c>
      <c r="J31" s="194" t="s">
        <v>19</v>
      </c>
      <c r="K31" s="306">
        <v>3</v>
      </c>
      <c r="L31" s="30">
        <v>3</v>
      </c>
      <c r="M31" s="30" t="s">
        <v>52</v>
      </c>
      <c r="N31" s="30">
        <v>1</v>
      </c>
      <c r="O31" s="30">
        <v>1</v>
      </c>
      <c r="P31" s="30">
        <v>2</v>
      </c>
      <c r="Q31" s="30" t="s">
        <v>0</v>
      </c>
      <c r="R31" s="30">
        <v>2</v>
      </c>
      <c r="S31" s="30">
        <v>2</v>
      </c>
      <c r="T31" s="30">
        <v>2</v>
      </c>
      <c r="U31" s="44" t="s">
        <v>52</v>
      </c>
      <c r="V31" s="44" t="s">
        <v>0</v>
      </c>
      <c r="W31" s="30">
        <v>3</v>
      </c>
      <c r="X31" s="30">
        <v>3</v>
      </c>
      <c r="Y31" s="30" t="s">
        <v>0</v>
      </c>
      <c r="Z31" s="30" t="s">
        <v>53</v>
      </c>
      <c r="AA31" s="30">
        <v>1</v>
      </c>
      <c r="AB31" s="30">
        <v>1</v>
      </c>
      <c r="AC31" s="30">
        <v>1</v>
      </c>
      <c r="AD31" s="30">
        <v>1</v>
      </c>
      <c r="AE31" s="30" t="s">
        <v>52</v>
      </c>
      <c r="AF31" s="30">
        <v>2</v>
      </c>
      <c r="AG31" s="30">
        <v>2</v>
      </c>
      <c r="AH31" s="30">
        <v>2</v>
      </c>
      <c r="AI31" s="44" t="s">
        <v>52</v>
      </c>
      <c r="AJ31" s="44" t="s">
        <v>53</v>
      </c>
      <c r="AK31" s="41">
        <v>2</v>
      </c>
      <c r="AL31" s="46">
        <v>2</v>
      </c>
      <c r="AM31" s="46">
        <v>2</v>
      </c>
      <c r="AN31" s="48" t="s">
        <v>0</v>
      </c>
      <c r="AO31" s="291">
        <v>0</v>
      </c>
      <c r="AP31" s="46">
        <f t="shared" si="9"/>
        <v>0</v>
      </c>
      <c r="AQ31" s="46">
        <v>0</v>
      </c>
      <c r="AR31" s="134">
        <f t="shared" si="10"/>
        <v>0</v>
      </c>
      <c r="AS31" s="284" t="s">
        <v>126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</row>
    <row r="32" spans="1:224" s="50" customFormat="1" ht="25.5" customHeight="1">
      <c r="A32" s="38">
        <f t="shared" si="25"/>
        <v>5</v>
      </c>
      <c r="B32" s="39">
        <f t="shared" si="26"/>
        <v>9</v>
      </c>
      <c r="C32" s="40">
        <f t="shared" si="27"/>
        <v>6</v>
      </c>
      <c r="D32" s="39">
        <f t="shared" si="28"/>
        <v>0</v>
      </c>
      <c r="E32" s="41">
        <f t="shared" si="29"/>
        <v>0</v>
      </c>
      <c r="F32" s="41">
        <f t="shared" si="30"/>
        <v>4</v>
      </c>
      <c r="G32" s="41">
        <f t="shared" si="31"/>
        <v>4</v>
      </c>
      <c r="H32" s="41">
        <f t="shared" si="32"/>
        <v>2</v>
      </c>
      <c r="I32" s="42">
        <f>SUM(A32:H32)</f>
        <v>30</v>
      </c>
      <c r="J32" s="194" t="s">
        <v>20</v>
      </c>
      <c r="K32" s="306">
        <v>1</v>
      </c>
      <c r="L32" s="30">
        <v>2</v>
      </c>
      <c r="M32" s="30">
        <v>2</v>
      </c>
      <c r="N32" s="44" t="s">
        <v>52</v>
      </c>
      <c r="O32" s="46">
        <v>1</v>
      </c>
      <c r="P32" s="30">
        <v>1</v>
      </c>
      <c r="Q32" s="30">
        <v>2</v>
      </c>
      <c r="R32" s="30">
        <v>2</v>
      </c>
      <c r="S32" s="30">
        <v>2</v>
      </c>
      <c r="T32" s="30">
        <v>2</v>
      </c>
      <c r="U32" s="30" t="s">
        <v>0</v>
      </c>
      <c r="V32" s="30" t="s">
        <v>0</v>
      </c>
      <c r="W32" s="30">
        <v>3</v>
      </c>
      <c r="X32" s="30">
        <v>3</v>
      </c>
      <c r="Y32" s="30">
        <v>3</v>
      </c>
      <c r="Z32" s="30">
        <v>3</v>
      </c>
      <c r="AA32" s="30" t="s">
        <v>53</v>
      </c>
      <c r="AB32" s="44" t="s">
        <v>53</v>
      </c>
      <c r="AC32" s="44" t="s">
        <v>0</v>
      </c>
      <c r="AD32" s="30">
        <v>3</v>
      </c>
      <c r="AE32" s="30">
        <v>3</v>
      </c>
      <c r="AF32" s="30" t="s">
        <v>52</v>
      </c>
      <c r="AG32" s="30" t="s">
        <v>52</v>
      </c>
      <c r="AH32" s="30">
        <v>1</v>
      </c>
      <c r="AI32" s="30">
        <v>1</v>
      </c>
      <c r="AJ32" s="44" t="s">
        <v>0</v>
      </c>
      <c r="AK32" s="30">
        <v>2</v>
      </c>
      <c r="AL32" s="30">
        <v>2</v>
      </c>
      <c r="AM32" s="30" t="s">
        <v>52</v>
      </c>
      <c r="AN32" s="48">
        <v>2</v>
      </c>
      <c r="AO32" s="291">
        <v>0</v>
      </c>
      <c r="AP32" s="46">
        <f t="shared" si="9"/>
        <v>0</v>
      </c>
      <c r="AQ32" s="46">
        <v>0</v>
      </c>
      <c r="AR32" s="134">
        <f>SUM(AO32:AQ32)</f>
        <v>0</v>
      </c>
      <c r="AS32" s="284" t="s">
        <v>128</v>
      </c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</row>
    <row r="33" spans="1:224" s="50" customFormat="1" ht="25.5" customHeight="1" thickBot="1">
      <c r="A33" s="54">
        <f t="shared" si="25"/>
        <v>4</v>
      </c>
      <c r="B33" s="55">
        <f t="shared" si="26"/>
        <v>16</v>
      </c>
      <c r="C33" s="56">
        <f t="shared" si="27"/>
        <v>0</v>
      </c>
      <c r="D33" s="55">
        <f t="shared" si="28"/>
        <v>0</v>
      </c>
      <c r="E33" s="17">
        <f t="shared" si="29"/>
        <v>0</v>
      </c>
      <c r="F33" s="17">
        <f t="shared" si="30"/>
        <v>4</v>
      </c>
      <c r="G33" s="17">
        <f t="shared" si="31"/>
        <v>4</v>
      </c>
      <c r="H33" s="17">
        <f t="shared" si="32"/>
        <v>2</v>
      </c>
      <c r="I33" s="57">
        <f t="shared" si="8"/>
        <v>30</v>
      </c>
      <c r="J33" s="195" t="s">
        <v>21</v>
      </c>
      <c r="K33" s="311">
        <v>1</v>
      </c>
      <c r="L33" s="63" t="s">
        <v>52</v>
      </c>
      <c r="M33" s="60">
        <v>1</v>
      </c>
      <c r="N33" s="64">
        <v>1</v>
      </c>
      <c r="O33" s="64">
        <v>1</v>
      </c>
      <c r="P33" s="60" t="s">
        <v>0</v>
      </c>
      <c r="Q33" s="60">
        <v>2</v>
      </c>
      <c r="R33" s="60">
        <v>2</v>
      </c>
      <c r="S33" s="60">
        <v>2</v>
      </c>
      <c r="T33" s="52" t="s">
        <v>52</v>
      </c>
      <c r="U33" s="52" t="s">
        <v>53</v>
      </c>
      <c r="V33" s="52" t="s">
        <v>156</v>
      </c>
      <c r="W33" s="60">
        <v>2</v>
      </c>
      <c r="X33" s="60">
        <v>2</v>
      </c>
      <c r="Y33" s="60">
        <v>2</v>
      </c>
      <c r="Z33" s="60">
        <v>2</v>
      </c>
      <c r="AA33" s="60" t="s">
        <v>52</v>
      </c>
      <c r="AB33" s="59" t="s">
        <v>53</v>
      </c>
      <c r="AC33" s="59" t="s">
        <v>0</v>
      </c>
      <c r="AD33" s="60">
        <v>2</v>
      </c>
      <c r="AE33" s="60">
        <v>2</v>
      </c>
      <c r="AF33" s="60">
        <v>2</v>
      </c>
      <c r="AG33" s="60">
        <v>2</v>
      </c>
      <c r="AH33" s="60">
        <v>2</v>
      </c>
      <c r="AI33" s="60" t="s">
        <v>52</v>
      </c>
      <c r="AJ33" s="60">
        <v>2</v>
      </c>
      <c r="AK33" s="60">
        <v>2</v>
      </c>
      <c r="AL33" s="60" t="s">
        <v>0</v>
      </c>
      <c r="AM33" s="60">
        <v>2</v>
      </c>
      <c r="AN33" s="127">
        <v>2</v>
      </c>
      <c r="AO33" s="292">
        <v>0</v>
      </c>
      <c r="AP33" s="74">
        <f t="shared" si="9"/>
        <v>0</v>
      </c>
      <c r="AQ33" s="74">
        <v>0</v>
      </c>
      <c r="AR33" s="127">
        <f t="shared" si="10"/>
        <v>0</v>
      </c>
      <c r="AS33" s="287" t="s">
        <v>128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</row>
    <row r="34" spans="1:224" s="50" customFormat="1" ht="25.5" customHeight="1">
      <c r="A34" s="23">
        <f t="shared" si="25"/>
        <v>2</v>
      </c>
      <c r="B34" s="24">
        <f t="shared" si="26"/>
        <v>0</v>
      </c>
      <c r="C34" s="25">
        <f t="shared" si="27"/>
        <v>17</v>
      </c>
      <c r="D34" s="24">
        <f t="shared" si="28"/>
        <v>0</v>
      </c>
      <c r="E34" s="26">
        <f t="shared" si="29"/>
        <v>1</v>
      </c>
      <c r="F34" s="26">
        <f t="shared" si="30"/>
        <v>4</v>
      </c>
      <c r="G34" s="26">
        <f t="shared" si="31"/>
        <v>4</v>
      </c>
      <c r="H34" s="26">
        <f t="shared" si="32"/>
        <v>2</v>
      </c>
      <c r="I34" s="27">
        <f t="shared" si="8"/>
        <v>30</v>
      </c>
      <c r="J34" s="189" t="s">
        <v>22</v>
      </c>
      <c r="K34" s="304" t="s">
        <v>52</v>
      </c>
      <c r="L34" s="29" t="s">
        <v>40</v>
      </c>
      <c r="M34" s="29" t="s">
        <v>40</v>
      </c>
      <c r="N34" s="29" t="s">
        <v>40</v>
      </c>
      <c r="O34" s="29" t="s">
        <v>40</v>
      </c>
      <c r="P34" s="29" t="s">
        <v>0</v>
      </c>
      <c r="Q34" s="29" t="s">
        <v>40</v>
      </c>
      <c r="R34" s="29" t="s">
        <v>40</v>
      </c>
      <c r="S34" s="29" t="s">
        <v>40</v>
      </c>
      <c r="T34" s="29" t="s">
        <v>40</v>
      </c>
      <c r="U34" s="31" t="s">
        <v>52</v>
      </c>
      <c r="V34" s="31" t="s">
        <v>53</v>
      </c>
      <c r="W34" s="33" t="s">
        <v>1</v>
      </c>
      <c r="X34" s="30" t="s">
        <v>36</v>
      </c>
      <c r="Y34" s="30" t="s">
        <v>36</v>
      </c>
      <c r="Z34" s="29" t="s">
        <v>0</v>
      </c>
      <c r="AA34" s="33" t="s">
        <v>52</v>
      </c>
      <c r="AB34" s="29">
        <v>3</v>
      </c>
      <c r="AC34" s="29">
        <v>3</v>
      </c>
      <c r="AD34" s="30" t="s">
        <v>40</v>
      </c>
      <c r="AE34" s="30" t="s">
        <v>40</v>
      </c>
      <c r="AF34" s="30" t="s">
        <v>40</v>
      </c>
      <c r="AG34" s="33" t="s">
        <v>0</v>
      </c>
      <c r="AH34" s="29" t="s">
        <v>53</v>
      </c>
      <c r="AI34" s="31" t="s">
        <v>52</v>
      </c>
      <c r="AJ34" s="31" t="s">
        <v>0</v>
      </c>
      <c r="AK34" s="30" t="s">
        <v>40</v>
      </c>
      <c r="AL34" s="30" t="s">
        <v>40</v>
      </c>
      <c r="AM34" s="30" t="s">
        <v>40</v>
      </c>
      <c r="AN34" s="30" t="s">
        <v>40</v>
      </c>
      <c r="AO34" s="293">
        <v>0</v>
      </c>
      <c r="AP34" s="36">
        <f t="shared" si="9"/>
        <v>0</v>
      </c>
      <c r="AQ34" s="36">
        <v>0</v>
      </c>
      <c r="AR34" s="133">
        <f t="shared" si="10"/>
        <v>0</v>
      </c>
      <c r="AS34" s="37" t="s">
        <v>126</v>
      </c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</row>
    <row r="35" spans="1:224" s="50" customFormat="1" ht="27.75" customHeight="1">
      <c r="A35" s="38">
        <f t="shared" si="25"/>
        <v>0</v>
      </c>
      <c r="B35" s="39">
        <f t="shared" si="26"/>
        <v>20</v>
      </c>
      <c r="C35" s="40">
        <f t="shared" si="27"/>
        <v>0</v>
      </c>
      <c r="D35" s="39">
        <f t="shared" si="28"/>
        <v>0</v>
      </c>
      <c r="E35" s="41">
        <f t="shared" si="29"/>
        <v>0</v>
      </c>
      <c r="F35" s="41">
        <f t="shared" si="30"/>
        <v>4</v>
      </c>
      <c r="G35" s="41">
        <f t="shared" si="31"/>
        <v>4</v>
      </c>
      <c r="H35" s="41">
        <f t="shared" si="32"/>
        <v>2</v>
      </c>
      <c r="I35" s="42">
        <f t="shared" si="8"/>
        <v>30</v>
      </c>
      <c r="J35" s="193" t="s">
        <v>23</v>
      </c>
      <c r="K35" s="306" t="s">
        <v>38</v>
      </c>
      <c r="L35" s="30" t="s">
        <v>0</v>
      </c>
      <c r="M35" s="30" t="s">
        <v>38</v>
      </c>
      <c r="N35" s="30" t="s">
        <v>38</v>
      </c>
      <c r="O35" s="30" t="s">
        <v>38</v>
      </c>
      <c r="P35" s="30" t="s">
        <v>38</v>
      </c>
      <c r="Q35" s="30" t="s">
        <v>38</v>
      </c>
      <c r="R35" s="30" t="s">
        <v>0</v>
      </c>
      <c r="S35" s="30" t="s">
        <v>38</v>
      </c>
      <c r="T35" s="30" t="s">
        <v>38</v>
      </c>
      <c r="U35" s="44" t="s">
        <v>52</v>
      </c>
      <c r="V35" s="44" t="s">
        <v>53</v>
      </c>
      <c r="W35" s="30" t="s">
        <v>38</v>
      </c>
      <c r="X35" s="30" t="s">
        <v>38</v>
      </c>
      <c r="Y35" s="30" t="s">
        <v>38</v>
      </c>
      <c r="Z35" s="30" t="s">
        <v>38</v>
      </c>
      <c r="AA35" s="30" t="s">
        <v>38</v>
      </c>
      <c r="AB35" s="44" t="s">
        <v>52</v>
      </c>
      <c r="AC35" s="44" t="s">
        <v>53</v>
      </c>
      <c r="AD35" s="30" t="s">
        <v>38</v>
      </c>
      <c r="AE35" s="30" t="s">
        <v>38</v>
      </c>
      <c r="AF35" s="30" t="s">
        <v>52</v>
      </c>
      <c r="AG35" s="30" t="s">
        <v>38</v>
      </c>
      <c r="AH35" s="30" t="s">
        <v>38</v>
      </c>
      <c r="AI35" s="30" t="s">
        <v>38</v>
      </c>
      <c r="AJ35" s="30" t="s">
        <v>38</v>
      </c>
      <c r="AK35" s="30" t="s">
        <v>38</v>
      </c>
      <c r="AL35" s="30" t="s">
        <v>0</v>
      </c>
      <c r="AM35" s="30" t="s">
        <v>52</v>
      </c>
      <c r="AN35" s="30" t="s">
        <v>0</v>
      </c>
      <c r="AO35" s="175">
        <v>0</v>
      </c>
      <c r="AP35" s="46">
        <f t="shared" si="9"/>
        <v>0</v>
      </c>
      <c r="AQ35" s="46">
        <v>0</v>
      </c>
      <c r="AR35" s="134">
        <f t="shared" si="10"/>
        <v>0</v>
      </c>
      <c r="AS35" s="284" t="s">
        <v>126</v>
      </c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</row>
    <row r="36" spans="1:224" s="50" customFormat="1" ht="27.75" customHeight="1">
      <c r="A36" s="38">
        <f t="shared" si="25"/>
        <v>5</v>
      </c>
      <c r="B36" s="39">
        <f t="shared" si="26"/>
        <v>14</v>
      </c>
      <c r="C36" s="40">
        <f t="shared" si="27"/>
        <v>0</v>
      </c>
      <c r="D36" s="39">
        <f t="shared" si="28"/>
        <v>1</v>
      </c>
      <c r="E36" s="41">
        <f t="shared" si="29"/>
        <v>0</v>
      </c>
      <c r="F36" s="41">
        <f t="shared" si="30"/>
        <v>4</v>
      </c>
      <c r="G36" s="41">
        <f t="shared" si="31"/>
        <v>4</v>
      </c>
      <c r="H36" s="41">
        <f t="shared" si="32"/>
        <v>2</v>
      </c>
      <c r="I36" s="42">
        <f t="shared" si="8"/>
        <v>30</v>
      </c>
      <c r="J36" s="193" t="s">
        <v>24</v>
      </c>
      <c r="K36" s="306" t="s">
        <v>38</v>
      </c>
      <c r="L36" s="30" t="s">
        <v>38</v>
      </c>
      <c r="M36" s="30" t="s">
        <v>0</v>
      </c>
      <c r="N36" s="44" t="s">
        <v>52</v>
      </c>
      <c r="O36" s="44" t="s">
        <v>53</v>
      </c>
      <c r="P36" s="30" t="s">
        <v>38</v>
      </c>
      <c r="Q36" s="30" t="s">
        <v>38</v>
      </c>
      <c r="R36" s="30" t="s">
        <v>38</v>
      </c>
      <c r="S36" s="30" t="s">
        <v>52</v>
      </c>
      <c r="T36" s="30" t="s">
        <v>0</v>
      </c>
      <c r="U36" s="30" t="s">
        <v>36</v>
      </c>
      <c r="V36" s="30" t="s">
        <v>36</v>
      </c>
      <c r="W36" s="30" t="s">
        <v>38</v>
      </c>
      <c r="X36" s="30" t="s">
        <v>38</v>
      </c>
      <c r="Y36" s="30" t="s">
        <v>0</v>
      </c>
      <c r="Z36" s="30" t="s">
        <v>38</v>
      </c>
      <c r="AA36" s="30" t="s">
        <v>38</v>
      </c>
      <c r="AB36" s="44" t="s">
        <v>52</v>
      </c>
      <c r="AC36" s="44" t="s">
        <v>53</v>
      </c>
      <c r="AD36" s="30" t="s">
        <v>38</v>
      </c>
      <c r="AE36" s="30" t="s">
        <v>38</v>
      </c>
      <c r="AF36" s="30" t="s">
        <v>38</v>
      </c>
      <c r="AG36" s="30" t="s">
        <v>52</v>
      </c>
      <c r="AH36" s="30" t="s">
        <v>36</v>
      </c>
      <c r="AI36" s="30" t="s">
        <v>36</v>
      </c>
      <c r="AJ36" s="30" t="s">
        <v>36</v>
      </c>
      <c r="AK36" s="30" t="s">
        <v>0</v>
      </c>
      <c r="AL36" s="53" t="s">
        <v>3</v>
      </c>
      <c r="AM36" s="30" t="s">
        <v>38</v>
      </c>
      <c r="AN36" s="30" t="s">
        <v>38</v>
      </c>
      <c r="AO36" s="175">
        <v>0</v>
      </c>
      <c r="AP36" s="46">
        <f t="shared" si="9"/>
        <v>0</v>
      </c>
      <c r="AQ36" s="46">
        <v>0</v>
      </c>
      <c r="AR36" s="134">
        <f t="shared" si="10"/>
        <v>0</v>
      </c>
      <c r="AS36" s="284" t="s">
        <v>128</v>
      </c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</row>
    <row r="37" spans="1:224" s="50" customFormat="1" ht="27.6" customHeight="1">
      <c r="A37" s="38">
        <f t="shared" si="25"/>
        <v>0</v>
      </c>
      <c r="B37" s="39">
        <f t="shared" si="26"/>
        <v>18</v>
      </c>
      <c r="C37" s="40">
        <f t="shared" si="27"/>
        <v>0</v>
      </c>
      <c r="D37" s="39">
        <f t="shared" si="28"/>
        <v>0</v>
      </c>
      <c r="E37" s="41">
        <f t="shared" si="29"/>
        <v>2</v>
      </c>
      <c r="F37" s="41">
        <f t="shared" si="30"/>
        <v>4</v>
      </c>
      <c r="G37" s="41">
        <f t="shared" si="31"/>
        <v>4</v>
      </c>
      <c r="H37" s="41">
        <f t="shared" si="32"/>
        <v>2</v>
      </c>
      <c r="I37" s="42">
        <f t="shared" si="8"/>
        <v>30</v>
      </c>
      <c r="J37" s="214" t="s">
        <v>25</v>
      </c>
      <c r="K37" s="306" t="s">
        <v>52</v>
      </c>
      <c r="L37" s="30" t="s">
        <v>38</v>
      </c>
      <c r="M37" s="30" t="s">
        <v>38</v>
      </c>
      <c r="N37" s="30" t="s">
        <v>26</v>
      </c>
      <c r="O37" s="30" t="s">
        <v>0</v>
      </c>
      <c r="P37" s="30" t="s">
        <v>38</v>
      </c>
      <c r="Q37" s="30" t="s">
        <v>38</v>
      </c>
      <c r="R37" s="32" t="s">
        <v>52</v>
      </c>
      <c r="S37" s="32" t="s">
        <v>1</v>
      </c>
      <c r="T37" s="30" t="s">
        <v>53</v>
      </c>
      <c r="U37" s="30" t="s">
        <v>38</v>
      </c>
      <c r="V37" s="30" t="s">
        <v>38</v>
      </c>
      <c r="W37" s="30" t="s">
        <v>38</v>
      </c>
      <c r="X37" s="30" t="s">
        <v>0</v>
      </c>
      <c r="Y37" s="30" t="s">
        <v>38</v>
      </c>
      <c r="Z37" s="30" t="s">
        <v>38</v>
      </c>
      <c r="AA37" s="30" t="s">
        <v>38</v>
      </c>
      <c r="AB37" s="30" t="s">
        <v>26</v>
      </c>
      <c r="AC37" s="30" t="s">
        <v>38</v>
      </c>
      <c r="AD37" s="30" t="s">
        <v>52</v>
      </c>
      <c r="AE37" s="30" t="s">
        <v>53</v>
      </c>
      <c r="AF37" s="32" t="s">
        <v>1</v>
      </c>
      <c r="AG37" s="30" t="s">
        <v>0</v>
      </c>
      <c r="AH37" s="30" t="s">
        <v>38</v>
      </c>
      <c r="AI37" s="30" t="s">
        <v>26</v>
      </c>
      <c r="AJ37" s="30" t="s">
        <v>38</v>
      </c>
      <c r="AK37" s="30" t="s">
        <v>38</v>
      </c>
      <c r="AL37" s="30" t="s">
        <v>52</v>
      </c>
      <c r="AM37" s="30" t="s">
        <v>0</v>
      </c>
      <c r="AN37" s="30" t="s">
        <v>38</v>
      </c>
      <c r="AO37" s="175">
        <v>0</v>
      </c>
      <c r="AP37" s="46">
        <f t="shared" si="9"/>
        <v>0</v>
      </c>
      <c r="AQ37" s="46">
        <v>0</v>
      </c>
      <c r="AR37" s="134">
        <f t="shared" si="10"/>
        <v>0</v>
      </c>
      <c r="AS37" s="284" t="s">
        <v>126</v>
      </c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</row>
    <row r="38" spans="1:224" s="50" customFormat="1" ht="24" customHeight="1">
      <c r="A38" s="38">
        <f t="shared" si="25"/>
        <v>2</v>
      </c>
      <c r="B38" s="39">
        <f t="shared" si="26"/>
        <v>7</v>
      </c>
      <c r="C38" s="40">
        <f t="shared" si="27"/>
        <v>6</v>
      </c>
      <c r="D38" s="39">
        <f t="shared" si="28"/>
        <v>4</v>
      </c>
      <c r="E38" s="41">
        <f t="shared" si="29"/>
        <v>1</v>
      </c>
      <c r="F38" s="41">
        <f t="shared" si="30"/>
        <v>4</v>
      </c>
      <c r="G38" s="41">
        <f t="shared" si="31"/>
        <v>4</v>
      </c>
      <c r="H38" s="41">
        <f t="shared" si="32"/>
        <v>2</v>
      </c>
      <c r="I38" s="42">
        <f t="shared" si="8"/>
        <v>30</v>
      </c>
      <c r="J38" s="193" t="s">
        <v>27</v>
      </c>
      <c r="K38" s="306">
        <v>3</v>
      </c>
      <c r="L38" s="30">
        <v>3</v>
      </c>
      <c r="M38" s="30" t="s">
        <v>0</v>
      </c>
      <c r="N38" s="30" t="s">
        <v>38</v>
      </c>
      <c r="O38" s="30" t="s">
        <v>38</v>
      </c>
      <c r="P38" s="30" t="s">
        <v>52</v>
      </c>
      <c r="Q38" s="53" t="s">
        <v>3</v>
      </c>
      <c r="R38" s="53" t="s">
        <v>3</v>
      </c>
      <c r="S38" s="53" t="s">
        <v>3</v>
      </c>
      <c r="T38" s="30" t="s">
        <v>38</v>
      </c>
      <c r="U38" s="30" t="s">
        <v>38</v>
      </c>
      <c r="V38" s="30" t="s">
        <v>38</v>
      </c>
      <c r="W38" s="30" t="s">
        <v>52</v>
      </c>
      <c r="X38" s="30" t="s">
        <v>38</v>
      </c>
      <c r="Y38" s="30" t="s">
        <v>38</v>
      </c>
      <c r="Z38" s="32" t="s">
        <v>156</v>
      </c>
      <c r="AA38" s="32" t="s">
        <v>1</v>
      </c>
      <c r="AB38" s="44" t="s">
        <v>53</v>
      </c>
      <c r="AC38" s="44" t="s">
        <v>53</v>
      </c>
      <c r="AD38" s="32" t="s">
        <v>156</v>
      </c>
      <c r="AE38" s="53" t="s">
        <v>3</v>
      </c>
      <c r="AF38" s="30" t="s">
        <v>52</v>
      </c>
      <c r="AG38" s="30" t="s">
        <v>40</v>
      </c>
      <c r="AH38" s="30" t="s">
        <v>40</v>
      </c>
      <c r="AI38" s="30" t="s">
        <v>40</v>
      </c>
      <c r="AJ38" s="30" t="s">
        <v>40</v>
      </c>
      <c r="AK38" s="30" t="s">
        <v>0</v>
      </c>
      <c r="AL38" s="30" t="s">
        <v>52</v>
      </c>
      <c r="AM38" s="30" t="s">
        <v>36</v>
      </c>
      <c r="AN38" s="30" t="s">
        <v>36</v>
      </c>
      <c r="AO38" s="175">
        <v>0</v>
      </c>
      <c r="AP38" s="46">
        <f t="shared" si="9"/>
        <v>0</v>
      </c>
      <c r="AQ38" s="46">
        <v>0</v>
      </c>
      <c r="AR38" s="134">
        <f t="shared" si="10"/>
        <v>0</v>
      </c>
      <c r="AS38" s="284" t="s">
        <v>128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</row>
    <row r="39" spans="1:224" ht="25.5" customHeight="1">
      <c r="A39" s="38">
        <f t="shared" si="25"/>
        <v>3</v>
      </c>
      <c r="B39" s="39">
        <f t="shared" si="26"/>
        <v>0</v>
      </c>
      <c r="C39" s="40">
        <f t="shared" si="27"/>
        <v>15</v>
      </c>
      <c r="D39" s="39">
        <f t="shared" si="28"/>
        <v>1</v>
      </c>
      <c r="E39" s="41">
        <f t="shared" si="29"/>
        <v>1</v>
      </c>
      <c r="F39" s="41">
        <f t="shared" si="30"/>
        <v>4</v>
      </c>
      <c r="G39" s="41">
        <f t="shared" si="31"/>
        <v>4</v>
      </c>
      <c r="H39" s="41">
        <f t="shared" si="32"/>
        <v>2</v>
      </c>
      <c r="I39" s="42">
        <f t="shared" si="8"/>
        <v>30</v>
      </c>
      <c r="J39" s="193" t="s">
        <v>57</v>
      </c>
      <c r="K39" s="306" t="s">
        <v>36</v>
      </c>
      <c r="L39" s="30" t="s">
        <v>36</v>
      </c>
      <c r="M39" s="30" t="s">
        <v>36</v>
      </c>
      <c r="N39" s="44" t="s">
        <v>52</v>
      </c>
      <c r="O39" s="44" t="s">
        <v>53</v>
      </c>
      <c r="P39" s="32" t="s">
        <v>1</v>
      </c>
      <c r="Q39" s="32" t="s">
        <v>0</v>
      </c>
      <c r="R39" s="30" t="s">
        <v>40</v>
      </c>
      <c r="S39" s="30" t="s">
        <v>40</v>
      </c>
      <c r="T39" s="30" t="s">
        <v>40</v>
      </c>
      <c r="U39" s="30" t="s">
        <v>40</v>
      </c>
      <c r="V39" s="30" t="s">
        <v>40</v>
      </c>
      <c r="W39" s="30" t="s">
        <v>40</v>
      </c>
      <c r="X39" s="32" t="s">
        <v>52</v>
      </c>
      <c r="Y39" s="30" t="s">
        <v>40</v>
      </c>
      <c r="Z39" s="30" t="s">
        <v>40</v>
      </c>
      <c r="AA39" s="30" t="s">
        <v>40</v>
      </c>
      <c r="AB39" s="30" t="s">
        <v>40</v>
      </c>
      <c r="AC39" s="30" t="s">
        <v>40</v>
      </c>
      <c r="AD39" s="30" t="s">
        <v>0</v>
      </c>
      <c r="AE39" s="30" t="s">
        <v>40</v>
      </c>
      <c r="AF39" s="30" t="s">
        <v>40</v>
      </c>
      <c r="AG39" s="30" t="s">
        <v>40</v>
      </c>
      <c r="AH39" s="30" t="s">
        <v>40</v>
      </c>
      <c r="AI39" s="44" t="s">
        <v>52</v>
      </c>
      <c r="AJ39" s="44" t="s">
        <v>53</v>
      </c>
      <c r="AK39" s="32" t="s">
        <v>156</v>
      </c>
      <c r="AL39" s="53" t="s">
        <v>3</v>
      </c>
      <c r="AM39" s="30" t="s">
        <v>0</v>
      </c>
      <c r="AN39" s="48" t="s">
        <v>52</v>
      </c>
      <c r="AO39" s="175">
        <v>0</v>
      </c>
      <c r="AP39" s="46">
        <f t="shared" si="9"/>
        <v>0</v>
      </c>
      <c r="AQ39" s="46">
        <v>0</v>
      </c>
      <c r="AR39" s="134">
        <f t="shared" si="10"/>
        <v>0</v>
      </c>
      <c r="AS39" s="284" t="s">
        <v>128</v>
      </c>
    </row>
    <row r="40" spans="1:224" ht="25.5" customHeight="1" thickBot="1">
      <c r="A40" s="54">
        <f t="shared" si="25"/>
        <v>5</v>
      </c>
      <c r="B40" s="55">
        <f t="shared" si="26"/>
        <v>0</v>
      </c>
      <c r="C40" s="56">
        <f t="shared" si="27"/>
        <v>8</v>
      </c>
      <c r="D40" s="55">
        <f t="shared" si="28"/>
        <v>3</v>
      </c>
      <c r="E40" s="17">
        <f t="shared" si="29"/>
        <v>4</v>
      </c>
      <c r="F40" s="17">
        <f t="shared" si="30"/>
        <v>4</v>
      </c>
      <c r="G40" s="17">
        <f t="shared" si="31"/>
        <v>4</v>
      </c>
      <c r="H40" s="17">
        <f t="shared" si="32"/>
        <v>2</v>
      </c>
      <c r="I40" s="57">
        <f t="shared" si="8"/>
        <v>30</v>
      </c>
      <c r="J40" s="215" t="s">
        <v>28</v>
      </c>
      <c r="K40" s="312" t="s">
        <v>52</v>
      </c>
      <c r="L40" s="303" t="s">
        <v>3</v>
      </c>
      <c r="M40" s="161" t="s">
        <v>53</v>
      </c>
      <c r="N40" s="162" t="s">
        <v>53</v>
      </c>
      <c r="O40" s="162" t="s">
        <v>0</v>
      </c>
      <c r="P40" s="160" t="s">
        <v>40</v>
      </c>
      <c r="Q40" s="160" t="s">
        <v>40</v>
      </c>
      <c r="R40" s="160" t="s">
        <v>0</v>
      </c>
      <c r="S40" s="303" t="s">
        <v>3</v>
      </c>
      <c r="T40" s="160" t="s">
        <v>52</v>
      </c>
      <c r="U40" s="160" t="s">
        <v>40</v>
      </c>
      <c r="V40" s="160" t="s">
        <v>40</v>
      </c>
      <c r="W40" s="160" t="s">
        <v>0</v>
      </c>
      <c r="X40" s="303" t="s">
        <v>3</v>
      </c>
      <c r="Y40" s="160">
        <v>1</v>
      </c>
      <c r="Z40" s="160" t="s">
        <v>52</v>
      </c>
      <c r="AA40" s="160" t="s">
        <v>40</v>
      </c>
      <c r="AB40" s="160" t="s">
        <v>40</v>
      </c>
      <c r="AC40" s="160" t="s">
        <v>40</v>
      </c>
      <c r="AD40" s="160" t="s">
        <v>40</v>
      </c>
      <c r="AE40" s="162" t="s">
        <v>0</v>
      </c>
      <c r="AF40" s="161" t="s">
        <v>1</v>
      </c>
      <c r="AG40" s="161" t="s">
        <v>1</v>
      </c>
      <c r="AH40" s="161" t="s">
        <v>1</v>
      </c>
      <c r="AI40" s="161" t="s">
        <v>1</v>
      </c>
      <c r="AJ40" s="162" t="s">
        <v>52</v>
      </c>
      <c r="AK40" s="30">
        <v>1</v>
      </c>
      <c r="AL40" s="30">
        <v>1</v>
      </c>
      <c r="AM40" s="30">
        <v>1</v>
      </c>
      <c r="AN40" s="30">
        <v>1</v>
      </c>
      <c r="AO40" s="286">
        <v>0</v>
      </c>
      <c r="AP40" s="74">
        <f t="shared" si="9"/>
        <v>0</v>
      </c>
      <c r="AQ40" s="74">
        <v>0</v>
      </c>
      <c r="AR40" s="127">
        <f t="shared" si="10"/>
        <v>0</v>
      </c>
      <c r="AS40" s="287" t="s">
        <v>128</v>
      </c>
    </row>
    <row r="41" spans="1:224" s="50" customFormat="1" ht="24.75" customHeight="1">
      <c r="A41" s="23">
        <f t="shared" si="25"/>
        <v>3</v>
      </c>
      <c r="B41" s="24">
        <f t="shared" si="26"/>
        <v>2</v>
      </c>
      <c r="C41" s="25">
        <f t="shared" si="27"/>
        <v>11</v>
      </c>
      <c r="D41" s="24">
        <f t="shared" si="28"/>
        <v>4</v>
      </c>
      <c r="E41" s="26">
        <f t="shared" si="29"/>
        <v>0</v>
      </c>
      <c r="F41" s="26">
        <f t="shared" si="30"/>
        <v>4</v>
      </c>
      <c r="G41" s="26">
        <f t="shared" si="31"/>
        <v>4</v>
      </c>
      <c r="H41" s="26">
        <f t="shared" si="32"/>
        <v>2</v>
      </c>
      <c r="I41" s="176">
        <f>SUM(A41:H41)</f>
        <v>30</v>
      </c>
      <c r="J41" s="66" t="s">
        <v>142</v>
      </c>
      <c r="K41" s="313" t="s">
        <v>52</v>
      </c>
      <c r="L41" s="29" t="s">
        <v>55</v>
      </c>
      <c r="M41" s="29" t="s">
        <v>55</v>
      </c>
      <c r="N41" s="29" t="s">
        <v>55</v>
      </c>
      <c r="O41" s="29" t="s">
        <v>55</v>
      </c>
      <c r="P41" s="31" t="s">
        <v>0</v>
      </c>
      <c r="Q41" s="29" t="s">
        <v>3</v>
      </c>
      <c r="R41" s="29" t="s">
        <v>0</v>
      </c>
      <c r="S41" s="29" t="s">
        <v>3</v>
      </c>
      <c r="T41" s="29" t="s">
        <v>3</v>
      </c>
      <c r="U41" s="31" t="s">
        <v>52</v>
      </c>
      <c r="V41" s="31" t="s">
        <v>53</v>
      </c>
      <c r="W41" s="26" t="s">
        <v>54</v>
      </c>
      <c r="X41" s="26" t="s">
        <v>54</v>
      </c>
      <c r="Y41" s="29" t="s">
        <v>52</v>
      </c>
      <c r="Z41" s="29" t="s">
        <v>55</v>
      </c>
      <c r="AA41" s="29" t="s">
        <v>55</v>
      </c>
      <c r="AB41" s="29" t="s">
        <v>55</v>
      </c>
      <c r="AC41" s="29" t="s">
        <v>55</v>
      </c>
      <c r="AD41" s="29" t="s">
        <v>55</v>
      </c>
      <c r="AE41" s="29" t="s">
        <v>55</v>
      </c>
      <c r="AF41" s="29" t="s">
        <v>0</v>
      </c>
      <c r="AG41" s="29" t="s">
        <v>56</v>
      </c>
      <c r="AH41" s="29" t="s">
        <v>56</v>
      </c>
      <c r="AI41" s="31" t="s">
        <v>52</v>
      </c>
      <c r="AJ41" s="31" t="s">
        <v>53</v>
      </c>
      <c r="AK41" s="26" t="s">
        <v>54</v>
      </c>
      <c r="AL41" s="29" t="s">
        <v>3</v>
      </c>
      <c r="AM41" s="29" t="s">
        <v>0</v>
      </c>
      <c r="AN41" s="34" t="s">
        <v>55</v>
      </c>
      <c r="AO41" s="35">
        <v>0</v>
      </c>
      <c r="AP41" s="36">
        <f t="shared" si="9"/>
        <v>0</v>
      </c>
      <c r="AQ41" s="36">
        <v>0</v>
      </c>
      <c r="AR41" s="133">
        <f t="shared" si="10"/>
        <v>0</v>
      </c>
      <c r="AS41" s="37" t="s">
        <v>126</v>
      </c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</row>
    <row r="42" spans="1:224" s="50" customFormat="1" ht="24.75" customHeight="1">
      <c r="A42" s="38">
        <f t="shared" si="25"/>
        <v>1</v>
      </c>
      <c r="B42" s="39">
        <f t="shared" si="26"/>
        <v>12</v>
      </c>
      <c r="C42" s="40">
        <f t="shared" si="27"/>
        <v>0</v>
      </c>
      <c r="D42" s="39">
        <f t="shared" si="28"/>
        <v>4</v>
      </c>
      <c r="E42" s="41">
        <f t="shared" si="29"/>
        <v>3</v>
      </c>
      <c r="F42" s="41">
        <f t="shared" si="30"/>
        <v>4</v>
      </c>
      <c r="G42" s="41">
        <f t="shared" si="31"/>
        <v>4</v>
      </c>
      <c r="H42" s="41">
        <f t="shared" si="32"/>
        <v>2</v>
      </c>
      <c r="I42" s="177">
        <f t="shared" ref="I42:I45" si="33">SUM(A42:H42)</f>
        <v>30</v>
      </c>
      <c r="J42" s="67" t="s">
        <v>29</v>
      </c>
      <c r="K42" s="306" t="s">
        <v>52</v>
      </c>
      <c r="L42" s="30" t="s">
        <v>3</v>
      </c>
      <c r="M42" s="30" t="s">
        <v>56</v>
      </c>
      <c r="N42" s="30" t="s">
        <v>56</v>
      </c>
      <c r="O42" s="30" t="s">
        <v>56</v>
      </c>
      <c r="P42" s="30" t="s">
        <v>56</v>
      </c>
      <c r="Q42" s="30" t="s">
        <v>0</v>
      </c>
      <c r="R42" s="41" t="s">
        <v>54</v>
      </c>
      <c r="S42" s="30" t="s">
        <v>3</v>
      </c>
      <c r="T42" s="30" t="s">
        <v>3</v>
      </c>
      <c r="U42" s="44" t="s">
        <v>52</v>
      </c>
      <c r="V42" s="32" t="s">
        <v>1</v>
      </c>
      <c r="W42" s="32" t="s">
        <v>1</v>
      </c>
      <c r="X42" s="30" t="s">
        <v>56</v>
      </c>
      <c r="Y42" s="30" t="s">
        <v>56</v>
      </c>
      <c r="Z42" s="30" t="s">
        <v>52</v>
      </c>
      <c r="AA42" s="30" t="s">
        <v>53</v>
      </c>
      <c r="AB42" s="44" t="s">
        <v>53</v>
      </c>
      <c r="AC42" s="44" t="s">
        <v>0</v>
      </c>
      <c r="AD42" s="30" t="s">
        <v>56</v>
      </c>
      <c r="AE42" s="30" t="s">
        <v>56</v>
      </c>
      <c r="AF42" s="30" t="s">
        <v>0</v>
      </c>
      <c r="AG42" s="30" t="s">
        <v>0</v>
      </c>
      <c r="AH42" s="30" t="s">
        <v>3</v>
      </c>
      <c r="AI42" s="30" t="s">
        <v>56</v>
      </c>
      <c r="AJ42" s="30" t="s">
        <v>56</v>
      </c>
      <c r="AK42" s="44" t="s">
        <v>52</v>
      </c>
      <c r="AL42" s="32" t="s">
        <v>1</v>
      </c>
      <c r="AM42" s="30" t="s">
        <v>56</v>
      </c>
      <c r="AN42" s="48" t="s">
        <v>56</v>
      </c>
      <c r="AO42" s="45">
        <v>0</v>
      </c>
      <c r="AP42" s="46">
        <f t="shared" si="9"/>
        <v>0</v>
      </c>
      <c r="AQ42" s="46">
        <v>0</v>
      </c>
      <c r="AR42" s="134">
        <f t="shared" si="10"/>
        <v>0</v>
      </c>
      <c r="AS42" s="284" t="s">
        <v>126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</row>
    <row r="43" spans="1:224" ht="25.5" customHeight="1">
      <c r="A43" s="38">
        <f t="shared" si="25"/>
        <v>4</v>
      </c>
      <c r="B43" s="39">
        <f t="shared" si="26"/>
        <v>6</v>
      </c>
      <c r="C43" s="40">
        <f t="shared" si="27"/>
        <v>4</v>
      </c>
      <c r="D43" s="39">
        <f t="shared" si="28"/>
        <v>3</v>
      </c>
      <c r="E43" s="41">
        <f t="shared" si="29"/>
        <v>3</v>
      </c>
      <c r="F43" s="41">
        <f t="shared" si="30"/>
        <v>4</v>
      </c>
      <c r="G43" s="41">
        <f t="shared" si="31"/>
        <v>4</v>
      </c>
      <c r="H43" s="41">
        <f t="shared" si="32"/>
        <v>2</v>
      </c>
      <c r="I43" s="177">
        <f t="shared" si="33"/>
        <v>30</v>
      </c>
      <c r="J43" s="68" t="s">
        <v>30</v>
      </c>
      <c r="K43" s="306" t="s">
        <v>55</v>
      </c>
      <c r="L43" s="41" t="s">
        <v>52</v>
      </c>
      <c r="M43" s="41" t="s">
        <v>54</v>
      </c>
      <c r="N43" s="41" t="s">
        <v>54</v>
      </c>
      <c r="O43" s="41" t="s">
        <v>54</v>
      </c>
      <c r="P43" s="30" t="s">
        <v>0</v>
      </c>
      <c r="Q43" s="30" t="s">
        <v>56</v>
      </c>
      <c r="R43" s="30" t="s">
        <v>56</v>
      </c>
      <c r="S43" s="30" t="s">
        <v>56</v>
      </c>
      <c r="T43" s="30" t="s">
        <v>56</v>
      </c>
      <c r="U43" s="44" t="s">
        <v>52</v>
      </c>
      <c r="V43" s="44" t="s">
        <v>0</v>
      </c>
      <c r="W43" s="30" t="s">
        <v>55</v>
      </c>
      <c r="X43" s="30" t="s">
        <v>55</v>
      </c>
      <c r="Y43" s="30" t="s">
        <v>55</v>
      </c>
      <c r="Z43" s="30" t="s">
        <v>52</v>
      </c>
      <c r="AA43" s="41" t="s">
        <v>54</v>
      </c>
      <c r="AB43" s="30" t="s">
        <v>56</v>
      </c>
      <c r="AC43" s="30" t="s">
        <v>56</v>
      </c>
      <c r="AD43" s="30" t="s">
        <v>0</v>
      </c>
      <c r="AE43" s="30" t="s">
        <v>3</v>
      </c>
      <c r="AF43" s="30" t="s">
        <v>3</v>
      </c>
      <c r="AG43" s="32" t="s">
        <v>52</v>
      </c>
      <c r="AH43" s="32" t="s">
        <v>1</v>
      </c>
      <c r="AI43" s="44" t="s">
        <v>53</v>
      </c>
      <c r="AJ43" s="44" t="s">
        <v>53</v>
      </c>
      <c r="AK43" s="32" t="s">
        <v>1</v>
      </c>
      <c r="AL43" s="32" t="s">
        <v>1</v>
      </c>
      <c r="AM43" s="32" t="s">
        <v>0</v>
      </c>
      <c r="AN43" s="48" t="s">
        <v>3</v>
      </c>
      <c r="AO43" s="45">
        <v>0</v>
      </c>
      <c r="AP43" s="46">
        <f t="shared" si="9"/>
        <v>0</v>
      </c>
      <c r="AQ43" s="46">
        <v>0</v>
      </c>
      <c r="AR43" s="134">
        <f t="shared" si="10"/>
        <v>0</v>
      </c>
      <c r="AS43" s="284" t="s">
        <v>126</v>
      </c>
    </row>
    <row r="44" spans="1:224" s="50" customFormat="1" ht="25.2" customHeight="1">
      <c r="A44" s="38">
        <f t="shared" si="25"/>
        <v>11</v>
      </c>
      <c r="B44" s="39">
        <f t="shared" si="26"/>
        <v>2</v>
      </c>
      <c r="C44" s="40">
        <f t="shared" si="27"/>
        <v>4</v>
      </c>
      <c r="D44" s="39">
        <f t="shared" si="28"/>
        <v>1</v>
      </c>
      <c r="E44" s="41">
        <f t="shared" si="29"/>
        <v>2</v>
      </c>
      <c r="F44" s="41">
        <f t="shared" si="30"/>
        <v>4</v>
      </c>
      <c r="G44" s="41">
        <f t="shared" si="31"/>
        <v>4</v>
      </c>
      <c r="H44" s="41">
        <f t="shared" si="32"/>
        <v>2</v>
      </c>
      <c r="I44" s="177">
        <f t="shared" si="33"/>
        <v>30</v>
      </c>
      <c r="J44" s="68" t="s">
        <v>31</v>
      </c>
      <c r="K44" s="306" t="s">
        <v>54</v>
      </c>
      <c r="L44" s="41" t="s">
        <v>54</v>
      </c>
      <c r="M44" s="41" t="s">
        <v>53</v>
      </c>
      <c r="N44" s="44" t="s">
        <v>53</v>
      </c>
      <c r="O44" s="44" t="s">
        <v>0</v>
      </c>
      <c r="P44" s="41" t="s">
        <v>54</v>
      </c>
      <c r="Q44" s="41" t="s">
        <v>54</v>
      </c>
      <c r="R44" s="30" t="s">
        <v>52</v>
      </c>
      <c r="S44" s="30" t="s">
        <v>55</v>
      </c>
      <c r="T44" s="30" t="s">
        <v>55</v>
      </c>
      <c r="U44" s="30" t="s">
        <v>55</v>
      </c>
      <c r="V44" s="30" t="s">
        <v>55</v>
      </c>
      <c r="W44" s="30" t="s">
        <v>52</v>
      </c>
      <c r="X44" s="32" t="s">
        <v>1</v>
      </c>
      <c r="Y44" s="32" t="s">
        <v>1</v>
      </c>
      <c r="Z44" s="30" t="s">
        <v>56</v>
      </c>
      <c r="AA44" s="30" t="s">
        <v>0</v>
      </c>
      <c r="AB44" s="44" t="s">
        <v>52</v>
      </c>
      <c r="AC44" s="44" t="s">
        <v>0</v>
      </c>
      <c r="AD44" s="41" t="s">
        <v>54</v>
      </c>
      <c r="AE44" s="30" t="s">
        <v>3</v>
      </c>
      <c r="AF44" s="30" t="s">
        <v>56</v>
      </c>
      <c r="AG44" s="30" t="s">
        <v>0</v>
      </c>
      <c r="AH44" s="41" t="s">
        <v>54</v>
      </c>
      <c r="AI44" s="41" t="s">
        <v>54</v>
      </c>
      <c r="AJ44" s="41" t="s">
        <v>54</v>
      </c>
      <c r="AK44" s="30" t="s">
        <v>52</v>
      </c>
      <c r="AL44" s="41" t="s">
        <v>54</v>
      </c>
      <c r="AM44" s="41" t="s">
        <v>54</v>
      </c>
      <c r="AN44" s="134" t="s">
        <v>54</v>
      </c>
      <c r="AO44" s="45">
        <v>0</v>
      </c>
      <c r="AP44" s="46">
        <f t="shared" si="9"/>
        <v>0</v>
      </c>
      <c r="AQ44" s="46">
        <v>0</v>
      </c>
      <c r="AR44" s="134">
        <f t="shared" si="10"/>
        <v>0</v>
      </c>
      <c r="AS44" s="284" t="s">
        <v>128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</row>
    <row r="45" spans="1:224" s="50" customFormat="1" ht="25.2" customHeight="1">
      <c r="A45" s="38">
        <f t="shared" si="25"/>
        <v>8</v>
      </c>
      <c r="B45" s="39">
        <f t="shared" si="26"/>
        <v>3</v>
      </c>
      <c r="C45" s="40">
        <f t="shared" si="27"/>
        <v>5</v>
      </c>
      <c r="D45" s="39">
        <f t="shared" si="28"/>
        <v>3</v>
      </c>
      <c r="E45" s="41">
        <f t="shared" si="29"/>
        <v>1</v>
      </c>
      <c r="F45" s="41">
        <f t="shared" si="30"/>
        <v>4</v>
      </c>
      <c r="G45" s="41">
        <f t="shared" si="31"/>
        <v>4</v>
      </c>
      <c r="H45" s="41">
        <f t="shared" si="32"/>
        <v>2</v>
      </c>
      <c r="I45" s="177">
        <f t="shared" si="33"/>
        <v>30</v>
      </c>
      <c r="J45" s="68" t="s">
        <v>32</v>
      </c>
      <c r="K45" s="306" t="s">
        <v>56</v>
      </c>
      <c r="L45" s="30" t="s">
        <v>56</v>
      </c>
      <c r="M45" s="32" t="s">
        <v>52</v>
      </c>
      <c r="N45" s="44" t="s">
        <v>53</v>
      </c>
      <c r="O45" s="44" t="s">
        <v>53</v>
      </c>
      <c r="P45" s="32" t="s">
        <v>0</v>
      </c>
      <c r="Q45" s="32" t="s">
        <v>1</v>
      </c>
      <c r="R45" s="32" t="s">
        <v>52</v>
      </c>
      <c r="S45" s="41" t="s">
        <v>54</v>
      </c>
      <c r="T45" s="41" t="s">
        <v>54</v>
      </c>
      <c r="U45" s="41" t="s">
        <v>54</v>
      </c>
      <c r="V45" s="41" t="s">
        <v>54</v>
      </c>
      <c r="W45" s="30" t="s">
        <v>3</v>
      </c>
      <c r="X45" s="30" t="s">
        <v>0</v>
      </c>
      <c r="Y45" s="41" t="s">
        <v>54</v>
      </c>
      <c r="Z45" s="30" t="s">
        <v>3</v>
      </c>
      <c r="AA45" s="30" t="s">
        <v>56</v>
      </c>
      <c r="AB45" s="44" t="s">
        <v>52</v>
      </c>
      <c r="AC45" s="44" t="s">
        <v>0</v>
      </c>
      <c r="AD45" s="30" t="s">
        <v>3</v>
      </c>
      <c r="AE45" s="41" t="s">
        <v>54</v>
      </c>
      <c r="AF45" s="41" t="s">
        <v>54</v>
      </c>
      <c r="AG45" s="41" t="s">
        <v>54</v>
      </c>
      <c r="AH45" s="30" t="s">
        <v>52</v>
      </c>
      <c r="AI45" s="30" t="s">
        <v>55</v>
      </c>
      <c r="AJ45" s="30" t="s">
        <v>55</v>
      </c>
      <c r="AK45" s="30" t="s">
        <v>55</v>
      </c>
      <c r="AL45" s="30" t="s">
        <v>55</v>
      </c>
      <c r="AM45" s="30" t="s">
        <v>55</v>
      </c>
      <c r="AN45" s="48" t="s">
        <v>0</v>
      </c>
      <c r="AO45" s="45">
        <v>0</v>
      </c>
      <c r="AP45" s="46">
        <f t="shared" si="9"/>
        <v>0</v>
      </c>
      <c r="AQ45" s="46">
        <v>0</v>
      </c>
      <c r="AR45" s="134">
        <f t="shared" si="10"/>
        <v>0</v>
      </c>
      <c r="AS45" s="284" t="s">
        <v>128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</row>
    <row r="46" spans="1:224" s="50" customFormat="1" ht="25.5" customHeight="1" thickBot="1">
      <c r="A46" s="69">
        <f t="shared" ref="A46" si="34">COUNTIF(K46:AN46,1)+COUNTIF(K46:AN46,"早")+COUNTIF(K46:AN46,"M1")+COUNTIF(K46:AN46,"T早")+COUNTIF(K46:AN46,"日")</f>
        <v>3</v>
      </c>
      <c r="B46" s="70">
        <f t="shared" ref="B46" si="35">COUNTIF(K46:AN46,2)+COUNTIF(K46:AN46,"中")+COUNTIF(K46:AN46,"M2")+COUNTIF(K46:AN46,"T中")+COUNTIF(K46:AN46,"小夜")</f>
        <v>5</v>
      </c>
      <c r="C46" s="71">
        <f t="shared" ref="C46" si="36">COUNTIF(K46:AN46,3)+COUNTIF(K46:AN46,"晚")+COUNTIF(K46:AN46,"大夜")</f>
        <v>6</v>
      </c>
      <c r="D46" s="70">
        <f t="shared" ref="D46" si="37">COUNTIF(K46:AN46,"N")+COUNTIF(K46:AN46,"N8")</f>
        <v>4</v>
      </c>
      <c r="E46" s="63">
        <f t="shared" ref="E46" si="38">COUNTIF(K46:AN46,"S")</f>
        <v>2</v>
      </c>
      <c r="F46" s="63">
        <f t="shared" ref="F46" si="39">COUNTIF(K46:AN46,"X")</f>
        <v>4</v>
      </c>
      <c r="G46" s="63">
        <f t="shared" ref="G46" si="40">COUNTIF(K46:AN46,"Y")</f>
        <v>4</v>
      </c>
      <c r="H46" s="63">
        <f t="shared" ref="H46" si="41">COUNTIF(K46:AN46,"Z")</f>
        <v>2</v>
      </c>
      <c r="I46" s="178">
        <f t="shared" ref="I46" si="42">SUM(A46:H46)</f>
        <v>30</v>
      </c>
      <c r="J46" s="72" t="s">
        <v>33</v>
      </c>
      <c r="K46" s="314" t="s">
        <v>3</v>
      </c>
      <c r="L46" s="52" t="s">
        <v>1</v>
      </c>
      <c r="M46" s="52" t="s">
        <v>1</v>
      </c>
      <c r="N46" s="59" t="s">
        <v>53</v>
      </c>
      <c r="O46" s="59" t="s">
        <v>52</v>
      </c>
      <c r="P46" s="60" t="s">
        <v>55</v>
      </c>
      <c r="Q46" s="60" t="s">
        <v>55</v>
      </c>
      <c r="R46" s="60" t="s">
        <v>55</v>
      </c>
      <c r="S46" s="60" t="s">
        <v>0</v>
      </c>
      <c r="T46" s="60" t="s">
        <v>53</v>
      </c>
      <c r="U46" s="60" t="s">
        <v>56</v>
      </c>
      <c r="V46" s="60" t="s">
        <v>56</v>
      </c>
      <c r="W46" s="60" t="s">
        <v>56</v>
      </c>
      <c r="X46" s="60" t="s">
        <v>52</v>
      </c>
      <c r="Y46" s="60" t="s">
        <v>3</v>
      </c>
      <c r="Z46" s="63" t="s">
        <v>54</v>
      </c>
      <c r="AA46" s="60" t="s">
        <v>3</v>
      </c>
      <c r="AB46" s="63" t="s">
        <v>54</v>
      </c>
      <c r="AC46" s="63" t="s">
        <v>54</v>
      </c>
      <c r="AD46" s="60" t="s">
        <v>3</v>
      </c>
      <c r="AE46" s="60" t="s">
        <v>52</v>
      </c>
      <c r="AF46" s="60" t="s">
        <v>55</v>
      </c>
      <c r="AG46" s="60" t="s">
        <v>55</v>
      </c>
      <c r="AH46" s="60" t="s">
        <v>55</v>
      </c>
      <c r="AI46" s="59" t="s">
        <v>52</v>
      </c>
      <c r="AJ46" s="59" t="s">
        <v>0</v>
      </c>
      <c r="AK46" s="60" t="s">
        <v>56</v>
      </c>
      <c r="AL46" s="60" t="s">
        <v>56</v>
      </c>
      <c r="AM46" s="60" t="s">
        <v>0</v>
      </c>
      <c r="AN46" s="61" t="s">
        <v>0</v>
      </c>
      <c r="AO46" s="73">
        <v>0</v>
      </c>
      <c r="AP46" s="74">
        <f t="shared" si="9"/>
        <v>0</v>
      </c>
      <c r="AQ46" s="74">
        <v>0</v>
      </c>
      <c r="AR46" s="127">
        <f t="shared" si="10"/>
        <v>0</v>
      </c>
      <c r="AS46" s="287" t="s">
        <v>128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</row>
    <row r="47" spans="1:224" s="77" customFormat="1" ht="18" customHeight="1">
      <c r="A47" s="75"/>
      <c r="B47" s="75"/>
      <c r="C47" s="75"/>
      <c r="D47" s="75"/>
      <c r="E47" s="76"/>
      <c r="I47" s="75"/>
      <c r="J47" s="78">
        <v>1</v>
      </c>
      <c r="K47" s="128" cm="2">
        <f t="array" ref="K47">SUMPRODUCT(COUNTIF(K4:K46,{"1";"M1"}))</f>
        <v>4</v>
      </c>
      <c r="L47" s="128" cm="2">
        <f t="array" ref="L47">SUMPRODUCT(COUNTIF(L4:L46,{"1";"M1"}))</f>
        <v>4</v>
      </c>
      <c r="M47" s="128" cm="2">
        <f t="array" ref="M47">SUMPRODUCT(COUNTIF(M4:M46,{"1";"M1"}))</f>
        <v>3</v>
      </c>
      <c r="N47" s="128" cm="2">
        <f t="array" ref="N47">SUMPRODUCT(COUNTIF(N4:N46,{"1";"M1"}))</f>
        <v>3</v>
      </c>
      <c r="O47" s="128" cm="2">
        <f t="array" ref="O47">SUMPRODUCT(COUNTIF(O4:O46,{"1";"M1"}))</f>
        <v>3</v>
      </c>
      <c r="P47" s="128" cm="2">
        <f t="array" ref="P47">SUMPRODUCT(COUNTIF(P4:P46,{"1";"M1"}))</f>
        <v>3</v>
      </c>
      <c r="Q47" s="128" cm="2">
        <f t="array" ref="Q47">SUMPRODUCT(COUNTIF(Q4:Q46,{"1";"M1"}))</f>
        <v>4</v>
      </c>
      <c r="R47" s="128" cm="2">
        <f t="array" ref="R47">SUMPRODUCT(COUNTIF(R4:R46,{"1";"M1"}))</f>
        <v>4</v>
      </c>
      <c r="S47" s="128" cm="2">
        <f t="array" ref="S47">SUMPRODUCT(COUNTIF(S4:S46,{"1";"M1"}))</f>
        <v>4</v>
      </c>
      <c r="T47" s="128" cm="2">
        <f t="array" ref="T47">SUMPRODUCT(COUNTIF(T4:T46,{"1";"M1"}))</f>
        <v>4</v>
      </c>
      <c r="U47" s="128" cm="2">
        <f t="array" ref="U47">SUMPRODUCT(COUNTIF(U4:U46,{"1";"M1"}))</f>
        <v>3</v>
      </c>
      <c r="V47" s="128" cm="2">
        <f t="array" ref="V47">SUMPRODUCT(COUNTIF(V4:V46,{"1";"M1"}))</f>
        <v>3</v>
      </c>
      <c r="W47" s="128" cm="2">
        <f t="array" ref="W47">SUMPRODUCT(COUNTIF(W4:W46,{"1";"M1"}))</f>
        <v>4</v>
      </c>
      <c r="X47" s="128" cm="2">
        <f t="array" ref="X47">SUMPRODUCT(COUNTIF(X4:X46,{"1";"M1"}))</f>
        <v>4</v>
      </c>
      <c r="Y47" s="128" cm="2">
        <f t="array" ref="Y47">SUMPRODUCT(COUNTIF(Y4:Y46,{"1";"M1"}))</f>
        <v>4</v>
      </c>
      <c r="Z47" s="128" cm="2">
        <f t="array" ref="Z47">SUMPRODUCT(COUNTIF(Z4:Z46,{"1";"M1"}))</f>
        <v>4</v>
      </c>
      <c r="AA47" s="128" cm="2">
        <f t="array" ref="AA47">SUMPRODUCT(COUNTIF(AA4:AA46,{"1";"M1"}))</f>
        <v>4</v>
      </c>
      <c r="AB47" s="128" cm="2">
        <f t="array" ref="AB47">SUMPRODUCT(COUNTIF(AB4:AB46,{"1";"M1"}))</f>
        <v>3</v>
      </c>
      <c r="AC47" s="128" cm="2">
        <f t="array" ref="AC47">SUMPRODUCT(COUNTIF(AC4:AC46,{"1";"M1"}))</f>
        <v>3</v>
      </c>
      <c r="AD47" s="128" cm="2">
        <f t="array" ref="AD47">SUMPRODUCT(COUNTIF(AD4:AD46,{"1";"M1"}))</f>
        <v>4</v>
      </c>
      <c r="AE47" s="128" cm="2">
        <f t="array" ref="AE47">SUMPRODUCT(COUNTIF(AE4:AE46,{"1";"M1"}))</f>
        <v>4</v>
      </c>
      <c r="AF47" s="128" cm="2">
        <f t="array" ref="AF47">SUMPRODUCT(COUNTIF(AF4:AF46,{"1";"M1"}))</f>
        <v>4</v>
      </c>
      <c r="AG47" s="128" cm="2">
        <f t="array" ref="AG47">SUMPRODUCT(COUNTIF(AG4:AG46,{"1";"M1"}))</f>
        <v>4</v>
      </c>
      <c r="AH47" s="128" cm="2">
        <f t="array" ref="AH47">SUMPRODUCT(COUNTIF(AH4:AH46,{"1";"M1"}))</f>
        <v>4</v>
      </c>
      <c r="AI47" s="128" cm="2">
        <f t="array" ref="AI47">SUMPRODUCT(COUNTIF(AI4:AI46,{"1";"M1"}))</f>
        <v>3</v>
      </c>
      <c r="AJ47" s="128" cm="2">
        <f t="array" ref="AJ47">SUMPRODUCT(COUNTIF(AJ4:AJ46,{"1";"M1"}))</f>
        <v>3</v>
      </c>
      <c r="AK47" s="128" cm="2">
        <f t="array" ref="AK47">SUMPRODUCT(COUNTIF(AK4:AK46,{"1";"M1"}))</f>
        <v>4</v>
      </c>
      <c r="AL47" s="128" cm="2">
        <f t="array" ref="AL47">SUMPRODUCT(COUNTIF(AL4:AL46,{"1";"M1"}))</f>
        <v>4</v>
      </c>
      <c r="AM47" s="128" cm="2">
        <f t="array" ref="AM47">SUMPRODUCT(COUNTIF(AM4:AM46,{"1";"M1"}))</f>
        <v>4</v>
      </c>
      <c r="AN47" s="128" cm="2">
        <f t="array" ref="AN47">SUMPRODUCT(COUNTIF(AN4:AN46,{"1";"M1"}))</f>
        <v>4</v>
      </c>
      <c r="AP47" s="50"/>
      <c r="AQ47" s="6"/>
      <c r="AR47" s="75"/>
      <c r="AS47" s="79"/>
    </row>
    <row r="48" spans="1:224" s="77" customFormat="1" ht="18" customHeight="1">
      <c r="A48" s="80"/>
      <c r="B48" s="80"/>
      <c r="C48" s="81"/>
      <c r="D48" s="81"/>
      <c r="E48" s="75"/>
      <c r="I48" s="81"/>
      <c r="J48" s="82">
        <v>2</v>
      </c>
      <c r="K48" s="129" cm="2">
        <f t="array" ref="K48">SUMPRODUCT(COUNTIF(K4:K46,{"2";"M2"}))</f>
        <v>4</v>
      </c>
      <c r="L48" s="129" cm="2">
        <f t="array" ref="L48">SUMPRODUCT(COUNTIF(L4:L46,{"2";"M2"}))</f>
        <v>4</v>
      </c>
      <c r="M48" s="129" cm="2">
        <f t="array" ref="M48">SUMPRODUCT(COUNTIF(M4:M46,{"2";"M2"}))</f>
        <v>3</v>
      </c>
      <c r="N48" s="129" cm="2">
        <f t="array" ref="N48">SUMPRODUCT(COUNTIF(N4:N46,{"2";"M2"}))</f>
        <v>3</v>
      </c>
      <c r="O48" s="129" cm="2">
        <f t="array" ref="O48">SUMPRODUCT(COUNTIF(O4:O46,{"2";"M2"}))</f>
        <v>3</v>
      </c>
      <c r="P48" s="129" cm="2">
        <f t="array" ref="P48">SUMPRODUCT(COUNTIF(P4:P46,{"2";"M2"}))</f>
        <v>3</v>
      </c>
      <c r="Q48" s="129" cm="2">
        <f t="array" ref="Q48">SUMPRODUCT(COUNTIF(Q4:Q46,{"2";"M2"}))</f>
        <v>4</v>
      </c>
      <c r="R48" s="129" cm="2">
        <f t="array" ref="R48">SUMPRODUCT(COUNTIF(R4:R46,{"2";"M2"}))</f>
        <v>4</v>
      </c>
      <c r="S48" s="129" cm="2">
        <f t="array" ref="S48">SUMPRODUCT(COUNTIF(S4:S46,{"2";"M2"}))</f>
        <v>4</v>
      </c>
      <c r="T48" s="129" cm="2">
        <f t="array" ref="T48">SUMPRODUCT(COUNTIF(T4:T46,{"2";"M2"}))</f>
        <v>4</v>
      </c>
      <c r="U48" s="129" cm="2">
        <f t="array" ref="U48">SUMPRODUCT(COUNTIF(U4:U46,{"2";"M2"}))</f>
        <v>3</v>
      </c>
      <c r="V48" s="129" cm="2">
        <f t="array" ref="V48">SUMPRODUCT(COUNTIF(V4:V46,{"2";"M2"}))</f>
        <v>3</v>
      </c>
      <c r="W48" s="129" cm="2">
        <f t="array" ref="W48">SUMPRODUCT(COUNTIF(W4:W46,{"2";"M2"}))</f>
        <v>4</v>
      </c>
      <c r="X48" s="129" cm="2">
        <f t="array" ref="X48">SUMPRODUCT(COUNTIF(X4:X46,{"2";"M2"}))</f>
        <v>4</v>
      </c>
      <c r="Y48" s="129" cm="2">
        <f t="array" ref="Y48">SUMPRODUCT(COUNTIF(Y4:Y46,{"2";"M2"}))</f>
        <v>4</v>
      </c>
      <c r="Z48" s="129" cm="2">
        <f t="array" ref="Z48">SUMPRODUCT(COUNTIF(Z4:Z46,{"2";"M2"}))</f>
        <v>4</v>
      </c>
      <c r="AA48" s="129" cm="2">
        <f t="array" ref="AA48">SUMPRODUCT(COUNTIF(AA4:AA46,{"2";"M2"}))</f>
        <v>4</v>
      </c>
      <c r="AB48" s="129" cm="2">
        <f t="array" ref="AB48">SUMPRODUCT(COUNTIF(AB4:AB46,{"2";"M2"}))</f>
        <v>3</v>
      </c>
      <c r="AC48" s="129" cm="2">
        <f t="array" ref="AC48">SUMPRODUCT(COUNTIF(AC4:AC46,{"2";"M2"}))</f>
        <v>3</v>
      </c>
      <c r="AD48" s="129" cm="2">
        <f t="array" ref="AD48">SUMPRODUCT(COUNTIF(AD4:AD46,{"2";"M2"}))</f>
        <v>4</v>
      </c>
      <c r="AE48" s="129" cm="2">
        <f t="array" ref="AE48">SUMPRODUCT(COUNTIF(AE4:AE46,{"2";"M2"}))</f>
        <v>4</v>
      </c>
      <c r="AF48" s="129" cm="2">
        <f t="array" ref="AF48">SUMPRODUCT(COUNTIF(AF4:AF46,{"2";"M2"}))</f>
        <v>4</v>
      </c>
      <c r="AG48" s="129" cm="2">
        <f t="array" ref="AG48">SUMPRODUCT(COUNTIF(AG4:AG46,{"2";"M2"}))</f>
        <v>4</v>
      </c>
      <c r="AH48" s="129" cm="2">
        <f t="array" ref="AH48">SUMPRODUCT(COUNTIF(AH4:AH46,{"2";"M2"}))</f>
        <v>4</v>
      </c>
      <c r="AI48" s="129" cm="2">
        <f t="array" ref="AI48">SUMPRODUCT(COUNTIF(AI4:AI46,{"2";"M2"}))</f>
        <v>3</v>
      </c>
      <c r="AJ48" s="129" cm="2">
        <f t="array" ref="AJ48">SUMPRODUCT(COUNTIF(AJ4:AJ46,{"2";"M2"}))</f>
        <v>3</v>
      </c>
      <c r="AK48" s="129" cm="2">
        <f t="array" ref="AK48">SUMPRODUCT(COUNTIF(AK4:AK46,{"2";"M2"}))</f>
        <v>4</v>
      </c>
      <c r="AL48" s="129" cm="2">
        <f t="array" ref="AL48">SUMPRODUCT(COUNTIF(AL4:AL46,{"2";"M2"}))</f>
        <v>4</v>
      </c>
      <c r="AM48" s="129" cm="2">
        <f t="array" ref="AM48">SUMPRODUCT(COUNTIF(AM4:AM46,{"2";"M2"}))</f>
        <v>4</v>
      </c>
      <c r="AN48" s="129" cm="2">
        <f t="array" ref="AN48">SUMPRODUCT(COUNTIF(AN4:AN46,{"2";"M2"}))</f>
        <v>4</v>
      </c>
      <c r="AP48" s="50"/>
      <c r="AQ48" s="6" t="s">
        <v>34</v>
      </c>
      <c r="AR48" s="75" t="s">
        <v>35</v>
      </c>
      <c r="AS48" s="84"/>
    </row>
    <row r="49" spans="1:46" s="77" customFormat="1" ht="18" customHeight="1" thickBot="1">
      <c r="A49" s="80"/>
      <c r="B49" s="80"/>
      <c r="C49" s="81"/>
      <c r="D49" s="81"/>
      <c r="E49" s="75"/>
      <c r="I49" s="81"/>
      <c r="J49" s="85">
        <v>3</v>
      </c>
      <c r="K49" s="130">
        <f t="shared" ref="K49:AN49" si="43">COUNTIF(K4:K46,3)</f>
        <v>3</v>
      </c>
      <c r="L49" s="130">
        <f t="shared" si="43"/>
        <v>3</v>
      </c>
      <c r="M49" s="130">
        <f t="shared" si="43"/>
        <v>2</v>
      </c>
      <c r="N49" s="130">
        <f t="shared" si="43"/>
        <v>2</v>
      </c>
      <c r="O49" s="130">
        <f t="shared" si="43"/>
        <v>2</v>
      </c>
      <c r="P49" s="130">
        <f t="shared" si="43"/>
        <v>2</v>
      </c>
      <c r="Q49" s="130">
        <f t="shared" si="43"/>
        <v>3</v>
      </c>
      <c r="R49" s="130">
        <f t="shared" si="43"/>
        <v>3</v>
      </c>
      <c r="S49" s="130">
        <f t="shared" si="43"/>
        <v>3</v>
      </c>
      <c r="T49" s="130">
        <f t="shared" si="43"/>
        <v>3</v>
      </c>
      <c r="U49" s="130">
        <f t="shared" si="43"/>
        <v>2</v>
      </c>
      <c r="V49" s="130">
        <f t="shared" si="43"/>
        <v>2</v>
      </c>
      <c r="W49" s="130">
        <f t="shared" si="43"/>
        <v>3</v>
      </c>
      <c r="X49" s="130">
        <f t="shared" si="43"/>
        <v>3</v>
      </c>
      <c r="Y49" s="130">
        <f t="shared" si="43"/>
        <v>3</v>
      </c>
      <c r="Z49" s="130">
        <f t="shared" si="43"/>
        <v>3</v>
      </c>
      <c r="AA49" s="130">
        <f t="shared" si="43"/>
        <v>3</v>
      </c>
      <c r="AB49" s="130">
        <f t="shared" si="43"/>
        <v>2</v>
      </c>
      <c r="AC49" s="130">
        <f t="shared" si="43"/>
        <v>2</v>
      </c>
      <c r="AD49" s="130">
        <f t="shared" si="43"/>
        <v>3</v>
      </c>
      <c r="AE49" s="130">
        <f t="shared" si="43"/>
        <v>3</v>
      </c>
      <c r="AF49" s="130">
        <f t="shared" si="43"/>
        <v>3</v>
      </c>
      <c r="AG49" s="130">
        <f t="shared" si="43"/>
        <v>3</v>
      </c>
      <c r="AH49" s="130">
        <f t="shared" si="43"/>
        <v>3</v>
      </c>
      <c r="AI49" s="130">
        <f t="shared" si="43"/>
        <v>2</v>
      </c>
      <c r="AJ49" s="130">
        <f t="shared" si="43"/>
        <v>2</v>
      </c>
      <c r="AK49" s="130">
        <f t="shared" si="43"/>
        <v>3</v>
      </c>
      <c r="AL49" s="130">
        <f t="shared" si="43"/>
        <v>3</v>
      </c>
      <c r="AM49" s="130">
        <f t="shared" si="43"/>
        <v>3</v>
      </c>
      <c r="AN49" s="130">
        <f t="shared" si="43"/>
        <v>3</v>
      </c>
      <c r="AP49" s="75" t="s">
        <v>109</v>
      </c>
      <c r="AQ49" s="75">
        <f>37*30</f>
        <v>1110</v>
      </c>
      <c r="AR49" s="75">
        <f>6*30</f>
        <v>180</v>
      </c>
      <c r="AS49" s="84"/>
    </row>
    <row r="50" spans="1:46" s="77" customFormat="1" ht="18" customHeight="1">
      <c r="A50" s="80"/>
      <c r="B50" s="80"/>
      <c r="C50" s="81"/>
      <c r="D50" s="81"/>
      <c r="E50" s="75"/>
      <c r="I50" s="81"/>
      <c r="J50" s="86" t="s">
        <v>36</v>
      </c>
      <c r="K50" s="128" cm="2">
        <f t="array" ref="K50">SUMPRODUCT(COUNTIF(K4:K46,{"早";"T早"}))</f>
        <v>5</v>
      </c>
      <c r="L50" s="128" cm="2">
        <f t="array" ref="L50">SUMPRODUCT(COUNTIF(L4:L46,{"早";"T早"}))</f>
        <v>5</v>
      </c>
      <c r="M50" s="128" cm="2">
        <f t="array" ref="M50">SUMPRODUCT(COUNTIF(M4:M46,{"早";"T早"}))</f>
        <v>3</v>
      </c>
      <c r="N50" s="128" cm="2">
        <f t="array" ref="N50">SUMPRODUCT(COUNTIF(N4:N46,{"早";"T早"}))</f>
        <v>3</v>
      </c>
      <c r="O50" s="128" cm="2">
        <f t="array" ref="O50">SUMPRODUCT(COUNTIF(O4:O46,{"早";"T早"}))</f>
        <v>3</v>
      </c>
      <c r="P50" s="128" cm="2">
        <f t="array" ref="P50">SUMPRODUCT(COUNTIF(P4:P46,{"早";"T早"}))</f>
        <v>3</v>
      </c>
      <c r="Q50" s="128" cm="2">
        <f t="array" ref="Q50">SUMPRODUCT(COUNTIF(Q4:Q46,{"早";"T早"}))</f>
        <v>5</v>
      </c>
      <c r="R50" s="128" cm="2">
        <f t="array" ref="R50">SUMPRODUCT(COUNTIF(R4:R46,{"早";"T早"}))</f>
        <v>5</v>
      </c>
      <c r="S50" s="128" cm="2">
        <f t="array" ref="S50">SUMPRODUCT(COUNTIF(S4:S46,{"早";"T早"}))</f>
        <v>5</v>
      </c>
      <c r="T50" s="128" cm="2">
        <f t="array" ref="T50">SUMPRODUCT(COUNTIF(T4:T46,{"早";"T早"}))</f>
        <v>5</v>
      </c>
      <c r="U50" s="128" cm="2">
        <f t="array" ref="U50">SUMPRODUCT(COUNTIF(U4:U46,{"早";"T早"}))</f>
        <v>3</v>
      </c>
      <c r="V50" s="128" cm="2">
        <f t="array" ref="V50">SUMPRODUCT(COUNTIF(V4:V46,{"早";"T早"}))</f>
        <v>3</v>
      </c>
      <c r="W50" s="128" cm="2">
        <f t="array" ref="W50">SUMPRODUCT(COUNTIF(W4:W46,{"早";"T早"}))</f>
        <v>5</v>
      </c>
      <c r="X50" s="128" cm="2">
        <f t="array" ref="X50">SUMPRODUCT(COUNTIF(X4:X46,{"早";"T早"}))</f>
        <v>5</v>
      </c>
      <c r="Y50" s="128" cm="2">
        <f t="array" ref="Y50">SUMPRODUCT(COUNTIF(Y4:Y46,{"早";"T早"}))</f>
        <v>5</v>
      </c>
      <c r="Z50" s="128" cm="2">
        <f t="array" ref="Z50">SUMPRODUCT(COUNTIF(Z4:Z46,{"早";"T早"}))</f>
        <v>5</v>
      </c>
      <c r="AA50" s="128" cm="2">
        <f t="array" ref="AA50">SUMPRODUCT(COUNTIF(AA4:AA46,{"早";"T早"}))</f>
        <v>5</v>
      </c>
      <c r="AB50" s="128" cm="2">
        <f t="array" ref="AB50">SUMPRODUCT(COUNTIF(AB4:AB46,{"早";"T早"}))</f>
        <v>3</v>
      </c>
      <c r="AC50" s="128" cm="2">
        <f t="array" ref="AC50">SUMPRODUCT(COUNTIF(AC4:AC46,{"早";"T早"}))</f>
        <v>3</v>
      </c>
      <c r="AD50" s="128" cm="2">
        <f t="array" ref="AD50">SUMPRODUCT(COUNTIF(AD4:AD46,{"早";"T早"}))</f>
        <v>5</v>
      </c>
      <c r="AE50" s="128" cm="2">
        <f t="array" ref="AE50">SUMPRODUCT(COUNTIF(AE4:AE46,{"早";"T早"}))</f>
        <v>5</v>
      </c>
      <c r="AF50" s="128" cm="2">
        <f t="array" ref="AF50">SUMPRODUCT(COUNTIF(AF4:AF46,{"早";"T早"}))</f>
        <v>5</v>
      </c>
      <c r="AG50" s="128" cm="2">
        <f t="array" ref="AG50">SUMPRODUCT(COUNTIF(AG4:AG46,{"早";"T早"}))</f>
        <v>5</v>
      </c>
      <c r="AH50" s="128" cm="2">
        <f t="array" ref="AH50">SUMPRODUCT(COUNTIF(AH4:AH46,{"早";"T早"}))</f>
        <v>5</v>
      </c>
      <c r="AI50" s="128" cm="2">
        <f t="array" ref="AI50">SUMPRODUCT(COUNTIF(AI4:AI46,{"早";"T早"}))</f>
        <v>3</v>
      </c>
      <c r="AJ50" s="128" cm="2">
        <f t="array" ref="AJ50">SUMPRODUCT(COUNTIF(AJ4:AJ46,{"早";"T早"}))</f>
        <v>3</v>
      </c>
      <c r="AK50" s="128" cm="2">
        <f t="array" ref="AK50">SUMPRODUCT(COUNTIF(AK4:AK46,{"早";"T早"}))</f>
        <v>5</v>
      </c>
      <c r="AL50" s="128" cm="2">
        <f t="array" ref="AL50">SUMPRODUCT(COUNTIF(AL4:AL46,{"早";"T早"}))</f>
        <v>5</v>
      </c>
      <c r="AM50" s="128" cm="2">
        <f t="array" ref="AM50">SUMPRODUCT(COUNTIF(AM4:AM46,{"早";"T早"}))</f>
        <v>5</v>
      </c>
      <c r="AN50" s="128" cm="2">
        <f t="array" ref="AN50">SUMPRODUCT(COUNTIF(AN4:AN46,{"早";"T早"}))</f>
        <v>5</v>
      </c>
      <c r="AP50" s="87" t="s">
        <v>37</v>
      </c>
      <c r="AQ50" s="75">
        <f>22*(30-I1)</f>
        <v>440</v>
      </c>
      <c r="AR50" s="75">
        <f>3*(30-I1)</f>
        <v>60</v>
      </c>
      <c r="AT50" s="84"/>
    </row>
    <row r="51" spans="1:46" s="77" customFormat="1" ht="18" customHeight="1">
      <c r="A51" s="80"/>
      <c r="B51" s="80"/>
      <c r="C51" s="81"/>
      <c r="D51" s="81"/>
      <c r="E51" s="75"/>
      <c r="I51" s="81"/>
      <c r="J51" s="88" t="s">
        <v>38</v>
      </c>
      <c r="K51" s="129" cm="2">
        <f t="array" ref="K51">SUMPRODUCT(COUNTIF(K4:K46,{"中";"T中"}))</f>
        <v>3</v>
      </c>
      <c r="L51" s="129" cm="2">
        <f t="array" ref="L51">SUMPRODUCT(COUNTIF(L4:L46,{"中";"T中"}))</f>
        <v>3</v>
      </c>
      <c r="M51" s="129" cm="2">
        <f t="array" ref="M51">SUMPRODUCT(COUNTIF(M4:M46,{"中";"T中"}))</f>
        <v>3</v>
      </c>
      <c r="N51" s="129" cm="2">
        <f t="array" ref="N51">SUMPRODUCT(COUNTIF(N4:N46,{"中";"T中"}))</f>
        <v>3</v>
      </c>
      <c r="O51" s="129" cm="2">
        <f t="array" ref="O51">SUMPRODUCT(COUNTIF(O4:O46,{"中";"T中"}))</f>
        <v>3</v>
      </c>
      <c r="P51" s="129" cm="2">
        <f t="array" ref="P51">SUMPRODUCT(COUNTIF(P4:P46,{"中";"T中"}))</f>
        <v>3</v>
      </c>
      <c r="Q51" s="129" cm="2">
        <f t="array" ref="Q51">SUMPRODUCT(COUNTIF(Q4:Q46,{"中";"T中"}))</f>
        <v>3</v>
      </c>
      <c r="R51" s="129" cm="2">
        <f t="array" ref="R51">SUMPRODUCT(COUNTIF(R4:R46,{"中";"T中"}))</f>
        <v>3</v>
      </c>
      <c r="S51" s="129" cm="2">
        <f t="array" ref="S51">SUMPRODUCT(COUNTIF(S4:S46,{"中";"T中"}))</f>
        <v>3</v>
      </c>
      <c r="T51" s="129" cm="2">
        <f t="array" ref="T51">SUMPRODUCT(COUNTIF(T4:T46,{"中";"T中"}))</f>
        <v>3</v>
      </c>
      <c r="U51" s="129" cm="2">
        <f t="array" ref="U51">SUMPRODUCT(COUNTIF(U4:U46,{"中";"T中"}))</f>
        <v>3</v>
      </c>
      <c r="V51" s="129" cm="2">
        <f t="array" ref="V51">SUMPRODUCT(COUNTIF(V4:V46,{"中";"T中"}))</f>
        <v>3</v>
      </c>
      <c r="W51" s="129" cm="2">
        <f t="array" ref="W51">SUMPRODUCT(COUNTIF(W4:W46,{"中";"T中"}))</f>
        <v>3</v>
      </c>
      <c r="X51" s="129" cm="2">
        <f t="array" ref="X51">SUMPRODUCT(COUNTIF(X4:X46,{"中";"T中"}))</f>
        <v>3</v>
      </c>
      <c r="Y51" s="129" cm="2">
        <f t="array" ref="Y51">SUMPRODUCT(COUNTIF(Y4:Y46,{"中";"T中"}))</f>
        <v>3</v>
      </c>
      <c r="Z51" s="129" cm="2">
        <f t="array" ref="Z51">SUMPRODUCT(COUNTIF(Z4:Z46,{"中";"T中"}))</f>
        <v>3</v>
      </c>
      <c r="AA51" s="129" cm="2">
        <f t="array" ref="AA51">SUMPRODUCT(COUNTIF(AA4:AA46,{"中";"T中"}))</f>
        <v>3</v>
      </c>
      <c r="AB51" s="129" cm="2">
        <f t="array" ref="AB51">SUMPRODUCT(COUNTIF(AB4:AB46,{"中";"T中"}))</f>
        <v>3</v>
      </c>
      <c r="AC51" s="129" cm="2">
        <f t="array" ref="AC51">SUMPRODUCT(COUNTIF(AC4:AC46,{"中";"T中"}))</f>
        <v>3</v>
      </c>
      <c r="AD51" s="129" cm="2">
        <f t="array" ref="AD51">SUMPRODUCT(COUNTIF(AD4:AD46,{"中";"T中"}))</f>
        <v>3</v>
      </c>
      <c r="AE51" s="129" cm="2">
        <f t="array" ref="AE51">SUMPRODUCT(COUNTIF(AE4:AE46,{"中";"T中"}))</f>
        <v>3</v>
      </c>
      <c r="AF51" s="129" cm="2">
        <f t="array" ref="AF51">SUMPRODUCT(COUNTIF(AF4:AF46,{"中";"T中"}))</f>
        <v>3</v>
      </c>
      <c r="AG51" s="129" cm="2">
        <f t="array" ref="AG51">SUMPRODUCT(COUNTIF(AG4:AG46,{"中";"T中"}))</f>
        <v>3</v>
      </c>
      <c r="AH51" s="129" cm="2">
        <f t="array" ref="AH51">SUMPRODUCT(COUNTIF(AH4:AH46,{"中";"T中"}))</f>
        <v>3</v>
      </c>
      <c r="AI51" s="129" cm="2">
        <f t="array" ref="AI51">SUMPRODUCT(COUNTIF(AI4:AI46,{"中";"T中"}))</f>
        <v>3</v>
      </c>
      <c r="AJ51" s="129" cm="2">
        <f t="array" ref="AJ51">SUMPRODUCT(COUNTIF(AJ4:AJ46,{"中";"T中"}))</f>
        <v>3</v>
      </c>
      <c r="AK51" s="129" cm="2">
        <f t="array" ref="AK51">SUMPRODUCT(COUNTIF(AK4:AK46,{"中";"T中"}))</f>
        <v>3</v>
      </c>
      <c r="AL51" s="129" cm="2">
        <f t="array" ref="AL51">SUMPRODUCT(COUNTIF(AL4:AL46,{"中";"T中"}))</f>
        <v>3</v>
      </c>
      <c r="AM51" s="129" cm="2">
        <f t="array" ref="AM51">SUMPRODUCT(COUNTIF(AM4:AM46,{"中";"T中"}))</f>
        <v>3</v>
      </c>
      <c r="AN51" s="129" cm="2">
        <f t="array" ref="AN51">SUMPRODUCT(COUNTIF(AN4:AN46,{"中";"T中"}))</f>
        <v>3</v>
      </c>
      <c r="AP51" s="87" t="s">
        <v>39</v>
      </c>
      <c r="AQ51" s="75">
        <f>16*I1</f>
        <v>160</v>
      </c>
      <c r="AR51" s="75">
        <f>3*I1</f>
        <v>30</v>
      </c>
      <c r="AT51" s="89"/>
    </row>
    <row r="52" spans="1:46" s="77" customFormat="1" ht="18" customHeight="1" thickBot="1">
      <c r="A52" s="80"/>
      <c r="B52" s="80"/>
      <c r="C52" s="81"/>
      <c r="D52" s="81"/>
      <c r="E52" s="75"/>
      <c r="I52" s="81"/>
      <c r="J52" s="90" t="s">
        <v>40</v>
      </c>
      <c r="K52" s="130">
        <f t="shared" ref="K52:AN52" si="44">COUNTIF(K4:K46,"晚")</f>
        <v>3</v>
      </c>
      <c r="L52" s="130">
        <f t="shared" si="44"/>
        <v>3</v>
      </c>
      <c r="M52" s="130">
        <f t="shared" si="44"/>
        <v>2</v>
      </c>
      <c r="N52" s="130">
        <f t="shared" si="44"/>
        <v>2</v>
      </c>
      <c r="O52" s="130">
        <f t="shared" si="44"/>
        <v>2</v>
      </c>
      <c r="P52" s="130">
        <f t="shared" si="44"/>
        <v>2</v>
      </c>
      <c r="Q52" s="130">
        <f t="shared" si="44"/>
        <v>3</v>
      </c>
      <c r="R52" s="130">
        <f t="shared" si="44"/>
        <v>3</v>
      </c>
      <c r="S52" s="130">
        <f t="shared" si="44"/>
        <v>3</v>
      </c>
      <c r="T52" s="130">
        <f t="shared" si="44"/>
        <v>3</v>
      </c>
      <c r="U52" s="130">
        <f t="shared" si="44"/>
        <v>2</v>
      </c>
      <c r="V52" s="130">
        <f t="shared" si="44"/>
        <v>2</v>
      </c>
      <c r="W52" s="130">
        <f t="shared" si="44"/>
        <v>3</v>
      </c>
      <c r="X52" s="130">
        <f t="shared" si="44"/>
        <v>3</v>
      </c>
      <c r="Y52" s="130">
        <f t="shared" si="44"/>
        <v>3</v>
      </c>
      <c r="Z52" s="130">
        <f t="shared" si="44"/>
        <v>3</v>
      </c>
      <c r="AA52" s="130">
        <f t="shared" si="44"/>
        <v>3</v>
      </c>
      <c r="AB52" s="130">
        <f t="shared" si="44"/>
        <v>2</v>
      </c>
      <c r="AC52" s="130">
        <f t="shared" si="44"/>
        <v>2</v>
      </c>
      <c r="AD52" s="130">
        <f t="shared" si="44"/>
        <v>3</v>
      </c>
      <c r="AE52" s="130">
        <f t="shared" si="44"/>
        <v>3</v>
      </c>
      <c r="AF52" s="130">
        <f t="shared" si="44"/>
        <v>3</v>
      </c>
      <c r="AG52" s="130">
        <f t="shared" si="44"/>
        <v>3</v>
      </c>
      <c r="AH52" s="130">
        <f t="shared" si="44"/>
        <v>3</v>
      </c>
      <c r="AI52" s="130">
        <f t="shared" si="44"/>
        <v>2</v>
      </c>
      <c r="AJ52" s="130">
        <f t="shared" si="44"/>
        <v>2</v>
      </c>
      <c r="AK52" s="130">
        <f t="shared" si="44"/>
        <v>3</v>
      </c>
      <c r="AL52" s="130">
        <f t="shared" si="44"/>
        <v>3</v>
      </c>
      <c r="AM52" s="130">
        <f t="shared" si="44"/>
        <v>3</v>
      </c>
      <c r="AN52" s="130">
        <f t="shared" si="44"/>
        <v>3</v>
      </c>
      <c r="AP52" s="75" t="s">
        <v>0</v>
      </c>
      <c r="AQ52" s="91">
        <f>37*I1</f>
        <v>370</v>
      </c>
      <c r="AR52" s="75">
        <f>6*I1</f>
        <v>60</v>
      </c>
    </row>
    <row r="53" spans="1:46" s="77" customFormat="1" ht="18" customHeight="1">
      <c r="A53" s="80"/>
      <c r="B53" s="80"/>
      <c r="C53" s="81"/>
      <c r="D53" s="81"/>
      <c r="E53" s="75"/>
      <c r="I53" s="81"/>
      <c r="J53" s="86" t="s">
        <v>111</v>
      </c>
      <c r="K53" s="128">
        <f t="shared" ref="K53:AN53" si="45">COUNTIF(K4:K46,"日")</f>
        <v>1</v>
      </c>
      <c r="L53" s="128">
        <f t="shared" si="45"/>
        <v>1</v>
      </c>
      <c r="M53" s="128">
        <f t="shared" si="45"/>
        <v>1</v>
      </c>
      <c r="N53" s="128">
        <f t="shared" si="45"/>
        <v>1</v>
      </c>
      <c r="O53" s="128">
        <f t="shared" si="45"/>
        <v>1</v>
      </c>
      <c r="P53" s="128">
        <f t="shared" si="45"/>
        <v>1</v>
      </c>
      <c r="Q53" s="128">
        <f t="shared" si="45"/>
        <v>1</v>
      </c>
      <c r="R53" s="128">
        <f t="shared" si="45"/>
        <v>1</v>
      </c>
      <c r="S53" s="128">
        <f t="shared" si="45"/>
        <v>1</v>
      </c>
      <c r="T53" s="128">
        <f t="shared" si="45"/>
        <v>1</v>
      </c>
      <c r="U53" s="128">
        <f t="shared" si="45"/>
        <v>1</v>
      </c>
      <c r="V53" s="128">
        <f t="shared" si="45"/>
        <v>1</v>
      </c>
      <c r="W53" s="128">
        <f t="shared" si="45"/>
        <v>1</v>
      </c>
      <c r="X53" s="128">
        <f t="shared" si="45"/>
        <v>1</v>
      </c>
      <c r="Y53" s="128">
        <f t="shared" si="45"/>
        <v>1</v>
      </c>
      <c r="Z53" s="128">
        <f t="shared" si="45"/>
        <v>1</v>
      </c>
      <c r="AA53" s="128">
        <f t="shared" si="45"/>
        <v>1</v>
      </c>
      <c r="AB53" s="128">
        <f t="shared" si="45"/>
        <v>1</v>
      </c>
      <c r="AC53" s="128">
        <f t="shared" si="45"/>
        <v>1</v>
      </c>
      <c r="AD53" s="128">
        <f t="shared" si="45"/>
        <v>1</v>
      </c>
      <c r="AE53" s="128">
        <f t="shared" si="45"/>
        <v>1</v>
      </c>
      <c r="AF53" s="128">
        <f t="shared" si="45"/>
        <v>1</v>
      </c>
      <c r="AG53" s="128">
        <f t="shared" si="45"/>
        <v>1</v>
      </c>
      <c r="AH53" s="128">
        <f t="shared" si="45"/>
        <v>1</v>
      </c>
      <c r="AI53" s="128">
        <f t="shared" si="45"/>
        <v>1</v>
      </c>
      <c r="AJ53" s="128">
        <f t="shared" si="45"/>
        <v>1</v>
      </c>
      <c r="AK53" s="128">
        <f t="shared" si="45"/>
        <v>1</v>
      </c>
      <c r="AL53" s="128">
        <f t="shared" si="45"/>
        <v>1</v>
      </c>
      <c r="AM53" s="128">
        <f t="shared" si="45"/>
        <v>1</v>
      </c>
      <c r="AN53" s="128">
        <f t="shared" si="45"/>
        <v>1</v>
      </c>
      <c r="AP53" s="50" t="s">
        <v>104</v>
      </c>
      <c r="AQ53" s="91" cm="1">
        <f t="array" ref="AQ53">SUMPRODUCT(COUNTIF(K4:AN40,{"N";"N8"}))</f>
        <v>76</v>
      </c>
      <c r="AR53" s="91" cm="1">
        <f t="array" ref="AR53">SUMPRODUCT(COUNTIF(K41:AN46,{"N";"N8"}))</f>
        <v>19</v>
      </c>
    </row>
    <row r="54" spans="1:46" s="77" customFormat="1" ht="18" customHeight="1">
      <c r="A54" s="80"/>
      <c r="B54" s="80"/>
      <c r="C54" s="81"/>
      <c r="D54" s="81"/>
      <c r="E54" s="75"/>
      <c r="I54" s="81"/>
      <c r="J54" s="88" t="s">
        <v>143</v>
      </c>
      <c r="K54" s="129">
        <f t="shared" ref="K54:AN54" si="46">COUNTIF(K4:K46,"小夜")</f>
        <v>1</v>
      </c>
      <c r="L54" s="129">
        <f t="shared" si="46"/>
        <v>1</v>
      </c>
      <c r="M54" s="129">
        <f t="shared" si="46"/>
        <v>1</v>
      </c>
      <c r="N54" s="129">
        <f t="shared" si="46"/>
        <v>1</v>
      </c>
      <c r="O54" s="129">
        <f t="shared" si="46"/>
        <v>1</v>
      </c>
      <c r="P54" s="129">
        <f t="shared" si="46"/>
        <v>1</v>
      </c>
      <c r="Q54" s="129">
        <f t="shared" si="46"/>
        <v>1</v>
      </c>
      <c r="R54" s="129">
        <f t="shared" si="46"/>
        <v>1</v>
      </c>
      <c r="S54" s="129">
        <f t="shared" si="46"/>
        <v>1</v>
      </c>
      <c r="T54" s="129">
        <f t="shared" si="46"/>
        <v>1</v>
      </c>
      <c r="U54" s="129">
        <f t="shared" si="46"/>
        <v>1</v>
      </c>
      <c r="V54" s="129">
        <f t="shared" si="46"/>
        <v>1</v>
      </c>
      <c r="W54" s="129">
        <f t="shared" si="46"/>
        <v>1</v>
      </c>
      <c r="X54" s="129">
        <f t="shared" si="46"/>
        <v>1</v>
      </c>
      <c r="Y54" s="129">
        <f t="shared" si="46"/>
        <v>1</v>
      </c>
      <c r="Z54" s="129">
        <f t="shared" si="46"/>
        <v>1</v>
      </c>
      <c r="AA54" s="129">
        <f t="shared" si="46"/>
        <v>1</v>
      </c>
      <c r="AB54" s="129">
        <f t="shared" si="46"/>
        <v>1</v>
      </c>
      <c r="AC54" s="129">
        <f t="shared" si="46"/>
        <v>1</v>
      </c>
      <c r="AD54" s="129">
        <f t="shared" si="46"/>
        <v>1</v>
      </c>
      <c r="AE54" s="129">
        <f t="shared" si="46"/>
        <v>1</v>
      </c>
      <c r="AF54" s="129">
        <f t="shared" si="46"/>
        <v>1</v>
      </c>
      <c r="AG54" s="129">
        <f t="shared" si="46"/>
        <v>1</v>
      </c>
      <c r="AH54" s="129">
        <f t="shared" si="46"/>
        <v>1</v>
      </c>
      <c r="AI54" s="129">
        <f t="shared" si="46"/>
        <v>1</v>
      </c>
      <c r="AJ54" s="129">
        <f t="shared" si="46"/>
        <v>1</v>
      </c>
      <c r="AK54" s="129">
        <f t="shared" si="46"/>
        <v>1</v>
      </c>
      <c r="AL54" s="129">
        <f t="shared" si="46"/>
        <v>1</v>
      </c>
      <c r="AM54" s="129">
        <f t="shared" si="46"/>
        <v>1</v>
      </c>
      <c r="AN54" s="129">
        <f t="shared" si="46"/>
        <v>1</v>
      </c>
      <c r="AP54" s="50" t="s">
        <v>105</v>
      </c>
      <c r="AQ54" s="92">
        <f>SUMPRODUCT(COUNTIF(K4:AN40,{"S"}))</f>
        <v>63</v>
      </c>
      <c r="AR54" s="75">
        <f>SUMPRODUCT(COUNTIF(K41:AN46,{"S"}))</f>
        <v>11</v>
      </c>
    </row>
    <row r="55" spans="1:46" s="77" customFormat="1" ht="18" customHeight="1" thickBot="1">
      <c r="A55" s="80"/>
      <c r="B55" s="80"/>
      <c r="C55" s="81"/>
      <c r="D55" s="81"/>
      <c r="E55" s="75"/>
      <c r="I55" s="81"/>
      <c r="J55" s="90" t="s">
        <v>144</v>
      </c>
      <c r="K55" s="130">
        <f t="shared" ref="K55:AN55" si="47">COUNTIF(K7:K49,"大夜")</f>
        <v>1</v>
      </c>
      <c r="L55" s="130">
        <f t="shared" si="47"/>
        <v>1</v>
      </c>
      <c r="M55" s="130">
        <f t="shared" si="47"/>
        <v>1</v>
      </c>
      <c r="N55" s="130">
        <f t="shared" si="47"/>
        <v>1</v>
      </c>
      <c r="O55" s="130">
        <f t="shared" si="47"/>
        <v>1</v>
      </c>
      <c r="P55" s="130">
        <f t="shared" si="47"/>
        <v>1</v>
      </c>
      <c r="Q55" s="130">
        <f t="shared" si="47"/>
        <v>1</v>
      </c>
      <c r="R55" s="130">
        <f t="shared" si="47"/>
        <v>1</v>
      </c>
      <c r="S55" s="130">
        <f t="shared" si="47"/>
        <v>1</v>
      </c>
      <c r="T55" s="130">
        <f t="shared" si="47"/>
        <v>1</v>
      </c>
      <c r="U55" s="130">
        <f t="shared" si="47"/>
        <v>1</v>
      </c>
      <c r="V55" s="130">
        <f t="shared" si="47"/>
        <v>1</v>
      </c>
      <c r="W55" s="130">
        <f t="shared" si="47"/>
        <v>1</v>
      </c>
      <c r="X55" s="130">
        <f t="shared" si="47"/>
        <v>1</v>
      </c>
      <c r="Y55" s="130">
        <f t="shared" si="47"/>
        <v>1</v>
      </c>
      <c r="Z55" s="130">
        <f t="shared" si="47"/>
        <v>1</v>
      </c>
      <c r="AA55" s="130">
        <f t="shared" si="47"/>
        <v>1</v>
      </c>
      <c r="AB55" s="130">
        <f t="shared" si="47"/>
        <v>1</v>
      </c>
      <c r="AC55" s="130">
        <f t="shared" si="47"/>
        <v>1</v>
      </c>
      <c r="AD55" s="130">
        <f t="shared" si="47"/>
        <v>1</v>
      </c>
      <c r="AE55" s="130">
        <f t="shared" si="47"/>
        <v>1</v>
      </c>
      <c r="AF55" s="130">
        <f t="shared" si="47"/>
        <v>1</v>
      </c>
      <c r="AG55" s="130">
        <f t="shared" si="47"/>
        <v>1</v>
      </c>
      <c r="AH55" s="130">
        <f t="shared" si="47"/>
        <v>1</v>
      </c>
      <c r="AI55" s="130">
        <f t="shared" si="47"/>
        <v>1</v>
      </c>
      <c r="AJ55" s="130">
        <f t="shared" si="47"/>
        <v>1</v>
      </c>
      <c r="AK55" s="130">
        <f t="shared" si="47"/>
        <v>1</v>
      </c>
      <c r="AL55" s="130">
        <f t="shared" si="47"/>
        <v>1</v>
      </c>
      <c r="AM55" s="130">
        <f t="shared" si="47"/>
        <v>1</v>
      </c>
      <c r="AN55" s="130">
        <f t="shared" si="47"/>
        <v>1</v>
      </c>
      <c r="AP55" s="93" t="s">
        <v>145</v>
      </c>
      <c r="AQ55" s="75">
        <v>0</v>
      </c>
      <c r="AR55" s="75">
        <v>0</v>
      </c>
    </row>
    <row r="56" spans="1:46" s="77" customFormat="1" ht="18" customHeight="1" thickBot="1">
      <c r="A56" s="80"/>
      <c r="B56" s="80"/>
      <c r="C56" s="81"/>
      <c r="D56" s="81"/>
      <c r="E56" s="75"/>
      <c r="I56" s="81"/>
      <c r="J56" s="95" t="s">
        <v>41</v>
      </c>
      <c r="K56" s="295">
        <f t="shared" ref="K56:AN56" si="48">COUNTIF(K4:K46,"N")+COUNTIF(K4:K46,"N8")</f>
        <v>6</v>
      </c>
      <c r="L56" s="296">
        <f t="shared" si="48"/>
        <v>5</v>
      </c>
      <c r="M56" s="296">
        <f>COUNTIF(M4:M46,"N")+COUNTIF(M4:M46,"N8")</f>
        <v>0</v>
      </c>
      <c r="N56" s="296">
        <f t="shared" si="48"/>
        <v>0</v>
      </c>
      <c r="O56" s="296">
        <f t="shared" si="48"/>
        <v>0</v>
      </c>
      <c r="P56" s="296">
        <f t="shared" si="48"/>
        <v>0</v>
      </c>
      <c r="Q56" s="296">
        <f t="shared" si="48"/>
        <v>9</v>
      </c>
      <c r="R56" s="296">
        <f t="shared" si="48"/>
        <v>6</v>
      </c>
      <c r="S56" s="296">
        <f t="shared" si="48"/>
        <v>10</v>
      </c>
      <c r="T56" s="296">
        <f t="shared" si="48"/>
        <v>6</v>
      </c>
      <c r="U56" s="296">
        <f t="shared" si="48"/>
        <v>0</v>
      </c>
      <c r="V56" s="296">
        <f t="shared" si="48"/>
        <v>0</v>
      </c>
      <c r="W56" s="296">
        <f t="shared" si="48"/>
        <v>3</v>
      </c>
      <c r="X56" s="296">
        <f>COUNTIF(X4:X46,"N")+COUNTIF(X4:X46,"N8")</f>
        <v>3</v>
      </c>
      <c r="Y56" s="296">
        <f>COUNTIF(Y4:Y46,"N")+COUNTIF(Y4:Y46,"N8")</f>
        <v>5</v>
      </c>
      <c r="Z56" s="296">
        <f t="shared" si="48"/>
        <v>5</v>
      </c>
      <c r="AA56" s="296">
        <f t="shared" si="48"/>
        <v>2</v>
      </c>
      <c r="AB56" s="296">
        <f t="shared" si="48"/>
        <v>0</v>
      </c>
      <c r="AC56" s="296">
        <f t="shared" si="48"/>
        <v>0</v>
      </c>
      <c r="AD56" s="296">
        <f t="shared" si="48"/>
        <v>3</v>
      </c>
      <c r="AE56" s="296">
        <f t="shared" si="48"/>
        <v>9</v>
      </c>
      <c r="AF56" s="296">
        <f t="shared" si="48"/>
        <v>5</v>
      </c>
      <c r="AG56" s="296">
        <f t="shared" si="48"/>
        <v>4</v>
      </c>
      <c r="AH56" s="296">
        <f t="shared" si="48"/>
        <v>4</v>
      </c>
      <c r="AI56" s="296">
        <f t="shared" si="48"/>
        <v>0</v>
      </c>
      <c r="AJ56" s="296">
        <f t="shared" si="48"/>
        <v>0</v>
      </c>
      <c r="AK56" s="296">
        <f t="shared" si="48"/>
        <v>2</v>
      </c>
      <c r="AL56" s="296">
        <f t="shared" si="48"/>
        <v>6</v>
      </c>
      <c r="AM56" s="296">
        <f t="shared" si="48"/>
        <v>1</v>
      </c>
      <c r="AN56" s="99">
        <f t="shared" si="48"/>
        <v>1</v>
      </c>
      <c r="AP56" s="100" t="s">
        <v>42</v>
      </c>
      <c r="AQ56" s="101">
        <v>-1</v>
      </c>
      <c r="AR56" s="75">
        <v>0</v>
      </c>
    </row>
    <row r="57" spans="1:46" s="77" customFormat="1" ht="18" customHeight="1">
      <c r="A57" s="80"/>
      <c r="B57" s="80"/>
      <c r="C57" s="80"/>
      <c r="D57" s="80"/>
      <c r="E57" s="75"/>
      <c r="I57" s="81"/>
      <c r="J57" s="78" t="s">
        <v>43</v>
      </c>
      <c r="K57" s="297">
        <f t="shared" ref="K57:AN57" si="49">COUNTIF(K4:K46,"X")+COUNTIF(K4:K46,"Y")+COUNTIF(K4:K46,"Z")</f>
        <v>9</v>
      </c>
      <c r="L57" s="24">
        <f t="shared" si="49"/>
        <v>7</v>
      </c>
      <c r="M57" s="24">
        <f>COUNTIF(M4:M46,"X")+COUNTIF(M4:M46,"Y")+COUNTIF(M4:M46,"Z")</f>
        <v>20</v>
      </c>
      <c r="N57" s="24">
        <f t="shared" si="49"/>
        <v>22</v>
      </c>
      <c r="O57" s="24">
        <f t="shared" si="49"/>
        <v>22</v>
      </c>
      <c r="P57" s="24">
        <f t="shared" si="49"/>
        <v>21</v>
      </c>
      <c r="Q57" s="24">
        <f t="shared" si="49"/>
        <v>7</v>
      </c>
      <c r="R57" s="24">
        <f t="shared" si="49"/>
        <v>10</v>
      </c>
      <c r="S57" s="24">
        <f t="shared" si="49"/>
        <v>6</v>
      </c>
      <c r="T57" s="24">
        <f t="shared" si="49"/>
        <v>11</v>
      </c>
      <c r="U57" s="24">
        <f t="shared" si="49"/>
        <v>24</v>
      </c>
      <c r="V57" s="24">
        <f t="shared" si="49"/>
        <v>23</v>
      </c>
      <c r="W57" s="24">
        <f t="shared" si="49"/>
        <v>12</v>
      </c>
      <c r="X57" s="24">
        <f>COUNTIF(X4:X46,"X")+COUNTIF(X4:X46,"Y")+COUNTIF(X4:X46,"Z")</f>
        <v>12</v>
      </c>
      <c r="Y57" s="24">
        <f>COUNTIF(Y4:Y46,"X")+COUNTIF(Y4:Y46,"Y")+COUNTIF(Y4:Y46,"Z")</f>
        <v>10</v>
      </c>
      <c r="Z57" s="24">
        <f t="shared" si="49"/>
        <v>10</v>
      </c>
      <c r="AA57" s="24">
        <f t="shared" si="49"/>
        <v>11</v>
      </c>
      <c r="AB57" s="24">
        <f t="shared" si="49"/>
        <v>24</v>
      </c>
      <c r="AC57" s="24">
        <f t="shared" si="49"/>
        <v>24</v>
      </c>
      <c r="AD57" s="24">
        <f t="shared" si="49"/>
        <v>14</v>
      </c>
      <c r="AE57" s="24">
        <f t="shared" si="49"/>
        <v>8</v>
      </c>
      <c r="AF57" s="24">
        <f t="shared" si="49"/>
        <v>10</v>
      </c>
      <c r="AG57" s="24">
        <f t="shared" si="49"/>
        <v>11</v>
      </c>
      <c r="AH57" s="24">
        <f t="shared" si="49"/>
        <v>10</v>
      </c>
      <c r="AI57" s="24">
        <f t="shared" si="49"/>
        <v>20</v>
      </c>
      <c r="AJ57" s="24">
        <f t="shared" si="49"/>
        <v>23</v>
      </c>
      <c r="AK57" s="24">
        <f t="shared" si="49"/>
        <v>14</v>
      </c>
      <c r="AL57" s="24">
        <f t="shared" si="49"/>
        <v>8</v>
      </c>
      <c r="AM57" s="24">
        <f t="shared" si="49"/>
        <v>15</v>
      </c>
      <c r="AN57" s="102">
        <f t="shared" si="49"/>
        <v>13</v>
      </c>
      <c r="AP57" s="100" t="s">
        <v>146</v>
      </c>
      <c r="AQ57" s="101">
        <v>0</v>
      </c>
      <c r="AR57" s="75">
        <v>0</v>
      </c>
    </row>
    <row r="58" spans="1:46" s="77" customFormat="1" ht="18" customHeight="1">
      <c r="A58" s="80"/>
      <c r="B58" s="80"/>
      <c r="C58" s="80"/>
      <c r="D58" s="80"/>
      <c r="E58" s="75"/>
      <c r="I58" s="81"/>
      <c r="J58" s="103" t="s">
        <v>44</v>
      </c>
      <c r="K58" s="294">
        <f t="shared" ref="K58:AN58" si="50">COUNTIF(K4:K46,"S")</f>
        <v>3</v>
      </c>
      <c r="L58" s="39">
        <f t="shared" si="50"/>
        <v>6</v>
      </c>
      <c r="M58" s="39">
        <f>COUNTIF(M4:M46,"S")</f>
        <v>4</v>
      </c>
      <c r="N58" s="39">
        <f t="shared" si="50"/>
        <v>2</v>
      </c>
      <c r="O58" s="39">
        <f t="shared" si="50"/>
        <v>2</v>
      </c>
      <c r="P58" s="39">
        <f t="shared" si="50"/>
        <v>3</v>
      </c>
      <c r="Q58" s="39">
        <f t="shared" si="50"/>
        <v>2</v>
      </c>
      <c r="R58" s="39">
        <f t="shared" si="50"/>
        <v>2</v>
      </c>
      <c r="S58" s="39">
        <f t="shared" si="50"/>
        <v>2</v>
      </c>
      <c r="T58" s="39">
        <f t="shared" si="50"/>
        <v>1</v>
      </c>
      <c r="U58" s="39">
        <f t="shared" si="50"/>
        <v>0</v>
      </c>
      <c r="V58" s="39">
        <f t="shared" si="50"/>
        <v>1</v>
      </c>
      <c r="W58" s="39">
        <f t="shared" si="50"/>
        <v>3</v>
      </c>
      <c r="X58" s="39">
        <f>COUNTIF(X4:X46,"S")</f>
        <v>3</v>
      </c>
      <c r="Y58" s="39">
        <f>COUNTIF(Y4:Y46,"S")</f>
        <v>3</v>
      </c>
      <c r="Z58" s="39">
        <f t="shared" si="50"/>
        <v>3</v>
      </c>
      <c r="AA58" s="39">
        <f t="shared" si="50"/>
        <v>5</v>
      </c>
      <c r="AB58" s="39">
        <f t="shared" si="50"/>
        <v>0</v>
      </c>
      <c r="AC58" s="39">
        <f t="shared" si="50"/>
        <v>0</v>
      </c>
      <c r="AD58" s="39">
        <f t="shared" si="50"/>
        <v>1</v>
      </c>
      <c r="AE58" s="39">
        <f t="shared" si="50"/>
        <v>1</v>
      </c>
      <c r="AF58" s="39">
        <f t="shared" si="50"/>
        <v>3</v>
      </c>
      <c r="AG58" s="39">
        <f t="shared" si="50"/>
        <v>3</v>
      </c>
      <c r="AH58" s="39">
        <f t="shared" si="50"/>
        <v>4</v>
      </c>
      <c r="AI58" s="39">
        <f t="shared" si="50"/>
        <v>4</v>
      </c>
      <c r="AJ58" s="39">
        <f t="shared" si="50"/>
        <v>1</v>
      </c>
      <c r="AK58" s="39">
        <f t="shared" si="50"/>
        <v>2</v>
      </c>
      <c r="AL58" s="39">
        <f t="shared" si="50"/>
        <v>4</v>
      </c>
      <c r="AM58" s="39">
        <f t="shared" si="50"/>
        <v>2</v>
      </c>
      <c r="AN58" s="83">
        <f t="shared" si="50"/>
        <v>4</v>
      </c>
      <c r="AP58" s="107" t="s">
        <v>46</v>
      </c>
      <c r="AQ58" s="105">
        <f>AQ49-AQ50-AQ52-AQ53-AQ54-AQ55+AQ56+AQ57-AQ51</f>
        <v>0</v>
      </c>
      <c r="AR58" s="105">
        <f>AR49-AR50-AR52-AR53-AR54-AR55+AR56+AR57-AR51</f>
        <v>0</v>
      </c>
      <c r="AS58" s="6"/>
    </row>
    <row r="59" spans="1:46" ht="18" customHeight="1" thickBot="1">
      <c r="A59" s="80"/>
      <c r="B59" s="80"/>
      <c r="C59" s="80"/>
      <c r="D59" s="80"/>
      <c r="I59" s="80"/>
      <c r="J59" s="103" t="s">
        <v>45</v>
      </c>
      <c r="K59" s="294">
        <f t="shared" ref="K59:AN59" si="51">COUNTIF(K4:K46,"T")</f>
        <v>0</v>
      </c>
      <c r="L59" s="39">
        <f t="shared" si="51"/>
        <v>0</v>
      </c>
      <c r="M59" s="39">
        <f>COUNTIF(M4:M46,"T")</f>
        <v>0</v>
      </c>
      <c r="N59" s="39">
        <f t="shared" si="51"/>
        <v>0</v>
      </c>
      <c r="O59" s="39">
        <f t="shared" si="51"/>
        <v>0</v>
      </c>
      <c r="P59" s="39">
        <f t="shared" si="51"/>
        <v>0</v>
      </c>
      <c r="Q59" s="39">
        <f t="shared" si="51"/>
        <v>0</v>
      </c>
      <c r="R59" s="39">
        <f t="shared" si="51"/>
        <v>0</v>
      </c>
      <c r="S59" s="39">
        <f t="shared" si="51"/>
        <v>0</v>
      </c>
      <c r="T59" s="39">
        <f t="shared" si="51"/>
        <v>0</v>
      </c>
      <c r="U59" s="39">
        <f t="shared" si="51"/>
        <v>0</v>
      </c>
      <c r="V59" s="39">
        <f t="shared" si="51"/>
        <v>0</v>
      </c>
      <c r="W59" s="39">
        <f t="shared" si="51"/>
        <v>0</v>
      </c>
      <c r="X59" s="39">
        <f>COUNTIF(X4:X46,"T")</f>
        <v>0</v>
      </c>
      <c r="Y59" s="39">
        <f>COUNTIF(Y4:Y46,"T")</f>
        <v>0</v>
      </c>
      <c r="Z59" s="39">
        <f t="shared" si="51"/>
        <v>0</v>
      </c>
      <c r="AA59" s="39">
        <f t="shared" si="51"/>
        <v>0</v>
      </c>
      <c r="AB59" s="39">
        <f t="shared" si="51"/>
        <v>0</v>
      </c>
      <c r="AC59" s="39">
        <f t="shared" si="51"/>
        <v>0</v>
      </c>
      <c r="AD59" s="39">
        <f t="shared" si="51"/>
        <v>0</v>
      </c>
      <c r="AE59" s="39">
        <f t="shared" si="51"/>
        <v>0</v>
      </c>
      <c r="AF59" s="39">
        <f t="shared" si="51"/>
        <v>0</v>
      </c>
      <c r="AG59" s="39">
        <f t="shared" si="51"/>
        <v>0</v>
      </c>
      <c r="AH59" s="39">
        <f t="shared" si="51"/>
        <v>0</v>
      </c>
      <c r="AI59" s="39">
        <f t="shared" si="51"/>
        <v>0</v>
      </c>
      <c r="AJ59" s="39">
        <f t="shared" si="51"/>
        <v>0</v>
      </c>
      <c r="AK59" s="39">
        <f t="shared" si="51"/>
        <v>0</v>
      </c>
      <c r="AL59" s="39">
        <f t="shared" si="51"/>
        <v>0</v>
      </c>
      <c r="AM59" s="39">
        <f t="shared" si="51"/>
        <v>0</v>
      </c>
      <c r="AN59" s="83">
        <f t="shared" si="51"/>
        <v>0</v>
      </c>
      <c r="AO59" s="77"/>
      <c r="AQ59" s="50"/>
      <c r="AR59" s="111"/>
      <c r="AT59" s="77"/>
    </row>
    <row r="60" spans="1:46" ht="18" customHeight="1" thickBot="1">
      <c r="A60" s="80"/>
      <c r="B60" s="80"/>
      <c r="C60" s="80"/>
      <c r="D60" s="80"/>
      <c r="I60" s="80"/>
      <c r="J60" s="108" t="s">
        <v>109</v>
      </c>
      <c r="K60" s="298">
        <f>SUM(K47:K59)</f>
        <v>43</v>
      </c>
      <c r="L60" s="109">
        <f t="shared" ref="L60:AN60" si="52">SUM(L47:L59)</f>
        <v>43</v>
      </c>
      <c r="M60" s="109">
        <f t="shared" si="52"/>
        <v>43</v>
      </c>
      <c r="N60" s="109">
        <f t="shared" si="52"/>
        <v>43</v>
      </c>
      <c r="O60" s="109">
        <f t="shared" si="52"/>
        <v>43</v>
      </c>
      <c r="P60" s="109">
        <f t="shared" si="52"/>
        <v>43</v>
      </c>
      <c r="Q60" s="109">
        <f t="shared" si="52"/>
        <v>43</v>
      </c>
      <c r="R60" s="109">
        <f t="shared" si="52"/>
        <v>43</v>
      </c>
      <c r="S60" s="109">
        <f t="shared" si="52"/>
        <v>43</v>
      </c>
      <c r="T60" s="109">
        <f t="shared" si="52"/>
        <v>43</v>
      </c>
      <c r="U60" s="109">
        <f t="shared" si="52"/>
        <v>43</v>
      </c>
      <c r="V60" s="109">
        <f t="shared" si="52"/>
        <v>43</v>
      </c>
      <c r="W60" s="109">
        <f t="shared" si="52"/>
        <v>43</v>
      </c>
      <c r="X60" s="109">
        <f t="shared" si="52"/>
        <v>43</v>
      </c>
      <c r="Y60" s="109">
        <f t="shared" si="52"/>
        <v>43</v>
      </c>
      <c r="Z60" s="109">
        <f t="shared" si="52"/>
        <v>43</v>
      </c>
      <c r="AA60" s="109">
        <f t="shared" si="52"/>
        <v>43</v>
      </c>
      <c r="AB60" s="109">
        <f t="shared" si="52"/>
        <v>43</v>
      </c>
      <c r="AC60" s="109">
        <f t="shared" si="52"/>
        <v>43</v>
      </c>
      <c r="AD60" s="109">
        <f t="shared" si="52"/>
        <v>43</v>
      </c>
      <c r="AE60" s="109">
        <f t="shared" si="52"/>
        <v>43</v>
      </c>
      <c r="AF60" s="109">
        <f t="shared" si="52"/>
        <v>43</v>
      </c>
      <c r="AG60" s="109">
        <f t="shared" si="52"/>
        <v>43</v>
      </c>
      <c r="AH60" s="109">
        <f t="shared" si="52"/>
        <v>43</v>
      </c>
      <c r="AI60" s="109">
        <f t="shared" si="52"/>
        <v>43</v>
      </c>
      <c r="AJ60" s="109">
        <f t="shared" si="52"/>
        <v>43</v>
      </c>
      <c r="AK60" s="109">
        <f t="shared" si="52"/>
        <v>43</v>
      </c>
      <c r="AL60" s="109">
        <f t="shared" si="52"/>
        <v>43</v>
      </c>
      <c r="AM60" s="109">
        <f t="shared" si="52"/>
        <v>43</v>
      </c>
      <c r="AN60" s="110">
        <f t="shared" si="52"/>
        <v>43</v>
      </c>
      <c r="AP60" s="7"/>
      <c r="AQ60" s="6"/>
      <c r="AR60" s="111"/>
      <c r="AT60" s="37"/>
    </row>
    <row r="61" spans="1:46" ht="24.6" customHeight="1">
      <c r="A61" s="80"/>
      <c r="B61" s="80"/>
      <c r="C61" s="80"/>
      <c r="D61" s="80"/>
      <c r="G61" s="80"/>
      <c r="H61" s="112"/>
      <c r="I61" s="113"/>
      <c r="K61" s="113">
        <f t="shared" ref="K61:AA61" si="53">43-K56-K57-K58-25</f>
        <v>0</v>
      </c>
      <c r="L61" s="113">
        <f t="shared" si="53"/>
        <v>0</v>
      </c>
      <c r="M61" s="113">
        <f t="shared" ref="M61:P61" si="54">43-M56-M57-M58-19</f>
        <v>0</v>
      </c>
      <c r="N61" s="113">
        <f t="shared" si="54"/>
        <v>0</v>
      </c>
      <c r="O61" s="113">
        <f t="shared" si="54"/>
        <v>0</v>
      </c>
      <c r="P61" s="113">
        <f t="shared" si="54"/>
        <v>0</v>
      </c>
      <c r="Q61" s="113">
        <f t="shared" si="53"/>
        <v>0</v>
      </c>
      <c r="R61" s="113">
        <f t="shared" si="53"/>
        <v>0</v>
      </c>
      <c r="S61" s="113">
        <f t="shared" si="53"/>
        <v>0</v>
      </c>
      <c r="T61" s="113">
        <f t="shared" si="53"/>
        <v>0</v>
      </c>
      <c r="U61" s="113">
        <f t="shared" ref="U61:V61" si="55">43-U56-U57-U58-19</f>
        <v>0</v>
      </c>
      <c r="V61" s="113">
        <f t="shared" si="55"/>
        <v>0</v>
      </c>
      <c r="W61" s="113">
        <f t="shared" si="53"/>
        <v>0</v>
      </c>
      <c r="X61" s="113">
        <f t="shared" si="53"/>
        <v>0</v>
      </c>
      <c r="Y61" s="113">
        <f t="shared" si="53"/>
        <v>0</v>
      </c>
      <c r="Z61" s="113">
        <f t="shared" si="53"/>
        <v>0</v>
      </c>
      <c r="AA61" s="113">
        <f t="shared" si="53"/>
        <v>0</v>
      </c>
      <c r="AB61" s="113">
        <f t="shared" ref="AB61:AC61" si="56">43-AB56-AB57-AB58-19</f>
        <v>0</v>
      </c>
      <c r="AC61" s="113">
        <f t="shared" si="56"/>
        <v>0</v>
      </c>
      <c r="AD61" s="113">
        <f t="shared" ref="AD61:AH61" si="57">43-AD56-AD57-AD58-25</f>
        <v>0</v>
      </c>
      <c r="AE61" s="113">
        <f t="shared" si="57"/>
        <v>0</v>
      </c>
      <c r="AF61" s="113">
        <f t="shared" si="57"/>
        <v>0</v>
      </c>
      <c r="AG61" s="113">
        <f t="shared" si="57"/>
        <v>0</v>
      </c>
      <c r="AH61" s="113">
        <f t="shared" si="57"/>
        <v>0</v>
      </c>
      <c r="AI61" s="113">
        <f t="shared" ref="AI61:AJ61" si="58">43-AI56-AI57-AI58-19</f>
        <v>0</v>
      </c>
      <c r="AJ61" s="113">
        <f t="shared" si="58"/>
        <v>0</v>
      </c>
      <c r="AK61" s="113">
        <f t="shared" ref="AK61:AN61" si="59">43-AK56-AK57-AK58-25</f>
        <v>0</v>
      </c>
      <c r="AL61" s="113">
        <f t="shared" si="59"/>
        <v>0</v>
      </c>
      <c r="AM61" s="113">
        <f t="shared" si="59"/>
        <v>0</v>
      </c>
      <c r="AN61" s="113">
        <f t="shared" si="59"/>
        <v>0</v>
      </c>
    </row>
    <row r="62" spans="1:46" ht="24.6" customHeight="1">
      <c r="A62" s="80"/>
      <c r="B62" s="80"/>
      <c r="C62" s="80"/>
      <c r="D62" s="80"/>
      <c r="I62" s="80"/>
      <c r="J62" s="112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7"/>
    </row>
    <row r="63" spans="1:46" ht="24.6" customHeight="1" thickBot="1">
      <c r="A63" s="80"/>
      <c r="B63" s="80"/>
      <c r="C63" s="80"/>
      <c r="D63" s="80"/>
      <c r="I63" s="80"/>
      <c r="J63" s="112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</row>
    <row r="64" spans="1:46" ht="24.6" customHeight="1" thickBot="1">
      <c r="A64" s="80"/>
      <c r="B64" s="80"/>
      <c r="C64" s="80"/>
      <c r="D64" s="80"/>
      <c r="I64" s="80"/>
      <c r="J64" s="228" t="s">
        <v>47</v>
      </c>
      <c r="K64" s="299" cm="1">
        <f t="array" ref="K64">SUMPRODUCT(COUNTIF(K4:K18,{"1";"M1"}))</f>
        <v>2</v>
      </c>
      <c r="L64" s="230" cm="1">
        <f t="array" ref="L64">SUMPRODUCT(COUNTIF(L4:L18,{"1";"M1"}))</f>
        <v>2</v>
      </c>
      <c r="M64" s="231" cm="1">
        <f t="array" ref="M64">SUMPRODUCT(COUNTIF(M4:M18,{"1";"M1"}))</f>
        <v>0</v>
      </c>
      <c r="N64" s="231" cm="1">
        <f t="array" ref="N64">SUMPRODUCT(COUNTIF(N4:N18,{"1";"M1"}))</f>
        <v>0</v>
      </c>
      <c r="O64" s="231" cm="1">
        <f t="array" ref="O64">SUMPRODUCT(COUNTIF(O4:O18,{"1";"M1"}))</f>
        <v>0</v>
      </c>
      <c r="P64" s="231" cm="1">
        <f t="array" ref="P64">SUMPRODUCT(COUNTIF(P4:P18,{"1";"M1"}))</f>
        <v>0</v>
      </c>
      <c r="Q64" s="230" cm="1">
        <f t="array" ref="Q64">SUMPRODUCT(COUNTIF(Q4:Q18,{"1";"M1"}))</f>
        <v>3</v>
      </c>
      <c r="R64" s="230" cm="1">
        <f t="array" ref="R64">SUMPRODUCT(COUNTIF(R4:R18,{"1";"M1"}))</f>
        <v>3</v>
      </c>
      <c r="S64" s="230" cm="1">
        <f t="array" ref="S64">SUMPRODUCT(COUNTIF(S4:S18,{"1";"M1"}))</f>
        <v>2</v>
      </c>
      <c r="T64" s="230" cm="1">
        <f t="array" ref="T64">SUMPRODUCT(COUNTIF(T4:T18,{"1";"M1"}))</f>
        <v>2</v>
      </c>
      <c r="U64" s="231" cm="1">
        <f t="array" ref="U64">SUMPRODUCT(COUNTIF(U4:U18,{"1";"M1"}))</f>
        <v>2</v>
      </c>
      <c r="V64" s="231" cm="1">
        <f t="array" ref="V64">SUMPRODUCT(COUNTIF(V4:V18,{"1";"M1"}))</f>
        <v>0</v>
      </c>
      <c r="W64" s="230" cm="1">
        <f t="array" ref="W64">SUMPRODUCT(COUNTIF(W4:W18,{"1";"M1"}))</f>
        <v>2</v>
      </c>
      <c r="X64" s="230" cm="1">
        <f t="array" ref="X64">SUMPRODUCT(COUNTIF(X4:X18,{"1";"M1"}))</f>
        <v>3</v>
      </c>
      <c r="Y64" s="230" cm="1">
        <f t="array" ref="Y64">SUMPRODUCT(COUNTIF(Y4:Y18,{"1";"M1"}))</f>
        <v>3</v>
      </c>
      <c r="Z64" s="230" cm="1">
        <f t="array" ref="Z64">SUMPRODUCT(COUNTIF(Z4:Z18,{"1";"M1"}))</f>
        <v>3</v>
      </c>
      <c r="AA64" s="230" cm="1">
        <f t="array" ref="AA64">SUMPRODUCT(COUNTIF(AA4:AA18,{"1";"M1"}))</f>
        <v>1</v>
      </c>
      <c r="AB64" s="231" cm="1">
        <f t="array" ref="AB64">SUMPRODUCT(COUNTIF(AB4:AB18,{"1";"M1"}))</f>
        <v>0</v>
      </c>
      <c r="AC64" s="231" cm="1">
        <f t="array" ref="AC64">SUMPRODUCT(COUNTIF(AC4:AC18,{"1";"M1"}))</f>
        <v>0</v>
      </c>
      <c r="AD64" s="230" cm="1">
        <f t="array" ref="AD64">SUMPRODUCT(COUNTIF(AD4:AD18,{"1";"M1"}))</f>
        <v>1</v>
      </c>
      <c r="AE64" s="230" cm="1">
        <f t="array" ref="AE64">SUMPRODUCT(COUNTIF(AE4:AE18,{"1";"M1"}))</f>
        <v>2</v>
      </c>
      <c r="AF64" s="230" cm="1">
        <f t="array" ref="AF64">SUMPRODUCT(COUNTIF(AF4:AF18,{"1";"M1"}))</f>
        <v>4</v>
      </c>
      <c r="AG64" s="230" cm="1">
        <f t="array" ref="AG64">SUMPRODUCT(COUNTIF(AG4:AG18,{"1";"M1"}))</f>
        <v>4</v>
      </c>
      <c r="AH64" s="230" cm="1">
        <f t="array" ref="AH64">SUMPRODUCT(COUNTIF(AH4:AH18,{"1";"M1"}))</f>
        <v>2</v>
      </c>
      <c r="AI64" s="231" cm="1">
        <f t="array" ref="AI64">SUMPRODUCT(COUNTIF(AI4:AI18,{"1";"M1"}))</f>
        <v>1</v>
      </c>
      <c r="AJ64" s="231" cm="1">
        <f t="array" ref="AJ64">SUMPRODUCT(COUNTIF(AJ4:AJ18,{"1";"M1"}))</f>
        <v>1</v>
      </c>
      <c r="AK64" s="230" cm="1">
        <f t="array" ref="AK64">SUMPRODUCT(COUNTIF(AK4:AK18,{"1";"M1"}))</f>
        <v>1</v>
      </c>
      <c r="AL64" s="230" cm="1">
        <f t="array" ref="AL64">SUMPRODUCT(COUNTIF(AL4:AL18,{"1";"M1"}))</f>
        <v>1</v>
      </c>
      <c r="AM64" s="230" cm="1">
        <f t="array" ref="AM64">SUMPRODUCT(COUNTIF(AM4:AM18,{"1";"M1"}))</f>
        <v>3</v>
      </c>
      <c r="AN64" s="230" cm="1">
        <f t="array" ref="AN64">SUMPRODUCT(COUNTIF(AN4:AN18,{"1";"M1"}))</f>
        <v>3</v>
      </c>
    </row>
    <row r="65" spans="1:17" ht="24.6" customHeight="1">
      <c r="A65" s="80"/>
      <c r="B65" s="80"/>
      <c r="C65" s="80"/>
      <c r="D65" s="80"/>
      <c r="I65" s="80"/>
      <c r="L65" s="116"/>
      <c r="M65" s="116"/>
      <c r="N65" s="116"/>
      <c r="Q65" s="116"/>
    </row>
    <row r="117" ht="13.8"/>
  </sheetData>
  <autoFilter ref="AS3:AS59" xr:uid="{00000000-0009-0000-0000-000003000000}"/>
  <mergeCells count="11">
    <mergeCell ref="AU2:AW2"/>
    <mergeCell ref="K1:AH1"/>
    <mergeCell ref="AI1:AK1"/>
    <mergeCell ref="AL1:AN1"/>
    <mergeCell ref="I2:I3"/>
    <mergeCell ref="J2:J3"/>
    <mergeCell ref="A2:A3"/>
    <mergeCell ref="B2:B3"/>
    <mergeCell ref="C2:C3"/>
    <mergeCell ref="D2:D3"/>
    <mergeCell ref="E2:E3"/>
  </mergeCells>
  <conditionalFormatting sqref="K4:AN7 K8:AL8 AN8 K9:AN46">
    <cfRule type="expression" dxfId="291" priority="65">
      <formula>OR(K4="T中", K4="中", K4=2, K4="小夜")</formula>
    </cfRule>
    <cfRule type="expression" dxfId="290" priority="66">
      <formula>OR(K4="T早", K4="早", K4="M1", K4=1, K4="日")</formula>
    </cfRule>
  </conditionalFormatting>
  <conditionalFormatting sqref="K4:AN46">
    <cfRule type="expression" dxfId="289" priority="1">
      <formula>OR(     SUM(COUNTIF(K4:Q4, 上班代號)) &gt; 6,     AND(COLUMN()&gt;11, OR(         AND(SUM(COUNTIF(OFFSET(K4,0,-1), 中班組)), SUM(COUNTIF(K4, 早班組), COUNTIF(K4, 晚班組))),         AND(SUM(COUNTIF(OFFSET(K4,0,-1), 早班組)), SUM(COUNTIF(K4, 晚班組)))     )) )</formula>
    </cfRule>
    <cfRule type="expression" dxfId="288" priority="4">
      <formula>OR(K4="晚", K4=3, K4="大夜")</formula>
    </cfRule>
  </conditionalFormatting>
  <conditionalFormatting sqref="K47:AN55">
    <cfRule type="cellIs" dxfId="287" priority="71" operator="equal">
      <formula>5</formula>
    </cfRule>
    <cfRule type="cellIs" dxfId="286" priority="72" operator="equal">
      <formula>4</formula>
    </cfRule>
    <cfRule type="cellIs" dxfId="285" priority="73" operator="equal">
      <formula>3</formula>
    </cfRule>
    <cfRule type="cellIs" dxfId="284" priority="74" operator="equal">
      <formula>2</formula>
    </cfRule>
    <cfRule type="cellIs" dxfId="283" priority="75" operator="equal">
      <formula>1</formula>
    </cfRule>
  </conditionalFormatting>
  <conditionalFormatting sqref="K53:AN55">
    <cfRule type="cellIs" dxfId="282" priority="76" operator="equal">
      <formula>"T中"</formula>
    </cfRule>
  </conditionalFormatting>
  <conditionalFormatting sqref="AM8:AN8">
    <cfRule type="expression" dxfId="281" priority="2">
      <formula>OR(AM8="T中", AM8="中", AM8=2, AM8="小夜")</formula>
    </cfRule>
    <cfRule type="expression" dxfId="280" priority="3">
      <formula>OR(AM8="T早", AM8="早", AM8="M1", AM8=1, AM8="日")</formula>
    </cfRule>
  </conditionalFormatting>
  <conditionalFormatting sqref="AO25">
    <cfRule type="cellIs" dxfId="279" priority="83" operator="equal">
      <formula>"大夜"</formula>
    </cfRule>
    <cfRule type="cellIs" dxfId="278" priority="84" operator="equal">
      <formula>"晚"</formula>
    </cfRule>
    <cfRule type="cellIs" dxfId="277" priority="85" operator="equal">
      <formula>3</formula>
    </cfRule>
    <cfRule type="cellIs" dxfId="276" priority="86" operator="equal">
      <formula>"小夜"</formula>
    </cfRule>
    <cfRule type="cellIs" dxfId="275" priority="87" operator="equal">
      <formula>"T中"</formula>
    </cfRule>
    <cfRule type="cellIs" dxfId="274" priority="88" operator="equal">
      <formula>"中"</formula>
    </cfRule>
    <cfRule type="cellIs" dxfId="273" priority="89" operator="equal">
      <formula>"M2"</formula>
    </cfRule>
    <cfRule type="cellIs" dxfId="272" priority="90" operator="equal">
      <formula>2</formula>
    </cfRule>
    <cfRule type="cellIs" dxfId="271" priority="91" operator="equal">
      <formula>"日"</formula>
    </cfRule>
    <cfRule type="cellIs" dxfId="270" priority="92" operator="equal">
      <formula>"T早"</formula>
    </cfRule>
    <cfRule type="cellIs" dxfId="269" priority="93" operator="equal">
      <formula>"早"</formula>
    </cfRule>
    <cfRule type="cellIs" dxfId="268" priority="94" operator="equal">
      <formula>"M1"</formula>
    </cfRule>
    <cfRule type="cellIs" dxfId="267" priority="95" operator="equal">
      <formula>1</formula>
    </cfRule>
  </conditionalFormatting>
  <conditionalFormatting sqref="AR4:AR46">
    <cfRule type="cellIs" dxfId="266" priority="81" operator="equal">
      <formula>-2</formula>
    </cfRule>
    <cfRule type="cellIs" dxfId="265" priority="82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384AC-C620-492D-9B71-D2B981FA44F0}">
  <sheetPr>
    <pageSetUpPr fitToPage="1"/>
  </sheetPr>
  <dimension ref="A1:HR116"/>
  <sheetViews>
    <sheetView zoomScale="70" zoomScaleNormal="7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K4" sqref="K4"/>
    </sheetView>
  </sheetViews>
  <sheetFormatPr defaultColWidth="9" defaultRowHeight="24.6" customHeight="1"/>
  <cols>
    <col min="1" max="9" width="4.109375" style="77" customWidth="1"/>
    <col min="10" max="10" width="23.109375" style="6" customWidth="1"/>
    <col min="11" max="38" width="6.109375" style="6" customWidth="1"/>
    <col min="39" max="39" width="6" style="6" customWidth="1"/>
    <col min="40" max="41" width="6.109375" style="6" customWidth="1"/>
    <col min="42" max="43" width="7.88671875" style="6" customWidth="1"/>
    <col min="44" max="44" width="7.88671875" style="7" customWidth="1"/>
    <col min="45" max="45" width="5.88671875" style="6" customWidth="1"/>
    <col min="46" max="233" width="9" style="6" customWidth="1"/>
    <col min="234" max="234" width="7.109375" style="6" customWidth="1"/>
    <col min="235" max="16384" width="9" style="6"/>
  </cols>
  <sheetData>
    <row r="1" spans="1:226" ht="24.6" customHeight="1" thickBot="1">
      <c r="A1" s="1"/>
      <c r="B1" s="2" t="s">
        <v>103</v>
      </c>
      <c r="C1" s="1"/>
      <c r="D1" s="1"/>
      <c r="E1" s="1"/>
      <c r="F1" s="1"/>
      <c r="G1" s="1"/>
      <c r="H1" s="1"/>
      <c r="I1" s="3">
        <v>11</v>
      </c>
      <c r="J1" s="4"/>
      <c r="K1" s="474" t="str">
        <f>"TPKC剩餘人力："&amp;AR57&amp;" / NK剩餘人力："&amp;AS57&amp;" /  N班人力："&amp;AR52</f>
        <v>TPKC剩餘人力：0 / NK剩餘人力：0 /  N班人力：79</v>
      </c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6"/>
      <c r="AJ1" s="475"/>
      <c r="AK1" s="475"/>
      <c r="AL1" s="477"/>
      <c r="AM1" s="478"/>
      <c r="AN1" s="478"/>
      <c r="AO1" s="5"/>
      <c r="AR1" s="6"/>
      <c r="AS1" s="7"/>
    </row>
    <row r="2" spans="1:226" ht="23.25" customHeight="1" thickBot="1">
      <c r="A2" s="483">
        <v>1</v>
      </c>
      <c r="B2" s="485">
        <v>2</v>
      </c>
      <c r="C2" s="485">
        <v>3</v>
      </c>
      <c r="D2" s="487" t="s">
        <v>104</v>
      </c>
      <c r="E2" s="489" t="s">
        <v>105</v>
      </c>
      <c r="F2" s="8" t="s">
        <v>106</v>
      </c>
      <c r="G2" s="8" t="s">
        <v>107</v>
      </c>
      <c r="H2" s="8" t="s">
        <v>108</v>
      </c>
      <c r="I2" s="479" t="s">
        <v>109</v>
      </c>
      <c r="J2" s="493" t="s">
        <v>157</v>
      </c>
      <c r="K2" s="10" t="s">
        <v>116</v>
      </c>
      <c r="L2" s="11" t="s">
        <v>117</v>
      </c>
      <c r="M2" s="11" t="s">
        <v>111</v>
      </c>
      <c r="N2" s="12" t="s">
        <v>112</v>
      </c>
      <c r="O2" s="12" t="s">
        <v>113</v>
      </c>
      <c r="P2" s="12" t="s">
        <v>114</v>
      </c>
      <c r="Q2" s="12" t="s">
        <v>115</v>
      </c>
      <c r="R2" s="13" t="s">
        <v>116</v>
      </c>
      <c r="S2" s="14" t="s">
        <v>117</v>
      </c>
      <c r="T2" s="14" t="s">
        <v>111</v>
      </c>
      <c r="U2" s="9" t="s">
        <v>112</v>
      </c>
      <c r="V2" s="9" t="s">
        <v>113</v>
      </c>
      <c r="W2" s="9" t="s">
        <v>114</v>
      </c>
      <c r="X2" s="9" t="s">
        <v>115</v>
      </c>
      <c r="Y2" s="10" t="s">
        <v>116</v>
      </c>
      <c r="Z2" s="11" t="s">
        <v>117</v>
      </c>
      <c r="AA2" s="11" t="s">
        <v>111</v>
      </c>
      <c r="AB2" s="12" t="s">
        <v>112</v>
      </c>
      <c r="AC2" s="12" t="s">
        <v>113</v>
      </c>
      <c r="AD2" s="12" t="s">
        <v>114</v>
      </c>
      <c r="AE2" s="12" t="s">
        <v>115</v>
      </c>
      <c r="AF2" s="13" t="s">
        <v>116</v>
      </c>
      <c r="AG2" s="14" t="s">
        <v>117</v>
      </c>
      <c r="AH2" s="14" t="s">
        <v>111</v>
      </c>
      <c r="AI2" s="9" t="s">
        <v>112</v>
      </c>
      <c r="AJ2" s="9" t="s">
        <v>113</v>
      </c>
      <c r="AK2" s="9" t="s">
        <v>114</v>
      </c>
      <c r="AL2" s="9" t="s">
        <v>115</v>
      </c>
      <c r="AM2" s="10" t="s">
        <v>116</v>
      </c>
      <c r="AN2" s="11" t="s">
        <v>117</v>
      </c>
      <c r="AO2" s="11" t="s">
        <v>111</v>
      </c>
      <c r="AR2" s="6"/>
      <c r="AW2" s="471" t="s">
        <v>48</v>
      </c>
      <c r="AX2" s="472"/>
      <c r="AY2" s="473"/>
    </row>
    <row r="3" spans="1:226" ht="24.6" customHeight="1" thickBot="1">
      <c r="A3" s="484"/>
      <c r="B3" s="486"/>
      <c r="C3" s="486"/>
      <c r="D3" s="488"/>
      <c r="E3" s="490"/>
      <c r="F3" s="15" t="s">
        <v>118</v>
      </c>
      <c r="G3" s="15" t="s">
        <v>119</v>
      </c>
      <c r="H3" s="16" t="s">
        <v>120</v>
      </c>
      <c r="I3" s="480"/>
      <c r="J3" s="499"/>
      <c r="K3" s="220">
        <v>1</v>
      </c>
      <c r="L3" s="221">
        <v>2</v>
      </c>
      <c r="M3" s="221">
        <v>3</v>
      </c>
      <c r="N3" s="63">
        <v>4</v>
      </c>
      <c r="O3" s="63">
        <v>5</v>
      </c>
      <c r="P3" s="63">
        <v>6</v>
      </c>
      <c r="Q3" s="63">
        <v>7</v>
      </c>
      <c r="R3" s="63">
        <v>8</v>
      </c>
      <c r="S3" s="221">
        <v>9</v>
      </c>
      <c r="T3" s="221">
        <v>10</v>
      </c>
      <c r="U3" s="63">
        <v>11</v>
      </c>
      <c r="V3" s="63">
        <v>12</v>
      </c>
      <c r="W3" s="63">
        <v>13</v>
      </c>
      <c r="X3" s="63">
        <v>14</v>
      </c>
      <c r="Y3" s="63">
        <v>15</v>
      </c>
      <c r="Z3" s="221">
        <v>16</v>
      </c>
      <c r="AA3" s="221">
        <v>17</v>
      </c>
      <c r="AB3" s="63">
        <v>18</v>
      </c>
      <c r="AC3" s="63">
        <v>19</v>
      </c>
      <c r="AD3" s="63">
        <v>20</v>
      </c>
      <c r="AE3" s="63">
        <v>21</v>
      </c>
      <c r="AF3" s="63">
        <v>22</v>
      </c>
      <c r="AG3" s="221">
        <v>23</v>
      </c>
      <c r="AH3" s="221">
        <v>24</v>
      </c>
      <c r="AI3" s="63">
        <v>25</v>
      </c>
      <c r="AJ3" s="63">
        <v>26</v>
      </c>
      <c r="AK3" s="63">
        <v>27</v>
      </c>
      <c r="AL3" s="63">
        <v>28</v>
      </c>
      <c r="AM3" s="63">
        <v>29</v>
      </c>
      <c r="AN3" s="221">
        <v>30</v>
      </c>
      <c r="AO3" s="218">
        <v>31</v>
      </c>
      <c r="AP3" s="19" t="s">
        <v>121</v>
      </c>
      <c r="AQ3" s="19" t="s">
        <v>122</v>
      </c>
      <c r="AR3" s="20" t="s">
        <v>123</v>
      </c>
      <c r="AS3" s="21" t="s">
        <v>109</v>
      </c>
      <c r="AT3" s="22" t="s">
        <v>124</v>
      </c>
      <c r="AW3" s="117" t="s">
        <v>49</v>
      </c>
      <c r="AX3" s="117" t="s">
        <v>50</v>
      </c>
      <c r="AY3" s="117" t="s">
        <v>51</v>
      </c>
    </row>
    <row r="4" spans="1:226" ht="25.5" customHeight="1">
      <c r="A4" s="23">
        <f>COUNTIF(K4:AO4,1)+COUNTIF(K4:AO4,"早")+COUNTIF(K4:AO4,"M1")+COUNTIF(K4:AO4,"T早")+COUNTIF(K4:AO4,"日")</f>
        <v>0</v>
      </c>
      <c r="B4" s="24">
        <f>COUNTIF(K4:AO4,2)+COUNTIF(K4:AO4,"中")+COUNTIF(K4:AO4,"M2")+COUNTIF(K4:AO4,"T中")+COUNTIF(K4:AO4,"小夜")</f>
        <v>0</v>
      </c>
      <c r="C4" s="25">
        <f>COUNTIF(K4:AO4,3)+COUNTIF(K4:AO4,"晚")+COUNTIF(K4:AO4,"大夜")</f>
        <v>19</v>
      </c>
      <c r="D4" s="24">
        <f>COUNTIF(K4:AO4,"N")+COUNTIF(K4:AO4,"N8")</f>
        <v>0</v>
      </c>
      <c r="E4" s="26">
        <f>COUNTIF(K4:AO4,"S")</f>
        <v>1</v>
      </c>
      <c r="F4" s="26">
        <f>COUNTIF(K4:AO4,"X")</f>
        <v>11</v>
      </c>
      <c r="G4" s="26">
        <f>COUNTIF(K4:AO4,"Y")</f>
        <v>0</v>
      </c>
      <c r="H4" s="26">
        <f>COUNTIF(K4:AO4,"Z")</f>
        <v>0</v>
      </c>
      <c r="I4" s="27">
        <f t="shared" ref="I4:I39" si="0">SUM(A4:H4)</f>
        <v>31</v>
      </c>
      <c r="J4" s="267" t="s">
        <v>152</v>
      </c>
      <c r="K4" s="205" t="s">
        <v>0</v>
      </c>
      <c r="L4" s="118">
        <v>3</v>
      </c>
      <c r="M4" s="118">
        <v>3</v>
      </c>
      <c r="N4" s="118">
        <v>3</v>
      </c>
      <c r="O4" s="118">
        <v>3</v>
      </c>
      <c r="P4" s="118">
        <v>3</v>
      </c>
      <c r="Q4" s="118">
        <v>3</v>
      </c>
      <c r="R4" s="33" t="s">
        <v>0</v>
      </c>
      <c r="S4" s="29" t="s">
        <v>40</v>
      </c>
      <c r="T4" s="29" t="s">
        <v>40</v>
      </c>
      <c r="U4" s="118">
        <v>3</v>
      </c>
      <c r="V4" s="118">
        <v>3</v>
      </c>
      <c r="W4" s="118" t="s">
        <v>40</v>
      </c>
      <c r="X4" s="118">
        <v>3</v>
      </c>
      <c r="Y4" s="33" t="s">
        <v>0</v>
      </c>
      <c r="Z4" s="31" t="s">
        <v>0</v>
      </c>
      <c r="AA4" s="31" t="s">
        <v>0</v>
      </c>
      <c r="AB4" s="33" t="s">
        <v>127</v>
      </c>
      <c r="AC4" s="29" t="s">
        <v>0</v>
      </c>
      <c r="AD4" s="118" t="s">
        <v>40</v>
      </c>
      <c r="AE4" s="118">
        <v>3</v>
      </c>
      <c r="AF4" s="118">
        <v>3</v>
      </c>
      <c r="AG4" s="118">
        <v>3</v>
      </c>
      <c r="AH4" s="29" t="s">
        <v>0</v>
      </c>
      <c r="AI4" s="179" t="s">
        <v>0</v>
      </c>
      <c r="AJ4" s="29" t="s">
        <v>0</v>
      </c>
      <c r="AK4" s="29">
        <v>3</v>
      </c>
      <c r="AL4" s="118">
        <v>3</v>
      </c>
      <c r="AM4" s="118">
        <v>3</v>
      </c>
      <c r="AN4" s="31" t="s">
        <v>0</v>
      </c>
      <c r="AO4" s="135" t="s">
        <v>0</v>
      </c>
      <c r="AP4" s="35">
        <v>0</v>
      </c>
      <c r="AQ4" s="36">
        <f t="shared" ref="AQ4:AQ45" si="1">$F4+$G4+H4-$I$1</f>
        <v>0</v>
      </c>
      <c r="AR4" s="36">
        <v>0</v>
      </c>
      <c r="AS4" s="133">
        <f>SUM(AP4:AR4)</f>
        <v>0</v>
      </c>
      <c r="AT4" s="37" t="s">
        <v>128</v>
      </c>
      <c r="AW4" s="6" cm="2">
        <f t="array" ref="AW4">SUMPRODUCT(COUNTIF(L4:M4,{"X";"Y";"Z";"S"}))+SUMPRODUCT(COUNTIF(S4:T4,{"X";"Y";"Z";"S"}))+SUMPRODUCT(COUNTIF(Z4:AA4,{"X";"Y";"Z";"S"}))+SUMPRODUCT(COUNTIF(AG4:AH4,{"X";"Y";"Z";"S"}))+SUMPRODUCT(COUNTIF(AN4:AO4,{"X";"Y";"Z";"S"}))-5</f>
        <v>0</v>
      </c>
      <c r="AX4" s="6">
        <v>3</v>
      </c>
      <c r="AY4" s="6">
        <f>AW4+AX4</f>
        <v>3</v>
      </c>
    </row>
    <row r="5" spans="1:226" ht="25.5" customHeight="1">
      <c r="A5" s="38">
        <f t="shared" ref="A5:A39" si="2">COUNTIF(K5:AO5,1)+COUNTIF(K5:AO5,"早")+COUNTIF(K5:AO5,"M1")+COUNTIF(K5:AO5,"T早")+COUNTIF(K5:AO5,"日")</f>
        <v>3</v>
      </c>
      <c r="B5" s="39">
        <f t="shared" ref="B5:B39" si="3">COUNTIF(K5:AO5,2)+COUNTIF(K5:AO5,"中")+COUNTIF(K5:AO5,"M2")+COUNTIF(K5:AO5,"T中")+COUNTIF(K5:AO5,"小夜")</f>
        <v>2</v>
      </c>
      <c r="C5" s="40">
        <f t="shared" ref="C5:C39" si="4">COUNTIF(K5:AO5,3)+COUNTIF(K5:AO5,"晚")+COUNTIF(K5:AO5,"大夜")</f>
        <v>9</v>
      </c>
      <c r="D5" s="39">
        <f t="shared" ref="D5:D39" si="5">COUNTIF(K5:AO5,"N")+COUNTIF(K5:AO5,"N8")</f>
        <v>2</v>
      </c>
      <c r="E5" s="41">
        <f t="shared" ref="E5:E39" si="6">COUNTIF(K5:AO5,"S")</f>
        <v>4</v>
      </c>
      <c r="F5" s="41">
        <f t="shared" ref="F5:F39" si="7">COUNTIF(K5:AO5,"X")</f>
        <v>11</v>
      </c>
      <c r="G5" s="41">
        <f t="shared" ref="G5:G39" si="8">COUNTIF(K5:AO5,"Y")</f>
        <v>0</v>
      </c>
      <c r="H5" s="41">
        <f t="shared" ref="H5:H39" si="9">COUNTIF(K5:AO5,"Z")</f>
        <v>0</v>
      </c>
      <c r="I5" s="42">
        <f t="shared" si="0"/>
        <v>31</v>
      </c>
      <c r="J5" s="43" t="s">
        <v>2</v>
      </c>
      <c r="K5" s="200" t="s">
        <v>40</v>
      </c>
      <c r="L5" s="30" t="s">
        <v>0</v>
      </c>
      <c r="M5" s="30" t="s">
        <v>36</v>
      </c>
      <c r="N5" s="30" t="s">
        <v>36</v>
      </c>
      <c r="O5" s="30" t="s">
        <v>36</v>
      </c>
      <c r="P5" s="53" t="s">
        <v>3</v>
      </c>
      <c r="Q5" s="53" t="s">
        <v>3</v>
      </c>
      <c r="R5" s="32" t="s">
        <v>1</v>
      </c>
      <c r="S5" s="44" t="s">
        <v>0</v>
      </c>
      <c r="T5" s="44" t="s">
        <v>0</v>
      </c>
      <c r="U5" s="32" t="s">
        <v>1</v>
      </c>
      <c r="V5" s="32" t="s">
        <v>1</v>
      </c>
      <c r="W5" s="32" t="s">
        <v>1</v>
      </c>
      <c r="X5" s="32" t="s">
        <v>0</v>
      </c>
      <c r="Y5" s="121">
        <v>3</v>
      </c>
      <c r="Z5" s="121">
        <v>3</v>
      </c>
      <c r="AA5" s="121">
        <v>3</v>
      </c>
      <c r="AB5" s="121">
        <v>3</v>
      </c>
      <c r="AC5" s="121">
        <v>3</v>
      </c>
      <c r="AD5" s="30" t="s">
        <v>0</v>
      </c>
      <c r="AE5" s="30" t="s">
        <v>0</v>
      </c>
      <c r="AF5" s="32" t="s">
        <v>0</v>
      </c>
      <c r="AG5" s="44" t="s">
        <v>0</v>
      </c>
      <c r="AH5" s="44" t="s">
        <v>0</v>
      </c>
      <c r="AI5" s="120">
        <v>3</v>
      </c>
      <c r="AJ5" s="120">
        <v>3</v>
      </c>
      <c r="AK5" s="120">
        <v>3</v>
      </c>
      <c r="AL5" s="30" t="s">
        <v>0</v>
      </c>
      <c r="AM5" s="32" t="s">
        <v>0</v>
      </c>
      <c r="AN5" s="121" t="s">
        <v>38</v>
      </c>
      <c r="AO5" s="126" t="s">
        <v>38</v>
      </c>
      <c r="AP5" s="45">
        <v>0</v>
      </c>
      <c r="AQ5" s="46">
        <f t="shared" si="1"/>
        <v>0</v>
      </c>
      <c r="AR5" s="46">
        <v>0</v>
      </c>
      <c r="AS5" s="134">
        <f t="shared" ref="AS5:AS45" si="10">SUM(AP5:AR5)</f>
        <v>0</v>
      </c>
      <c r="AT5" s="284" t="s">
        <v>126</v>
      </c>
    </row>
    <row r="6" spans="1:226" ht="25.5" customHeight="1">
      <c r="A6" s="38">
        <f t="shared" si="2"/>
        <v>12</v>
      </c>
      <c r="B6" s="39">
        <f t="shared" si="3"/>
        <v>1</v>
      </c>
      <c r="C6" s="40">
        <f t="shared" si="4"/>
        <v>0</v>
      </c>
      <c r="D6" s="39">
        <f t="shared" si="5"/>
        <v>7</v>
      </c>
      <c r="E6" s="41">
        <f t="shared" si="6"/>
        <v>0</v>
      </c>
      <c r="F6" s="41">
        <f t="shared" si="7"/>
        <v>11</v>
      </c>
      <c r="G6" s="41">
        <f t="shared" si="8"/>
        <v>0</v>
      </c>
      <c r="H6" s="41">
        <f t="shared" si="9"/>
        <v>0</v>
      </c>
      <c r="I6" s="42">
        <f t="shared" si="0"/>
        <v>31</v>
      </c>
      <c r="J6" s="47" t="s">
        <v>129</v>
      </c>
      <c r="K6" s="122" t="s">
        <v>0</v>
      </c>
      <c r="L6" s="30" t="s">
        <v>36</v>
      </c>
      <c r="M6" s="44" t="s">
        <v>0</v>
      </c>
      <c r="N6" s="121">
        <v>1</v>
      </c>
      <c r="O6" s="30" t="s">
        <v>3</v>
      </c>
      <c r="P6" s="53" t="s">
        <v>3</v>
      </c>
      <c r="Q6" s="30" t="s">
        <v>3</v>
      </c>
      <c r="R6" s="30" t="s">
        <v>38</v>
      </c>
      <c r="S6" s="44" t="s">
        <v>0</v>
      </c>
      <c r="T6" s="30">
        <v>1</v>
      </c>
      <c r="U6" s="121">
        <v>1</v>
      </c>
      <c r="V6" s="53" t="s">
        <v>3</v>
      </c>
      <c r="W6" s="121">
        <v>1</v>
      </c>
      <c r="X6" s="32" t="s">
        <v>0</v>
      </c>
      <c r="Y6" s="30" t="s">
        <v>0</v>
      </c>
      <c r="Z6" s="121">
        <v>1</v>
      </c>
      <c r="AA6" s="121">
        <v>1</v>
      </c>
      <c r="AB6" s="121">
        <v>1</v>
      </c>
      <c r="AC6" s="30" t="s">
        <v>0</v>
      </c>
      <c r="AD6" s="30" t="s">
        <v>0</v>
      </c>
      <c r="AE6" s="30" t="s">
        <v>36</v>
      </c>
      <c r="AF6" s="30" t="s">
        <v>3</v>
      </c>
      <c r="AG6" s="44" t="s">
        <v>0</v>
      </c>
      <c r="AH6" s="44" t="s">
        <v>0</v>
      </c>
      <c r="AI6" s="30" t="s">
        <v>0</v>
      </c>
      <c r="AJ6" s="30" t="s">
        <v>3</v>
      </c>
      <c r="AK6" s="53" t="s">
        <v>3</v>
      </c>
      <c r="AL6" s="30" t="s">
        <v>36</v>
      </c>
      <c r="AM6" s="30" t="s">
        <v>0</v>
      </c>
      <c r="AN6" s="30" t="s">
        <v>36</v>
      </c>
      <c r="AO6" s="48" t="s">
        <v>36</v>
      </c>
      <c r="AP6" s="45">
        <v>0</v>
      </c>
      <c r="AQ6" s="46">
        <f t="shared" si="1"/>
        <v>0</v>
      </c>
      <c r="AR6" s="46">
        <v>0</v>
      </c>
      <c r="AS6" s="134">
        <f t="shared" si="10"/>
        <v>0</v>
      </c>
      <c r="AT6" s="284" t="s">
        <v>126</v>
      </c>
      <c r="AW6" s="6" cm="2">
        <f t="array" ref="AW6">SUMPRODUCT(COUNTIF(L6:M6,{"X";"Y";"Z";"S"}))+SUMPRODUCT(COUNTIF(S6:T6,{"X";"Y";"Z";"S"}))+SUMPRODUCT(COUNTIF(Z6:AA6,{"X";"Y";"Z";"S"}))+SUMPRODUCT(COUNTIF(AG6:AH6,{"X";"Y";"Z";"S"}))+SUMPRODUCT(COUNTIF(AN6:AO6,{"X";"Y";"Z";"S"}))-5</f>
        <v>-1</v>
      </c>
      <c r="AX6" s="6">
        <v>2</v>
      </c>
      <c r="AY6" s="6">
        <f t="shared" ref="AY6:AY7" si="11">AW6+AX6</f>
        <v>1</v>
      </c>
    </row>
    <row r="7" spans="1:226" ht="25.5" customHeight="1">
      <c r="A7" s="38">
        <f t="shared" si="2"/>
        <v>15</v>
      </c>
      <c r="B7" s="39">
        <f t="shared" si="3"/>
        <v>1</v>
      </c>
      <c r="C7" s="40">
        <f t="shared" si="4"/>
        <v>0</v>
      </c>
      <c r="D7" s="39">
        <f t="shared" si="5"/>
        <v>2</v>
      </c>
      <c r="E7" s="41">
        <f t="shared" si="6"/>
        <v>2</v>
      </c>
      <c r="F7" s="41">
        <f t="shared" si="7"/>
        <v>11</v>
      </c>
      <c r="G7" s="41">
        <f t="shared" si="8"/>
        <v>0</v>
      </c>
      <c r="H7" s="41">
        <f t="shared" si="9"/>
        <v>0</v>
      </c>
      <c r="I7" s="42">
        <f t="shared" si="0"/>
        <v>31</v>
      </c>
      <c r="J7" s="47" t="s">
        <v>130</v>
      </c>
      <c r="K7" s="137" t="s">
        <v>0</v>
      </c>
      <c r="L7" s="121">
        <v>2</v>
      </c>
      <c r="M7" s="30" t="s">
        <v>0</v>
      </c>
      <c r="N7" s="44" t="s">
        <v>0</v>
      </c>
      <c r="O7" s="30" t="s">
        <v>0</v>
      </c>
      <c r="P7" s="121" t="s">
        <v>36</v>
      </c>
      <c r="Q7" s="53" t="s">
        <v>3</v>
      </c>
      <c r="R7" s="30" t="s">
        <v>0</v>
      </c>
      <c r="S7" s="32" t="s">
        <v>1</v>
      </c>
      <c r="T7" s="44" t="s">
        <v>0</v>
      </c>
      <c r="U7" s="121" t="s">
        <v>36</v>
      </c>
      <c r="V7" s="30" t="s">
        <v>36</v>
      </c>
      <c r="W7" s="30" t="s">
        <v>36</v>
      </c>
      <c r="X7" s="30" t="s">
        <v>0</v>
      </c>
      <c r="Y7" s="30" t="s">
        <v>0</v>
      </c>
      <c r="Z7" s="30">
        <v>1</v>
      </c>
      <c r="AA7" s="30">
        <v>1</v>
      </c>
      <c r="AB7" s="30" t="s">
        <v>0</v>
      </c>
      <c r="AC7" s="121" t="s">
        <v>36</v>
      </c>
      <c r="AD7" s="30" t="s">
        <v>3</v>
      </c>
      <c r="AE7" s="30" t="s">
        <v>36</v>
      </c>
      <c r="AF7" s="121">
        <v>1</v>
      </c>
      <c r="AG7" s="32" t="s">
        <v>1</v>
      </c>
      <c r="AH7" s="44" t="s">
        <v>0</v>
      </c>
      <c r="AI7" s="121" t="s">
        <v>36</v>
      </c>
      <c r="AJ7" s="121" t="s">
        <v>36</v>
      </c>
      <c r="AK7" s="121" t="s">
        <v>36</v>
      </c>
      <c r="AL7" s="30" t="s">
        <v>0</v>
      </c>
      <c r="AM7" s="30" t="s">
        <v>36</v>
      </c>
      <c r="AN7" s="30" t="s">
        <v>36</v>
      </c>
      <c r="AO7" s="48" t="s">
        <v>36</v>
      </c>
      <c r="AP7" s="45">
        <v>0</v>
      </c>
      <c r="AQ7" s="46">
        <f t="shared" si="1"/>
        <v>0</v>
      </c>
      <c r="AR7" s="46">
        <v>0</v>
      </c>
      <c r="AS7" s="134">
        <f t="shared" si="10"/>
        <v>0</v>
      </c>
      <c r="AT7" s="284" t="s">
        <v>126</v>
      </c>
      <c r="AW7" s="6" cm="2">
        <f t="array" ref="AW7">SUMPRODUCT(COUNTIF(L7:M7,{"X";"Y";"Z";"S"}))+SUMPRODUCT(COUNTIF(S7:T7,{"X";"Y";"Z";"S"}))+SUMPRODUCT(COUNTIF(Z7:AA7,{"X";"Y";"Z";"S"}))+SUMPRODUCT(COUNTIF(AG7:AH7,{"X";"Y";"Z";"S"}))+SUMPRODUCT(COUNTIF(AN7:AO7,{"X";"Y";"Z";"S"}))-5</f>
        <v>0</v>
      </c>
      <c r="AX7" s="6">
        <v>2</v>
      </c>
      <c r="AY7" s="6">
        <f t="shared" si="11"/>
        <v>2</v>
      </c>
    </row>
    <row r="8" spans="1:226" ht="24" customHeight="1">
      <c r="A8" s="38">
        <f t="shared" si="2"/>
        <v>1</v>
      </c>
      <c r="B8" s="39">
        <f t="shared" si="3"/>
        <v>0</v>
      </c>
      <c r="C8" s="40">
        <f t="shared" si="4"/>
        <v>0</v>
      </c>
      <c r="D8" s="39">
        <f t="shared" si="5"/>
        <v>14</v>
      </c>
      <c r="E8" s="41">
        <f t="shared" si="6"/>
        <v>5</v>
      </c>
      <c r="F8" s="41">
        <f t="shared" si="7"/>
        <v>11</v>
      </c>
      <c r="G8" s="41">
        <f t="shared" si="8"/>
        <v>0</v>
      </c>
      <c r="H8" s="41">
        <f t="shared" si="9"/>
        <v>0</v>
      </c>
      <c r="I8" s="42">
        <f t="shared" si="0"/>
        <v>31</v>
      </c>
      <c r="J8" s="47" t="s">
        <v>132</v>
      </c>
      <c r="K8" s="137" t="s">
        <v>0</v>
      </c>
      <c r="L8" s="44" t="s">
        <v>0</v>
      </c>
      <c r="M8" s="44" t="s">
        <v>0</v>
      </c>
      <c r="N8" s="32" t="s">
        <v>1</v>
      </c>
      <c r="O8" s="30" t="s">
        <v>3</v>
      </c>
      <c r="P8" s="30" t="s">
        <v>3</v>
      </c>
      <c r="Q8" s="30" t="s">
        <v>3</v>
      </c>
      <c r="R8" s="32" t="s">
        <v>1</v>
      </c>
      <c r="S8" s="44" t="s">
        <v>0</v>
      </c>
      <c r="T8" s="44" t="s">
        <v>0</v>
      </c>
      <c r="U8" s="32" t="s">
        <v>1</v>
      </c>
      <c r="V8" s="30" t="s">
        <v>3</v>
      </c>
      <c r="W8" s="30" t="s">
        <v>3</v>
      </c>
      <c r="X8" s="121">
        <v>1</v>
      </c>
      <c r="Y8" s="32" t="s">
        <v>1</v>
      </c>
      <c r="Z8" s="44" t="s">
        <v>0</v>
      </c>
      <c r="AA8" s="44" t="s">
        <v>0</v>
      </c>
      <c r="AB8" s="30" t="s">
        <v>3</v>
      </c>
      <c r="AC8" s="30" t="s">
        <v>3</v>
      </c>
      <c r="AD8" s="30" t="s">
        <v>3</v>
      </c>
      <c r="AE8" s="30" t="s">
        <v>3</v>
      </c>
      <c r="AF8" s="32" t="s">
        <v>1</v>
      </c>
      <c r="AG8" s="44" t="s">
        <v>0</v>
      </c>
      <c r="AH8" s="44" t="s">
        <v>0</v>
      </c>
      <c r="AI8" s="30" t="s">
        <v>3</v>
      </c>
      <c r="AJ8" s="30" t="s">
        <v>3</v>
      </c>
      <c r="AK8" s="30" t="s">
        <v>3</v>
      </c>
      <c r="AL8" s="30" t="s">
        <v>3</v>
      </c>
      <c r="AM8" s="30" t="s">
        <v>3</v>
      </c>
      <c r="AN8" s="44" t="s">
        <v>0</v>
      </c>
      <c r="AO8" s="123" t="s">
        <v>0</v>
      </c>
      <c r="AP8" s="45">
        <v>0</v>
      </c>
      <c r="AQ8" s="46">
        <f t="shared" si="1"/>
        <v>0</v>
      </c>
      <c r="AR8" s="46">
        <v>0</v>
      </c>
      <c r="AS8" s="134">
        <f t="shared" si="10"/>
        <v>0</v>
      </c>
      <c r="AT8" s="284" t="s">
        <v>133</v>
      </c>
    </row>
    <row r="9" spans="1:226" s="50" customFormat="1" ht="24.75" customHeight="1">
      <c r="A9" s="38">
        <f t="shared" si="2"/>
        <v>14</v>
      </c>
      <c r="B9" s="39">
        <f t="shared" si="3"/>
        <v>2</v>
      </c>
      <c r="C9" s="40">
        <f t="shared" si="4"/>
        <v>0</v>
      </c>
      <c r="D9" s="39">
        <f t="shared" si="5"/>
        <v>1</v>
      </c>
      <c r="E9" s="41">
        <f t="shared" si="6"/>
        <v>3</v>
      </c>
      <c r="F9" s="41">
        <f t="shared" si="7"/>
        <v>11</v>
      </c>
      <c r="G9" s="41">
        <f t="shared" si="8"/>
        <v>0</v>
      </c>
      <c r="H9" s="41">
        <f t="shared" si="9"/>
        <v>0</v>
      </c>
      <c r="I9" s="42">
        <f t="shared" si="0"/>
        <v>31</v>
      </c>
      <c r="J9" s="47" t="s">
        <v>4</v>
      </c>
      <c r="K9" s="122" t="s">
        <v>0</v>
      </c>
      <c r="L9" s="44" t="s">
        <v>0</v>
      </c>
      <c r="M9" s="44" t="s">
        <v>0</v>
      </c>
      <c r="N9" s="30" t="s">
        <v>36</v>
      </c>
      <c r="O9" s="30" t="s">
        <v>36</v>
      </c>
      <c r="P9" s="121">
        <v>1</v>
      </c>
      <c r="Q9" s="30" t="s">
        <v>3</v>
      </c>
      <c r="R9" s="32" t="s">
        <v>1</v>
      </c>
      <c r="S9" s="30" t="s">
        <v>36</v>
      </c>
      <c r="T9" s="30" t="s">
        <v>0</v>
      </c>
      <c r="U9" s="30" t="s">
        <v>36</v>
      </c>
      <c r="V9" s="30" t="s">
        <v>36</v>
      </c>
      <c r="W9" s="30" t="s">
        <v>36</v>
      </c>
      <c r="X9" s="32" t="s">
        <v>1</v>
      </c>
      <c r="Y9" s="32" t="s">
        <v>1</v>
      </c>
      <c r="Z9" s="44" t="s">
        <v>0</v>
      </c>
      <c r="AA9" s="44" t="s">
        <v>0</v>
      </c>
      <c r="AB9" s="30" t="s">
        <v>36</v>
      </c>
      <c r="AC9" s="30" t="s">
        <v>36</v>
      </c>
      <c r="AD9" s="30" t="s">
        <v>36</v>
      </c>
      <c r="AE9" s="30" t="s">
        <v>36</v>
      </c>
      <c r="AF9" s="30" t="s">
        <v>0</v>
      </c>
      <c r="AG9" s="121">
        <v>2</v>
      </c>
      <c r="AH9" s="121">
        <v>2</v>
      </c>
      <c r="AI9" s="32" t="s">
        <v>0</v>
      </c>
      <c r="AJ9" s="30" t="s">
        <v>0</v>
      </c>
      <c r="AK9" s="30">
        <v>1</v>
      </c>
      <c r="AL9" s="124" t="s">
        <v>5</v>
      </c>
      <c r="AM9" s="121">
        <v>1</v>
      </c>
      <c r="AN9" s="44" t="s">
        <v>0</v>
      </c>
      <c r="AO9" s="123" t="s">
        <v>0</v>
      </c>
      <c r="AP9" s="45">
        <v>0</v>
      </c>
      <c r="AQ9" s="46">
        <f t="shared" si="1"/>
        <v>0</v>
      </c>
      <c r="AR9" s="46">
        <v>0</v>
      </c>
      <c r="AS9" s="134">
        <f t="shared" si="10"/>
        <v>0</v>
      </c>
      <c r="AT9" s="284" t="s">
        <v>128</v>
      </c>
      <c r="AU9" s="6"/>
      <c r="AV9" s="6"/>
      <c r="AW9" s="6" cm="2">
        <f t="array" ref="AW9">SUMPRODUCT(COUNTIF(L9:M9,{"X";"Y";"Z";"S"}))+SUMPRODUCT(COUNTIF(S9:T9,{"X";"Y";"Z";"S"}))+SUMPRODUCT(COUNTIF(Z9:AA9,{"X";"Y";"Z";"S"}))+SUMPRODUCT(COUNTIF(AG9:AH9,{"X";"Y";"Z";"S"}))+SUMPRODUCT(COUNTIF(AN9:AO9,{"X";"Y";"Z";"S"}))-5</f>
        <v>2</v>
      </c>
      <c r="AX9" s="6">
        <v>3</v>
      </c>
      <c r="AY9" s="6">
        <f t="shared" ref="AY9:AY13" si="12">AW9+AX9</f>
        <v>5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1:226" s="50" customFormat="1" ht="29.25" customHeight="1">
      <c r="A10" s="38">
        <f t="shared" si="2"/>
        <v>15</v>
      </c>
      <c r="B10" s="39">
        <f t="shared" si="3"/>
        <v>3</v>
      </c>
      <c r="C10" s="40">
        <f t="shared" si="4"/>
        <v>0</v>
      </c>
      <c r="D10" s="39">
        <f t="shared" si="5"/>
        <v>1</v>
      </c>
      <c r="E10" s="41">
        <f t="shared" si="6"/>
        <v>1</v>
      </c>
      <c r="F10" s="41">
        <f t="shared" si="7"/>
        <v>11</v>
      </c>
      <c r="G10" s="41">
        <f t="shared" si="8"/>
        <v>0</v>
      </c>
      <c r="H10" s="41">
        <f t="shared" si="9"/>
        <v>0</v>
      </c>
      <c r="I10" s="42">
        <f t="shared" si="0"/>
        <v>31</v>
      </c>
      <c r="J10" s="51" t="s">
        <v>134</v>
      </c>
      <c r="K10" s="200" t="s">
        <v>36</v>
      </c>
      <c r="L10" s="121">
        <v>1</v>
      </c>
      <c r="M10" s="30" t="s">
        <v>0</v>
      </c>
      <c r="N10" s="32" t="s">
        <v>0</v>
      </c>
      <c r="O10" s="32" t="s">
        <v>1</v>
      </c>
      <c r="P10" s="32" t="s">
        <v>0</v>
      </c>
      <c r="Q10" s="30" t="s">
        <v>36</v>
      </c>
      <c r="R10" s="30" t="s">
        <v>36</v>
      </c>
      <c r="S10" s="44" t="s">
        <v>0</v>
      </c>
      <c r="T10" s="44" t="s">
        <v>0</v>
      </c>
      <c r="U10" s="121">
        <v>2</v>
      </c>
      <c r="V10" s="121">
        <v>2</v>
      </c>
      <c r="W10" s="121">
        <v>2</v>
      </c>
      <c r="X10" s="136" t="s">
        <v>0</v>
      </c>
      <c r="Y10" s="136" t="s">
        <v>36</v>
      </c>
      <c r="Z10" s="30" t="s">
        <v>36</v>
      </c>
      <c r="AA10" s="30" t="s">
        <v>36</v>
      </c>
      <c r="AB10" s="121" t="s">
        <v>36</v>
      </c>
      <c r="AC10" s="30" t="s">
        <v>0</v>
      </c>
      <c r="AD10" s="121" t="s">
        <v>36</v>
      </c>
      <c r="AE10" s="30" t="s">
        <v>36</v>
      </c>
      <c r="AF10" s="32" t="s">
        <v>0</v>
      </c>
      <c r="AG10" s="44" t="s">
        <v>0</v>
      </c>
      <c r="AH10" s="44" t="s">
        <v>0</v>
      </c>
      <c r="AI10" s="30">
        <v>1</v>
      </c>
      <c r="AJ10" s="30" t="s">
        <v>3</v>
      </c>
      <c r="AK10" s="30" t="s">
        <v>36</v>
      </c>
      <c r="AL10" s="17" t="s">
        <v>0</v>
      </c>
      <c r="AM10" s="30" t="s">
        <v>36</v>
      </c>
      <c r="AN10" s="30" t="s">
        <v>36</v>
      </c>
      <c r="AO10" s="48" t="s">
        <v>36</v>
      </c>
      <c r="AP10" s="45">
        <v>0</v>
      </c>
      <c r="AQ10" s="46">
        <f t="shared" si="1"/>
        <v>0</v>
      </c>
      <c r="AR10" s="46">
        <v>0</v>
      </c>
      <c r="AS10" s="134">
        <f t="shared" si="10"/>
        <v>0</v>
      </c>
      <c r="AT10" s="284" t="s">
        <v>126</v>
      </c>
      <c r="AU10" s="6"/>
      <c r="AV10" s="6"/>
      <c r="AW10" s="6" cm="2">
        <f t="array" ref="AW10">SUMPRODUCT(COUNTIF(L10:M10,{"X";"Y";"Z";"S"}))+SUMPRODUCT(COUNTIF(S10:T10,{"X";"Y";"Z";"S"}))+SUMPRODUCT(COUNTIF(Z10:AA10,{"X";"Y";"Z";"S"}))+SUMPRODUCT(COUNTIF(AG10:AH10,{"X";"Y";"Z";"S"}))+SUMPRODUCT(COUNTIF(AN10:AO10,{"X";"Y";"Z";"S"}))-5</f>
        <v>0</v>
      </c>
      <c r="AX10" s="6">
        <v>2</v>
      </c>
      <c r="AY10" s="6">
        <f t="shared" si="12"/>
        <v>2</v>
      </c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1:226" s="50" customFormat="1" ht="25.5" customHeight="1">
      <c r="A11" s="38">
        <f>COUNTIF(K11:AO11,1)+COUNTIF(K11:AO11,"早")+COUNTIF(K11:AO11,"M1")+COUNTIF(K11:AO11,"T早")+COUNTIF(K11:AO11,"日")</f>
        <v>16</v>
      </c>
      <c r="B11" s="39">
        <f>COUNTIF(K11:AO11,2)+COUNTIF(K11:AO11,"中")+COUNTIF(K11:AO11,"M2")+COUNTIF(K11:AO11,"T中")+COUNTIF(K11:AO11,"小夜")</f>
        <v>1</v>
      </c>
      <c r="C11" s="40">
        <f>COUNTIF(K11:AO11,3)+COUNTIF(K11:AO11,"晚")+COUNTIF(K11:AO11,"大夜")</f>
        <v>0</v>
      </c>
      <c r="D11" s="39">
        <f>COUNTIF(K11:AO11,"N")+COUNTIF(K11:AO11,"N8")</f>
        <v>1</v>
      </c>
      <c r="E11" s="41">
        <f>COUNTIF(K11:AO11,"S")</f>
        <v>2</v>
      </c>
      <c r="F11" s="41">
        <f>COUNTIF(K11:AO11,"X")</f>
        <v>11</v>
      </c>
      <c r="G11" s="41">
        <f>COUNTIF(K11:AO11,"Y")</f>
        <v>0</v>
      </c>
      <c r="H11" s="41">
        <f>COUNTIF(K11:AO11,"Z")</f>
        <v>0</v>
      </c>
      <c r="I11" s="42">
        <f t="shared" si="0"/>
        <v>31</v>
      </c>
      <c r="J11" s="47" t="s">
        <v>6</v>
      </c>
      <c r="K11" s="122" t="s">
        <v>0</v>
      </c>
      <c r="L11" s="44" t="s">
        <v>0</v>
      </c>
      <c r="M11" s="44" t="s">
        <v>0</v>
      </c>
      <c r="N11" s="30" t="s">
        <v>36</v>
      </c>
      <c r="O11" s="30" t="s">
        <v>36</v>
      </c>
      <c r="P11" s="30" t="s">
        <v>36</v>
      </c>
      <c r="Q11" s="124" t="s">
        <v>5</v>
      </c>
      <c r="R11" s="32" t="s">
        <v>0</v>
      </c>
      <c r="S11" s="121">
        <v>1</v>
      </c>
      <c r="T11" s="121">
        <v>1</v>
      </c>
      <c r="U11" s="30" t="s">
        <v>36</v>
      </c>
      <c r="V11" s="30" t="s">
        <v>36</v>
      </c>
      <c r="W11" s="30" t="s">
        <v>0</v>
      </c>
      <c r="X11" s="30" t="s">
        <v>36</v>
      </c>
      <c r="Y11" s="30" t="s">
        <v>36</v>
      </c>
      <c r="Z11" s="44" t="s">
        <v>0</v>
      </c>
      <c r="AA11" s="44" t="s">
        <v>0</v>
      </c>
      <c r="AB11" s="32" t="s">
        <v>1</v>
      </c>
      <c r="AC11" s="30" t="s">
        <v>36</v>
      </c>
      <c r="AD11" s="30" t="s">
        <v>3</v>
      </c>
      <c r="AE11" s="124" t="s">
        <v>5</v>
      </c>
      <c r="AF11" s="32" t="s">
        <v>1</v>
      </c>
      <c r="AG11" s="30" t="s">
        <v>38</v>
      </c>
      <c r="AH11" s="30" t="s">
        <v>0</v>
      </c>
      <c r="AI11" s="124" t="s">
        <v>5</v>
      </c>
      <c r="AJ11" s="30" t="s">
        <v>36</v>
      </c>
      <c r="AK11" s="30" t="s">
        <v>36</v>
      </c>
      <c r="AL11" s="30" t="s">
        <v>36</v>
      </c>
      <c r="AM11" s="30" t="s">
        <v>0</v>
      </c>
      <c r="AN11" s="44" t="s">
        <v>0</v>
      </c>
      <c r="AO11" s="123" t="s">
        <v>0</v>
      </c>
      <c r="AP11" s="45">
        <v>0</v>
      </c>
      <c r="AQ11" s="46">
        <f t="shared" si="1"/>
        <v>0</v>
      </c>
      <c r="AR11" s="46">
        <v>0</v>
      </c>
      <c r="AS11" s="134">
        <f t="shared" si="10"/>
        <v>0</v>
      </c>
      <c r="AT11" s="284" t="s">
        <v>128</v>
      </c>
      <c r="AU11" s="6"/>
      <c r="AV11" s="6"/>
      <c r="AW11" s="6" cm="2">
        <f t="array" ref="AW11">SUMPRODUCT(COUNTIF(L11:M11,{"X";"Y";"Z";"S"}))+SUMPRODUCT(COUNTIF(S11:T11,{"X";"Y";"Z";"S"}))+SUMPRODUCT(COUNTIF(Z11:AA11,{"X";"Y";"Z";"S"}))+SUMPRODUCT(COUNTIF(AG11:AH11,{"X";"Y";"Z";"S"}))+SUMPRODUCT(COUNTIF(AN11:AO11,{"X";"Y";"Z";"S"}))-5</f>
        <v>2</v>
      </c>
      <c r="AX11" s="6">
        <v>3</v>
      </c>
      <c r="AY11" s="6">
        <f t="shared" si="12"/>
        <v>5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1:226" s="50" customFormat="1" ht="25.5" customHeight="1">
      <c r="A12" s="38">
        <f t="shared" si="2"/>
        <v>18</v>
      </c>
      <c r="B12" s="39">
        <f t="shared" si="3"/>
        <v>1</v>
      </c>
      <c r="C12" s="40">
        <f t="shared" si="4"/>
        <v>0</v>
      </c>
      <c r="D12" s="39">
        <f t="shared" si="5"/>
        <v>1</v>
      </c>
      <c r="E12" s="41">
        <f t="shared" si="6"/>
        <v>0</v>
      </c>
      <c r="F12" s="41">
        <f t="shared" si="7"/>
        <v>11</v>
      </c>
      <c r="G12" s="41">
        <f t="shared" si="8"/>
        <v>0</v>
      </c>
      <c r="H12" s="41">
        <f t="shared" si="9"/>
        <v>0</v>
      </c>
      <c r="I12" s="42">
        <f t="shared" si="0"/>
        <v>31</v>
      </c>
      <c r="J12" s="47" t="s">
        <v>135</v>
      </c>
      <c r="K12" s="122" t="s">
        <v>0</v>
      </c>
      <c r="L12" s="30" t="s">
        <v>36</v>
      </c>
      <c r="M12" s="30" t="s">
        <v>36</v>
      </c>
      <c r="N12" s="121" t="s">
        <v>36</v>
      </c>
      <c r="O12" s="121" t="s">
        <v>36</v>
      </c>
      <c r="P12" s="121">
        <v>2</v>
      </c>
      <c r="Q12" s="30" t="s">
        <v>0</v>
      </c>
      <c r="R12" s="30" t="s">
        <v>0</v>
      </c>
      <c r="S12" s="44" t="s">
        <v>0</v>
      </c>
      <c r="T12" s="44" t="s">
        <v>0</v>
      </c>
      <c r="U12" s="30" t="s">
        <v>36</v>
      </c>
      <c r="V12" s="30" t="s">
        <v>36</v>
      </c>
      <c r="W12" s="30" t="s">
        <v>0</v>
      </c>
      <c r="X12" s="32" t="s">
        <v>0</v>
      </c>
      <c r="Y12" s="30" t="s">
        <v>36</v>
      </c>
      <c r="Z12" s="30" t="s">
        <v>36</v>
      </c>
      <c r="AA12" s="30" t="s">
        <v>36</v>
      </c>
      <c r="AB12" s="30" t="s">
        <v>36</v>
      </c>
      <c r="AC12" s="30" t="s">
        <v>0</v>
      </c>
      <c r="AD12" s="30" t="s">
        <v>36</v>
      </c>
      <c r="AE12" s="30" t="s">
        <v>3</v>
      </c>
      <c r="AF12" s="30" t="s">
        <v>36</v>
      </c>
      <c r="AG12" s="44" t="s">
        <v>0</v>
      </c>
      <c r="AH12" s="44" t="s">
        <v>0</v>
      </c>
      <c r="AI12" s="30" t="s">
        <v>36</v>
      </c>
      <c r="AJ12" s="30" t="s">
        <v>36</v>
      </c>
      <c r="AK12" s="30" t="s">
        <v>36</v>
      </c>
      <c r="AL12" s="30" t="s">
        <v>36</v>
      </c>
      <c r="AM12" s="30" t="s">
        <v>36</v>
      </c>
      <c r="AN12" s="30" t="s">
        <v>0</v>
      </c>
      <c r="AO12" s="17">
        <v>1</v>
      </c>
      <c r="AP12" s="45">
        <v>0</v>
      </c>
      <c r="AQ12" s="46">
        <f t="shared" si="1"/>
        <v>0</v>
      </c>
      <c r="AR12" s="46">
        <v>0</v>
      </c>
      <c r="AS12" s="134">
        <f t="shared" si="10"/>
        <v>0</v>
      </c>
      <c r="AT12" s="284" t="s">
        <v>126</v>
      </c>
      <c r="AU12" s="6"/>
      <c r="AV12" s="6"/>
      <c r="AW12" s="6" cm="2">
        <f t="array" ref="AW12">SUMPRODUCT(COUNTIF(L12:M12,{"X";"Y";"Z";"S"}))+SUMPRODUCT(COUNTIF(S12:T12,{"X";"Y";"Z";"S"}))+SUMPRODUCT(COUNTIF(Z12:AA12,{"X";"Y";"Z";"S"}))+SUMPRODUCT(COUNTIF(AG12:AH12,{"X";"Y";"Z";"S"}))+SUMPRODUCT(COUNTIF(AN12:AO12,{"X";"Y";"Z";"S"}))-5</f>
        <v>0</v>
      </c>
      <c r="AX12" s="6">
        <v>2</v>
      </c>
      <c r="AY12" s="6">
        <f t="shared" si="12"/>
        <v>2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</row>
    <row r="13" spans="1:226" s="50" customFormat="1" ht="28.35" customHeight="1">
      <c r="A13" s="38">
        <f>COUNTIF(K13:AO13,1)+COUNTIF(K13:AO13,"早")+COUNTIF(K13:AO13,"M1")+COUNTIF(K13:AO13,"T早")+COUNTIF(K13:AO13,"日")</f>
        <v>9</v>
      </c>
      <c r="B13" s="39">
        <f>COUNTIF(K13:AO13,2)+COUNTIF(K13:AO13,"中")+COUNTIF(K13:AO13,"M2")+COUNTIF(K13:AO13,"T中")+COUNTIF(K13:AO13,"小夜")</f>
        <v>2</v>
      </c>
      <c r="C13" s="40">
        <f>COUNTIF(K13:AO13,3)+COUNTIF(K13:AO13,"晚")+COUNTIF(K13:AO13,"大夜")</f>
        <v>0</v>
      </c>
      <c r="D13" s="39">
        <f>COUNTIF(K13:AO13,"N")+COUNTIF(K13:AO13,"N8")</f>
        <v>5</v>
      </c>
      <c r="E13" s="41">
        <f>COUNTIF(K13:AO13,"S")</f>
        <v>4</v>
      </c>
      <c r="F13" s="41">
        <f>COUNTIF(K13:AO13,"X")</f>
        <v>11</v>
      </c>
      <c r="G13" s="41">
        <f>COUNTIF(K13:AO13,"Y")</f>
        <v>0</v>
      </c>
      <c r="H13" s="41">
        <f>COUNTIF(K13:AO13,"Z")</f>
        <v>0</v>
      </c>
      <c r="I13" s="42">
        <f t="shared" si="0"/>
        <v>31</v>
      </c>
      <c r="J13" s="51" t="s">
        <v>136</v>
      </c>
      <c r="K13" s="122" t="s">
        <v>1</v>
      </c>
      <c r="L13" s="32" t="s">
        <v>1</v>
      </c>
      <c r="M13" s="32" t="s">
        <v>1</v>
      </c>
      <c r="N13" s="44" t="s">
        <v>0</v>
      </c>
      <c r="O13" s="53" t="s">
        <v>3</v>
      </c>
      <c r="P13" s="44" t="s">
        <v>0</v>
      </c>
      <c r="Q13" s="53" t="s">
        <v>3</v>
      </c>
      <c r="R13" s="124" t="s">
        <v>58</v>
      </c>
      <c r="S13" s="121">
        <v>2</v>
      </c>
      <c r="T13" s="121">
        <v>2</v>
      </c>
      <c r="U13" s="30" t="s">
        <v>0</v>
      </c>
      <c r="V13" s="124" t="s">
        <v>58</v>
      </c>
      <c r="W13" s="32" t="s">
        <v>1</v>
      </c>
      <c r="X13" s="32" t="s">
        <v>0</v>
      </c>
      <c r="Y13" s="124" t="s">
        <v>58</v>
      </c>
      <c r="Z13" s="44" t="s">
        <v>0</v>
      </c>
      <c r="AA13" s="44" t="s">
        <v>0</v>
      </c>
      <c r="AB13" s="53" t="s">
        <v>3</v>
      </c>
      <c r="AC13" s="53" t="s">
        <v>3</v>
      </c>
      <c r="AD13" s="121">
        <v>1</v>
      </c>
      <c r="AE13" s="30" t="s">
        <v>0</v>
      </c>
      <c r="AF13" s="124" t="s">
        <v>58</v>
      </c>
      <c r="AG13" s="30" t="s">
        <v>36</v>
      </c>
      <c r="AH13" s="30" t="s">
        <v>36</v>
      </c>
      <c r="AI13" s="30" t="s">
        <v>0</v>
      </c>
      <c r="AJ13" s="32" t="s">
        <v>0</v>
      </c>
      <c r="AK13" s="30">
        <v>1</v>
      </c>
      <c r="AL13" s="30" t="s">
        <v>3</v>
      </c>
      <c r="AM13" s="124" t="s">
        <v>58</v>
      </c>
      <c r="AN13" s="44" t="s">
        <v>0</v>
      </c>
      <c r="AO13" s="123" t="s">
        <v>0</v>
      </c>
      <c r="AP13" s="45">
        <v>0</v>
      </c>
      <c r="AQ13" s="46">
        <f t="shared" si="1"/>
        <v>0</v>
      </c>
      <c r="AR13" s="46">
        <v>0</v>
      </c>
      <c r="AS13" s="134">
        <f t="shared" si="10"/>
        <v>0</v>
      </c>
      <c r="AT13" s="284" t="s">
        <v>128</v>
      </c>
      <c r="AU13" s="6"/>
      <c r="AV13" s="6"/>
      <c r="AW13" s="6" cm="2">
        <f t="array" ref="AW13">SUMPRODUCT(COUNTIF(L13:M13,{"X";"Y";"Z";"S"}))+SUMPRODUCT(COUNTIF(S13:T13,{"X";"Y";"Z";"S"}))+SUMPRODUCT(COUNTIF(Z13:AA13,{"X";"Y";"Z";"S"}))+SUMPRODUCT(COUNTIF(AG13:AH13,{"X";"Y";"Z";"S"}))+SUMPRODUCT(COUNTIF(AN13:AO13,{"X";"Y";"Z";"S"}))-5</f>
        <v>1</v>
      </c>
      <c r="AX13" s="6">
        <v>3</v>
      </c>
      <c r="AY13" s="6">
        <f t="shared" si="12"/>
        <v>4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</row>
    <row r="14" spans="1:226" s="50" customFormat="1" ht="25.5" customHeight="1">
      <c r="A14" s="38">
        <f t="shared" si="2"/>
        <v>0</v>
      </c>
      <c r="B14" s="39">
        <f t="shared" si="3"/>
        <v>10</v>
      </c>
      <c r="C14" s="40">
        <f t="shared" si="4"/>
        <v>5</v>
      </c>
      <c r="D14" s="39">
        <f t="shared" si="5"/>
        <v>3</v>
      </c>
      <c r="E14" s="41">
        <f t="shared" si="6"/>
        <v>2</v>
      </c>
      <c r="F14" s="41">
        <f t="shared" si="7"/>
        <v>11</v>
      </c>
      <c r="G14" s="41">
        <f t="shared" si="8"/>
        <v>0</v>
      </c>
      <c r="H14" s="41">
        <f t="shared" si="9"/>
        <v>0</v>
      </c>
      <c r="I14" s="42">
        <f t="shared" si="0"/>
        <v>31</v>
      </c>
      <c r="J14" s="151" t="s">
        <v>7</v>
      </c>
      <c r="K14" s="122" t="s">
        <v>0</v>
      </c>
      <c r="L14" s="30" t="s">
        <v>40</v>
      </c>
      <c r="M14" s="30" t="s">
        <v>40</v>
      </c>
      <c r="N14" s="32" t="s">
        <v>0</v>
      </c>
      <c r="O14" s="53" t="s">
        <v>3</v>
      </c>
      <c r="P14" s="32" t="s">
        <v>1</v>
      </c>
      <c r="Q14" s="121">
        <v>2</v>
      </c>
      <c r="R14" s="121">
        <v>2</v>
      </c>
      <c r="S14" s="44" t="s">
        <v>0</v>
      </c>
      <c r="T14" s="30" t="s">
        <v>0</v>
      </c>
      <c r="U14" s="32" t="s">
        <v>1</v>
      </c>
      <c r="V14" s="32" t="s">
        <v>0</v>
      </c>
      <c r="W14" s="30" t="s">
        <v>38</v>
      </c>
      <c r="X14" s="121">
        <v>2</v>
      </c>
      <c r="Y14" s="121">
        <v>2</v>
      </c>
      <c r="Z14" s="30" t="s">
        <v>0</v>
      </c>
      <c r="AA14" s="30" t="s">
        <v>0</v>
      </c>
      <c r="AB14" s="30" t="s">
        <v>0</v>
      </c>
      <c r="AC14" s="53" t="s">
        <v>3</v>
      </c>
      <c r="AD14" s="121">
        <v>2</v>
      </c>
      <c r="AE14" s="121">
        <v>2</v>
      </c>
      <c r="AF14" s="121" t="s">
        <v>38</v>
      </c>
      <c r="AG14" s="44" t="s">
        <v>0</v>
      </c>
      <c r="AH14" s="121">
        <v>3</v>
      </c>
      <c r="AI14" s="30" t="s">
        <v>38</v>
      </c>
      <c r="AJ14" s="41" t="s">
        <v>0</v>
      </c>
      <c r="AK14" s="53" t="s">
        <v>3</v>
      </c>
      <c r="AL14" s="30" t="s">
        <v>38</v>
      </c>
      <c r="AM14" s="30" t="s">
        <v>0</v>
      </c>
      <c r="AN14" s="121">
        <v>3</v>
      </c>
      <c r="AO14" s="126">
        <v>3</v>
      </c>
      <c r="AP14" s="45">
        <v>0</v>
      </c>
      <c r="AQ14" s="46">
        <f t="shared" si="1"/>
        <v>0</v>
      </c>
      <c r="AR14" s="46">
        <v>0</v>
      </c>
      <c r="AS14" s="134">
        <f t="shared" si="10"/>
        <v>0</v>
      </c>
      <c r="AT14" s="284" t="s">
        <v>126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</row>
    <row r="15" spans="1:226" s="50" customFormat="1" ht="25.5" customHeight="1">
      <c r="A15" s="38">
        <f t="shared" si="2"/>
        <v>10</v>
      </c>
      <c r="B15" s="39">
        <f t="shared" si="3"/>
        <v>3</v>
      </c>
      <c r="C15" s="40">
        <f t="shared" si="4"/>
        <v>0</v>
      </c>
      <c r="D15" s="39">
        <f t="shared" si="5"/>
        <v>4</v>
      </c>
      <c r="E15" s="41">
        <f t="shared" si="6"/>
        <v>3</v>
      </c>
      <c r="F15" s="41">
        <f t="shared" si="7"/>
        <v>11</v>
      </c>
      <c r="G15" s="41">
        <f t="shared" si="8"/>
        <v>0</v>
      </c>
      <c r="H15" s="41">
        <f t="shared" si="9"/>
        <v>0</v>
      </c>
      <c r="I15" s="42">
        <f t="shared" si="0"/>
        <v>31</v>
      </c>
      <c r="J15" s="47" t="s">
        <v>8</v>
      </c>
      <c r="K15" s="122" t="s">
        <v>1</v>
      </c>
      <c r="L15" s="44" t="s">
        <v>0</v>
      </c>
      <c r="M15" s="44" t="s">
        <v>0</v>
      </c>
      <c r="N15" s="32" t="s">
        <v>1</v>
      </c>
      <c r="O15" s="53" t="s">
        <v>3</v>
      </c>
      <c r="P15" s="53" t="s">
        <v>3</v>
      </c>
      <c r="Q15" s="124" t="s">
        <v>58</v>
      </c>
      <c r="R15" s="30">
        <v>1</v>
      </c>
      <c r="S15" s="30">
        <v>2</v>
      </c>
      <c r="T15" s="30" t="s">
        <v>0</v>
      </c>
      <c r="U15" s="30" t="s">
        <v>38</v>
      </c>
      <c r="V15" s="30" t="s">
        <v>38</v>
      </c>
      <c r="W15" s="30" t="s">
        <v>0</v>
      </c>
      <c r="X15" s="124" t="s">
        <v>58</v>
      </c>
      <c r="Y15" s="121">
        <v>1</v>
      </c>
      <c r="Z15" s="44" t="s">
        <v>0</v>
      </c>
      <c r="AA15" s="44" t="s">
        <v>0</v>
      </c>
      <c r="AB15" s="32" t="s">
        <v>1</v>
      </c>
      <c r="AC15" s="53" t="s">
        <v>3</v>
      </c>
      <c r="AD15" s="53" t="s">
        <v>3</v>
      </c>
      <c r="AE15" s="124" t="s">
        <v>58</v>
      </c>
      <c r="AF15" s="30" t="s">
        <v>0</v>
      </c>
      <c r="AG15" s="121">
        <v>1</v>
      </c>
      <c r="AH15" s="121">
        <v>1</v>
      </c>
      <c r="AI15" s="30" t="s">
        <v>36</v>
      </c>
      <c r="AJ15" s="30" t="s">
        <v>0</v>
      </c>
      <c r="AK15" s="30" t="s">
        <v>0</v>
      </c>
      <c r="AL15" s="124" t="s">
        <v>58</v>
      </c>
      <c r="AM15" s="30" t="s">
        <v>36</v>
      </c>
      <c r="AN15" s="44" t="s">
        <v>0</v>
      </c>
      <c r="AO15" s="123" t="s">
        <v>0</v>
      </c>
      <c r="AP15" s="45">
        <v>0</v>
      </c>
      <c r="AQ15" s="46">
        <f t="shared" si="1"/>
        <v>0</v>
      </c>
      <c r="AR15" s="46">
        <v>0</v>
      </c>
      <c r="AS15" s="134">
        <f t="shared" si="10"/>
        <v>0</v>
      </c>
      <c r="AT15" s="284" t="s">
        <v>128</v>
      </c>
      <c r="AU15" s="6"/>
      <c r="AV15" s="6"/>
      <c r="AW15" s="6" cm="2">
        <f t="array" ref="AW15">SUMPRODUCT(COUNTIF(L15:M15,{"X";"Y";"Z";"S"}))+SUMPRODUCT(COUNTIF(S15:T15,{"X";"Y";"Z";"S"}))+SUMPRODUCT(COUNTIF(Z15:AA15,{"X";"Y";"Z";"S"}))+SUMPRODUCT(COUNTIF(AG15:AH15,{"X";"Y";"Z";"S"}))+SUMPRODUCT(COUNTIF(AN15:AO15,{"X";"Y";"Z";"S"}))-5</f>
        <v>2</v>
      </c>
      <c r="AX15" s="6">
        <v>3</v>
      </c>
      <c r="AY15" s="6">
        <f t="shared" ref="AY15:AY18" si="13">AW15+AX15</f>
        <v>5</v>
      </c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1:226" s="50" customFormat="1" ht="25.5" customHeight="1">
      <c r="A16" s="38">
        <f t="shared" si="2"/>
        <v>9</v>
      </c>
      <c r="B16" s="39">
        <f t="shared" si="3"/>
        <v>6</v>
      </c>
      <c r="C16" s="40">
        <f t="shared" si="4"/>
        <v>0</v>
      </c>
      <c r="D16" s="39">
        <f t="shared" si="5"/>
        <v>5</v>
      </c>
      <c r="E16" s="41">
        <f t="shared" si="6"/>
        <v>0</v>
      </c>
      <c r="F16" s="41">
        <f t="shared" si="7"/>
        <v>11</v>
      </c>
      <c r="G16" s="41">
        <f t="shared" si="8"/>
        <v>0</v>
      </c>
      <c r="H16" s="41">
        <f t="shared" si="9"/>
        <v>0</v>
      </c>
      <c r="I16" s="42">
        <f t="shared" si="0"/>
        <v>31</v>
      </c>
      <c r="J16" s="152" t="s">
        <v>93</v>
      </c>
      <c r="K16" s="49" t="s">
        <v>36</v>
      </c>
      <c r="L16" s="30">
        <v>2</v>
      </c>
      <c r="M16" s="121">
        <v>2</v>
      </c>
      <c r="N16" s="30" t="s">
        <v>0</v>
      </c>
      <c r="O16" s="124" t="s">
        <v>5</v>
      </c>
      <c r="P16" s="30" t="s">
        <v>36</v>
      </c>
      <c r="Q16" s="53" t="s">
        <v>3</v>
      </c>
      <c r="R16" s="121">
        <v>1</v>
      </c>
      <c r="S16" s="44" t="s">
        <v>0</v>
      </c>
      <c r="T16" s="44" t="s">
        <v>0</v>
      </c>
      <c r="U16" s="32" t="s">
        <v>0</v>
      </c>
      <c r="V16" s="124" t="s">
        <v>5</v>
      </c>
      <c r="W16" s="30">
        <v>1</v>
      </c>
      <c r="X16" s="53" t="s">
        <v>3</v>
      </c>
      <c r="Y16" s="30" t="s">
        <v>36</v>
      </c>
      <c r="Z16" s="121">
        <v>2</v>
      </c>
      <c r="AA16" s="121">
        <v>2</v>
      </c>
      <c r="AB16" s="30" t="s">
        <v>0</v>
      </c>
      <c r="AC16" s="124" t="s">
        <v>5</v>
      </c>
      <c r="AD16" s="30" t="s">
        <v>3</v>
      </c>
      <c r="AE16" s="53" t="s">
        <v>3</v>
      </c>
      <c r="AF16" s="30" t="s">
        <v>0</v>
      </c>
      <c r="AG16" s="44" t="s">
        <v>0</v>
      </c>
      <c r="AH16" s="44" t="s">
        <v>0</v>
      </c>
      <c r="AI16" s="32" t="s">
        <v>0</v>
      </c>
      <c r="AJ16" s="124" t="s">
        <v>5</v>
      </c>
      <c r="AK16" s="53" t="s">
        <v>3</v>
      </c>
      <c r="AL16" s="30" t="s">
        <v>0</v>
      </c>
      <c r="AM16" s="30" t="s">
        <v>38</v>
      </c>
      <c r="AN16" s="30">
        <v>2</v>
      </c>
      <c r="AO16" s="17" t="s">
        <v>0</v>
      </c>
      <c r="AP16" s="45">
        <v>0</v>
      </c>
      <c r="AQ16" s="46">
        <f t="shared" si="1"/>
        <v>0</v>
      </c>
      <c r="AR16" s="46">
        <v>0</v>
      </c>
      <c r="AS16" s="134">
        <f t="shared" si="10"/>
        <v>0</v>
      </c>
      <c r="AT16" s="284" t="s">
        <v>126</v>
      </c>
      <c r="AU16" s="6"/>
      <c r="AV16" s="6"/>
      <c r="AW16" s="6" cm="2">
        <f t="array" ref="AW16">SUMPRODUCT(COUNTIF(L16:M16,{"X";"Y";"Z";"S"}))+SUMPRODUCT(COUNTIF(S16:T16,{"X";"Y";"Z";"S"}))+SUMPRODUCT(COUNTIF(Z16:AA16,{"X";"Y";"Z";"S"}))+SUMPRODUCT(COUNTIF(AG16:AH16,{"X";"Y";"Z";"S"}))+SUMPRODUCT(COUNTIF(AN16:AO16,{"X";"Y";"Z";"S"}))-5</f>
        <v>0</v>
      </c>
      <c r="AX16" s="6">
        <v>4</v>
      </c>
      <c r="AY16" s="6">
        <f t="shared" si="13"/>
        <v>4</v>
      </c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</row>
    <row r="17" spans="1:226" ht="25.5" customHeight="1">
      <c r="A17" s="54">
        <f>COUNTIF(K17:AO17,1)+COUNTIF(K17:AO17,"早")+COUNTIF(K17:AO17,"M1")+COUNTIF(K17:AO17,"T早")+COUNTIF(K17:AO17,"日")</f>
        <v>4</v>
      </c>
      <c r="B17" s="55">
        <f>COUNTIF(K17:AO17,2)+COUNTIF(K17:AO17,"中")+COUNTIF(K17:AO17,"M2")+COUNTIF(K17:AO17,"T中")+COUNTIF(K17:AO17,"小夜")</f>
        <v>9</v>
      </c>
      <c r="C17" s="56">
        <f>COUNTIF(K17:AO17,3)+COUNTIF(K17:AO17,"晚")+COUNTIF(K17:AO17,"大夜")</f>
        <v>3</v>
      </c>
      <c r="D17" s="55">
        <f>COUNTIF(K17:AO17,"N")+COUNTIF(K17:AO17,"N8")</f>
        <v>2</v>
      </c>
      <c r="E17" s="17">
        <f>COUNTIF(K17:AO17,"S")</f>
        <v>2</v>
      </c>
      <c r="F17" s="17">
        <f>COUNTIF(K17:AO17,"X")</f>
        <v>11</v>
      </c>
      <c r="G17" s="17">
        <f>COUNTIF(K17:AO17,"Y")</f>
        <v>0</v>
      </c>
      <c r="H17" s="17">
        <f>COUNTIF(K17:AO17,"Z")</f>
        <v>0</v>
      </c>
      <c r="I17" s="57">
        <f>SUM(A17:H17)</f>
        <v>31</v>
      </c>
      <c r="J17" s="47" t="s">
        <v>9</v>
      </c>
      <c r="K17" s="122" t="s">
        <v>1</v>
      </c>
      <c r="L17" s="44" t="s">
        <v>0</v>
      </c>
      <c r="M17" s="44" t="s">
        <v>0</v>
      </c>
      <c r="N17" s="30" t="s">
        <v>36</v>
      </c>
      <c r="O17" s="30" t="s">
        <v>36</v>
      </c>
      <c r="P17" s="53" t="s">
        <v>3</v>
      </c>
      <c r="Q17" s="30" t="s">
        <v>0</v>
      </c>
      <c r="R17" s="121">
        <v>3</v>
      </c>
      <c r="S17" s="121">
        <v>3</v>
      </c>
      <c r="T17" s="121">
        <v>3</v>
      </c>
      <c r="U17" s="30" t="s">
        <v>0</v>
      </c>
      <c r="V17" s="53" t="s">
        <v>3</v>
      </c>
      <c r="W17" s="164" t="s">
        <v>36</v>
      </c>
      <c r="X17" s="30" t="s">
        <v>36</v>
      </c>
      <c r="Y17" s="32" t="s">
        <v>1</v>
      </c>
      <c r="Z17" s="44" t="s">
        <v>0</v>
      </c>
      <c r="AA17" s="44" t="s">
        <v>0</v>
      </c>
      <c r="AB17" s="121">
        <v>2</v>
      </c>
      <c r="AC17" s="121" t="s">
        <v>38</v>
      </c>
      <c r="AD17" s="30" t="s">
        <v>38</v>
      </c>
      <c r="AE17" s="30" t="s">
        <v>0</v>
      </c>
      <c r="AF17" s="30" t="s">
        <v>0</v>
      </c>
      <c r="AG17" s="30" t="s">
        <v>0</v>
      </c>
      <c r="AH17" s="30" t="s">
        <v>38</v>
      </c>
      <c r="AI17" s="121">
        <v>2</v>
      </c>
      <c r="AJ17" s="121">
        <v>2</v>
      </c>
      <c r="AK17" s="121">
        <v>2</v>
      </c>
      <c r="AL17" s="121">
        <v>2</v>
      </c>
      <c r="AM17" s="121">
        <v>2</v>
      </c>
      <c r="AN17" s="44" t="s">
        <v>0</v>
      </c>
      <c r="AO17" s="123" t="s">
        <v>0</v>
      </c>
      <c r="AP17" s="45">
        <v>0</v>
      </c>
      <c r="AQ17" s="46">
        <f t="shared" si="1"/>
        <v>0</v>
      </c>
      <c r="AR17" s="46">
        <v>0</v>
      </c>
      <c r="AS17" s="134">
        <f>SUM(AP17:AR17)</f>
        <v>0</v>
      </c>
      <c r="AT17" s="284" t="s">
        <v>128</v>
      </c>
      <c r="AW17" s="6" cm="2">
        <f t="array" ref="AW17">SUMPRODUCT(COUNTIF(L17:M17,{"X";"Y";"Z";"S"}))+SUMPRODUCT(COUNTIF(S17:T17,{"X";"Y";"Z";"S"}))+SUMPRODUCT(COUNTIF(Z17:AA17,{"X";"Y";"Z";"S"}))+SUMPRODUCT(COUNTIF(AG17:AH17,{"X";"Y";"Z";"S"}))+SUMPRODUCT(COUNTIF(AN17:AO17,{"X";"Y";"Z";"S"}))-5</f>
        <v>2</v>
      </c>
      <c r="AX17" s="6">
        <v>3</v>
      </c>
      <c r="AY17" s="6">
        <f t="shared" si="13"/>
        <v>5</v>
      </c>
    </row>
    <row r="18" spans="1:226" ht="25.2" customHeight="1" thickBot="1">
      <c r="A18" s="38">
        <f t="shared" ref="A18" si="14">COUNTIF(K18:AO18,1)+COUNTIF(K18:AO18,"早")+COUNTIF(K18:AO18,"M1")+COUNTIF(K18:AO18,"T早")+COUNTIF(K18:AO18,"日")</f>
        <v>11</v>
      </c>
      <c r="B18" s="39">
        <f t="shared" ref="B18" si="15">COUNTIF(K18:AO18,2)+COUNTIF(K18:AO18,"中")+COUNTIF(K18:AO18,"M2")+COUNTIF(K18:AO18,"T中")+COUNTIF(K18:AO18,"小夜")</f>
        <v>2</v>
      </c>
      <c r="C18" s="40">
        <f t="shared" ref="C18" si="16">COUNTIF(K18:AO18,3)+COUNTIF(K18:AO18,"晚")+COUNTIF(K18:AO18,"大夜")</f>
        <v>0</v>
      </c>
      <c r="D18" s="39">
        <f t="shared" ref="D18" si="17">COUNTIF(K18:AO18,"N")+COUNTIF(K18:AO18,"N8")</f>
        <v>1</v>
      </c>
      <c r="E18" s="41">
        <f t="shared" ref="E18" si="18">COUNTIF(K18:AO18,"S")</f>
        <v>6</v>
      </c>
      <c r="F18" s="41">
        <f t="shared" ref="F18" si="19">COUNTIF(K18:AO18,"X")</f>
        <v>11</v>
      </c>
      <c r="G18" s="41">
        <f t="shared" ref="G18" si="20">COUNTIF(K18:AO18,"Y")</f>
        <v>0</v>
      </c>
      <c r="H18" s="41">
        <f t="shared" ref="H18" si="21">COUNTIF(K18:AO18,"Z")</f>
        <v>0</v>
      </c>
      <c r="I18" s="42">
        <f t="shared" ref="I18" si="22">SUM(A18:H18)</f>
        <v>31</v>
      </c>
      <c r="J18" s="268" t="s">
        <v>137</v>
      </c>
      <c r="K18" s="321" t="s">
        <v>0</v>
      </c>
      <c r="L18" s="160" t="s">
        <v>36</v>
      </c>
      <c r="M18" s="171" t="s">
        <v>36</v>
      </c>
      <c r="N18" s="171">
        <v>2</v>
      </c>
      <c r="O18" s="171">
        <v>2</v>
      </c>
      <c r="P18" s="160" t="s">
        <v>0</v>
      </c>
      <c r="Q18" s="303" t="s">
        <v>3</v>
      </c>
      <c r="R18" s="321" t="s">
        <v>1</v>
      </c>
      <c r="S18" s="162" t="s">
        <v>0</v>
      </c>
      <c r="T18" s="161" t="s">
        <v>1</v>
      </c>
      <c r="U18" s="161" t="s">
        <v>1</v>
      </c>
      <c r="V18" s="162" t="s">
        <v>0</v>
      </c>
      <c r="W18" s="171" t="s">
        <v>36</v>
      </c>
      <c r="X18" s="160" t="s">
        <v>36</v>
      </c>
      <c r="Y18" s="160" t="s">
        <v>0</v>
      </c>
      <c r="Z18" s="160" t="s">
        <v>36</v>
      </c>
      <c r="AA18" s="160" t="s">
        <v>36</v>
      </c>
      <c r="AB18" s="160" t="s">
        <v>36</v>
      </c>
      <c r="AC18" s="160" t="s">
        <v>0</v>
      </c>
      <c r="AD18" s="162" t="s">
        <v>0</v>
      </c>
      <c r="AE18" s="161" t="s">
        <v>1</v>
      </c>
      <c r="AF18" s="161" t="s">
        <v>1</v>
      </c>
      <c r="AG18" s="161" t="s">
        <v>1</v>
      </c>
      <c r="AH18" s="162" t="s">
        <v>0</v>
      </c>
      <c r="AI18" s="160" t="s">
        <v>0</v>
      </c>
      <c r="AJ18" s="160" t="s">
        <v>0</v>
      </c>
      <c r="AK18" s="160">
        <v>1</v>
      </c>
      <c r="AL18" s="160" t="s">
        <v>36</v>
      </c>
      <c r="AM18" s="160" t="s">
        <v>0</v>
      </c>
      <c r="AN18" s="171">
        <v>1</v>
      </c>
      <c r="AO18" s="181">
        <v>1</v>
      </c>
      <c r="AP18" s="73">
        <v>0</v>
      </c>
      <c r="AQ18" s="74">
        <f t="shared" si="1"/>
        <v>0</v>
      </c>
      <c r="AR18" s="74">
        <v>0</v>
      </c>
      <c r="AS18" s="127">
        <f t="shared" ref="AS18" si="23">SUM(AP18:AR18)</f>
        <v>0</v>
      </c>
      <c r="AT18" s="287" t="s">
        <v>126</v>
      </c>
      <c r="AW18" s="6" cm="2">
        <f t="array" ref="AW18">SUMPRODUCT(COUNTIF(L18:M18,{"X";"Y";"Z";"S"}))+SUMPRODUCT(COUNTIF(S18:T18,{"X";"Y";"Z";"S"}))+SUMPRODUCT(COUNTIF(Z18:AA18,{"X";"Y";"Z";"S"}))+SUMPRODUCT(COUNTIF(AG18:AH18,{"X";"Y";"Z";"S"}))+SUMPRODUCT(COUNTIF(AN18:AO18,{"X";"Y";"Z";"S"}))-5</f>
        <v>-1</v>
      </c>
      <c r="AX18" s="6">
        <v>3</v>
      </c>
      <c r="AY18" s="6">
        <f t="shared" si="13"/>
        <v>2</v>
      </c>
    </row>
    <row r="19" spans="1:226" s="50" customFormat="1" ht="25.5" customHeight="1">
      <c r="A19" s="23">
        <f t="shared" si="2"/>
        <v>1</v>
      </c>
      <c r="B19" s="24">
        <f t="shared" si="3"/>
        <v>13</v>
      </c>
      <c r="C19" s="25">
        <f t="shared" si="4"/>
        <v>3</v>
      </c>
      <c r="D19" s="24">
        <f t="shared" si="5"/>
        <v>0</v>
      </c>
      <c r="E19" s="26">
        <f t="shared" si="6"/>
        <v>3</v>
      </c>
      <c r="F19" s="26">
        <f t="shared" si="7"/>
        <v>11</v>
      </c>
      <c r="G19" s="26">
        <f t="shared" si="8"/>
        <v>0</v>
      </c>
      <c r="H19" s="26">
        <f t="shared" si="9"/>
        <v>0</v>
      </c>
      <c r="I19" s="27">
        <f t="shared" si="0"/>
        <v>31</v>
      </c>
      <c r="J19" s="318" t="s">
        <v>10</v>
      </c>
      <c r="K19" s="28">
        <v>3</v>
      </c>
      <c r="L19" s="29" t="s">
        <v>0</v>
      </c>
      <c r="M19" s="29">
        <v>2</v>
      </c>
      <c r="N19" s="29">
        <v>2</v>
      </c>
      <c r="O19" s="29">
        <v>2</v>
      </c>
      <c r="P19" s="29" t="s">
        <v>0</v>
      </c>
      <c r="Q19" s="29">
        <v>3</v>
      </c>
      <c r="R19" s="29">
        <v>3</v>
      </c>
      <c r="S19" s="29" t="s">
        <v>0</v>
      </c>
      <c r="T19" s="31" t="s">
        <v>0</v>
      </c>
      <c r="U19" s="33" t="s">
        <v>0</v>
      </c>
      <c r="V19" s="33" t="s">
        <v>0</v>
      </c>
      <c r="W19" s="33" t="s">
        <v>0</v>
      </c>
      <c r="X19" s="29">
        <v>1</v>
      </c>
      <c r="Y19" s="29">
        <v>2</v>
      </c>
      <c r="Z19" s="29">
        <v>2</v>
      </c>
      <c r="AA19" s="29">
        <v>2</v>
      </c>
      <c r="AB19" s="29">
        <v>2</v>
      </c>
      <c r="AC19" s="29">
        <v>2</v>
      </c>
      <c r="AD19" s="29" t="s">
        <v>0</v>
      </c>
      <c r="AE19" s="33" t="s">
        <v>1</v>
      </c>
      <c r="AF19" s="29">
        <v>2</v>
      </c>
      <c r="AG19" s="29">
        <v>2</v>
      </c>
      <c r="AH19" s="29">
        <v>2</v>
      </c>
      <c r="AI19" s="33" t="s">
        <v>0</v>
      </c>
      <c r="AJ19" s="33" t="s">
        <v>1</v>
      </c>
      <c r="AK19" s="33" t="s">
        <v>1</v>
      </c>
      <c r="AL19" s="33" t="s">
        <v>0</v>
      </c>
      <c r="AM19" s="33" t="s">
        <v>0</v>
      </c>
      <c r="AN19" s="26">
        <v>2</v>
      </c>
      <c r="AO19" s="34">
        <v>2</v>
      </c>
      <c r="AP19" s="166">
        <v>0</v>
      </c>
      <c r="AQ19" s="167">
        <f t="shared" si="1"/>
        <v>0</v>
      </c>
      <c r="AR19" s="167">
        <v>0</v>
      </c>
      <c r="AS19" s="168">
        <f t="shared" si="10"/>
        <v>0</v>
      </c>
      <c r="AT19" s="37" t="s">
        <v>126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</row>
    <row r="20" spans="1:226" s="50" customFormat="1" ht="25.5" customHeight="1">
      <c r="A20" s="38">
        <f t="shared" si="2"/>
        <v>6</v>
      </c>
      <c r="B20" s="39">
        <f t="shared" si="3"/>
        <v>8</v>
      </c>
      <c r="C20" s="40">
        <f t="shared" si="4"/>
        <v>5</v>
      </c>
      <c r="D20" s="39">
        <f t="shared" si="5"/>
        <v>1</v>
      </c>
      <c r="E20" s="41">
        <f t="shared" si="6"/>
        <v>0</v>
      </c>
      <c r="F20" s="41">
        <f t="shared" si="7"/>
        <v>11</v>
      </c>
      <c r="G20" s="41">
        <f t="shared" si="8"/>
        <v>0</v>
      </c>
      <c r="H20" s="41">
        <f t="shared" si="9"/>
        <v>0</v>
      </c>
      <c r="I20" s="42">
        <f t="shared" si="0"/>
        <v>31</v>
      </c>
      <c r="J20" s="145" t="s">
        <v>11</v>
      </c>
      <c r="K20" s="200" t="s">
        <v>38</v>
      </c>
      <c r="L20" s="30" t="s">
        <v>38</v>
      </c>
      <c r="M20" s="30" t="s">
        <v>38</v>
      </c>
      <c r="N20" s="32" t="s">
        <v>0</v>
      </c>
      <c r="O20" s="32" t="s">
        <v>0</v>
      </c>
      <c r="P20" s="30" t="s">
        <v>36</v>
      </c>
      <c r="Q20" s="30" t="s">
        <v>36</v>
      </c>
      <c r="R20" s="30" t="s">
        <v>0</v>
      </c>
      <c r="S20" s="44" t="s">
        <v>0</v>
      </c>
      <c r="T20" s="44" t="s">
        <v>0</v>
      </c>
      <c r="U20" s="32" t="s">
        <v>0</v>
      </c>
      <c r="V20" s="32" t="s">
        <v>0</v>
      </c>
      <c r="W20" s="30" t="s">
        <v>38</v>
      </c>
      <c r="X20" s="30" t="s">
        <v>38</v>
      </c>
      <c r="Y20" s="30" t="s">
        <v>38</v>
      </c>
      <c r="Z20" s="30" t="s">
        <v>38</v>
      </c>
      <c r="AA20" s="30" t="s">
        <v>38</v>
      </c>
      <c r="AB20" s="30" t="s">
        <v>0</v>
      </c>
      <c r="AC20" s="30" t="s">
        <v>36</v>
      </c>
      <c r="AD20" s="30" t="s">
        <v>36</v>
      </c>
      <c r="AE20" s="53" t="s">
        <v>3</v>
      </c>
      <c r="AF20" s="30" t="s">
        <v>36</v>
      </c>
      <c r="AG20" s="30">
        <v>1</v>
      </c>
      <c r="AH20" s="30" t="s">
        <v>0</v>
      </c>
      <c r="AI20" s="30" t="s">
        <v>40</v>
      </c>
      <c r="AJ20" s="30" t="s">
        <v>40</v>
      </c>
      <c r="AK20" s="30" t="s">
        <v>40</v>
      </c>
      <c r="AL20" s="30">
        <v>3</v>
      </c>
      <c r="AM20" s="30">
        <v>3</v>
      </c>
      <c r="AN20" s="44" t="s">
        <v>0</v>
      </c>
      <c r="AO20" s="44" t="s">
        <v>0</v>
      </c>
      <c r="AP20" s="45">
        <v>0</v>
      </c>
      <c r="AQ20" s="46">
        <f t="shared" si="1"/>
        <v>0</v>
      </c>
      <c r="AR20" s="46">
        <v>0</v>
      </c>
      <c r="AS20" s="134">
        <f t="shared" si="10"/>
        <v>0</v>
      </c>
      <c r="AT20" s="284" t="s">
        <v>126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</row>
    <row r="21" spans="1:226" ht="25.5" customHeight="1">
      <c r="A21" s="38">
        <f>COUNTIF(K21:AO21,1)+COUNTIF(K21:AO21,"早")+COUNTIF(K21:AO21,"M1")+COUNTIF(K21:AO21,"T早")+COUNTIF(K21:AO21,"日")</f>
        <v>5</v>
      </c>
      <c r="B21" s="39">
        <f>COUNTIF(K21:AO21,2)+COUNTIF(K21:AO21,"中")+COUNTIF(K21:AO21,"M2")+COUNTIF(K21:AO21,"T中")+COUNTIF(K21:AO21,"小夜")</f>
        <v>9</v>
      </c>
      <c r="C21" s="40">
        <f>COUNTIF(K21:AO21,3)+COUNTIF(K21:AO21,"晚")+COUNTIF(K21:AO21,"大夜")</f>
        <v>4</v>
      </c>
      <c r="D21" s="39">
        <f>COUNTIF(K21:AO21,"N")+COUNTIF(K21:AO21,"N8")</f>
        <v>2</v>
      </c>
      <c r="E21" s="41">
        <f>COUNTIF(K21:AO21,"S")</f>
        <v>0</v>
      </c>
      <c r="F21" s="41">
        <f>COUNTIF(K21:AO21,"X")</f>
        <v>11</v>
      </c>
      <c r="G21" s="41">
        <f>COUNTIF(K21:AO21,"Y")</f>
        <v>0</v>
      </c>
      <c r="H21" s="41">
        <f>COUNTIF(K21:AO21,"Z")</f>
        <v>0</v>
      </c>
      <c r="I21" s="42">
        <f t="shared" si="0"/>
        <v>31</v>
      </c>
      <c r="J21" s="155" t="s">
        <v>12</v>
      </c>
      <c r="K21" s="49">
        <v>3</v>
      </c>
      <c r="L21" s="44" t="s">
        <v>0</v>
      </c>
      <c r="M21" s="44" t="s">
        <v>0</v>
      </c>
      <c r="N21" s="30">
        <v>2</v>
      </c>
      <c r="O21" s="30">
        <v>2</v>
      </c>
      <c r="P21" s="30">
        <v>2</v>
      </c>
      <c r="Q21" s="30" t="s">
        <v>0</v>
      </c>
      <c r="R21" s="30" t="s">
        <v>36</v>
      </c>
      <c r="S21" s="30" t="s">
        <v>36</v>
      </c>
      <c r="T21" s="30" t="s">
        <v>36</v>
      </c>
      <c r="U21" s="30" t="s">
        <v>36</v>
      </c>
      <c r="V21" s="53" t="s">
        <v>3</v>
      </c>
      <c r="W21" s="30" t="s">
        <v>0</v>
      </c>
      <c r="X21" s="53" t="s">
        <v>3</v>
      </c>
      <c r="Y21" s="30" t="s">
        <v>38</v>
      </c>
      <c r="Z21" s="44" t="s">
        <v>0</v>
      </c>
      <c r="AA21" s="44" t="s">
        <v>0</v>
      </c>
      <c r="AB21" s="30">
        <v>3</v>
      </c>
      <c r="AC21" s="30" t="s">
        <v>40</v>
      </c>
      <c r="AD21" s="30" t="s">
        <v>40</v>
      </c>
      <c r="AE21" s="30" t="s">
        <v>0</v>
      </c>
      <c r="AF21" s="30" t="s">
        <v>0</v>
      </c>
      <c r="AG21" s="44" t="s">
        <v>0</v>
      </c>
      <c r="AH21" s="44" t="s">
        <v>0</v>
      </c>
      <c r="AI21" s="30" t="s">
        <v>38</v>
      </c>
      <c r="AJ21" s="30" t="s">
        <v>38</v>
      </c>
      <c r="AK21" s="30" t="s">
        <v>38</v>
      </c>
      <c r="AL21" s="30">
        <v>2</v>
      </c>
      <c r="AM21" s="30" t="s">
        <v>0</v>
      </c>
      <c r="AN21" s="30">
        <v>1</v>
      </c>
      <c r="AO21" s="30">
        <v>2</v>
      </c>
      <c r="AP21" s="45">
        <v>0</v>
      </c>
      <c r="AQ21" s="46">
        <f t="shared" si="1"/>
        <v>0</v>
      </c>
      <c r="AR21" s="46">
        <v>0</v>
      </c>
      <c r="AS21" s="134">
        <f t="shared" si="10"/>
        <v>0</v>
      </c>
      <c r="AT21" s="284" t="s">
        <v>128</v>
      </c>
    </row>
    <row r="22" spans="1:226" ht="25.5" customHeight="1">
      <c r="A22" s="38">
        <f t="shared" si="2"/>
        <v>4</v>
      </c>
      <c r="B22" s="39">
        <f t="shared" si="3"/>
        <v>0</v>
      </c>
      <c r="C22" s="40">
        <f t="shared" si="4"/>
        <v>16</v>
      </c>
      <c r="D22" s="39">
        <f t="shared" si="5"/>
        <v>0</v>
      </c>
      <c r="E22" s="41">
        <f t="shared" si="6"/>
        <v>0</v>
      </c>
      <c r="F22" s="41">
        <f t="shared" si="7"/>
        <v>11</v>
      </c>
      <c r="G22" s="41">
        <f t="shared" si="8"/>
        <v>0</v>
      </c>
      <c r="H22" s="41">
        <f t="shared" si="9"/>
        <v>0</v>
      </c>
      <c r="I22" s="42">
        <f t="shared" si="0"/>
        <v>31</v>
      </c>
      <c r="J22" s="145" t="s">
        <v>13</v>
      </c>
      <c r="K22" s="122" t="s">
        <v>0</v>
      </c>
      <c r="L22" s="30">
        <v>3</v>
      </c>
      <c r="M22" s="30">
        <v>3</v>
      </c>
      <c r="N22" s="30" t="s">
        <v>0</v>
      </c>
      <c r="O22" s="30" t="s">
        <v>40</v>
      </c>
      <c r="P22" s="30" t="s">
        <v>40</v>
      </c>
      <c r="Q22" s="30" t="s">
        <v>40</v>
      </c>
      <c r="R22" s="30" t="s">
        <v>40</v>
      </c>
      <c r="S22" s="44" t="s">
        <v>0</v>
      </c>
      <c r="T22" s="44" t="s">
        <v>0</v>
      </c>
      <c r="U22" s="30" t="s">
        <v>40</v>
      </c>
      <c r="V22" s="30" t="s">
        <v>40</v>
      </c>
      <c r="W22" s="30" t="s">
        <v>40</v>
      </c>
      <c r="X22" s="30" t="s">
        <v>0</v>
      </c>
      <c r="Y22" s="30" t="s">
        <v>0</v>
      </c>
      <c r="Z22" s="30">
        <v>1</v>
      </c>
      <c r="AA22" s="30">
        <v>1</v>
      </c>
      <c r="AB22" s="30" t="s">
        <v>0</v>
      </c>
      <c r="AC22" s="30" t="s">
        <v>40</v>
      </c>
      <c r="AD22" s="30" t="s">
        <v>40</v>
      </c>
      <c r="AE22" s="30" t="s">
        <v>40</v>
      </c>
      <c r="AF22" s="30" t="s">
        <v>40</v>
      </c>
      <c r="AG22" s="44" t="s">
        <v>0</v>
      </c>
      <c r="AH22" s="44" t="s">
        <v>0</v>
      </c>
      <c r="AI22" s="32" t="s">
        <v>0</v>
      </c>
      <c r="AJ22" s="30" t="s">
        <v>36</v>
      </c>
      <c r="AK22" s="30" t="s">
        <v>36</v>
      </c>
      <c r="AL22" s="30" t="s">
        <v>0</v>
      </c>
      <c r="AM22" s="30" t="s">
        <v>40</v>
      </c>
      <c r="AN22" s="30" t="s">
        <v>40</v>
      </c>
      <c r="AO22" s="48" t="s">
        <v>40</v>
      </c>
      <c r="AP22" s="45">
        <v>0</v>
      </c>
      <c r="AQ22" s="46">
        <f t="shared" si="1"/>
        <v>0</v>
      </c>
      <c r="AR22" s="46">
        <v>0</v>
      </c>
      <c r="AS22" s="134">
        <f t="shared" si="10"/>
        <v>0</v>
      </c>
      <c r="AT22" s="284" t="s">
        <v>126</v>
      </c>
    </row>
    <row r="23" spans="1:226" s="50" customFormat="1" ht="25.5" customHeight="1">
      <c r="A23" s="38">
        <f t="shared" si="2"/>
        <v>5</v>
      </c>
      <c r="B23" s="39">
        <f t="shared" si="3"/>
        <v>6</v>
      </c>
      <c r="C23" s="40">
        <f t="shared" si="4"/>
        <v>8</v>
      </c>
      <c r="D23" s="39">
        <f t="shared" si="5"/>
        <v>0</v>
      </c>
      <c r="E23" s="41">
        <f t="shared" si="6"/>
        <v>1</v>
      </c>
      <c r="F23" s="41">
        <f t="shared" si="7"/>
        <v>11</v>
      </c>
      <c r="G23" s="41">
        <f t="shared" si="8"/>
        <v>0</v>
      </c>
      <c r="H23" s="41">
        <f t="shared" si="9"/>
        <v>0</v>
      </c>
      <c r="I23" s="42">
        <f t="shared" si="0"/>
        <v>31</v>
      </c>
      <c r="J23" s="146" t="s">
        <v>138</v>
      </c>
      <c r="K23" s="122" t="s">
        <v>1</v>
      </c>
      <c r="L23" s="44" t="s">
        <v>0</v>
      </c>
      <c r="M23" s="44" t="s">
        <v>0</v>
      </c>
      <c r="N23" s="30" t="s">
        <v>38</v>
      </c>
      <c r="O23" s="30" t="s">
        <v>38</v>
      </c>
      <c r="P23" s="30" t="s">
        <v>38</v>
      </c>
      <c r="Q23" s="30" t="s">
        <v>38</v>
      </c>
      <c r="R23" s="30" t="s">
        <v>0</v>
      </c>
      <c r="S23" s="30" t="s">
        <v>36</v>
      </c>
      <c r="T23" s="30" t="s">
        <v>36</v>
      </c>
      <c r="U23" s="30" t="s">
        <v>0</v>
      </c>
      <c r="V23" s="30" t="s">
        <v>40</v>
      </c>
      <c r="W23" s="30" t="s">
        <v>40</v>
      </c>
      <c r="X23" s="30" t="s">
        <v>40</v>
      </c>
      <c r="Y23" s="30" t="s">
        <v>40</v>
      </c>
      <c r="Z23" s="44" t="s">
        <v>0</v>
      </c>
      <c r="AA23" s="44" t="s">
        <v>0</v>
      </c>
      <c r="AB23" s="30" t="s">
        <v>38</v>
      </c>
      <c r="AC23" s="30" t="s">
        <v>38</v>
      </c>
      <c r="AD23" s="30" t="s">
        <v>0</v>
      </c>
      <c r="AE23" s="30" t="s">
        <v>0</v>
      </c>
      <c r="AF23" s="30" t="s">
        <v>36</v>
      </c>
      <c r="AG23" s="30" t="s">
        <v>36</v>
      </c>
      <c r="AH23" s="30" t="s">
        <v>36</v>
      </c>
      <c r="AI23" s="30" t="s">
        <v>0</v>
      </c>
      <c r="AJ23" s="30">
        <v>3</v>
      </c>
      <c r="AK23" s="30">
        <v>3</v>
      </c>
      <c r="AL23" s="30">
        <v>3</v>
      </c>
      <c r="AM23" s="30">
        <v>3</v>
      </c>
      <c r="AN23" s="44" t="s">
        <v>0</v>
      </c>
      <c r="AO23" s="123" t="s">
        <v>0</v>
      </c>
      <c r="AP23" s="45">
        <v>0</v>
      </c>
      <c r="AQ23" s="46">
        <f t="shared" si="1"/>
        <v>0</v>
      </c>
      <c r="AR23" s="46">
        <v>0</v>
      </c>
      <c r="AS23" s="134">
        <f t="shared" si="10"/>
        <v>0</v>
      </c>
      <c r="AT23" s="284" t="s">
        <v>128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</row>
    <row r="24" spans="1:226" s="50" customFormat="1" ht="25.5" customHeight="1">
      <c r="A24" s="38">
        <f t="shared" si="2"/>
        <v>0</v>
      </c>
      <c r="B24" s="39">
        <f t="shared" si="3"/>
        <v>0</v>
      </c>
      <c r="C24" s="40">
        <f t="shared" si="4"/>
        <v>0</v>
      </c>
      <c r="D24" s="39">
        <f t="shared" si="5"/>
        <v>10</v>
      </c>
      <c r="E24" s="41">
        <f t="shared" si="6"/>
        <v>10</v>
      </c>
      <c r="F24" s="41">
        <f t="shared" si="7"/>
        <v>11</v>
      </c>
      <c r="G24" s="41">
        <f t="shared" si="8"/>
        <v>0</v>
      </c>
      <c r="H24" s="41">
        <f t="shared" si="9"/>
        <v>0</v>
      </c>
      <c r="I24" s="42">
        <f t="shared" si="0"/>
        <v>31</v>
      </c>
      <c r="J24" s="147" t="s">
        <v>14</v>
      </c>
      <c r="K24" s="137" t="s">
        <v>0</v>
      </c>
      <c r="L24" s="44" t="s">
        <v>0</v>
      </c>
      <c r="M24" s="44" t="s">
        <v>0</v>
      </c>
      <c r="N24" s="32" t="s">
        <v>1</v>
      </c>
      <c r="O24" s="32" t="s">
        <v>1</v>
      </c>
      <c r="P24" s="32" t="s">
        <v>1</v>
      </c>
      <c r="Q24" s="32" t="s">
        <v>1</v>
      </c>
      <c r="R24" s="32" t="s">
        <v>1</v>
      </c>
      <c r="S24" s="44" t="s">
        <v>0</v>
      </c>
      <c r="T24" s="44" t="s">
        <v>0</v>
      </c>
      <c r="U24" s="32" t="s">
        <v>1</v>
      </c>
      <c r="V24" s="32" t="s">
        <v>1</v>
      </c>
      <c r="W24" s="32" t="s">
        <v>1</v>
      </c>
      <c r="X24" s="32" t="s">
        <v>1</v>
      </c>
      <c r="Y24" s="32" t="s">
        <v>1</v>
      </c>
      <c r="Z24" s="44" t="s">
        <v>0</v>
      </c>
      <c r="AA24" s="44" t="s">
        <v>0</v>
      </c>
      <c r="AB24" s="319" t="s">
        <v>3</v>
      </c>
      <c r="AC24" s="319" t="s">
        <v>3</v>
      </c>
      <c r="AD24" s="319" t="s">
        <v>3</v>
      </c>
      <c r="AE24" s="319" t="s">
        <v>3</v>
      </c>
      <c r="AF24" s="319" t="s">
        <v>3</v>
      </c>
      <c r="AG24" s="319" t="s">
        <v>0</v>
      </c>
      <c r="AH24" s="319" t="s">
        <v>0</v>
      </c>
      <c r="AI24" s="319" t="s">
        <v>3</v>
      </c>
      <c r="AJ24" s="319" t="s">
        <v>3</v>
      </c>
      <c r="AK24" s="319" t="s">
        <v>3</v>
      </c>
      <c r="AL24" s="319" t="s">
        <v>3</v>
      </c>
      <c r="AM24" s="319" t="s">
        <v>3</v>
      </c>
      <c r="AN24" s="319" t="s">
        <v>0</v>
      </c>
      <c r="AO24" s="324" t="s">
        <v>0</v>
      </c>
      <c r="AP24" s="45">
        <v>0</v>
      </c>
      <c r="AQ24" s="46">
        <f t="shared" si="1"/>
        <v>0</v>
      </c>
      <c r="AR24" s="46">
        <v>0</v>
      </c>
      <c r="AS24" s="134">
        <f t="shared" si="10"/>
        <v>0</v>
      </c>
      <c r="AT24" s="284" t="s">
        <v>126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</row>
    <row r="25" spans="1:226" s="50" customFormat="1" ht="25.2" customHeight="1">
      <c r="A25" s="38">
        <f t="shared" si="2"/>
        <v>6</v>
      </c>
      <c r="B25" s="39">
        <f t="shared" si="3"/>
        <v>0</v>
      </c>
      <c r="C25" s="40">
        <f t="shared" si="4"/>
        <v>0</v>
      </c>
      <c r="D25" s="39">
        <f t="shared" si="5"/>
        <v>11</v>
      </c>
      <c r="E25" s="41">
        <f t="shared" si="6"/>
        <v>3</v>
      </c>
      <c r="F25" s="41">
        <f t="shared" si="7"/>
        <v>11</v>
      </c>
      <c r="G25" s="41">
        <f t="shared" si="8"/>
        <v>0</v>
      </c>
      <c r="H25" s="41">
        <f t="shared" si="9"/>
        <v>0</v>
      </c>
      <c r="I25" s="42">
        <f t="shared" si="0"/>
        <v>31</v>
      </c>
      <c r="J25" s="147" t="s">
        <v>15</v>
      </c>
      <c r="K25" s="137" t="s">
        <v>0</v>
      </c>
      <c r="L25" s="44" t="s">
        <v>0</v>
      </c>
      <c r="M25" s="44" t="s">
        <v>0</v>
      </c>
      <c r="N25" s="32" t="s">
        <v>1</v>
      </c>
      <c r="O25" s="32" t="s">
        <v>1</v>
      </c>
      <c r="P25" s="32" t="s">
        <v>1</v>
      </c>
      <c r="Q25" s="30">
        <v>1</v>
      </c>
      <c r="R25" s="30" t="s">
        <v>3</v>
      </c>
      <c r="S25" s="44" t="s">
        <v>0</v>
      </c>
      <c r="T25" s="44" t="s">
        <v>0</v>
      </c>
      <c r="U25" s="30" t="s">
        <v>3</v>
      </c>
      <c r="V25" s="30">
        <v>1</v>
      </c>
      <c r="W25" s="30">
        <v>1</v>
      </c>
      <c r="X25" s="30" t="s">
        <v>3</v>
      </c>
      <c r="Y25" s="30">
        <v>1</v>
      </c>
      <c r="Z25" s="44" t="s">
        <v>0</v>
      </c>
      <c r="AA25" s="44" t="s">
        <v>0</v>
      </c>
      <c r="AB25" s="30" t="s">
        <v>3</v>
      </c>
      <c r="AC25" s="30" t="s">
        <v>3</v>
      </c>
      <c r="AD25" s="30">
        <v>1</v>
      </c>
      <c r="AE25" s="53" t="s">
        <v>3</v>
      </c>
      <c r="AF25" s="30" t="s">
        <v>3</v>
      </c>
      <c r="AG25" s="44" t="s">
        <v>0</v>
      </c>
      <c r="AH25" s="44" t="s">
        <v>0</v>
      </c>
      <c r="AI25" s="30" t="s">
        <v>3</v>
      </c>
      <c r="AJ25" s="30">
        <v>1</v>
      </c>
      <c r="AK25" s="322" t="s">
        <v>3</v>
      </c>
      <c r="AL25" s="30" t="s">
        <v>3</v>
      </c>
      <c r="AM25" s="30" t="s">
        <v>3</v>
      </c>
      <c r="AN25" s="44" t="s">
        <v>0</v>
      </c>
      <c r="AO25" s="123" t="s">
        <v>0</v>
      </c>
      <c r="AP25" s="45">
        <v>0</v>
      </c>
      <c r="AQ25" s="46">
        <f t="shared" si="1"/>
        <v>0</v>
      </c>
      <c r="AR25" s="46">
        <v>0</v>
      </c>
      <c r="AS25" s="134">
        <f t="shared" si="10"/>
        <v>0</v>
      </c>
      <c r="AT25" s="284" t="s">
        <v>133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</row>
    <row r="26" spans="1:226" s="50" customFormat="1" ht="25.5" customHeight="1">
      <c r="A26" s="38">
        <f>COUNTIF(K26:AO26,1)+COUNTIF(K26:AO26,"早")+COUNTIF(K26:AO26,"M1")+COUNTIF(K26:AO26,"T早")+COUNTIF(K26:AO26,"日")</f>
        <v>3</v>
      </c>
      <c r="B26" s="39">
        <f>COUNTIF(K26:AO26,2)+COUNTIF(K26:AO26,"中")+COUNTIF(K26:AO26,"M2")+COUNTIF(K26:AO26,"T中")+COUNTIF(K26:AO26,"小夜")</f>
        <v>7</v>
      </c>
      <c r="C26" s="40">
        <f>COUNTIF(K26:AO26,3)+COUNTIF(K26:AO26,"晚")+COUNTIF(K26:AO26,"大夜")</f>
        <v>10</v>
      </c>
      <c r="D26" s="39">
        <f>COUNTIF(K26:AO26,"N")+COUNTIF(K26:AO26,"N8")</f>
        <v>0</v>
      </c>
      <c r="E26" s="41">
        <f>COUNTIF(K26:AO26,"S")</f>
        <v>0</v>
      </c>
      <c r="F26" s="41">
        <f>COUNTIF(K26:AO26,"X")</f>
        <v>11</v>
      </c>
      <c r="G26" s="41">
        <f>COUNTIF(K26:AO26,"Y")</f>
        <v>0</v>
      </c>
      <c r="H26" s="41">
        <f>COUNTIF(K26:AO26,"Z")</f>
        <v>0</v>
      </c>
      <c r="I26" s="42">
        <f t="shared" si="0"/>
        <v>31</v>
      </c>
      <c r="J26" s="147" t="s">
        <v>16</v>
      </c>
      <c r="K26" s="122" t="s">
        <v>0</v>
      </c>
      <c r="L26" s="44" t="s">
        <v>0</v>
      </c>
      <c r="M26" s="44" t="s">
        <v>0</v>
      </c>
      <c r="N26" s="30" t="s">
        <v>40</v>
      </c>
      <c r="O26" s="30" t="s">
        <v>40</v>
      </c>
      <c r="P26" s="30" t="s">
        <v>40</v>
      </c>
      <c r="Q26" s="30" t="s">
        <v>0</v>
      </c>
      <c r="R26" s="30">
        <v>3</v>
      </c>
      <c r="S26" s="30">
        <v>3</v>
      </c>
      <c r="T26" s="30">
        <v>3</v>
      </c>
      <c r="U26" s="30" t="s">
        <v>40</v>
      </c>
      <c r="V26" s="30" t="s">
        <v>40</v>
      </c>
      <c r="W26" s="30" t="s">
        <v>0</v>
      </c>
      <c r="X26" s="30" t="s">
        <v>40</v>
      </c>
      <c r="Y26" s="30" t="s">
        <v>40</v>
      </c>
      <c r="Z26" s="44" t="s">
        <v>0</v>
      </c>
      <c r="AA26" s="44" t="s">
        <v>0</v>
      </c>
      <c r="AB26" s="30" t="s">
        <v>36</v>
      </c>
      <c r="AC26" s="30" t="s">
        <v>36</v>
      </c>
      <c r="AD26" s="30" t="s">
        <v>36</v>
      </c>
      <c r="AE26" s="30" t="s">
        <v>0</v>
      </c>
      <c r="AF26" s="30">
        <v>2</v>
      </c>
      <c r="AG26" s="30" t="s">
        <v>38</v>
      </c>
      <c r="AH26" s="30" t="s">
        <v>38</v>
      </c>
      <c r="AI26" s="30" t="s">
        <v>0</v>
      </c>
      <c r="AJ26" s="30" t="s">
        <v>38</v>
      </c>
      <c r="AK26" s="30" t="s">
        <v>38</v>
      </c>
      <c r="AL26" s="30" t="s">
        <v>38</v>
      </c>
      <c r="AM26" s="30" t="s">
        <v>38</v>
      </c>
      <c r="AN26" s="44" t="s">
        <v>0</v>
      </c>
      <c r="AO26" s="123" t="s">
        <v>0</v>
      </c>
      <c r="AP26" s="45">
        <v>0</v>
      </c>
      <c r="AQ26" s="46">
        <f t="shared" si="1"/>
        <v>0</v>
      </c>
      <c r="AR26" s="46">
        <v>0</v>
      </c>
      <c r="AS26" s="134">
        <f t="shared" si="10"/>
        <v>0</v>
      </c>
      <c r="AT26" s="284" t="s">
        <v>128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</row>
    <row r="27" spans="1:226" s="50" customFormat="1" ht="25.5" customHeight="1">
      <c r="A27" s="38">
        <f t="shared" si="2"/>
        <v>20</v>
      </c>
      <c r="B27" s="39">
        <f t="shared" si="3"/>
        <v>0</v>
      </c>
      <c r="C27" s="40">
        <f t="shared" si="4"/>
        <v>0</v>
      </c>
      <c r="D27" s="39">
        <f t="shared" si="5"/>
        <v>0</v>
      </c>
      <c r="E27" s="41">
        <f t="shared" si="6"/>
        <v>0</v>
      </c>
      <c r="F27" s="41">
        <f t="shared" si="7"/>
        <v>11</v>
      </c>
      <c r="G27" s="41">
        <f t="shared" si="8"/>
        <v>0</v>
      </c>
      <c r="H27" s="41">
        <f t="shared" si="9"/>
        <v>0</v>
      </c>
      <c r="I27" s="42">
        <f t="shared" si="0"/>
        <v>31</v>
      </c>
      <c r="J27" s="146" t="s">
        <v>17</v>
      </c>
      <c r="K27" s="49">
        <v>1</v>
      </c>
      <c r="L27" s="44" t="s">
        <v>0</v>
      </c>
      <c r="M27" s="30">
        <v>1</v>
      </c>
      <c r="N27" s="30">
        <v>1</v>
      </c>
      <c r="O27" s="30" t="s">
        <v>0</v>
      </c>
      <c r="P27" s="32" t="s">
        <v>0</v>
      </c>
      <c r="Q27" s="30">
        <v>1</v>
      </c>
      <c r="R27" s="30">
        <v>1</v>
      </c>
      <c r="S27" s="30">
        <v>1</v>
      </c>
      <c r="T27" s="44" t="s">
        <v>0</v>
      </c>
      <c r="U27" s="30">
        <v>1</v>
      </c>
      <c r="V27" s="285">
        <v>1</v>
      </c>
      <c r="W27" s="32" t="s">
        <v>0</v>
      </c>
      <c r="X27" s="30">
        <v>1</v>
      </c>
      <c r="Y27" s="30">
        <v>1</v>
      </c>
      <c r="Z27" s="44" t="s">
        <v>0</v>
      </c>
      <c r="AA27" s="44" t="s">
        <v>0</v>
      </c>
      <c r="AB27" s="30">
        <v>1</v>
      </c>
      <c r="AC27" s="30">
        <v>1</v>
      </c>
      <c r="AD27" s="32" t="s">
        <v>0</v>
      </c>
      <c r="AE27" s="30">
        <v>1</v>
      </c>
      <c r="AF27" s="30">
        <v>1</v>
      </c>
      <c r="AG27" s="30">
        <v>1</v>
      </c>
      <c r="AH27" s="30">
        <v>1</v>
      </c>
      <c r="AI27" s="30">
        <v>1</v>
      </c>
      <c r="AJ27" s="30">
        <v>1</v>
      </c>
      <c r="AK27" s="32" t="s">
        <v>0</v>
      </c>
      <c r="AL27" s="30">
        <v>1</v>
      </c>
      <c r="AM27" s="30">
        <v>1</v>
      </c>
      <c r="AN27" s="44" t="s">
        <v>0</v>
      </c>
      <c r="AO27" s="123" t="s">
        <v>0</v>
      </c>
      <c r="AP27" s="45">
        <v>0</v>
      </c>
      <c r="AQ27" s="46">
        <f t="shared" si="1"/>
        <v>0</v>
      </c>
      <c r="AR27" s="46">
        <v>0</v>
      </c>
      <c r="AS27" s="134">
        <f t="shared" si="10"/>
        <v>0</v>
      </c>
      <c r="AT27" s="284" t="s">
        <v>128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</row>
    <row r="28" spans="1:226" s="50" customFormat="1" ht="27" customHeight="1">
      <c r="A28" s="38">
        <f t="shared" si="2"/>
        <v>0</v>
      </c>
      <c r="B28" s="39">
        <f t="shared" si="3"/>
        <v>5</v>
      </c>
      <c r="C28" s="40">
        <f t="shared" si="4"/>
        <v>11</v>
      </c>
      <c r="D28" s="39">
        <f t="shared" si="5"/>
        <v>0</v>
      </c>
      <c r="E28" s="41">
        <f t="shared" si="6"/>
        <v>4</v>
      </c>
      <c r="F28" s="41">
        <f t="shared" si="7"/>
        <v>11</v>
      </c>
      <c r="G28" s="41">
        <f t="shared" si="8"/>
        <v>0</v>
      </c>
      <c r="H28" s="41">
        <f t="shared" si="9"/>
        <v>0</v>
      </c>
      <c r="I28" s="42">
        <f t="shared" si="0"/>
        <v>31</v>
      </c>
      <c r="J28" s="147" t="s">
        <v>139</v>
      </c>
      <c r="K28" s="49">
        <v>2</v>
      </c>
      <c r="L28" s="44" t="s">
        <v>0</v>
      </c>
      <c r="M28" s="44" t="s">
        <v>0</v>
      </c>
      <c r="N28" s="30">
        <v>3</v>
      </c>
      <c r="O28" s="30">
        <v>3</v>
      </c>
      <c r="P28" s="30">
        <v>3</v>
      </c>
      <c r="Q28" s="30" t="s">
        <v>0</v>
      </c>
      <c r="R28" s="30">
        <v>2</v>
      </c>
      <c r="S28" s="30">
        <v>2</v>
      </c>
      <c r="T28" s="30">
        <v>2</v>
      </c>
      <c r="U28" s="30">
        <v>2</v>
      </c>
      <c r="V28" s="30" t="s">
        <v>0</v>
      </c>
      <c r="W28" s="30">
        <v>3</v>
      </c>
      <c r="X28" s="30">
        <v>3</v>
      </c>
      <c r="Y28" s="30">
        <v>3</v>
      </c>
      <c r="Z28" s="30">
        <v>3</v>
      </c>
      <c r="AA28" s="30">
        <v>3</v>
      </c>
      <c r="AB28" s="30" t="s">
        <v>0</v>
      </c>
      <c r="AC28" s="30">
        <v>3</v>
      </c>
      <c r="AD28" s="30">
        <v>3</v>
      </c>
      <c r="AE28" s="30">
        <v>3</v>
      </c>
      <c r="AF28" s="32" t="s">
        <v>1</v>
      </c>
      <c r="AG28" s="44" t="s">
        <v>0</v>
      </c>
      <c r="AH28" s="44" t="s">
        <v>0</v>
      </c>
      <c r="AI28" s="32" t="s">
        <v>0</v>
      </c>
      <c r="AJ28" s="32" t="s">
        <v>0</v>
      </c>
      <c r="AK28" s="32" t="s">
        <v>1</v>
      </c>
      <c r="AL28" s="32" t="s">
        <v>1</v>
      </c>
      <c r="AM28" s="32" t="s">
        <v>1</v>
      </c>
      <c r="AN28" s="44" t="s">
        <v>0</v>
      </c>
      <c r="AO28" s="123" t="s">
        <v>0</v>
      </c>
      <c r="AP28" s="45">
        <v>0</v>
      </c>
      <c r="AQ28" s="46">
        <f t="shared" si="1"/>
        <v>0</v>
      </c>
      <c r="AR28" s="46">
        <v>0</v>
      </c>
      <c r="AS28" s="134">
        <f t="shared" si="10"/>
        <v>0</v>
      </c>
      <c r="AT28" s="284" t="s">
        <v>128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</row>
    <row r="29" spans="1:226" s="50" customFormat="1" ht="25.5" customHeight="1">
      <c r="A29" s="38">
        <f t="shared" ref="A29" si="24">COUNTIF(K29:AO29,1)+COUNTIF(K29:AO29,"早")+COUNTIF(K29:AO29,"M1")+COUNTIF(K29:AO29,"T早")+COUNTIF(K29:AO29,"日")</f>
        <v>7</v>
      </c>
      <c r="B29" s="39">
        <f t="shared" ref="B29" si="25">COUNTIF(K29:AO29,2)+COUNTIF(K29:AO29,"中")+COUNTIF(K29:AO29,"M2")+COUNTIF(K29:AO29,"T中")+COUNTIF(K29:AO29,"小夜")</f>
        <v>9</v>
      </c>
      <c r="C29" s="40">
        <f t="shared" ref="C29" si="26">COUNTIF(K29:AO29,3)+COUNTIF(K29:AO29,"晚")+COUNTIF(K29:AO29,"大夜")</f>
        <v>4</v>
      </c>
      <c r="D29" s="39">
        <f t="shared" ref="D29" si="27">COUNTIF(K29:AO29,"N")+COUNTIF(K29:AO29,"N8")</f>
        <v>0</v>
      </c>
      <c r="E29" s="41">
        <f t="shared" ref="E29" si="28">COUNTIF(K29:AO29,"S")</f>
        <v>0</v>
      </c>
      <c r="F29" s="41">
        <f t="shared" ref="F29" si="29">COUNTIF(K29:AO29,"X")</f>
        <v>11</v>
      </c>
      <c r="G29" s="41">
        <f t="shared" ref="G29" si="30">COUNTIF(K29:AO29,"Y")</f>
        <v>0</v>
      </c>
      <c r="H29" s="41">
        <f t="shared" ref="H29" si="31">COUNTIF(K29:AO29,"Z")</f>
        <v>0</v>
      </c>
      <c r="I29" s="42">
        <f t="shared" ref="I29" si="32">SUM(A29:H29)</f>
        <v>31</v>
      </c>
      <c r="J29" s="147" t="s">
        <v>140</v>
      </c>
      <c r="K29" s="49">
        <v>1</v>
      </c>
      <c r="L29" s="30">
        <v>1</v>
      </c>
      <c r="M29" s="30">
        <v>1</v>
      </c>
      <c r="N29" s="30" t="s">
        <v>0</v>
      </c>
      <c r="O29" s="30" t="s">
        <v>0</v>
      </c>
      <c r="P29" s="30">
        <v>2</v>
      </c>
      <c r="Q29" s="30">
        <v>2</v>
      </c>
      <c r="R29" s="30" t="s">
        <v>0</v>
      </c>
      <c r="S29" s="44" t="s">
        <v>0</v>
      </c>
      <c r="T29" s="44" t="s">
        <v>0</v>
      </c>
      <c r="U29" s="30">
        <v>3</v>
      </c>
      <c r="V29" s="30">
        <v>3</v>
      </c>
      <c r="W29" s="30" t="s">
        <v>0</v>
      </c>
      <c r="X29" s="30" t="s">
        <v>0</v>
      </c>
      <c r="Y29" s="30">
        <v>2</v>
      </c>
      <c r="Z29" s="30">
        <v>2</v>
      </c>
      <c r="AA29" s="30">
        <v>2</v>
      </c>
      <c r="AB29" s="30" t="s">
        <v>0</v>
      </c>
      <c r="AC29" s="30">
        <v>2</v>
      </c>
      <c r="AD29" s="30">
        <v>2</v>
      </c>
      <c r="AE29" s="30">
        <v>2</v>
      </c>
      <c r="AF29" s="30">
        <v>2</v>
      </c>
      <c r="AG29" s="44" t="s">
        <v>0</v>
      </c>
      <c r="AH29" s="44" t="s">
        <v>0</v>
      </c>
      <c r="AI29" s="30">
        <v>3</v>
      </c>
      <c r="AJ29" s="30">
        <v>3</v>
      </c>
      <c r="AK29" s="30" t="s">
        <v>0</v>
      </c>
      <c r="AL29" s="30">
        <v>1</v>
      </c>
      <c r="AM29" s="30">
        <v>1</v>
      </c>
      <c r="AN29" s="30">
        <v>1</v>
      </c>
      <c r="AO29" s="48">
        <v>1</v>
      </c>
      <c r="AP29" s="62">
        <v>0</v>
      </c>
      <c r="AQ29" s="46">
        <f t="shared" si="1"/>
        <v>0</v>
      </c>
      <c r="AR29" s="46">
        <v>0</v>
      </c>
      <c r="AS29" s="134">
        <f t="shared" si="10"/>
        <v>0</v>
      </c>
      <c r="AT29" s="284" t="s">
        <v>126</v>
      </c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</row>
    <row r="30" spans="1:226" s="50" customFormat="1" ht="25.5" customHeight="1">
      <c r="A30" s="38">
        <f t="shared" si="2"/>
        <v>11</v>
      </c>
      <c r="B30" s="39">
        <f t="shared" si="3"/>
        <v>3</v>
      </c>
      <c r="C30" s="40">
        <f t="shared" si="4"/>
        <v>5</v>
      </c>
      <c r="D30" s="39">
        <f t="shared" si="5"/>
        <v>1</v>
      </c>
      <c r="E30" s="41">
        <f t="shared" si="6"/>
        <v>0</v>
      </c>
      <c r="F30" s="41">
        <f t="shared" si="7"/>
        <v>11</v>
      </c>
      <c r="G30" s="41">
        <f t="shared" si="8"/>
        <v>0</v>
      </c>
      <c r="H30" s="41">
        <f t="shared" si="9"/>
        <v>0</v>
      </c>
      <c r="I30" s="42">
        <f t="shared" si="0"/>
        <v>31</v>
      </c>
      <c r="J30" s="147" t="s">
        <v>19</v>
      </c>
      <c r="K30" s="49">
        <v>1</v>
      </c>
      <c r="L30" s="30">
        <v>1</v>
      </c>
      <c r="M30" s="30">
        <v>1</v>
      </c>
      <c r="N30" s="46" t="s">
        <v>0</v>
      </c>
      <c r="O30" s="30">
        <v>1</v>
      </c>
      <c r="P30" s="30">
        <v>1</v>
      </c>
      <c r="Q30" s="53" t="s">
        <v>3</v>
      </c>
      <c r="R30" s="30" t="s">
        <v>0</v>
      </c>
      <c r="S30" s="44" t="s">
        <v>0</v>
      </c>
      <c r="T30" s="44" t="s">
        <v>0</v>
      </c>
      <c r="U30" s="30">
        <v>3</v>
      </c>
      <c r="V30" s="30">
        <v>3</v>
      </c>
      <c r="W30" s="30">
        <v>3</v>
      </c>
      <c r="X30" s="30" t="s">
        <v>0</v>
      </c>
      <c r="Y30" s="32" t="s">
        <v>0</v>
      </c>
      <c r="Z30" s="44" t="s">
        <v>0</v>
      </c>
      <c r="AA30" s="44" t="s">
        <v>0</v>
      </c>
      <c r="AB30" s="30">
        <v>1</v>
      </c>
      <c r="AC30" s="30">
        <v>1</v>
      </c>
      <c r="AD30" s="30">
        <v>1</v>
      </c>
      <c r="AE30" s="30">
        <v>1</v>
      </c>
      <c r="AF30" s="30">
        <v>1</v>
      </c>
      <c r="AG30" s="30" t="s">
        <v>0</v>
      </c>
      <c r="AH30" s="30">
        <v>1</v>
      </c>
      <c r="AI30" s="30">
        <v>2</v>
      </c>
      <c r="AJ30" s="30">
        <v>2</v>
      </c>
      <c r="AK30" s="41">
        <v>2</v>
      </c>
      <c r="AL30" s="46" t="s">
        <v>0</v>
      </c>
      <c r="AM30" s="46" t="s">
        <v>0</v>
      </c>
      <c r="AN30" s="30">
        <v>3</v>
      </c>
      <c r="AO30" s="48">
        <v>3</v>
      </c>
      <c r="AP30" s="62">
        <v>0</v>
      </c>
      <c r="AQ30" s="46">
        <f t="shared" si="1"/>
        <v>0</v>
      </c>
      <c r="AR30" s="46">
        <v>0</v>
      </c>
      <c r="AS30" s="134">
        <f t="shared" si="10"/>
        <v>0</v>
      </c>
      <c r="AT30" s="284" t="s">
        <v>126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</row>
    <row r="31" spans="1:226" s="50" customFormat="1" ht="25.5" customHeight="1">
      <c r="A31" s="38">
        <f>COUNTIF(K31:AO31,1)+COUNTIF(K31:AO31,"早")+COUNTIF(K31:AO31,"M1")+COUNTIF(K31:AO31,"T早")+COUNTIF(K31:AO31,"日")</f>
        <v>3</v>
      </c>
      <c r="B31" s="39">
        <f>COUNTIF(K31:AO31,2)+COUNTIF(K31:AO31,"中")+COUNTIF(K31:AO31,"M2")+COUNTIF(K31:AO31,"T中")+COUNTIF(K31:AO31,"小夜")</f>
        <v>10</v>
      </c>
      <c r="C31" s="40">
        <f>COUNTIF(K31:AO31,3)+COUNTIF(K31:AO31,"晚")+COUNTIF(K31:AO31,"大夜")</f>
        <v>7</v>
      </c>
      <c r="D31" s="39">
        <f>COUNTIF(K31:AO31,"N")+COUNTIF(K31:AO31,"N8")</f>
        <v>0</v>
      </c>
      <c r="E31" s="41">
        <f>COUNTIF(K31:AO31,"S")</f>
        <v>0</v>
      </c>
      <c r="F31" s="41">
        <f>COUNTIF(K31:AO31,"X")</f>
        <v>11</v>
      </c>
      <c r="G31" s="41">
        <f>COUNTIF(K31:AO31,"Y")</f>
        <v>0</v>
      </c>
      <c r="H31" s="41">
        <f>COUNTIF(K31:AO31,"Z")</f>
        <v>0</v>
      </c>
      <c r="I31" s="42">
        <f>SUM(A31:H31)</f>
        <v>31</v>
      </c>
      <c r="J31" s="147" t="s">
        <v>20</v>
      </c>
      <c r="K31" s="49">
        <v>2</v>
      </c>
      <c r="L31" s="44" t="s">
        <v>0</v>
      </c>
      <c r="M31" s="44" t="s">
        <v>0</v>
      </c>
      <c r="N31" s="30">
        <v>1</v>
      </c>
      <c r="O31" s="30">
        <v>1</v>
      </c>
      <c r="P31" s="30">
        <v>1</v>
      </c>
      <c r="Q31" s="30">
        <v>2</v>
      </c>
      <c r="R31" s="30">
        <v>2</v>
      </c>
      <c r="S31" s="30" t="s">
        <v>0</v>
      </c>
      <c r="T31" s="30">
        <v>2</v>
      </c>
      <c r="U31" s="30">
        <v>2</v>
      </c>
      <c r="V31" s="30">
        <v>2</v>
      </c>
      <c r="W31" s="30">
        <v>2</v>
      </c>
      <c r="X31" s="30">
        <v>2</v>
      </c>
      <c r="Y31" s="32" t="s">
        <v>0</v>
      </c>
      <c r="Z31" s="44" t="s">
        <v>0</v>
      </c>
      <c r="AA31" s="44" t="s">
        <v>0</v>
      </c>
      <c r="AB31" s="30">
        <v>3</v>
      </c>
      <c r="AC31" s="30">
        <v>3</v>
      </c>
      <c r="AD31" s="30">
        <v>3</v>
      </c>
      <c r="AE31" s="30" t="s">
        <v>0</v>
      </c>
      <c r="AF31" s="30">
        <v>3</v>
      </c>
      <c r="AG31" s="30">
        <v>3</v>
      </c>
      <c r="AH31" s="30">
        <v>3</v>
      </c>
      <c r="AI31" s="30">
        <v>3</v>
      </c>
      <c r="AJ31" s="30" t="s">
        <v>0</v>
      </c>
      <c r="AK31" s="30" t="s">
        <v>0</v>
      </c>
      <c r="AL31" s="30">
        <v>2</v>
      </c>
      <c r="AM31" s="30">
        <v>2</v>
      </c>
      <c r="AN31" s="44" t="s">
        <v>0</v>
      </c>
      <c r="AO31" s="123" t="s">
        <v>0</v>
      </c>
      <c r="AP31" s="62">
        <v>0</v>
      </c>
      <c r="AQ31" s="46">
        <f t="shared" si="1"/>
        <v>0</v>
      </c>
      <c r="AR31" s="46">
        <v>0</v>
      </c>
      <c r="AS31" s="134">
        <f>SUM(AP31:AR31)</f>
        <v>0</v>
      </c>
      <c r="AT31" s="284" t="s">
        <v>128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</row>
    <row r="32" spans="1:226" s="50" customFormat="1" ht="25.5" customHeight="1" thickBot="1">
      <c r="A32" s="54">
        <f t="shared" si="2"/>
        <v>3</v>
      </c>
      <c r="B32" s="55">
        <f t="shared" si="3"/>
        <v>10</v>
      </c>
      <c r="C32" s="56">
        <f t="shared" si="4"/>
        <v>7</v>
      </c>
      <c r="D32" s="55">
        <f t="shared" si="5"/>
        <v>0</v>
      </c>
      <c r="E32" s="17">
        <f t="shared" si="6"/>
        <v>0</v>
      </c>
      <c r="F32" s="17">
        <f t="shared" si="7"/>
        <v>11</v>
      </c>
      <c r="G32" s="17">
        <f t="shared" si="8"/>
        <v>0</v>
      </c>
      <c r="H32" s="17">
        <f t="shared" si="9"/>
        <v>0</v>
      </c>
      <c r="I32" s="57">
        <f t="shared" si="0"/>
        <v>31</v>
      </c>
      <c r="J32" s="158" t="s">
        <v>21</v>
      </c>
      <c r="K32" s="58">
        <v>2</v>
      </c>
      <c r="L32" s="59" t="s">
        <v>0</v>
      </c>
      <c r="M32" s="59" t="s">
        <v>0</v>
      </c>
      <c r="N32" s="60">
        <v>3</v>
      </c>
      <c r="O32" s="60">
        <v>3</v>
      </c>
      <c r="P32" s="60">
        <v>3</v>
      </c>
      <c r="Q32" s="60">
        <v>3</v>
      </c>
      <c r="R32" s="60" t="s">
        <v>0</v>
      </c>
      <c r="S32" s="60">
        <v>1</v>
      </c>
      <c r="T32" s="60">
        <v>1</v>
      </c>
      <c r="U32" s="60">
        <v>1</v>
      </c>
      <c r="V32" s="60" t="s">
        <v>0</v>
      </c>
      <c r="W32" s="60">
        <v>3</v>
      </c>
      <c r="X32" s="60">
        <v>3</v>
      </c>
      <c r="Y32" s="60">
        <v>3</v>
      </c>
      <c r="Z32" s="59" t="s">
        <v>0</v>
      </c>
      <c r="AA32" s="59" t="s">
        <v>0</v>
      </c>
      <c r="AB32" s="60">
        <v>2</v>
      </c>
      <c r="AC32" s="60">
        <v>2</v>
      </c>
      <c r="AD32" s="60">
        <v>2</v>
      </c>
      <c r="AE32" s="60">
        <v>2</v>
      </c>
      <c r="AF32" s="60" t="s">
        <v>0</v>
      </c>
      <c r="AG32" s="60">
        <v>2</v>
      </c>
      <c r="AH32" s="60">
        <v>2</v>
      </c>
      <c r="AI32" s="60">
        <v>2</v>
      </c>
      <c r="AJ32" s="60">
        <v>2</v>
      </c>
      <c r="AK32" s="60">
        <v>2</v>
      </c>
      <c r="AL32" s="60" t="s">
        <v>0</v>
      </c>
      <c r="AM32" s="52" t="s">
        <v>156</v>
      </c>
      <c r="AN32" s="59" t="s">
        <v>0</v>
      </c>
      <c r="AO32" s="188" t="s">
        <v>0</v>
      </c>
      <c r="AP32" s="142">
        <v>0</v>
      </c>
      <c r="AQ32" s="74">
        <f t="shared" si="1"/>
        <v>0</v>
      </c>
      <c r="AR32" s="74">
        <v>0</v>
      </c>
      <c r="AS32" s="127">
        <f t="shared" si="10"/>
        <v>0</v>
      </c>
      <c r="AT32" s="287" t="s">
        <v>128</v>
      </c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</row>
    <row r="33" spans="1:226" s="50" customFormat="1" ht="25.5" customHeight="1">
      <c r="A33" s="23">
        <f t="shared" si="2"/>
        <v>3</v>
      </c>
      <c r="B33" s="24">
        <f t="shared" si="3"/>
        <v>0</v>
      </c>
      <c r="C33" s="25">
        <f t="shared" si="4"/>
        <v>16</v>
      </c>
      <c r="D33" s="24">
        <f t="shared" si="5"/>
        <v>0</v>
      </c>
      <c r="E33" s="26">
        <f t="shared" si="6"/>
        <v>1</v>
      </c>
      <c r="F33" s="26">
        <f t="shared" si="7"/>
        <v>11</v>
      </c>
      <c r="G33" s="26">
        <f t="shared" si="8"/>
        <v>0</v>
      </c>
      <c r="H33" s="26">
        <f t="shared" si="9"/>
        <v>0</v>
      </c>
      <c r="I33" s="27">
        <f t="shared" si="0"/>
        <v>31</v>
      </c>
      <c r="J33" s="154" t="s">
        <v>22</v>
      </c>
      <c r="K33" s="326" t="s">
        <v>0</v>
      </c>
      <c r="L33" s="164" t="s">
        <v>40</v>
      </c>
      <c r="M33" s="164" t="s">
        <v>40</v>
      </c>
      <c r="N33" s="164" t="s">
        <v>40</v>
      </c>
      <c r="O33" s="164" t="s">
        <v>0</v>
      </c>
      <c r="P33" s="164" t="s">
        <v>36</v>
      </c>
      <c r="Q33" s="164" t="s">
        <v>36</v>
      </c>
      <c r="R33" s="164" t="s">
        <v>36</v>
      </c>
      <c r="S33" s="165" t="s">
        <v>0</v>
      </c>
      <c r="T33" s="165" t="s">
        <v>0</v>
      </c>
      <c r="U33" s="316" t="s">
        <v>1</v>
      </c>
      <c r="V33" s="316" t="s">
        <v>0</v>
      </c>
      <c r="W33" s="316" t="s">
        <v>0</v>
      </c>
      <c r="X33" s="164" t="s">
        <v>40</v>
      </c>
      <c r="Y33" s="164" t="s">
        <v>40</v>
      </c>
      <c r="Z33" s="164" t="s">
        <v>40</v>
      </c>
      <c r="AA33" s="164" t="s">
        <v>40</v>
      </c>
      <c r="AB33" s="164" t="s">
        <v>40</v>
      </c>
      <c r="AC33" s="164" t="s">
        <v>0</v>
      </c>
      <c r="AD33" s="164">
        <v>3</v>
      </c>
      <c r="AE33" s="164">
        <v>3</v>
      </c>
      <c r="AF33" s="164">
        <v>3</v>
      </c>
      <c r="AG33" s="165" t="s">
        <v>0</v>
      </c>
      <c r="AH33" s="165" t="s">
        <v>0</v>
      </c>
      <c r="AI33" s="316" t="s">
        <v>0</v>
      </c>
      <c r="AJ33" s="164" t="s">
        <v>40</v>
      </c>
      <c r="AK33" s="164" t="s">
        <v>40</v>
      </c>
      <c r="AL33" s="164" t="s">
        <v>40</v>
      </c>
      <c r="AM33" s="164" t="s">
        <v>0</v>
      </c>
      <c r="AN33" s="164" t="s">
        <v>40</v>
      </c>
      <c r="AO33" s="327" t="s">
        <v>40</v>
      </c>
      <c r="AP33" s="65">
        <v>0</v>
      </c>
      <c r="AQ33" s="36">
        <f t="shared" si="1"/>
        <v>0</v>
      </c>
      <c r="AR33" s="36">
        <v>0</v>
      </c>
      <c r="AS33" s="133">
        <f t="shared" si="10"/>
        <v>0</v>
      </c>
      <c r="AT33" s="37" t="s">
        <v>126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</row>
    <row r="34" spans="1:226" s="50" customFormat="1" ht="27.75" customHeight="1">
      <c r="A34" s="38">
        <f>COUNTIF(K34:AO34,1)+COUNTIF(K34:AO34,"早")+COUNTIF(K34:AO34,"M1")+COUNTIF(K34:AO34,"T早")+COUNTIF(K34:AO34,"日")</f>
        <v>0</v>
      </c>
      <c r="B34" s="39">
        <f>COUNTIF(K34:AO34,2)+COUNTIF(K34:AO34,"中")+COUNTIF(K34:AO34,"M2")+COUNTIF(K34:AO34,"T中")+COUNTIF(K34:AO34,"小夜")</f>
        <v>18</v>
      </c>
      <c r="C34" s="40">
        <f>COUNTIF(K34:AO34,3)+COUNTIF(K34:AO34,"晚")+COUNTIF(K34:AO34,"大夜")</f>
        <v>1</v>
      </c>
      <c r="D34" s="39">
        <f>COUNTIF(K34:AO34,"N")+COUNTIF(K34:AO34,"N8")</f>
        <v>0</v>
      </c>
      <c r="E34" s="41">
        <f>COUNTIF(K34:AO34,"S")</f>
        <v>1</v>
      </c>
      <c r="F34" s="41">
        <f>COUNTIF(K34:AO34,"X")</f>
        <v>11</v>
      </c>
      <c r="G34" s="41">
        <f>COUNTIF(K34:AO34,"Y")</f>
        <v>0</v>
      </c>
      <c r="H34" s="41">
        <f>COUNTIF(K34:AO34,"Z")</f>
        <v>0</v>
      </c>
      <c r="I34" s="42">
        <f t="shared" si="0"/>
        <v>31</v>
      </c>
      <c r="J34" s="146" t="s">
        <v>23</v>
      </c>
      <c r="K34" s="49" t="s">
        <v>40</v>
      </c>
      <c r="L34" s="30" t="s">
        <v>38</v>
      </c>
      <c r="M34" s="30" t="s">
        <v>38</v>
      </c>
      <c r="N34" s="30" t="s">
        <v>0</v>
      </c>
      <c r="O34" s="30" t="s">
        <v>38</v>
      </c>
      <c r="P34" s="30" t="s">
        <v>38</v>
      </c>
      <c r="Q34" s="30" t="s">
        <v>0</v>
      </c>
      <c r="R34" s="30" t="s">
        <v>38</v>
      </c>
      <c r="S34" s="30" t="s">
        <v>38</v>
      </c>
      <c r="T34" s="30" t="s">
        <v>38</v>
      </c>
      <c r="U34" s="30" t="s">
        <v>0</v>
      </c>
      <c r="V34" s="30" t="s">
        <v>38</v>
      </c>
      <c r="W34" s="30" t="s">
        <v>38</v>
      </c>
      <c r="X34" s="30" t="s">
        <v>38</v>
      </c>
      <c r="Y34" s="44" t="s">
        <v>0</v>
      </c>
      <c r="Z34" s="32" t="s">
        <v>1</v>
      </c>
      <c r="AA34" s="44" t="s">
        <v>0</v>
      </c>
      <c r="AB34" s="30" t="s">
        <v>0</v>
      </c>
      <c r="AC34" s="30" t="s">
        <v>0</v>
      </c>
      <c r="AD34" s="30" t="s">
        <v>38</v>
      </c>
      <c r="AE34" s="30" t="s">
        <v>38</v>
      </c>
      <c r="AF34" s="30" t="s">
        <v>38</v>
      </c>
      <c r="AG34" s="44" t="s">
        <v>0</v>
      </c>
      <c r="AH34" s="44" t="s">
        <v>0</v>
      </c>
      <c r="AI34" s="30" t="s">
        <v>38</v>
      </c>
      <c r="AJ34" s="30" t="s">
        <v>38</v>
      </c>
      <c r="AK34" s="30" t="s">
        <v>38</v>
      </c>
      <c r="AL34" s="30" t="s">
        <v>0</v>
      </c>
      <c r="AM34" s="30" t="s">
        <v>0</v>
      </c>
      <c r="AN34" s="30" t="s">
        <v>38</v>
      </c>
      <c r="AO34" s="48" t="s">
        <v>38</v>
      </c>
      <c r="AP34" s="45">
        <v>0</v>
      </c>
      <c r="AQ34" s="46">
        <f t="shared" si="1"/>
        <v>0</v>
      </c>
      <c r="AR34" s="46">
        <v>0</v>
      </c>
      <c r="AS34" s="134">
        <f t="shared" si="10"/>
        <v>0</v>
      </c>
      <c r="AT34" s="284" t="s">
        <v>126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</row>
    <row r="35" spans="1:226" s="50" customFormat="1" ht="27.75" customHeight="1">
      <c r="A35" s="38">
        <f t="shared" si="2"/>
        <v>2</v>
      </c>
      <c r="B35" s="39">
        <f t="shared" si="3"/>
        <v>18</v>
      </c>
      <c r="C35" s="40">
        <f t="shared" si="4"/>
        <v>0</v>
      </c>
      <c r="D35" s="39">
        <f t="shared" si="5"/>
        <v>0</v>
      </c>
      <c r="E35" s="41">
        <f t="shared" si="6"/>
        <v>0</v>
      </c>
      <c r="F35" s="41">
        <f t="shared" si="7"/>
        <v>11</v>
      </c>
      <c r="G35" s="41">
        <f t="shared" si="8"/>
        <v>0</v>
      </c>
      <c r="H35" s="41">
        <f t="shared" si="9"/>
        <v>0</v>
      </c>
      <c r="I35" s="42">
        <f t="shared" si="0"/>
        <v>31</v>
      </c>
      <c r="J35" s="146" t="s">
        <v>24</v>
      </c>
      <c r="K35" s="49" t="s">
        <v>38</v>
      </c>
      <c r="L35" s="44" t="s">
        <v>0</v>
      </c>
      <c r="M35" s="44" t="s">
        <v>0</v>
      </c>
      <c r="N35" s="30" t="s">
        <v>38</v>
      </c>
      <c r="O35" s="30" t="s">
        <v>38</v>
      </c>
      <c r="P35" s="30" t="s">
        <v>38</v>
      </c>
      <c r="Q35" s="30" t="s">
        <v>38</v>
      </c>
      <c r="R35" s="30" t="s">
        <v>0</v>
      </c>
      <c r="S35" s="30" t="s">
        <v>38</v>
      </c>
      <c r="T35" s="30" t="s">
        <v>38</v>
      </c>
      <c r="U35" s="30" t="s">
        <v>38</v>
      </c>
      <c r="V35" s="30" t="s">
        <v>38</v>
      </c>
      <c r="W35" s="30" t="s">
        <v>0</v>
      </c>
      <c r="X35" s="30" t="s">
        <v>38</v>
      </c>
      <c r="Y35" s="30" t="s">
        <v>38</v>
      </c>
      <c r="Z35" s="30" t="s">
        <v>38</v>
      </c>
      <c r="AA35" s="30" t="s">
        <v>38</v>
      </c>
      <c r="AB35" s="30" t="s">
        <v>38</v>
      </c>
      <c r="AC35" s="30" t="s">
        <v>0</v>
      </c>
      <c r="AD35" s="30" t="s">
        <v>0</v>
      </c>
      <c r="AE35" s="30" t="s">
        <v>38</v>
      </c>
      <c r="AF35" s="30" t="s">
        <v>38</v>
      </c>
      <c r="AG35" s="44" t="s">
        <v>0</v>
      </c>
      <c r="AH35" s="44" t="s">
        <v>0</v>
      </c>
      <c r="AI35" s="30" t="s">
        <v>36</v>
      </c>
      <c r="AJ35" s="30" t="s">
        <v>36</v>
      </c>
      <c r="AK35" s="41" t="s">
        <v>0</v>
      </c>
      <c r="AL35" s="30" t="s">
        <v>38</v>
      </c>
      <c r="AM35" s="30" t="s">
        <v>38</v>
      </c>
      <c r="AN35" s="44" t="s">
        <v>0</v>
      </c>
      <c r="AO35" s="123" t="s">
        <v>0</v>
      </c>
      <c r="AP35" s="45">
        <v>0</v>
      </c>
      <c r="AQ35" s="46">
        <f t="shared" si="1"/>
        <v>0</v>
      </c>
      <c r="AR35" s="46">
        <v>0</v>
      </c>
      <c r="AS35" s="134">
        <f t="shared" si="10"/>
        <v>0</v>
      </c>
      <c r="AT35" s="284" t="s">
        <v>128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</row>
    <row r="36" spans="1:226" s="50" customFormat="1" ht="27.6" customHeight="1">
      <c r="A36" s="38">
        <f t="shared" si="2"/>
        <v>1</v>
      </c>
      <c r="B36" s="39">
        <f t="shared" si="3"/>
        <v>17</v>
      </c>
      <c r="C36" s="40">
        <f t="shared" si="4"/>
        <v>0</v>
      </c>
      <c r="D36" s="39">
        <f t="shared" si="5"/>
        <v>0</v>
      </c>
      <c r="E36" s="41">
        <f t="shared" si="6"/>
        <v>2</v>
      </c>
      <c r="F36" s="41">
        <f t="shared" si="7"/>
        <v>11</v>
      </c>
      <c r="G36" s="41">
        <f t="shared" si="8"/>
        <v>0</v>
      </c>
      <c r="H36" s="41">
        <f t="shared" si="9"/>
        <v>0</v>
      </c>
      <c r="I36" s="42">
        <f t="shared" si="0"/>
        <v>31</v>
      </c>
      <c r="J36" s="148" t="s">
        <v>25</v>
      </c>
      <c r="K36" s="49" t="s">
        <v>38</v>
      </c>
      <c r="L36" s="30" t="s">
        <v>26</v>
      </c>
      <c r="M36" s="30" t="s">
        <v>38</v>
      </c>
      <c r="N36" s="30" t="s">
        <v>38</v>
      </c>
      <c r="O36" s="30" t="s">
        <v>0</v>
      </c>
      <c r="P36" s="30" t="s">
        <v>0</v>
      </c>
      <c r="Q36" s="30" t="s">
        <v>38</v>
      </c>
      <c r="R36" s="30" t="s">
        <v>38</v>
      </c>
      <c r="S36" s="30" t="s">
        <v>38</v>
      </c>
      <c r="T36" s="30" t="s">
        <v>38</v>
      </c>
      <c r="U36" s="30" t="s">
        <v>38</v>
      </c>
      <c r="V36" s="30" t="s">
        <v>0</v>
      </c>
      <c r="W36" s="32" t="s">
        <v>1</v>
      </c>
      <c r="X36" s="30" t="s">
        <v>0</v>
      </c>
      <c r="Y36" s="30" t="s">
        <v>0</v>
      </c>
      <c r="Z36" s="30" t="s">
        <v>26</v>
      </c>
      <c r="AA36" s="30" t="s">
        <v>38</v>
      </c>
      <c r="AB36" s="30" t="s">
        <v>38</v>
      </c>
      <c r="AC36" s="30" t="s">
        <v>38</v>
      </c>
      <c r="AD36" s="50" t="s">
        <v>0</v>
      </c>
      <c r="AE36" s="30" t="s">
        <v>0</v>
      </c>
      <c r="AF36" s="30" t="s">
        <v>36</v>
      </c>
      <c r="AG36" s="30" t="s">
        <v>26</v>
      </c>
      <c r="AH36" s="30" t="s">
        <v>38</v>
      </c>
      <c r="AI36" s="30" t="s">
        <v>0</v>
      </c>
      <c r="AJ36" s="41" t="s">
        <v>0</v>
      </c>
      <c r="AK36" s="41" t="s">
        <v>0</v>
      </c>
      <c r="AL36" s="32" t="s">
        <v>1</v>
      </c>
      <c r="AM36" s="30" t="s">
        <v>0</v>
      </c>
      <c r="AN36" s="30" t="s">
        <v>38</v>
      </c>
      <c r="AO36" s="48" t="s">
        <v>38</v>
      </c>
      <c r="AP36" s="45">
        <v>0</v>
      </c>
      <c r="AQ36" s="46">
        <f t="shared" si="1"/>
        <v>0</v>
      </c>
      <c r="AR36" s="46">
        <v>0</v>
      </c>
      <c r="AS36" s="134">
        <f t="shared" si="10"/>
        <v>0</v>
      </c>
      <c r="AT36" s="284" t="s">
        <v>126</v>
      </c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</row>
    <row r="37" spans="1:226" s="50" customFormat="1" ht="24" customHeight="1">
      <c r="A37" s="38">
        <f t="shared" si="2"/>
        <v>7</v>
      </c>
      <c r="B37" s="39">
        <f t="shared" si="3"/>
        <v>7</v>
      </c>
      <c r="C37" s="40">
        <f t="shared" si="4"/>
        <v>0</v>
      </c>
      <c r="D37" s="39">
        <f t="shared" si="5"/>
        <v>4</v>
      </c>
      <c r="E37" s="41">
        <f t="shared" si="6"/>
        <v>2</v>
      </c>
      <c r="F37" s="41">
        <f t="shared" si="7"/>
        <v>11</v>
      </c>
      <c r="G37" s="41">
        <f t="shared" si="8"/>
        <v>0</v>
      </c>
      <c r="H37" s="41">
        <f t="shared" si="9"/>
        <v>0</v>
      </c>
      <c r="I37" s="42">
        <f t="shared" si="0"/>
        <v>31</v>
      </c>
      <c r="J37" s="146" t="s">
        <v>27</v>
      </c>
      <c r="K37" s="49" t="s">
        <v>36</v>
      </c>
      <c r="L37" s="30">
        <v>2</v>
      </c>
      <c r="M37" s="30">
        <v>2</v>
      </c>
      <c r="N37" s="30" t="s">
        <v>0</v>
      </c>
      <c r="O37" s="53" t="s">
        <v>3</v>
      </c>
      <c r="P37" s="53" t="s">
        <v>3</v>
      </c>
      <c r="Q37" s="30" t="s">
        <v>36</v>
      </c>
      <c r="R37" s="30" t="s">
        <v>36</v>
      </c>
      <c r="S37" s="30" t="s">
        <v>0</v>
      </c>
      <c r="T37" s="30" t="s">
        <v>36</v>
      </c>
      <c r="U37" s="30" t="s">
        <v>0</v>
      </c>
      <c r="V37" s="32" t="s">
        <v>0</v>
      </c>
      <c r="W37" s="32" t="s">
        <v>0</v>
      </c>
      <c r="X37" s="32" t="s">
        <v>1</v>
      </c>
      <c r="Y37" s="32" t="s">
        <v>1</v>
      </c>
      <c r="Z37" s="44" t="s">
        <v>0</v>
      </c>
      <c r="AA37" s="44" t="s">
        <v>0</v>
      </c>
      <c r="AB37" s="32" t="s">
        <v>0</v>
      </c>
      <c r="AC37" s="53" t="s">
        <v>3</v>
      </c>
      <c r="AD37" s="30" t="s">
        <v>38</v>
      </c>
      <c r="AE37" s="30" t="s">
        <v>38</v>
      </c>
      <c r="AF37" s="30" t="s">
        <v>0</v>
      </c>
      <c r="AG37" s="30" t="s">
        <v>36</v>
      </c>
      <c r="AH37" s="30" t="s">
        <v>36</v>
      </c>
      <c r="AI37" s="30" t="s">
        <v>36</v>
      </c>
      <c r="AJ37" s="30" t="s">
        <v>0</v>
      </c>
      <c r="AK37" s="53" t="s">
        <v>3</v>
      </c>
      <c r="AL37" s="30" t="s">
        <v>0</v>
      </c>
      <c r="AM37" s="30">
        <v>2</v>
      </c>
      <c r="AN37" s="30">
        <v>2</v>
      </c>
      <c r="AO37" s="48">
        <v>2</v>
      </c>
      <c r="AP37" s="45">
        <v>0</v>
      </c>
      <c r="AQ37" s="46">
        <f t="shared" si="1"/>
        <v>0</v>
      </c>
      <c r="AR37" s="46">
        <v>0</v>
      </c>
      <c r="AS37" s="134">
        <f t="shared" si="10"/>
        <v>0</v>
      </c>
      <c r="AT37" s="284" t="s">
        <v>128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</row>
    <row r="38" spans="1:226" ht="25.2" customHeight="1">
      <c r="A38" s="38">
        <f t="shared" si="2"/>
        <v>2</v>
      </c>
      <c r="B38" s="39">
        <f t="shared" si="3"/>
        <v>0</v>
      </c>
      <c r="C38" s="40">
        <f t="shared" si="4"/>
        <v>15</v>
      </c>
      <c r="D38" s="39">
        <f t="shared" si="5"/>
        <v>0</v>
      </c>
      <c r="E38" s="41">
        <f t="shared" si="6"/>
        <v>3</v>
      </c>
      <c r="F38" s="41">
        <f t="shared" si="7"/>
        <v>11</v>
      </c>
      <c r="G38" s="41">
        <f t="shared" si="8"/>
        <v>0</v>
      </c>
      <c r="H38" s="41">
        <f t="shared" si="9"/>
        <v>0</v>
      </c>
      <c r="I38" s="42">
        <f t="shared" si="0"/>
        <v>31</v>
      </c>
      <c r="J38" s="146" t="s">
        <v>57</v>
      </c>
      <c r="K38" s="122" t="s">
        <v>156</v>
      </c>
      <c r="L38" s="44" t="s">
        <v>0</v>
      </c>
      <c r="M38" s="32" t="s">
        <v>1</v>
      </c>
      <c r="N38" s="32" t="s">
        <v>1</v>
      </c>
      <c r="O38" s="32" t="s">
        <v>1</v>
      </c>
      <c r="P38" s="44" t="s">
        <v>0</v>
      </c>
      <c r="Q38" s="30" t="s">
        <v>40</v>
      </c>
      <c r="R38" s="30" t="s">
        <v>40</v>
      </c>
      <c r="S38" s="30" t="s">
        <v>40</v>
      </c>
      <c r="T38" s="30" t="s">
        <v>40</v>
      </c>
      <c r="U38" s="30" t="s">
        <v>40</v>
      </c>
      <c r="V38" s="160" t="s">
        <v>0</v>
      </c>
      <c r="W38" s="30" t="s">
        <v>36</v>
      </c>
      <c r="X38" s="30" t="s">
        <v>36</v>
      </c>
      <c r="Y38" s="30" t="s">
        <v>0</v>
      </c>
      <c r="Z38" s="44" t="s">
        <v>0</v>
      </c>
      <c r="AA38" s="44" t="s">
        <v>0</v>
      </c>
      <c r="AB38" s="30" t="s">
        <v>40</v>
      </c>
      <c r="AC38" s="30" t="s">
        <v>40</v>
      </c>
      <c r="AD38" s="30" t="s">
        <v>0</v>
      </c>
      <c r="AE38" s="30" t="s">
        <v>40</v>
      </c>
      <c r="AF38" s="30" t="s">
        <v>40</v>
      </c>
      <c r="AG38" s="30" t="s">
        <v>40</v>
      </c>
      <c r="AH38" s="30" t="s">
        <v>40</v>
      </c>
      <c r="AI38" s="30" t="s">
        <v>40</v>
      </c>
      <c r="AJ38" s="160" t="s">
        <v>40</v>
      </c>
      <c r="AK38" s="30" t="s">
        <v>0</v>
      </c>
      <c r="AL38" s="160" t="s">
        <v>40</v>
      </c>
      <c r="AM38" s="160" t="s">
        <v>40</v>
      </c>
      <c r="AN38" s="44" t="s">
        <v>0</v>
      </c>
      <c r="AO38" s="123" t="s">
        <v>0</v>
      </c>
      <c r="AP38" s="45">
        <v>0</v>
      </c>
      <c r="AQ38" s="46">
        <f t="shared" si="1"/>
        <v>0</v>
      </c>
      <c r="AR38" s="46">
        <v>0</v>
      </c>
      <c r="AS38" s="134">
        <f t="shared" si="10"/>
        <v>0</v>
      </c>
      <c r="AT38" s="284" t="s">
        <v>128</v>
      </c>
    </row>
    <row r="39" spans="1:226" ht="25.5" customHeight="1" thickBot="1">
      <c r="A39" s="54">
        <f t="shared" si="2"/>
        <v>0</v>
      </c>
      <c r="B39" s="55">
        <f t="shared" si="3"/>
        <v>3</v>
      </c>
      <c r="C39" s="56">
        <f t="shared" si="4"/>
        <v>16</v>
      </c>
      <c r="D39" s="55">
        <f t="shared" si="5"/>
        <v>1</v>
      </c>
      <c r="E39" s="17">
        <f t="shared" si="6"/>
        <v>0</v>
      </c>
      <c r="F39" s="17">
        <f t="shared" si="7"/>
        <v>11</v>
      </c>
      <c r="G39" s="17">
        <f t="shared" si="8"/>
        <v>0</v>
      </c>
      <c r="H39" s="17">
        <f t="shared" si="9"/>
        <v>0</v>
      </c>
      <c r="I39" s="57">
        <f t="shared" si="0"/>
        <v>31</v>
      </c>
      <c r="J39" s="159" t="s">
        <v>28</v>
      </c>
      <c r="K39" s="325" t="s">
        <v>0</v>
      </c>
      <c r="L39" s="59" t="s">
        <v>0</v>
      </c>
      <c r="M39" s="59" t="s">
        <v>0</v>
      </c>
      <c r="N39" s="60" t="s">
        <v>40</v>
      </c>
      <c r="O39" s="60" t="s">
        <v>40</v>
      </c>
      <c r="P39" s="60" t="s">
        <v>40</v>
      </c>
      <c r="Q39" s="60" t="s">
        <v>40</v>
      </c>
      <c r="R39" s="60" t="s">
        <v>40</v>
      </c>
      <c r="S39" s="59" t="s">
        <v>0</v>
      </c>
      <c r="T39" s="59" t="s">
        <v>0</v>
      </c>
      <c r="U39" s="182" t="s">
        <v>3</v>
      </c>
      <c r="V39" s="60">
        <v>2</v>
      </c>
      <c r="W39" s="60">
        <v>2</v>
      </c>
      <c r="X39" s="60">
        <v>2</v>
      </c>
      <c r="Y39" s="60" t="s">
        <v>0</v>
      </c>
      <c r="Z39" s="60" t="s">
        <v>40</v>
      </c>
      <c r="AA39" s="60" t="s">
        <v>40</v>
      </c>
      <c r="AB39" s="60" t="s">
        <v>40</v>
      </c>
      <c r="AC39" s="60" t="s">
        <v>0</v>
      </c>
      <c r="AD39" s="60" t="s">
        <v>0</v>
      </c>
      <c r="AE39" s="60" t="s">
        <v>40</v>
      </c>
      <c r="AF39" s="60" t="s">
        <v>40</v>
      </c>
      <c r="AG39" s="60" t="s">
        <v>40</v>
      </c>
      <c r="AH39" s="60" t="s">
        <v>40</v>
      </c>
      <c r="AI39" s="60" t="s">
        <v>40</v>
      </c>
      <c r="AJ39" s="60" t="s">
        <v>0</v>
      </c>
      <c r="AK39" s="60" t="s">
        <v>40</v>
      </c>
      <c r="AL39" s="60" t="s">
        <v>40</v>
      </c>
      <c r="AM39" s="60" t="s">
        <v>40</v>
      </c>
      <c r="AN39" s="59" t="s">
        <v>0</v>
      </c>
      <c r="AO39" s="188" t="s">
        <v>0</v>
      </c>
      <c r="AP39" s="73">
        <v>0</v>
      </c>
      <c r="AQ39" s="74">
        <f t="shared" si="1"/>
        <v>0</v>
      </c>
      <c r="AR39" s="74">
        <v>0</v>
      </c>
      <c r="AS39" s="127">
        <f t="shared" si="10"/>
        <v>0</v>
      </c>
      <c r="AT39" s="287" t="s">
        <v>128</v>
      </c>
    </row>
    <row r="40" spans="1:226" s="50" customFormat="1" ht="24.75" customHeight="1">
      <c r="A40" s="23">
        <f>COUNTIF(K40:AO40,1)+COUNTIF(K40:AO40,"早")+COUNTIF(K40:AO40,"M1")+COUNTIF(K40:AO40,"T早")+COUNTIF(K40:AO40,"日")</f>
        <v>1</v>
      </c>
      <c r="B40" s="24">
        <f>COUNTIF(K40:AO40,2)+COUNTIF(K40:AO40,"中")+COUNTIF(K40:AO40,"M2")+COUNTIF(K40:AO40,"T中")+COUNTIF(K40:AO40,"小夜")</f>
        <v>2</v>
      </c>
      <c r="C40" s="25">
        <f>COUNTIF(K40:AO40,3)+COUNTIF(K40:AO40,"晚")+COUNTIF(K40:AO40,"大夜")</f>
        <v>13</v>
      </c>
      <c r="D40" s="24">
        <f>COUNTIF(K40:AO40,"N")+COUNTIF(K40:AO40,"N8")</f>
        <v>4</v>
      </c>
      <c r="E40" s="26">
        <f>COUNTIF(K40:AO40,"S")</f>
        <v>0</v>
      </c>
      <c r="F40" s="26">
        <f>COUNTIF(K40:AO40,"X")</f>
        <v>11</v>
      </c>
      <c r="G40" s="26">
        <f>COUNTIF(K40:AO40,"Y")</f>
        <v>0</v>
      </c>
      <c r="H40" s="26">
        <f>COUNTIF(K40:AO40,"Z")</f>
        <v>0</v>
      </c>
      <c r="I40" s="27">
        <f>SUM(A40:H40)</f>
        <v>31</v>
      </c>
      <c r="J40" s="323" t="s">
        <v>142</v>
      </c>
      <c r="K40" s="28" t="s">
        <v>55</v>
      </c>
      <c r="L40" s="31" t="s">
        <v>0</v>
      </c>
      <c r="M40" s="31" t="s">
        <v>0</v>
      </c>
      <c r="N40" s="29" t="s">
        <v>3</v>
      </c>
      <c r="O40" s="29" t="s">
        <v>3</v>
      </c>
      <c r="P40" s="29" t="s">
        <v>0</v>
      </c>
      <c r="Q40" s="29" t="s">
        <v>55</v>
      </c>
      <c r="R40" s="29" t="s">
        <v>55</v>
      </c>
      <c r="S40" s="29" t="s">
        <v>55</v>
      </c>
      <c r="T40" s="29" t="s">
        <v>55</v>
      </c>
      <c r="U40" s="29" t="s">
        <v>55</v>
      </c>
      <c r="V40" s="29" t="s">
        <v>55</v>
      </c>
      <c r="W40" s="29" t="s">
        <v>0</v>
      </c>
      <c r="X40" s="29" t="s">
        <v>0</v>
      </c>
      <c r="Y40" s="26" t="s">
        <v>54</v>
      </c>
      <c r="Z40" s="29" t="s">
        <v>56</v>
      </c>
      <c r="AA40" s="29" t="s">
        <v>56</v>
      </c>
      <c r="AB40" s="29" t="s">
        <v>0</v>
      </c>
      <c r="AC40" s="29" t="s">
        <v>0</v>
      </c>
      <c r="AD40" s="29" t="s">
        <v>55</v>
      </c>
      <c r="AE40" s="29" t="s">
        <v>55</v>
      </c>
      <c r="AF40" s="29" t="s">
        <v>55</v>
      </c>
      <c r="AG40" s="31" t="s">
        <v>0</v>
      </c>
      <c r="AH40" s="31" t="s">
        <v>0</v>
      </c>
      <c r="AI40" s="29" t="s">
        <v>3</v>
      </c>
      <c r="AJ40" s="29" t="s">
        <v>3</v>
      </c>
      <c r="AK40" s="29" t="s">
        <v>0</v>
      </c>
      <c r="AL40" s="29" t="s">
        <v>0</v>
      </c>
      <c r="AM40" s="29" t="s">
        <v>55</v>
      </c>
      <c r="AN40" s="29" t="s">
        <v>55</v>
      </c>
      <c r="AO40" s="34" t="s">
        <v>55</v>
      </c>
      <c r="AP40" s="35">
        <v>0</v>
      </c>
      <c r="AQ40" s="36">
        <f t="shared" si="1"/>
        <v>0</v>
      </c>
      <c r="AR40" s="36">
        <v>0</v>
      </c>
      <c r="AS40" s="133">
        <f t="shared" si="10"/>
        <v>0</v>
      </c>
      <c r="AT40" s="37" t="s">
        <v>126</v>
      </c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</row>
    <row r="41" spans="1:226" s="50" customFormat="1" ht="24.75" customHeight="1">
      <c r="A41" s="38">
        <f>COUNTIF(K41:AO41,1)+COUNTIF(K41:AO41,"早")+COUNTIF(K41:AO41,"M1")+COUNTIF(K41:AO41,"T早")+COUNTIF(K41:AO41,"日")</f>
        <v>6</v>
      </c>
      <c r="B41" s="39">
        <f>COUNTIF(K41:AO41,2)+COUNTIF(K41:AO41,"中")+COUNTIF(K41:AO41,"M2")+COUNTIF(K41:AO41,"T中")+COUNTIF(K41:AO41,"小夜")</f>
        <v>10</v>
      </c>
      <c r="C41" s="40">
        <f>COUNTIF(K41:AO41,3)+COUNTIF(K41:AO41,"晚")+COUNTIF(K41:AO41,"大夜")</f>
        <v>0</v>
      </c>
      <c r="D41" s="39">
        <f>COUNTIF(K41:AO41,"N")+COUNTIF(K41:AO41,"N8")</f>
        <v>4</v>
      </c>
      <c r="E41" s="41">
        <f>COUNTIF(K41:AO41,"S")</f>
        <v>0</v>
      </c>
      <c r="F41" s="41">
        <f>COUNTIF(K41:AO41,"X")</f>
        <v>11</v>
      </c>
      <c r="G41" s="41">
        <f>COUNTIF(K41:AO41,"Y")</f>
        <v>0</v>
      </c>
      <c r="H41" s="41">
        <f>COUNTIF(K41:AO41,"Z")</f>
        <v>0</v>
      </c>
      <c r="I41" s="42">
        <f t="shared" ref="I41:I44" si="33">SUM(A41:H41)</f>
        <v>31</v>
      </c>
      <c r="J41" s="276" t="s">
        <v>29</v>
      </c>
      <c r="K41" s="122" t="s">
        <v>0</v>
      </c>
      <c r="L41" s="30" t="s">
        <v>54</v>
      </c>
      <c r="M41" s="30" t="s">
        <v>54</v>
      </c>
      <c r="N41" s="30" t="s">
        <v>56</v>
      </c>
      <c r="O41" s="30" t="s">
        <v>56</v>
      </c>
      <c r="P41" s="30" t="s">
        <v>0</v>
      </c>
      <c r="Q41" s="30" t="s">
        <v>3</v>
      </c>
      <c r="R41" s="30" t="s">
        <v>3</v>
      </c>
      <c r="S41" s="44" t="s">
        <v>0</v>
      </c>
      <c r="T41" s="44" t="s">
        <v>0</v>
      </c>
      <c r="U41" s="32" t="s">
        <v>0</v>
      </c>
      <c r="V41" s="30" t="s">
        <v>3</v>
      </c>
      <c r="W41" s="41" t="s">
        <v>54</v>
      </c>
      <c r="X41" s="30" t="s">
        <v>56</v>
      </c>
      <c r="Y41" s="30" t="s">
        <v>56</v>
      </c>
      <c r="Z41" s="44" t="s">
        <v>0</v>
      </c>
      <c r="AA41" s="44" t="s">
        <v>0</v>
      </c>
      <c r="AB41" s="30" t="s">
        <v>56</v>
      </c>
      <c r="AC41" s="30" t="s">
        <v>56</v>
      </c>
      <c r="AD41" s="30" t="s">
        <v>56</v>
      </c>
      <c r="AE41" s="30" t="s">
        <v>0</v>
      </c>
      <c r="AF41" s="30" t="s">
        <v>3</v>
      </c>
      <c r="AG41" s="41" t="s">
        <v>54</v>
      </c>
      <c r="AH41" s="41" t="s">
        <v>54</v>
      </c>
      <c r="AI41" s="41" t="s">
        <v>54</v>
      </c>
      <c r="AJ41" s="30" t="s">
        <v>56</v>
      </c>
      <c r="AK41" s="32" t="s">
        <v>0</v>
      </c>
      <c r="AL41" s="30" t="s">
        <v>56</v>
      </c>
      <c r="AM41" s="30" t="s">
        <v>56</v>
      </c>
      <c r="AN41" s="44" t="s">
        <v>0</v>
      </c>
      <c r="AO41" s="123" t="s">
        <v>0</v>
      </c>
      <c r="AP41" s="45">
        <v>0</v>
      </c>
      <c r="AQ41" s="46">
        <f t="shared" si="1"/>
        <v>0</v>
      </c>
      <c r="AR41" s="46">
        <v>0</v>
      </c>
      <c r="AS41" s="134">
        <f t="shared" si="10"/>
        <v>0</v>
      </c>
      <c r="AT41" s="284" t="s">
        <v>126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</row>
    <row r="42" spans="1:226" ht="25.5" customHeight="1">
      <c r="A42" s="38">
        <f t="shared" ref="A42:A44" si="34">COUNTIF(K42:AO42,1)+COUNTIF(K42:AO42,"早")+COUNTIF(K42:AO42,"M1")+COUNTIF(K42:AO42,"T早")+COUNTIF(K42:AO42,"日")</f>
        <v>5</v>
      </c>
      <c r="B42" s="39">
        <f t="shared" ref="B42:B44" si="35">COUNTIF(K42:AO42,2)+COUNTIF(K42:AO42,"中")+COUNTIF(K42:AO42,"M2")+COUNTIF(K42:AO42,"T中")+COUNTIF(K42:AO42,"小夜")</f>
        <v>7</v>
      </c>
      <c r="C42" s="40">
        <f t="shared" ref="C42:C44" si="36">COUNTIF(K42:AO42,3)+COUNTIF(K42:AO42,"晚")+COUNTIF(K42:AO42,"大夜")</f>
        <v>4</v>
      </c>
      <c r="D42" s="39">
        <f t="shared" ref="D42:D44" si="37">COUNTIF(K42:AO42,"N")+COUNTIF(K42:AO42,"N8")</f>
        <v>4</v>
      </c>
      <c r="E42" s="41">
        <f t="shared" ref="E42:E44" si="38">COUNTIF(K42:AO42,"S")</f>
        <v>0</v>
      </c>
      <c r="F42" s="41">
        <f t="shared" ref="F42:F44" si="39">COUNTIF(K42:AO42,"X")</f>
        <v>11</v>
      </c>
      <c r="G42" s="41">
        <f t="shared" ref="G42:G44" si="40">COUNTIF(K42:AO42,"Y")</f>
        <v>0</v>
      </c>
      <c r="H42" s="41">
        <f t="shared" ref="H42:H44" si="41">COUNTIF(K42:AO42,"Z")</f>
        <v>0</v>
      </c>
      <c r="I42" s="42">
        <f t="shared" si="33"/>
        <v>31</v>
      </c>
      <c r="J42" s="275" t="s">
        <v>30</v>
      </c>
      <c r="K42" s="49" t="s">
        <v>56</v>
      </c>
      <c r="L42" s="30" t="s">
        <v>56</v>
      </c>
      <c r="M42" s="30" t="s">
        <v>56</v>
      </c>
      <c r="N42" s="30" t="s">
        <v>0</v>
      </c>
      <c r="O42" s="30" t="s">
        <v>0</v>
      </c>
      <c r="P42" s="30" t="s">
        <v>3</v>
      </c>
      <c r="Q42" s="41" t="s">
        <v>54</v>
      </c>
      <c r="R42" s="41" t="s">
        <v>54</v>
      </c>
      <c r="S42" s="44" t="s">
        <v>0</v>
      </c>
      <c r="T42" s="44" t="s">
        <v>0</v>
      </c>
      <c r="U42" s="30" t="s">
        <v>56</v>
      </c>
      <c r="V42" s="30" t="s">
        <v>56</v>
      </c>
      <c r="W42" s="30" t="s">
        <v>56</v>
      </c>
      <c r="X42" s="41" t="s">
        <v>0</v>
      </c>
      <c r="Y42" s="30" t="s">
        <v>0</v>
      </c>
      <c r="Z42" s="30" t="s">
        <v>55</v>
      </c>
      <c r="AA42" s="30" t="s">
        <v>55</v>
      </c>
      <c r="AB42" s="30" t="s">
        <v>55</v>
      </c>
      <c r="AC42" s="30" t="s">
        <v>55</v>
      </c>
      <c r="AD42" s="30" t="s">
        <v>0</v>
      </c>
      <c r="AE42" s="30" t="s">
        <v>3</v>
      </c>
      <c r="AF42" s="41" t="s">
        <v>54</v>
      </c>
      <c r="AG42" s="44" t="s">
        <v>0</v>
      </c>
      <c r="AH42" s="44" t="s">
        <v>0</v>
      </c>
      <c r="AI42" s="30" t="s">
        <v>0</v>
      </c>
      <c r="AJ42" s="30" t="s">
        <v>3</v>
      </c>
      <c r="AK42" s="30" t="s">
        <v>56</v>
      </c>
      <c r="AL42" s="30" t="s">
        <v>0</v>
      </c>
      <c r="AM42" s="30" t="s">
        <v>3</v>
      </c>
      <c r="AN42" s="41" t="s">
        <v>54</v>
      </c>
      <c r="AO42" s="134" t="s">
        <v>54</v>
      </c>
      <c r="AP42" s="45">
        <v>0</v>
      </c>
      <c r="AQ42" s="46">
        <f t="shared" si="1"/>
        <v>0</v>
      </c>
      <c r="AR42" s="46">
        <v>0</v>
      </c>
      <c r="AS42" s="134">
        <f t="shared" si="10"/>
        <v>0</v>
      </c>
      <c r="AT42" s="284" t="s">
        <v>126</v>
      </c>
    </row>
    <row r="43" spans="1:226" s="50" customFormat="1" ht="25.5" customHeight="1">
      <c r="A43" s="38">
        <f t="shared" si="34"/>
        <v>9</v>
      </c>
      <c r="B43" s="39">
        <f t="shared" si="35"/>
        <v>2</v>
      </c>
      <c r="C43" s="40">
        <f t="shared" si="36"/>
        <v>6</v>
      </c>
      <c r="D43" s="39">
        <f t="shared" si="37"/>
        <v>2</v>
      </c>
      <c r="E43" s="41">
        <f t="shared" si="38"/>
        <v>1</v>
      </c>
      <c r="F43" s="41">
        <f t="shared" si="39"/>
        <v>11</v>
      </c>
      <c r="G43" s="41">
        <f t="shared" si="40"/>
        <v>0</v>
      </c>
      <c r="H43" s="41">
        <f t="shared" si="41"/>
        <v>0</v>
      </c>
      <c r="I43" s="42">
        <f t="shared" si="33"/>
        <v>31</v>
      </c>
      <c r="J43" s="275" t="s">
        <v>31</v>
      </c>
      <c r="K43" s="175" t="s">
        <v>54</v>
      </c>
      <c r="L43" s="44" t="s">
        <v>0</v>
      </c>
      <c r="M43" s="44" t="s">
        <v>0</v>
      </c>
      <c r="N43" s="41" t="s">
        <v>54</v>
      </c>
      <c r="O43" s="41" t="s">
        <v>54</v>
      </c>
      <c r="P43" s="30" t="s">
        <v>56</v>
      </c>
      <c r="Q43" s="30" t="s">
        <v>56</v>
      </c>
      <c r="R43" s="30" t="s">
        <v>0</v>
      </c>
      <c r="S43" s="41" t="s">
        <v>54</v>
      </c>
      <c r="T43" s="41" t="s">
        <v>54</v>
      </c>
      <c r="U43" s="41" t="s">
        <v>54</v>
      </c>
      <c r="V43" s="41" t="s">
        <v>54</v>
      </c>
      <c r="W43" s="30" t="s">
        <v>0</v>
      </c>
      <c r="X43" s="30" t="s">
        <v>3</v>
      </c>
      <c r="Y43" s="32" t="s">
        <v>1</v>
      </c>
      <c r="Z43" s="44" t="s">
        <v>0</v>
      </c>
      <c r="AA43" s="44" t="s">
        <v>0</v>
      </c>
      <c r="AB43" s="30" t="s">
        <v>0</v>
      </c>
      <c r="AC43" s="30" t="s">
        <v>3</v>
      </c>
      <c r="AD43" s="41" t="s">
        <v>54</v>
      </c>
      <c r="AE43" s="41" t="s">
        <v>54</v>
      </c>
      <c r="AF43" s="30" t="s">
        <v>0</v>
      </c>
      <c r="AG43" s="30" t="s">
        <v>55</v>
      </c>
      <c r="AH43" s="30" t="s">
        <v>55</v>
      </c>
      <c r="AI43" s="30" t="s">
        <v>55</v>
      </c>
      <c r="AJ43" s="30" t="s">
        <v>55</v>
      </c>
      <c r="AK43" s="30" t="s">
        <v>55</v>
      </c>
      <c r="AL43" s="30" t="s">
        <v>55</v>
      </c>
      <c r="AM43" s="30" t="s">
        <v>0</v>
      </c>
      <c r="AN43" s="44" t="s">
        <v>0</v>
      </c>
      <c r="AO43" s="123" t="s">
        <v>0</v>
      </c>
      <c r="AP43" s="45">
        <v>0</v>
      </c>
      <c r="AQ43" s="46">
        <f t="shared" si="1"/>
        <v>0</v>
      </c>
      <c r="AR43" s="46">
        <v>0</v>
      </c>
      <c r="AS43" s="134">
        <f t="shared" si="10"/>
        <v>0</v>
      </c>
      <c r="AT43" s="284" t="s">
        <v>128</v>
      </c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</row>
    <row r="44" spans="1:226" s="50" customFormat="1" ht="25.5" customHeight="1">
      <c r="A44" s="38">
        <f t="shared" si="34"/>
        <v>5</v>
      </c>
      <c r="B44" s="39">
        <f t="shared" si="35"/>
        <v>4</v>
      </c>
      <c r="C44" s="40">
        <f t="shared" si="36"/>
        <v>5</v>
      </c>
      <c r="D44" s="39">
        <f t="shared" si="37"/>
        <v>4</v>
      </c>
      <c r="E44" s="41">
        <f t="shared" si="38"/>
        <v>2</v>
      </c>
      <c r="F44" s="41">
        <f t="shared" si="39"/>
        <v>11</v>
      </c>
      <c r="G44" s="41">
        <f t="shared" si="40"/>
        <v>0</v>
      </c>
      <c r="H44" s="41">
        <f t="shared" si="41"/>
        <v>0</v>
      </c>
      <c r="I44" s="42">
        <f t="shared" si="33"/>
        <v>31</v>
      </c>
      <c r="J44" s="275" t="s">
        <v>32</v>
      </c>
      <c r="K44" s="49" t="s">
        <v>0</v>
      </c>
      <c r="L44" s="30" t="s">
        <v>55</v>
      </c>
      <c r="M44" s="30" t="s">
        <v>55</v>
      </c>
      <c r="N44" s="30" t="s">
        <v>55</v>
      </c>
      <c r="O44" s="30" t="s">
        <v>55</v>
      </c>
      <c r="P44" s="30" t="s">
        <v>55</v>
      </c>
      <c r="Q44" s="32" t="s">
        <v>0</v>
      </c>
      <c r="R44" s="32" t="s">
        <v>1</v>
      </c>
      <c r="S44" s="44" t="s">
        <v>0</v>
      </c>
      <c r="T44" s="44" t="s">
        <v>0</v>
      </c>
      <c r="U44" s="32" t="s">
        <v>0</v>
      </c>
      <c r="V44" s="32" t="s">
        <v>1</v>
      </c>
      <c r="W44" s="30" t="s">
        <v>0</v>
      </c>
      <c r="X44" s="41" t="s">
        <v>54</v>
      </c>
      <c r="Y44" s="30" t="s">
        <v>3</v>
      </c>
      <c r="Z44" s="41" t="s">
        <v>54</v>
      </c>
      <c r="AA44" s="41" t="s">
        <v>54</v>
      </c>
      <c r="AB44" s="41" t="s">
        <v>54</v>
      </c>
      <c r="AC44" s="30" t="s">
        <v>0</v>
      </c>
      <c r="AD44" s="30" t="s">
        <v>0</v>
      </c>
      <c r="AE44" s="30" t="s">
        <v>56</v>
      </c>
      <c r="AF44" s="30" t="s">
        <v>56</v>
      </c>
      <c r="AG44" s="44" t="s">
        <v>0</v>
      </c>
      <c r="AH44" s="44" t="s">
        <v>0</v>
      </c>
      <c r="AI44" s="30" t="s">
        <v>3</v>
      </c>
      <c r="AJ44" s="41" t="s">
        <v>54</v>
      </c>
      <c r="AK44" s="32" t="s">
        <v>0</v>
      </c>
      <c r="AL44" s="30" t="s">
        <v>3</v>
      </c>
      <c r="AM44" s="30" t="s">
        <v>3</v>
      </c>
      <c r="AN44" s="30" t="s">
        <v>56</v>
      </c>
      <c r="AO44" s="48" t="s">
        <v>56</v>
      </c>
      <c r="AP44" s="45">
        <v>0</v>
      </c>
      <c r="AQ44" s="46">
        <f t="shared" si="1"/>
        <v>0</v>
      </c>
      <c r="AR44" s="46">
        <v>0</v>
      </c>
      <c r="AS44" s="134">
        <f t="shared" si="10"/>
        <v>0</v>
      </c>
      <c r="AT44" s="284" t="s">
        <v>128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</row>
    <row r="45" spans="1:226" s="50" customFormat="1" ht="25.5" customHeight="1" thickBot="1">
      <c r="A45" s="38">
        <f t="shared" ref="A45" si="42">COUNTIF(K45:AO45,1)+COUNTIF(K45:AO45,"早")+COUNTIF(K45:AO45,"M1")+COUNTIF(K45:AO45,"T早")+COUNTIF(K45:AO45,"日")</f>
        <v>5</v>
      </c>
      <c r="B45" s="39">
        <f t="shared" ref="B45" si="43">COUNTIF(K45:AO45,2)+COUNTIF(K45:AO45,"中")+COUNTIF(K45:AO45,"M2")+COUNTIF(K45:AO45,"T中")+COUNTIF(K45:AO45,"小夜")</f>
        <v>6</v>
      </c>
      <c r="C45" s="40">
        <f t="shared" ref="C45" si="44">COUNTIF(K45:AO45,3)+COUNTIF(K45:AO45,"晚")+COUNTIF(K45:AO45,"大夜")</f>
        <v>3</v>
      </c>
      <c r="D45" s="39">
        <f t="shared" ref="D45" si="45">COUNTIF(K45:AO45,"N")+COUNTIF(K45:AO45,"N8")</f>
        <v>4</v>
      </c>
      <c r="E45" s="41">
        <f t="shared" ref="E45" si="46">COUNTIF(K45:AO45,"S")</f>
        <v>2</v>
      </c>
      <c r="F45" s="41">
        <f t="shared" ref="F45" si="47">COUNTIF(K45:AO45,"X")</f>
        <v>11</v>
      </c>
      <c r="G45" s="41">
        <f t="shared" ref="G45" si="48">COUNTIF(K45:AO45,"Y")</f>
        <v>0</v>
      </c>
      <c r="H45" s="41">
        <f t="shared" ref="H45" si="49">COUNTIF(K45:AO45,"Z")</f>
        <v>0</v>
      </c>
      <c r="I45" s="42">
        <f t="shared" ref="I45" si="50">SUM(A45:H45)</f>
        <v>31</v>
      </c>
      <c r="J45" s="277" t="s">
        <v>33</v>
      </c>
      <c r="K45" s="227" t="s">
        <v>0</v>
      </c>
      <c r="L45" s="59" t="s">
        <v>0</v>
      </c>
      <c r="M45" s="52" t="s">
        <v>1</v>
      </c>
      <c r="N45" s="59" t="s">
        <v>0</v>
      </c>
      <c r="O45" s="60" t="s">
        <v>3</v>
      </c>
      <c r="P45" s="63" t="s">
        <v>54</v>
      </c>
      <c r="Q45" s="60" t="s">
        <v>3</v>
      </c>
      <c r="R45" s="60" t="s">
        <v>56</v>
      </c>
      <c r="S45" s="60" t="s">
        <v>56</v>
      </c>
      <c r="T45" s="60" t="s">
        <v>56</v>
      </c>
      <c r="U45" s="60" t="s">
        <v>0</v>
      </c>
      <c r="V45" s="60" t="s">
        <v>0</v>
      </c>
      <c r="W45" s="60" t="s">
        <v>55</v>
      </c>
      <c r="X45" s="60" t="s">
        <v>55</v>
      </c>
      <c r="Y45" s="60" t="s">
        <v>55</v>
      </c>
      <c r="Z45" s="59" t="s">
        <v>0</v>
      </c>
      <c r="AA45" s="59" t="s">
        <v>0</v>
      </c>
      <c r="AB45" s="52" t="s">
        <v>1</v>
      </c>
      <c r="AC45" s="63" t="s">
        <v>54</v>
      </c>
      <c r="AD45" s="60" t="s">
        <v>3</v>
      </c>
      <c r="AE45" s="60" t="s">
        <v>3</v>
      </c>
      <c r="AF45" s="60" t="s">
        <v>0</v>
      </c>
      <c r="AG45" s="60" t="s">
        <v>56</v>
      </c>
      <c r="AH45" s="60" t="s">
        <v>56</v>
      </c>
      <c r="AI45" s="60" t="s">
        <v>56</v>
      </c>
      <c r="AJ45" s="60" t="s">
        <v>0</v>
      </c>
      <c r="AK45" s="63" t="s">
        <v>54</v>
      </c>
      <c r="AL45" s="63" t="s">
        <v>54</v>
      </c>
      <c r="AM45" s="63" t="s">
        <v>54</v>
      </c>
      <c r="AN45" s="59" t="s">
        <v>0</v>
      </c>
      <c r="AO45" s="188" t="s">
        <v>0</v>
      </c>
      <c r="AP45" s="73">
        <v>0</v>
      </c>
      <c r="AQ45" s="74">
        <f t="shared" si="1"/>
        <v>0</v>
      </c>
      <c r="AR45" s="74">
        <v>0</v>
      </c>
      <c r="AS45" s="127">
        <f t="shared" si="10"/>
        <v>0</v>
      </c>
      <c r="AT45" s="287" t="s">
        <v>128</v>
      </c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</row>
    <row r="46" spans="1:226" s="77" customFormat="1" ht="18" customHeight="1">
      <c r="A46" s="75"/>
      <c r="B46" s="75"/>
      <c r="C46" s="75"/>
      <c r="D46" s="75"/>
      <c r="E46" s="76"/>
      <c r="I46" s="75"/>
      <c r="J46" s="78">
        <v>1</v>
      </c>
      <c r="K46" s="128" cm="2">
        <f t="array" ref="K46">SUMPRODUCT(COUNTIF(K4:K45,{"1";"M1"}))</f>
        <v>3</v>
      </c>
      <c r="L46" s="128" cm="2">
        <f t="array" ref="L46">SUMPRODUCT(COUNTIF(L4:L45,{"1";"M1"}))</f>
        <v>3</v>
      </c>
      <c r="M46" s="128" cm="2">
        <f t="array" ref="M46">SUMPRODUCT(COUNTIF(M4:M45,{"1";"M1"}))</f>
        <v>3</v>
      </c>
      <c r="N46" s="128" cm="2">
        <f t="array" ref="N46">SUMPRODUCT(COUNTIF(N4:N45,{"1";"M1"}))</f>
        <v>3</v>
      </c>
      <c r="O46" s="128" cm="2">
        <f t="array" ref="O46">SUMPRODUCT(COUNTIF(O4:O45,{"1";"M1"}))</f>
        <v>3</v>
      </c>
      <c r="P46" s="128" cm="2">
        <f t="array" ref="P46">SUMPRODUCT(COUNTIF(P4:P45,{"1";"M1"}))</f>
        <v>3</v>
      </c>
      <c r="Q46" s="128" cm="2">
        <f t="array" ref="Q46">SUMPRODUCT(COUNTIF(Q4:Q45,{"1";"M1"}))</f>
        <v>3</v>
      </c>
      <c r="R46" s="128" cm="2">
        <f t="array" ref="R46">SUMPRODUCT(COUNTIF(R4:R45,{"1";"M1"}))</f>
        <v>3</v>
      </c>
      <c r="S46" s="128" cm="2">
        <f t="array" ref="S46">SUMPRODUCT(COUNTIF(S4:S45,{"1";"M1"}))</f>
        <v>3</v>
      </c>
      <c r="T46" s="128" cm="2">
        <f t="array" ref="T46">SUMPRODUCT(COUNTIF(T4:T45,{"1";"M1"}))</f>
        <v>3</v>
      </c>
      <c r="U46" s="128" cm="2">
        <f t="array" ref="U46">SUMPRODUCT(COUNTIF(U4:U45,{"1";"M1"}))</f>
        <v>3</v>
      </c>
      <c r="V46" s="128" cm="2">
        <f t="array" ref="V46">SUMPRODUCT(COUNTIF(V4:V45,{"1";"M1"}))</f>
        <v>3</v>
      </c>
      <c r="W46" s="128" cm="2">
        <f t="array" ref="W46">SUMPRODUCT(COUNTIF(W4:W45,{"1";"M1"}))</f>
        <v>3</v>
      </c>
      <c r="X46" s="128" cm="2">
        <f t="array" ref="X46">SUMPRODUCT(COUNTIF(X4:X45,{"1";"M1"}))</f>
        <v>3</v>
      </c>
      <c r="Y46" s="128" cm="2">
        <f t="array" ref="Y46">SUMPRODUCT(COUNTIF(Y4:Y45,{"1";"M1"}))</f>
        <v>3</v>
      </c>
      <c r="Z46" s="128" cm="2">
        <f t="array" ref="Z46">SUMPRODUCT(COUNTIF(Z4:Z45,{"1";"M1"}))</f>
        <v>3</v>
      </c>
      <c r="AA46" s="128" cm="2">
        <f t="array" ref="AA46">SUMPRODUCT(COUNTIF(AA4:AA45,{"1";"M1"}))</f>
        <v>3</v>
      </c>
      <c r="AB46" s="128" cm="2">
        <f t="array" ref="AB46">SUMPRODUCT(COUNTIF(AB4:AB45,{"1";"M1"}))</f>
        <v>3</v>
      </c>
      <c r="AC46" s="128" cm="2">
        <f t="array" ref="AC46">SUMPRODUCT(COUNTIF(AC4:AC45,{"1";"M1"}))</f>
        <v>3</v>
      </c>
      <c r="AD46" s="128" cm="2">
        <f t="array" ref="AD46">SUMPRODUCT(COUNTIF(AD4:AD45,{"1";"M1"}))</f>
        <v>3</v>
      </c>
      <c r="AE46" s="128" cm="2">
        <f t="array" ref="AE46">SUMPRODUCT(COUNTIF(AE4:AE45,{"1";"M1"}))</f>
        <v>3</v>
      </c>
      <c r="AF46" s="128" cm="2">
        <f t="array" ref="AF46">SUMPRODUCT(COUNTIF(AF4:AF45,{"1";"M1"}))</f>
        <v>3</v>
      </c>
      <c r="AG46" s="128" cm="2">
        <f t="array" ref="AG46">SUMPRODUCT(COUNTIF(AG4:AG45,{"1";"M1"}))</f>
        <v>3</v>
      </c>
      <c r="AH46" s="128" cm="2">
        <f t="array" ref="AH46">SUMPRODUCT(COUNTIF(AH4:AH45,{"1";"M1"}))</f>
        <v>3</v>
      </c>
      <c r="AI46" s="128" cm="2">
        <f t="array" ref="AI46">SUMPRODUCT(COUNTIF(AI4:AI45,{"1";"M1"}))</f>
        <v>3</v>
      </c>
      <c r="AJ46" s="128" cm="2">
        <f t="array" ref="AJ46">SUMPRODUCT(COUNTIF(AJ4:AJ45,{"1";"M1"}))</f>
        <v>3</v>
      </c>
      <c r="AK46" s="128" cm="2">
        <f t="array" ref="AK46">SUMPRODUCT(COUNTIF(AK4:AK45,{"1";"M1"}))</f>
        <v>3</v>
      </c>
      <c r="AL46" s="128" cm="2">
        <f t="array" ref="AL46">SUMPRODUCT(COUNTIF(AL4:AL45,{"1";"M1"}))</f>
        <v>3</v>
      </c>
      <c r="AM46" s="128" cm="2">
        <f t="array" ref="AM46">SUMPRODUCT(COUNTIF(AM4:AM45,{"1";"M1"}))</f>
        <v>3</v>
      </c>
      <c r="AN46" s="128" cm="2">
        <f t="array" ref="AN46">SUMPRODUCT(COUNTIF(AN4:AN45,{"1";"M1"}))</f>
        <v>3</v>
      </c>
      <c r="AO46" s="128" cm="2">
        <f t="array" ref="AO46">SUMPRODUCT(COUNTIF(AO4:AO45,{"1";"M1"}))</f>
        <v>3</v>
      </c>
      <c r="AQ46" s="50"/>
      <c r="AR46" s="6"/>
      <c r="AS46" s="75"/>
      <c r="AT46" s="79"/>
      <c r="AW46" s="6"/>
      <c r="AX46" s="6"/>
      <c r="AY46" s="6"/>
    </row>
    <row r="47" spans="1:226" s="77" customFormat="1" ht="18" customHeight="1">
      <c r="A47" s="80"/>
      <c r="B47" s="80"/>
      <c r="C47" s="81"/>
      <c r="D47" s="81"/>
      <c r="E47" s="75"/>
      <c r="I47" s="81"/>
      <c r="J47" s="82">
        <v>2</v>
      </c>
      <c r="K47" s="129" cm="2">
        <f t="array" ref="K47">SUMPRODUCT(COUNTIF(K4:K45,{"2";"M2"}))</f>
        <v>3</v>
      </c>
      <c r="L47" s="129" cm="2">
        <f t="array" ref="L47">SUMPRODUCT(COUNTIF(L4:L45,{"2";"M2"}))</f>
        <v>3</v>
      </c>
      <c r="M47" s="129" cm="2">
        <f t="array" ref="M47">SUMPRODUCT(COUNTIF(M4:M45,{"2";"M2"}))</f>
        <v>3</v>
      </c>
      <c r="N47" s="129" cm="2">
        <f t="array" ref="N47">SUMPRODUCT(COUNTIF(N4:N45,{"2";"M2"}))</f>
        <v>3</v>
      </c>
      <c r="O47" s="129" cm="2">
        <f t="array" ref="O47">SUMPRODUCT(COUNTIF(O4:O45,{"2";"M2"}))</f>
        <v>3</v>
      </c>
      <c r="P47" s="129" cm="2">
        <f t="array" ref="P47">SUMPRODUCT(COUNTIF(P4:P45,{"2";"M2"}))</f>
        <v>3</v>
      </c>
      <c r="Q47" s="129" cm="2">
        <f t="array" ref="Q47">SUMPRODUCT(COUNTIF(Q4:Q45,{"2";"M2"}))</f>
        <v>3</v>
      </c>
      <c r="R47" s="129" cm="2">
        <f t="array" ref="R47">SUMPRODUCT(COUNTIF(R4:R45,{"2";"M2"}))</f>
        <v>3</v>
      </c>
      <c r="S47" s="129" cm="2">
        <f t="array" ref="S47">SUMPRODUCT(COUNTIF(S4:S45,{"2";"M2"}))</f>
        <v>3</v>
      </c>
      <c r="T47" s="129" cm="2">
        <f t="array" ref="T47">SUMPRODUCT(COUNTIF(T4:T45,{"2";"M2"}))</f>
        <v>3</v>
      </c>
      <c r="U47" s="129" cm="2">
        <f t="array" ref="U47">SUMPRODUCT(COUNTIF(U4:U45,{"2";"M2"}))</f>
        <v>3</v>
      </c>
      <c r="V47" s="129" cm="2">
        <f t="array" ref="V47">SUMPRODUCT(COUNTIF(V4:V45,{"2";"M2"}))</f>
        <v>3</v>
      </c>
      <c r="W47" s="129" cm="2">
        <f t="array" ref="W47">SUMPRODUCT(COUNTIF(W4:W45,{"2";"M2"}))</f>
        <v>3</v>
      </c>
      <c r="X47" s="129" cm="2">
        <f t="array" ref="X47">SUMPRODUCT(COUNTIF(X4:X45,{"2";"M2"}))</f>
        <v>3</v>
      </c>
      <c r="Y47" s="129" cm="2">
        <f t="array" ref="Y47">SUMPRODUCT(COUNTIF(Y4:Y45,{"2";"M2"}))</f>
        <v>3</v>
      </c>
      <c r="Z47" s="129" cm="2">
        <f t="array" ref="Z47">SUMPRODUCT(COUNTIF(Z4:Z45,{"2";"M2"}))</f>
        <v>3</v>
      </c>
      <c r="AA47" s="129" cm="2">
        <f t="array" ref="AA47">SUMPRODUCT(COUNTIF(AA4:AA45,{"2";"M2"}))</f>
        <v>3</v>
      </c>
      <c r="AB47" s="129" cm="2">
        <f t="array" ref="AB47">SUMPRODUCT(COUNTIF(AB4:AB45,{"2";"M2"}))</f>
        <v>3</v>
      </c>
      <c r="AC47" s="129" cm="2">
        <f t="array" ref="AC47">SUMPRODUCT(COUNTIF(AC4:AC45,{"2";"M2"}))</f>
        <v>3</v>
      </c>
      <c r="AD47" s="129" cm="2">
        <f t="array" ref="AD47">SUMPRODUCT(COUNTIF(AD4:AD45,{"2";"M2"}))</f>
        <v>3</v>
      </c>
      <c r="AE47" s="129" cm="2">
        <f t="array" ref="AE47">SUMPRODUCT(COUNTIF(AE4:AE45,{"2";"M2"}))</f>
        <v>3</v>
      </c>
      <c r="AF47" s="129" cm="2">
        <f t="array" ref="AF47">SUMPRODUCT(COUNTIF(AF4:AF45,{"2";"M2"}))</f>
        <v>3</v>
      </c>
      <c r="AG47" s="129" cm="2">
        <f t="array" ref="AG47">SUMPRODUCT(COUNTIF(AG4:AG45,{"2";"M2"}))</f>
        <v>3</v>
      </c>
      <c r="AH47" s="129" cm="2">
        <f t="array" ref="AH47">SUMPRODUCT(COUNTIF(AH4:AH45,{"2";"M2"}))</f>
        <v>3</v>
      </c>
      <c r="AI47" s="129" cm="2">
        <f t="array" ref="AI47">SUMPRODUCT(COUNTIF(AI4:AI45,{"2";"M2"}))</f>
        <v>3</v>
      </c>
      <c r="AJ47" s="129" cm="2">
        <f t="array" ref="AJ47">SUMPRODUCT(COUNTIF(AJ4:AJ45,{"2";"M2"}))</f>
        <v>3</v>
      </c>
      <c r="AK47" s="129" cm="2">
        <f t="array" ref="AK47">SUMPRODUCT(COUNTIF(AK4:AK45,{"2";"M2"}))</f>
        <v>3</v>
      </c>
      <c r="AL47" s="129" cm="2">
        <f t="array" ref="AL47">SUMPRODUCT(COUNTIF(AL4:AL45,{"2";"M2"}))</f>
        <v>3</v>
      </c>
      <c r="AM47" s="129" cm="2">
        <f t="array" ref="AM47">SUMPRODUCT(COUNTIF(AM4:AM45,{"2";"M2"}))</f>
        <v>3</v>
      </c>
      <c r="AN47" s="129" cm="2">
        <f t="array" ref="AN47">SUMPRODUCT(COUNTIF(AN4:AN45,{"2";"M2"}))</f>
        <v>3</v>
      </c>
      <c r="AO47" s="129" cm="2">
        <f t="array" ref="AO47">SUMPRODUCT(COUNTIF(AO4:AO45,{"2";"M2"}))</f>
        <v>3</v>
      </c>
      <c r="AQ47" s="50"/>
      <c r="AR47" s="6" t="s">
        <v>34</v>
      </c>
      <c r="AS47" s="75" t="s">
        <v>35</v>
      </c>
      <c r="AT47" s="84"/>
    </row>
    <row r="48" spans="1:226" s="77" customFormat="1" ht="18" customHeight="1" thickBot="1">
      <c r="A48" s="80"/>
      <c r="B48" s="80"/>
      <c r="C48" s="81"/>
      <c r="D48" s="81"/>
      <c r="E48" s="75"/>
      <c r="I48" s="81"/>
      <c r="J48" s="85">
        <v>3</v>
      </c>
      <c r="K48" s="130">
        <f t="shared" ref="K48:AO48" si="51">COUNTIF(K4:K45,3)</f>
        <v>2</v>
      </c>
      <c r="L48" s="130">
        <f t="shared" si="51"/>
        <v>2</v>
      </c>
      <c r="M48" s="130">
        <f t="shared" si="51"/>
        <v>2</v>
      </c>
      <c r="N48" s="130">
        <f t="shared" si="51"/>
        <v>3</v>
      </c>
      <c r="O48" s="130">
        <f t="shared" si="51"/>
        <v>3</v>
      </c>
      <c r="P48" s="130">
        <f t="shared" si="51"/>
        <v>3</v>
      </c>
      <c r="Q48" s="130">
        <f t="shared" si="51"/>
        <v>3</v>
      </c>
      <c r="R48" s="130">
        <f t="shared" si="51"/>
        <v>3</v>
      </c>
      <c r="S48" s="130">
        <f t="shared" si="51"/>
        <v>2</v>
      </c>
      <c r="T48" s="130">
        <f t="shared" si="51"/>
        <v>2</v>
      </c>
      <c r="U48" s="130">
        <f t="shared" si="51"/>
        <v>3</v>
      </c>
      <c r="V48" s="130">
        <f t="shared" si="51"/>
        <v>3</v>
      </c>
      <c r="W48" s="130">
        <f t="shared" si="51"/>
        <v>3</v>
      </c>
      <c r="X48" s="130">
        <f t="shared" si="51"/>
        <v>3</v>
      </c>
      <c r="Y48" s="130">
        <f t="shared" si="51"/>
        <v>3</v>
      </c>
      <c r="Z48" s="130">
        <f t="shared" si="51"/>
        <v>2</v>
      </c>
      <c r="AA48" s="130">
        <f t="shared" si="51"/>
        <v>2</v>
      </c>
      <c r="AB48" s="130">
        <f t="shared" si="51"/>
        <v>3</v>
      </c>
      <c r="AC48" s="130">
        <f t="shared" si="51"/>
        <v>3</v>
      </c>
      <c r="AD48" s="130">
        <f t="shared" si="51"/>
        <v>3</v>
      </c>
      <c r="AE48" s="130">
        <f t="shared" si="51"/>
        <v>3</v>
      </c>
      <c r="AF48" s="130">
        <f t="shared" si="51"/>
        <v>3</v>
      </c>
      <c r="AG48" s="130">
        <f t="shared" si="51"/>
        <v>2</v>
      </c>
      <c r="AH48" s="130">
        <f t="shared" si="51"/>
        <v>2</v>
      </c>
      <c r="AI48" s="130">
        <f t="shared" si="51"/>
        <v>3</v>
      </c>
      <c r="AJ48" s="130">
        <f t="shared" si="51"/>
        <v>3</v>
      </c>
      <c r="AK48" s="130">
        <f t="shared" si="51"/>
        <v>3</v>
      </c>
      <c r="AL48" s="130">
        <f t="shared" si="51"/>
        <v>3</v>
      </c>
      <c r="AM48" s="130">
        <f t="shared" si="51"/>
        <v>3</v>
      </c>
      <c r="AN48" s="130">
        <f t="shared" si="51"/>
        <v>2</v>
      </c>
      <c r="AO48" s="130">
        <f t="shared" si="51"/>
        <v>2</v>
      </c>
      <c r="AQ48" s="75" t="s">
        <v>109</v>
      </c>
      <c r="AR48" s="75">
        <f>36*31</f>
        <v>1116</v>
      </c>
      <c r="AS48" s="75">
        <f>6*31</f>
        <v>186</v>
      </c>
      <c r="AT48" s="84"/>
    </row>
    <row r="49" spans="1:51" s="77" customFormat="1" ht="18" customHeight="1">
      <c r="A49" s="80"/>
      <c r="B49" s="80"/>
      <c r="C49" s="81"/>
      <c r="D49" s="81"/>
      <c r="E49" s="75"/>
      <c r="I49" s="81"/>
      <c r="J49" s="86" t="s">
        <v>36</v>
      </c>
      <c r="K49" s="128" cm="2">
        <f t="array" ref="K49">SUMPRODUCT(COUNTIF(K4:K45,{"早";"T早"}))</f>
        <v>3</v>
      </c>
      <c r="L49" s="128" cm="2">
        <f t="array" ref="L49">SUMPRODUCT(COUNTIF(L4:L45,{"早";"T早"}))</f>
        <v>3</v>
      </c>
      <c r="M49" s="128" cm="2">
        <f t="array" ref="M49">SUMPRODUCT(COUNTIF(M4:M45,{"早";"T早"}))</f>
        <v>3</v>
      </c>
      <c r="N49" s="128" cm="2">
        <f t="array" ref="N49">SUMPRODUCT(COUNTIF(N4:N45,{"早";"T早"}))</f>
        <v>5</v>
      </c>
      <c r="O49" s="128" cm="2">
        <f t="array" ref="O49">SUMPRODUCT(COUNTIF(O4:O45,{"早";"T早"}))</f>
        <v>5</v>
      </c>
      <c r="P49" s="128" cm="2">
        <f t="array" ref="P49">SUMPRODUCT(COUNTIF(P4:P45,{"早";"T早"}))</f>
        <v>5</v>
      </c>
      <c r="Q49" s="128" cm="2">
        <f t="array" ref="Q49">SUMPRODUCT(COUNTIF(Q4:Q45,{"早";"T早"}))</f>
        <v>5</v>
      </c>
      <c r="R49" s="128" cm="2">
        <f t="array" ref="R49">SUMPRODUCT(COUNTIF(R4:R45,{"早";"T早"}))</f>
        <v>5</v>
      </c>
      <c r="S49" s="128" cm="2">
        <f t="array" ref="S49">SUMPRODUCT(COUNTIF(S4:S45,{"早";"T早"}))</f>
        <v>3</v>
      </c>
      <c r="T49" s="128" cm="2">
        <f t="array" ref="T49">SUMPRODUCT(COUNTIF(T4:T45,{"早";"T早"}))</f>
        <v>3</v>
      </c>
      <c r="U49" s="128" cm="2">
        <f t="array" ref="U49">SUMPRODUCT(COUNTIF(U4:U45,{"早";"T早"}))</f>
        <v>5</v>
      </c>
      <c r="V49" s="128" cm="2">
        <f t="array" ref="V49">SUMPRODUCT(COUNTIF(V4:V45,{"早";"T早"}))</f>
        <v>5</v>
      </c>
      <c r="W49" s="128" cm="2">
        <f t="array" ref="W49">SUMPRODUCT(COUNTIF(W4:W45,{"早";"T早"}))</f>
        <v>5</v>
      </c>
      <c r="X49" s="128" cm="2">
        <f t="array" ref="X49">SUMPRODUCT(COUNTIF(X4:X45,{"早";"T早"}))</f>
        <v>5</v>
      </c>
      <c r="Y49" s="128" cm="2">
        <f t="array" ref="Y49">SUMPRODUCT(COUNTIF(Y4:Y45,{"早";"T早"}))</f>
        <v>5</v>
      </c>
      <c r="Z49" s="128" cm="2">
        <f t="array" ref="Z49">SUMPRODUCT(COUNTIF(Z4:Z45,{"早";"T早"}))</f>
        <v>3</v>
      </c>
      <c r="AA49" s="128" cm="2">
        <f t="array" ref="AA49">SUMPRODUCT(COUNTIF(AA4:AA45,{"早";"T早"}))</f>
        <v>3</v>
      </c>
      <c r="AB49" s="128" cm="2">
        <f t="array" ref="AB49">SUMPRODUCT(COUNTIF(AB4:AB45,{"早";"T早"}))</f>
        <v>5</v>
      </c>
      <c r="AC49" s="128" cm="2">
        <f t="array" ref="AC49">SUMPRODUCT(COUNTIF(AC4:AC45,{"早";"T早"}))</f>
        <v>5</v>
      </c>
      <c r="AD49" s="128" cm="2">
        <f t="array" ref="AD49">SUMPRODUCT(COUNTIF(AD4:AD45,{"早";"T早"}))</f>
        <v>5</v>
      </c>
      <c r="AE49" s="128" cm="2">
        <f t="array" ref="AE49">SUMPRODUCT(COUNTIF(AE4:AE45,{"早";"T早"}))</f>
        <v>5</v>
      </c>
      <c r="AF49" s="128" cm="2">
        <f t="array" ref="AF49">SUMPRODUCT(COUNTIF(AF4:AF45,{"早";"T早"}))</f>
        <v>5</v>
      </c>
      <c r="AG49" s="128" cm="2">
        <f t="array" ref="AG49">SUMPRODUCT(COUNTIF(AG4:AG45,{"早";"T早"}))</f>
        <v>3</v>
      </c>
      <c r="AH49" s="128" cm="2">
        <f t="array" ref="AH49">SUMPRODUCT(COUNTIF(AH4:AH45,{"早";"T早"}))</f>
        <v>3</v>
      </c>
      <c r="AI49" s="128" cm="2">
        <f t="array" ref="AI49">SUMPRODUCT(COUNTIF(AI4:AI45,{"早";"T早"}))</f>
        <v>5</v>
      </c>
      <c r="AJ49" s="128" cm="2">
        <f t="array" ref="AJ49">SUMPRODUCT(COUNTIF(AJ4:AJ45,{"早";"T早"}))</f>
        <v>5</v>
      </c>
      <c r="AK49" s="128" cm="2">
        <f t="array" ref="AK49">SUMPRODUCT(COUNTIF(AK4:AK45,{"早";"T早"}))</f>
        <v>5</v>
      </c>
      <c r="AL49" s="128" cm="2">
        <f t="array" ref="AL49">SUMPRODUCT(COUNTIF(AL4:AL45,{"早";"T早"}))</f>
        <v>5</v>
      </c>
      <c r="AM49" s="128" cm="2">
        <f t="array" ref="AM49">SUMPRODUCT(COUNTIF(AM4:AM45,{"早";"T早"}))</f>
        <v>5</v>
      </c>
      <c r="AN49" s="128" cm="2">
        <f t="array" ref="AN49">SUMPRODUCT(COUNTIF(AN4:AN45,{"早";"T早"}))</f>
        <v>3</v>
      </c>
      <c r="AO49" s="128" cm="2">
        <f t="array" ref="AO49">SUMPRODUCT(COUNTIF(AO4:AO45,{"早";"T早"}))</f>
        <v>3</v>
      </c>
      <c r="AQ49" s="87" t="s">
        <v>37</v>
      </c>
      <c r="AR49" s="75">
        <f>20*(31-I1)</f>
        <v>400</v>
      </c>
      <c r="AS49" s="75">
        <f>3*(31-I1)</f>
        <v>60</v>
      </c>
      <c r="AU49" s="84"/>
    </row>
    <row r="50" spans="1:51" s="77" customFormat="1" ht="18" customHeight="1">
      <c r="A50" s="80"/>
      <c r="B50" s="80"/>
      <c r="C50" s="81"/>
      <c r="D50" s="81"/>
      <c r="E50" s="75"/>
      <c r="I50" s="81"/>
      <c r="J50" s="88" t="s">
        <v>38</v>
      </c>
      <c r="K50" s="129" cm="2">
        <f t="array" ref="K50">SUMPRODUCT(COUNTIF(K4:K45,{"中";"T中"}))</f>
        <v>3</v>
      </c>
      <c r="L50" s="129" cm="2">
        <f t="array" ref="L50">SUMPRODUCT(COUNTIF(L4:L45,{"中";"T中"}))</f>
        <v>3</v>
      </c>
      <c r="M50" s="129" cm="2">
        <f t="array" ref="M50">SUMPRODUCT(COUNTIF(M4:M45,{"中";"T中"}))</f>
        <v>3</v>
      </c>
      <c r="N50" s="129" cm="2">
        <f t="array" ref="N50">SUMPRODUCT(COUNTIF(N4:N45,{"中";"T中"}))</f>
        <v>3</v>
      </c>
      <c r="O50" s="129" cm="2">
        <f t="array" ref="O50">SUMPRODUCT(COUNTIF(O4:O45,{"中";"T中"}))</f>
        <v>3</v>
      </c>
      <c r="P50" s="129" cm="2">
        <f t="array" ref="P50">SUMPRODUCT(COUNTIF(P4:P45,{"中";"T中"}))</f>
        <v>3</v>
      </c>
      <c r="Q50" s="129" cm="2">
        <f t="array" ref="Q50">SUMPRODUCT(COUNTIF(Q4:Q45,{"中";"T中"}))</f>
        <v>3</v>
      </c>
      <c r="R50" s="129" cm="2">
        <f t="array" ref="R50">SUMPRODUCT(COUNTIF(R4:R45,{"中";"T中"}))</f>
        <v>3</v>
      </c>
      <c r="S50" s="129" cm="2">
        <f t="array" ref="S50">SUMPRODUCT(COUNTIF(S4:S45,{"中";"T中"}))</f>
        <v>3</v>
      </c>
      <c r="T50" s="129" cm="2">
        <f t="array" ref="T50">SUMPRODUCT(COUNTIF(T4:T45,{"中";"T中"}))</f>
        <v>3</v>
      </c>
      <c r="U50" s="129" cm="2">
        <f t="array" ref="U50">SUMPRODUCT(COUNTIF(U4:U45,{"中";"T中"}))</f>
        <v>3</v>
      </c>
      <c r="V50" s="129" cm="2">
        <f t="array" ref="V50">SUMPRODUCT(COUNTIF(V4:V45,{"中";"T中"}))</f>
        <v>3</v>
      </c>
      <c r="W50" s="129" cm="2">
        <f t="array" ref="W50">SUMPRODUCT(COUNTIF(W4:W45,{"中";"T中"}))</f>
        <v>3</v>
      </c>
      <c r="X50" s="129" cm="2">
        <f t="array" ref="X50">SUMPRODUCT(COUNTIF(X4:X45,{"中";"T中"}))</f>
        <v>3</v>
      </c>
      <c r="Y50" s="129" cm="2">
        <f t="array" ref="Y50">SUMPRODUCT(COUNTIF(Y4:Y45,{"中";"T中"}))</f>
        <v>3</v>
      </c>
      <c r="Z50" s="129" cm="2">
        <f t="array" ref="Z50">SUMPRODUCT(COUNTIF(Z4:Z45,{"中";"T中"}))</f>
        <v>3</v>
      </c>
      <c r="AA50" s="129" cm="2">
        <f t="array" ref="AA50">SUMPRODUCT(COUNTIF(AA4:AA45,{"中";"T中"}))</f>
        <v>3</v>
      </c>
      <c r="AB50" s="129" cm="2">
        <f t="array" ref="AB50">SUMPRODUCT(COUNTIF(AB4:AB45,{"中";"T中"}))</f>
        <v>3</v>
      </c>
      <c r="AC50" s="129" cm="2">
        <f t="array" ref="AC50">SUMPRODUCT(COUNTIF(AC4:AC45,{"中";"T中"}))</f>
        <v>3</v>
      </c>
      <c r="AD50" s="129" cm="2">
        <f t="array" ref="AD50">SUMPRODUCT(COUNTIF(AD4:AD45,{"中";"T中"}))</f>
        <v>3</v>
      </c>
      <c r="AE50" s="129" cm="2">
        <f t="array" ref="AE50">SUMPRODUCT(COUNTIF(AE4:AE45,{"中";"T中"}))</f>
        <v>3</v>
      </c>
      <c r="AF50" s="129" cm="2">
        <f t="array" ref="AF50">SUMPRODUCT(COUNTIF(AF4:AF45,{"中";"T中"}))</f>
        <v>3</v>
      </c>
      <c r="AG50" s="129" cm="2">
        <f t="array" ref="AG50">SUMPRODUCT(COUNTIF(AG4:AG45,{"中";"T中"}))</f>
        <v>3</v>
      </c>
      <c r="AH50" s="129" cm="2">
        <f t="array" ref="AH50">SUMPRODUCT(COUNTIF(AH4:AH45,{"中";"T中"}))</f>
        <v>3</v>
      </c>
      <c r="AI50" s="129" cm="2">
        <f t="array" ref="AI50">SUMPRODUCT(COUNTIF(AI4:AI45,{"中";"T中"}))</f>
        <v>3</v>
      </c>
      <c r="AJ50" s="129" cm="2">
        <f t="array" ref="AJ50">SUMPRODUCT(COUNTIF(AJ4:AJ45,{"中";"T中"}))</f>
        <v>3</v>
      </c>
      <c r="AK50" s="129" cm="2">
        <f t="array" ref="AK50">SUMPRODUCT(COUNTIF(AK4:AK45,{"中";"T中"}))</f>
        <v>3</v>
      </c>
      <c r="AL50" s="129" cm="2">
        <f t="array" ref="AL50">SUMPRODUCT(COUNTIF(AL4:AL45,{"中";"T中"}))</f>
        <v>3</v>
      </c>
      <c r="AM50" s="129" cm="2">
        <f t="array" ref="AM50">SUMPRODUCT(COUNTIF(AM4:AM45,{"中";"T中"}))</f>
        <v>3</v>
      </c>
      <c r="AN50" s="129" cm="2">
        <f t="array" ref="AN50">SUMPRODUCT(COUNTIF(AN4:AN45,{"中";"T中"}))</f>
        <v>3</v>
      </c>
      <c r="AO50" s="129" cm="2">
        <f t="array" ref="AO50">SUMPRODUCT(COUNTIF(AO4:AO45,{"中";"T中"}))</f>
        <v>3</v>
      </c>
      <c r="AQ50" s="87" t="s">
        <v>39</v>
      </c>
      <c r="AR50" s="75">
        <f>16*I1</f>
        <v>176</v>
      </c>
      <c r="AS50" s="75">
        <f>3*I1</f>
        <v>33</v>
      </c>
      <c r="AU50" s="89"/>
    </row>
    <row r="51" spans="1:51" s="77" customFormat="1" ht="18" customHeight="1" thickBot="1">
      <c r="A51" s="80"/>
      <c r="B51" s="80"/>
      <c r="C51" s="81"/>
      <c r="D51" s="81"/>
      <c r="E51" s="75"/>
      <c r="I51" s="81"/>
      <c r="J51" s="90" t="s">
        <v>40</v>
      </c>
      <c r="K51" s="130">
        <f t="shared" ref="K51:AO51" si="52">COUNTIF(K4:K45,"晚")</f>
        <v>2</v>
      </c>
      <c r="L51" s="130">
        <f t="shared" si="52"/>
        <v>2</v>
      </c>
      <c r="M51" s="130">
        <f t="shared" si="52"/>
        <v>2</v>
      </c>
      <c r="N51" s="130">
        <f t="shared" si="52"/>
        <v>3</v>
      </c>
      <c r="O51" s="130">
        <f t="shared" si="52"/>
        <v>3</v>
      </c>
      <c r="P51" s="130">
        <f t="shared" si="52"/>
        <v>3</v>
      </c>
      <c r="Q51" s="130">
        <f t="shared" si="52"/>
        <v>3</v>
      </c>
      <c r="R51" s="130">
        <f t="shared" si="52"/>
        <v>3</v>
      </c>
      <c r="S51" s="130">
        <f t="shared" si="52"/>
        <v>2</v>
      </c>
      <c r="T51" s="130">
        <f t="shared" si="52"/>
        <v>2</v>
      </c>
      <c r="U51" s="130">
        <f t="shared" si="52"/>
        <v>3</v>
      </c>
      <c r="V51" s="130">
        <f t="shared" si="52"/>
        <v>3</v>
      </c>
      <c r="W51" s="130">
        <f t="shared" si="52"/>
        <v>3</v>
      </c>
      <c r="X51" s="130">
        <f t="shared" si="52"/>
        <v>3</v>
      </c>
      <c r="Y51" s="130">
        <f t="shared" si="52"/>
        <v>3</v>
      </c>
      <c r="Z51" s="130">
        <f t="shared" si="52"/>
        <v>2</v>
      </c>
      <c r="AA51" s="130">
        <f t="shared" si="52"/>
        <v>2</v>
      </c>
      <c r="AB51" s="130">
        <f t="shared" si="52"/>
        <v>3</v>
      </c>
      <c r="AC51" s="130">
        <f t="shared" si="52"/>
        <v>3</v>
      </c>
      <c r="AD51" s="130">
        <f t="shared" si="52"/>
        <v>3</v>
      </c>
      <c r="AE51" s="130">
        <f t="shared" si="52"/>
        <v>3</v>
      </c>
      <c r="AF51" s="130">
        <f t="shared" si="52"/>
        <v>3</v>
      </c>
      <c r="AG51" s="130">
        <f t="shared" si="52"/>
        <v>2</v>
      </c>
      <c r="AH51" s="130">
        <f t="shared" si="52"/>
        <v>2</v>
      </c>
      <c r="AI51" s="130">
        <f t="shared" si="52"/>
        <v>3</v>
      </c>
      <c r="AJ51" s="130">
        <f t="shared" si="52"/>
        <v>3</v>
      </c>
      <c r="AK51" s="130">
        <f t="shared" si="52"/>
        <v>3</v>
      </c>
      <c r="AL51" s="130">
        <f t="shared" si="52"/>
        <v>3</v>
      </c>
      <c r="AM51" s="130">
        <f t="shared" si="52"/>
        <v>3</v>
      </c>
      <c r="AN51" s="130">
        <f t="shared" si="52"/>
        <v>2</v>
      </c>
      <c r="AO51" s="130">
        <f t="shared" si="52"/>
        <v>2</v>
      </c>
      <c r="AQ51" s="75" t="s">
        <v>0</v>
      </c>
      <c r="AR51" s="91">
        <f>36*I1</f>
        <v>396</v>
      </c>
      <c r="AS51" s="75">
        <f>6*I1</f>
        <v>66</v>
      </c>
    </row>
    <row r="52" spans="1:51" s="77" customFormat="1" ht="18" customHeight="1">
      <c r="A52" s="80"/>
      <c r="B52" s="80"/>
      <c r="C52" s="81"/>
      <c r="D52" s="81"/>
      <c r="E52" s="75"/>
      <c r="I52" s="81"/>
      <c r="J52" s="86" t="s">
        <v>111</v>
      </c>
      <c r="K52" s="128">
        <f t="shared" ref="K52:AO52" si="53">COUNTIF(K4:K45,"日")</f>
        <v>1</v>
      </c>
      <c r="L52" s="128">
        <f t="shared" si="53"/>
        <v>1</v>
      </c>
      <c r="M52" s="128">
        <f t="shared" si="53"/>
        <v>1</v>
      </c>
      <c r="N52" s="128">
        <f t="shared" si="53"/>
        <v>1</v>
      </c>
      <c r="O52" s="128">
        <f t="shared" si="53"/>
        <v>1</v>
      </c>
      <c r="P52" s="128">
        <f t="shared" si="53"/>
        <v>1</v>
      </c>
      <c r="Q52" s="128">
        <f t="shared" si="53"/>
        <v>1</v>
      </c>
      <c r="R52" s="128">
        <f t="shared" si="53"/>
        <v>1</v>
      </c>
      <c r="S52" s="128">
        <f t="shared" si="53"/>
        <v>1</v>
      </c>
      <c r="T52" s="128">
        <f t="shared" si="53"/>
        <v>1</v>
      </c>
      <c r="U52" s="128">
        <f t="shared" si="53"/>
        <v>1</v>
      </c>
      <c r="V52" s="128">
        <f t="shared" si="53"/>
        <v>1</v>
      </c>
      <c r="W52" s="128">
        <f t="shared" si="53"/>
        <v>1</v>
      </c>
      <c r="X52" s="128">
        <f t="shared" si="53"/>
        <v>1</v>
      </c>
      <c r="Y52" s="128">
        <f t="shared" si="53"/>
        <v>1</v>
      </c>
      <c r="Z52" s="128">
        <f t="shared" si="53"/>
        <v>1</v>
      </c>
      <c r="AA52" s="128">
        <f t="shared" si="53"/>
        <v>1</v>
      </c>
      <c r="AB52" s="128">
        <f t="shared" si="53"/>
        <v>1</v>
      </c>
      <c r="AC52" s="128">
        <f t="shared" si="53"/>
        <v>1</v>
      </c>
      <c r="AD52" s="128">
        <f t="shared" si="53"/>
        <v>1</v>
      </c>
      <c r="AE52" s="128">
        <f t="shared" si="53"/>
        <v>1</v>
      </c>
      <c r="AF52" s="128">
        <f t="shared" si="53"/>
        <v>1</v>
      </c>
      <c r="AG52" s="128">
        <f t="shared" si="53"/>
        <v>1</v>
      </c>
      <c r="AH52" s="128">
        <f t="shared" si="53"/>
        <v>1</v>
      </c>
      <c r="AI52" s="128">
        <f t="shared" si="53"/>
        <v>1</v>
      </c>
      <c r="AJ52" s="128">
        <f t="shared" si="53"/>
        <v>1</v>
      </c>
      <c r="AK52" s="128">
        <f t="shared" si="53"/>
        <v>1</v>
      </c>
      <c r="AL52" s="128">
        <f t="shared" si="53"/>
        <v>1</v>
      </c>
      <c r="AM52" s="128">
        <f t="shared" si="53"/>
        <v>1</v>
      </c>
      <c r="AN52" s="128">
        <f t="shared" si="53"/>
        <v>1</v>
      </c>
      <c r="AO52" s="128">
        <f t="shared" si="53"/>
        <v>1</v>
      </c>
      <c r="AQ52" s="50" t="s">
        <v>104</v>
      </c>
      <c r="AR52" s="91" cm="1">
        <f t="array" ref="AR52">SUMPRODUCT(COUNTIF(K4:AO39,{"N";"N8"}))</f>
        <v>79</v>
      </c>
      <c r="AS52" s="91" cm="1">
        <f t="array" ref="AS52">SUMPRODUCT(COUNTIF(K40:AO45,{"N";"N8"}))</f>
        <v>22</v>
      </c>
    </row>
    <row r="53" spans="1:51" s="77" customFormat="1" ht="18" customHeight="1">
      <c r="A53" s="80"/>
      <c r="B53" s="80"/>
      <c r="C53" s="81"/>
      <c r="D53" s="81"/>
      <c r="E53" s="75"/>
      <c r="I53" s="81"/>
      <c r="J53" s="88" t="s">
        <v>143</v>
      </c>
      <c r="K53" s="129">
        <f t="shared" ref="K53:AO53" si="54">COUNTIF(K4:K45,"小夜")</f>
        <v>1</v>
      </c>
      <c r="L53" s="129">
        <f t="shared" si="54"/>
        <v>1</v>
      </c>
      <c r="M53" s="129">
        <f t="shared" si="54"/>
        <v>1</v>
      </c>
      <c r="N53" s="129">
        <f t="shared" si="54"/>
        <v>1</v>
      </c>
      <c r="O53" s="129">
        <f t="shared" si="54"/>
        <v>1</v>
      </c>
      <c r="P53" s="129">
        <f t="shared" si="54"/>
        <v>1</v>
      </c>
      <c r="Q53" s="129">
        <f t="shared" si="54"/>
        <v>1</v>
      </c>
      <c r="R53" s="129">
        <f t="shared" si="54"/>
        <v>1</v>
      </c>
      <c r="S53" s="129">
        <f t="shared" si="54"/>
        <v>1</v>
      </c>
      <c r="T53" s="129">
        <f t="shared" si="54"/>
        <v>1</v>
      </c>
      <c r="U53" s="129">
        <f t="shared" si="54"/>
        <v>1</v>
      </c>
      <c r="V53" s="129">
        <f t="shared" si="54"/>
        <v>1</v>
      </c>
      <c r="W53" s="129">
        <f t="shared" si="54"/>
        <v>1</v>
      </c>
      <c r="X53" s="129">
        <f t="shared" si="54"/>
        <v>1</v>
      </c>
      <c r="Y53" s="129">
        <f t="shared" si="54"/>
        <v>1</v>
      </c>
      <c r="Z53" s="129">
        <f t="shared" si="54"/>
        <v>1</v>
      </c>
      <c r="AA53" s="129">
        <f t="shared" si="54"/>
        <v>1</v>
      </c>
      <c r="AB53" s="129">
        <f t="shared" si="54"/>
        <v>1</v>
      </c>
      <c r="AC53" s="129">
        <f t="shared" si="54"/>
        <v>1</v>
      </c>
      <c r="AD53" s="129">
        <f t="shared" si="54"/>
        <v>1</v>
      </c>
      <c r="AE53" s="129">
        <f t="shared" si="54"/>
        <v>1</v>
      </c>
      <c r="AF53" s="129">
        <f t="shared" si="54"/>
        <v>1</v>
      </c>
      <c r="AG53" s="129">
        <f t="shared" si="54"/>
        <v>1</v>
      </c>
      <c r="AH53" s="129">
        <f t="shared" si="54"/>
        <v>1</v>
      </c>
      <c r="AI53" s="129">
        <f t="shared" si="54"/>
        <v>1</v>
      </c>
      <c r="AJ53" s="129">
        <f t="shared" si="54"/>
        <v>1</v>
      </c>
      <c r="AK53" s="129">
        <f t="shared" si="54"/>
        <v>1</v>
      </c>
      <c r="AL53" s="129">
        <f t="shared" si="54"/>
        <v>1</v>
      </c>
      <c r="AM53" s="129">
        <f t="shared" si="54"/>
        <v>1</v>
      </c>
      <c r="AN53" s="129">
        <f t="shared" si="54"/>
        <v>1</v>
      </c>
      <c r="AO53" s="129">
        <f t="shared" si="54"/>
        <v>1</v>
      </c>
      <c r="AQ53" s="50" t="s">
        <v>105</v>
      </c>
      <c r="AR53" s="92">
        <f>SUMPRODUCT(COUNTIF(K4:AO39,{"S"}))</f>
        <v>65</v>
      </c>
      <c r="AS53" s="75">
        <f>SUMPRODUCT(COUNTIF(K40:AO45,{"S"}))</f>
        <v>5</v>
      </c>
    </row>
    <row r="54" spans="1:51" s="77" customFormat="1" ht="18" customHeight="1" thickBot="1">
      <c r="A54" s="80"/>
      <c r="B54" s="80"/>
      <c r="C54" s="81"/>
      <c r="D54" s="81"/>
      <c r="E54" s="75"/>
      <c r="I54" s="81"/>
      <c r="J54" s="90" t="s">
        <v>144</v>
      </c>
      <c r="K54" s="130">
        <f t="shared" ref="K54:AO54" si="55">COUNTIF(K7:K48,"大夜")</f>
        <v>1</v>
      </c>
      <c r="L54" s="130">
        <f t="shared" si="55"/>
        <v>1</v>
      </c>
      <c r="M54" s="130">
        <f t="shared" si="55"/>
        <v>1</v>
      </c>
      <c r="N54" s="130">
        <f t="shared" si="55"/>
        <v>1</v>
      </c>
      <c r="O54" s="130">
        <f t="shared" si="55"/>
        <v>1</v>
      </c>
      <c r="P54" s="130">
        <f t="shared" si="55"/>
        <v>1</v>
      </c>
      <c r="Q54" s="130">
        <f t="shared" si="55"/>
        <v>1</v>
      </c>
      <c r="R54" s="130">
        <f t="shared" si="55"/>
        <v>1</v>
      </c>
      <c r="S54" s="130">
        <f t="shared" si="55"/>
        <v>1</v>
      </c>
      <c r="T54" s="130">
        <f t="shared" si="55"/>
        <v>1</v>
      </c>
      <c r="U54" s="130">
        <f t="shared" si="55"/>
        <v>1</v>
      </c>
      <c r="V54" s="130">
        <f t="shared" si="55"/>
        <v>1</v>
      </c>
      <c r="W54" s="130">
        <f t="shared" si="55"/>
        <v>1</v>
      </c>
      <c r="X54" s="130">
        <f t="shared" si="55"/>
        <v>1</v>
      </c>
      <c r="Y54" s="130">
        <f t="shared" si="55"/>
        <v>1</v>
      </c>
      <c r="Z54" s="130">
        <f t="shared" si="55"/>
        <v>1</v>
      </c>
      <c r="AA54" s="130">
        <f t="shared" si="55"/>
        <v>1</v>
      </c>
      <c r="AB54" s="130">
        <f t="shared" si="55"/>
        <v>1</v>
      </c>
      <c r="AC54" s="130">
        <f t="shared" si="55"/>
        <v>1</v>
      </c>
      <c r="AD54" s="130">
        <f t="shared" si="55"/>
        <v>1</v>
      </c>
      <c r="AE54" s="130">
        <f t="shared" si="55"/>
        <v>1</v>
      </c>
      <c r="AF54" s="130">
        <f t="shared" si="55"/>
        <v>1</v>
      </c>
      <c r="AG54" s="130">
        <f t="shared" si="55"/>
        <v>1</v>
      </c>
      <c r="AH54" s="130">
        <f t="shared" si="55"/>
        <v>1</v>
      </c>
      <c r="AI54" s="130">
        <f t="shared" si="55"/>
        <v>1</v>
      </c>
      <c r="AJ54" s="130">
        <f t="shared" si="55"/>
        <v>1</v>
      </c>
      <c r="AK54" s="130">
        <f t="shared" si="55"/>
        <v>1</v>
      </c>
      <c r="AL54" s="130">
        <f t="shared" si="55"/>
        <v>1</v>
      </c>
      <c r="AM54" s="130">
        <f t="shared" si="55"/>
        <v>1</v>
      </c>
      <c r="AN54" s="130">
        <f t="shared" si="55"/>
        <v>1</v>
      </c>
      <c r="AO54" s="130">
        <f t="shared" si="55"/>
        <v>1</v>
      </c>
      <c r="AQ54" s="93" t="s">
        <v>145</v>
      </c>
      <c r="AR54" s="75">
        <v>0</v>
      </c>
      <c r="AS54" s="75">
        <v>0</v>
      </c>
    </row>
    <row r="55" spans="1:51" s="77" customFormat="1" ht="18" customHeight="1" thickBot="1">
      <c r="A55" s="80"/>
      <c r="B55" s="80"/>
      <c r="C55" s="81"/>
      <c r="D55" s="81"/>
      <c r="E55" s="75"/>
      <c r="I55" s="81"/>
      <c r="J55" s="95" t="s">
        <v>41</v>
      </c>
      <c r="K55" s="96">
        <f t="shared" ref="K55:AO55" si="56">COUNTIF(K4:K45,"N")+COUNTIF(K4:K45,"N8")</f>
        <v>0</v>
      </c>
      <c r="L55" s="96">
        <f t="shared" si="56"/>
        <v>0</v>
      </c>
      <c r="M55" s="96">
        <f t="shared" si="56"/>
        <v>0</v>
      </c>
      <c r="N55" s="96">
        <f t="shared" si="56"/>
        <v>1</v>
      </c>
      <c r="O55" s="96">
        <f t="shared" si="56"/>
        <v>8</v>
      </c>
      <c r="P55" s="96">
        <f t="shared" si="56"/>
        <v>7</v>
      </c>
      <c r="Q55" s="96">
        <f t="shared" si="56"/>
        <v>11</v>
      </c>
      <c r="R55" s="96">
        <f t="shared" si="56"/>
        <v>2</v>
      </c>
      <c r="S55" s="96">
        <f t="shared" si="56"/>
        <v>0</v>
      </c>
      <c r="T55" s="96">
        <f t="shared" si="56"/>
        <v>0</v>
      </c>
      <c r="U55" s="96">
        <f t="shared" si="56"/>
        <v>2</v>
      </c>
      <c r="V55" s="96">
        <f t="shared" si="56"/>
        <v>5</v>
      </c>
      <c r="W55" s="96">
        <f t="shared" si="56"/>
        <v>1</v>
      </c>
      <c r="X55" s="96">
        <f t="shared" si="56"/>
        <v>4</v>
      </c>
      <c r="Y55" s="96">
        <f t="shared" si="56"/>
        <v>1</v>
      </c>
      <c r="Z55" s="96">
        <f t="shared" si="56"/>
        <v>0</v>
      </c>
      <c r="AA55" s="96">
        <f t="shared" si="56"/>
        <v>0</v>
      </c>
      <c r="AB55" s="96">
        <f t="shared" si="56"/>
        <v>4</v>
      </c>
      <c r="AC55" s="96">
        <f t="shared" si="56"/>
        <v>8</v>
      </c>
      <c r="AD55" s="96">
        <f t="shared" si="56"/>
        <v>7</v>
      </c>
      <c r="AE55" s="96">
        <f t="shared" si="56"/>
        <v>8</v>
      </c>
      <c r="AF55" s="96">
        <f t="shared" si="56"/>
        <v>4</v>
      </c>
      <c r="AG55" s="96">
        <f t="shared" si="56"/>
        <v>0</v>
      </c>
      <c r="AH55" s="96">
        <f t="shared" si="56"/>
        <v>0</v>
      </c>
      <c r="AI55" s="96">
        <f t="shared" si="56"/>
        <v>5</v>
      </c>
      <c r="AJ55" s="96">
        <f t="shared" si="56"/>
        <v>6</v>
      </c>
      <c r="AK55" s="96">
        <f t="shared" si="56"/>
        <v>7</v>
      </c>
      <c r="AL55" s="96">
        <f t="shared" si="56"/>
        <v>5</v>
      </c>
      <c r="AM55" s="97">
        <f t="shared" si="56"/>
        <v>5</v>
      </c>
      <c r="AN55" s="98">
        <f t="shared" si="56"/>
        <v>0</v>
      </c>
      <c r="AO55" s="99">
        <f t="shared" si="56"/>
        <v>0</v>
      </c>
      <c r="AQ55" s="100" t="s">
        <v>42</v>
      </c>
      <c r="AR55" s="101">
        <v>0</v>
      </c>
      <c r="AS55" s="75">
        <v>0</v>
      </c>
    </row>
    <row r="56" spans="1:51" s="77" customFormat="1" ht="18" customHeight="1">
      <c r="A56" s="80"/>
      <c r="B56" s="80"/>
      <c r="C56" s="80"/>
      <c r="D56" s="80"/>
      <c r="E56" s="75"/>
      <c r="I56" s="81"/>
      <c r="J56" s="78" t="s">
        <v>43</v>
      </c>
      <c r="K56" s="149">
        <f t="shared" ref="K56:AO56" si="57">COUNTIF(K4:K45,"X")+COUNTIF(K4:K45,"Y")+COUNTIF(K4:K45,"Z")</f>
        <v>19</v>
      </c>
      <c r="L56" s="24">
        <f t="shared" si="57"/>
        <v>22</v>
      </c>
      <c r="M56" s="24">
        <f t="shared" si="57"/>
        <v>20</v>
      </c>
      <c r="N56" s="24">
        <f t="shared" si="57"/>
        <v>13</v>
      </c>
      <c r="O56" s="24">
        <f t="shared" si="57"/>
        <v>7</v>
      </c>
      <c r="P56" s="24">
        <f t="shared" si="57"/>
        <v>9</v>
      </c>
      <c r="Q56" s="24">
        <f t="shared" si="57"/>
        <v>7</v>
      </c>
      <c r="R56" s="24">
        <f t="shared" si="57"/>
        <v>11</v>
      </c>
      <c r="S56" s="24">
        <f t="shared" si="57"/>
        <v>22</v>
      </c>
      <c r="T56" s="24">
        <f t="shared" si="57"/>
        <v>22</v>
      </c>
      <c r="U56" s="24">
        <f t="shared" si="57"/>
        <v>11</v>
      </c>
      <c r="V56" s="24">
        <f t="shared" si="57"/>
        <v>11</v>
      </c>
      <c r="W56" s="24">
        <f t="shared" si="57"/>
        <v>14</v>
      </c>
      <c r="X56" s="24">
        <f t="shared" si="57"/>
        <v>12</v>
      </c>
      <c r="Y56" s="24">
        <f t="shared" si="57"/>
        <v>12</v>
      </c>
      <c r="Z56" s="24">
        <f t="shared" si="57"/>
        <v>22</v>
      </c>
      <c r="AA56" s="24">
        <f t="shared" si="57"/>
        <v>23</v>
      </c>
      <c r="AB56" s="24">
        <f t="shared" si="57"/>
        <v>11</v>
      </c>
      <c r="AC56" s="24">
        <f t="shared" si="57"/>
        <v>11</v>
      </c>
      <c r="AD56" s="24">
        <f t="shared" si="57"/>
        <v>12</v>
      </c>
      <c r="AE56" s="24">
        <f t="shared" si="57"/>
        <v>9</v>
      </c>
      <c r="AF56" s="24">
        <f t="shared" si="57"/>
        <v>11</v>
      </c>
      <c r="AG56" s="24">
        <f t="shared" si="57"/>
        <v>21</v>
      </c>
      <c r="AH56" s="24">
        <f t="shared" si="57"/>
        <v>23</v>
      </c>
      <c r="AI56" s="24">
        <f t="shared" si="57"/>
        <v>14</v>
      </c>
      <c r="AJ56" s="24">
        <f t="shared" si="57"/>
        <v>12</v>
      </c>
      <c r="AK56" s="24">
        <f t="shared" si="57"/>
        <v>10</v>
      </c>
      <c r="AL56" s="24">
        <f t="shared" si="57"/>
        <v>12</v>
      </c>
      <c r="AM56" s="24">
        <f t="shared" si="57"/>
        <v>13</v>
      </c>
      <c r="AN56" s="24">
        <f t="shared" si="57"/>
        <v>23</v>
      </c>
      <c r="AO56" s="102">
        <f t="shared" si="57"/>
        <v>23</v>
      </c>
      <c r="AQ56" s="100" t="s">
        <v>146</v>
      </c>
      <c r="AR56" s="101">
        <v>0</v>
      </c>
      <c r="AS56" s="75">
        <v>0</v>
      </c>
    </row>
    <row r="57" spans="1:51" s="77" customFormat="1" ht="18" customHeight="1">
      <c r="A57" s="80"/>
      <c r="B57" s="80"/>
      <c r="C57" s="80"/>
      <c r="D57" s="80"/>
      <c r="E57" s="75"/>
      <c r="I57" s="81"/>
      <c r="J57" s="103" t="s">
        <v>44</v>
      </c>
      <c r="K57" s="143">
        <f t="shared" ref="K57:AO57" si="58">COUNTIF(K4:K45,"S")</f>
        <v>4</v>
      </c>
      <c r="L57" s="39">
        <f t="shared" si="58"/>
        <v>1</v>
      </c>
      <c r="M57" s="39">
        <f t="shared" si="58"/>
        <v>3</v>
      </c>
      <c r="N57" s="39">
        <f t="shared" si="58"/>
        <v>5</v>
      </c>
      <c r="O57" s="39">
        <f t="shared" si="58"/>
        <v>4</v>
      </c>
      <c r="P57" s="39">
        <f t="shared" si="58"/>
        <v>3</v>
      </c>
      <c r="Q57" s="39">
        <f t="shared" si="58"/>
        <v>1</v>
      </c>
      <c r="R57" s="39">
        <f t="shared" si="58"/>
        <v>6</v>
      </c>
      <c r="S57" s="39">
        <f t="shared" si="58"/>
        <v>1</v>
      </c>
      <c r="T57" s="39">
        <f t="shared" si="58"/>
        <v>1</v>
      </c>
      <c r="U57" s="39">
        <f t="shared" si="58"/>
        <v>6</v>
      </c>
      <c r="V57" s="39">
        <f t="shared" si="58"/>
        <v>3</v>
      </c>
      <c r="W57" s="39">
        <f t="shared" si="58"/>
        <v>4</v>
      </c>
      <c r="X57" s="39">
        <f t="shared" si="58"/>
        <v>3</v>
      </c>
      <c r="Y57" s="39">
        <f t="shared" si="58"/>
        <v>6</v>
      </c>
      <c r="Z57" s="39">
        <f t="shared" si="58"/>
        <v>1</v>
      </c>
      <c r="AA57" s="39">
        <f t="shared" si="58"/>
        <v>0</v>
      </c>
      <c r="AB57" s="39">
        <f t="shared" si="58"/>
        <v>4</v>
      </c>
      <c r="AC57" s="39">
        <f t="shared" si="58"/>
        <v>0</v>
      </c>
      <c r="AD57" s="39">
        <f t="shared" si="58"/>
        <v>0</v>
      </c>
      <c r="AE57" s="39">
        <f t="shared" si="58"/>
        <v>2</v>
      </c>
      <c r="AF57" s="39">
        <f t="shared" si="58"/>
        <v>4</v>
      </c>
      <c r="AG57" s="39">
        <f t="shared" si="58"/>
        <v>2</v>
      </c>
      <c r="AH57" s="39">
        <f t="shared" si="58"/>
        <v>0</v>
      </c>
      <c r="AI57" s="39">
        <f t="shared" si="58"/>
        <v>0</v>
      </c>
      <c r="AJ57" s="39">
        <f t="shared" si="58"/>
        <v>1</v>
      </c>
      <c r="AK57" s="39">
        <f t="shared" si="58"/>
        <v>2</v>
      </c>
      <c r="AL57" s="39">
        <f t="shared" si="58"/>
        <v>2</v>
      </c>
      <c r="AM57" s="39">
        <f t="shared" si="58"/>
        <v>1</v>
      </c>
      <c r="AN57" s="39">
        <f t="shared" si="58"/>
        <v>0</v>
      </c>
      <c r="AO57" s="83">
        <f t="shared" si="58"/>
        <v>0</v>
      </c>
      <c r="AQ57" s="107" t="s">
        <v>46</v>
      </c>
      <c r="AR57" s="105">
        <f>AR48-AR49-AR51-AR52-AR53-AR54+AR55+AR56-AR50</f>
        <v>0</v>
      </c>
      <c r="AS57" s="105">
        <f>AS48-AS49-AS51-AS52-AS53-AS54+AS55+AS56-AS50</f>
        <v>0</v>
      </c>
      <c r="AT57" s="6"/>
    </row>
    <row r="58" spans="1:51" ht="18" customHeight="1" thickBot="1">
      <c r="A58" s="80"/>
      <c r="B58" s="80"/>
      <c r="C58" s="80"/>
      <c r="D58" s="80"/>
      <c r="I58" s="80"/>
      <c r="J58" s="103" t="s">
        <v>45</v>
      </c>
      <c r="K58" s="143">
        <f t="shared" ref="K58:AO58" si="59">COUNTIF(K4:K45,"T")</f>
        <v>0</v>
      </c>
      <c r="L58" s="39">
        <f t="shared" si="59"/>
        <v>0</v>
      </c>
      <c r="M58" s="39">
        <f t="shared" si="59"/>
        <v>0</v>
      </c>
      <c r="N58" s="39">
        <f t="shared" si="59"/>
        <v>0</v>
      </c>
      <c r="O58" s="39">
        <f t="shared" si="59"/>
        <v>0</v>
      </c>
      <c r="P58" s="39">
        <f t="shared" si="59"/>
        <v>0</v>
      </c>
      <c r="Q58" s="39">
        <f t="shared" si="59"/>
        <v>0</v>
      </c>
      <c r="R58" s="39">
        <f t="shared" si="59"/>
        <v>0</v>
      </c>
      <c r="S58" s="39">
        <f t="shared" si="59"/>
        <v>0</v>
      </c>
      <c r="T58" s="39">
        <f t="shared" si="59"/>
        <v>0</v>
      </c>
      <c r="U58" s="39">
        <f t="shared" si="59"/>
        <v>0</v>
      </c>
      <c r="V58" s="39">
        <f t="shared" si="59"/>
        <v>0</v>
      </c>
      <c r="W58" s="39">
        <f t="shared" si="59"/>
        <v>0</v>
      </c>
      <c r="X58" s="39">
        <f t="shared" si="59"/>
        <v>0</v>
      </c>
      <c r="Y58" s="39">
        <f t="shared" si="59"/>
        <v>0</v>
      </c>
      <c r="Z58" s="39">
        <f t="shared" si="59"/>
        <v>0</v>
      </c>
      <c r="AA58" s="39">
        <f t="shared" si="59"/>
        <v>0</v>
      </c>
      <c r="AB58" s="39">
        <f t="shared" si="59"/>
        <v>0</v>
      </c>
      <c r="AC58" s="39">
        <f t="shared" si="59"/>
        <v>0</v>
      </c>
      <c r="AD58" s="39">
        <f t="shared" si="59"/>
        <v>0</v>
      </c>
      <c r="AE58" s="39">
        <f t="shared" si="59"/>
        <v>0</v>
      </c>
      <c r="AF58" s="39">
        <f t="shared" si="59"/>
        <v>0</v>
      </c>
      <c r="AG58" s="39">
        <f t="shared" si="59"/>
        <v>0</v>
      </c>
      <c r="AH58" s="39">
        <f t="shared" si="59"/>
        <v>0</v>
      </c>
      <c r="AI58" s="39">
        <f t="shared" si="59"/>
        <v>0</v>
      </c>
      <c r="AJ58" s="39">
        <f t="shared" si="59"/>
        <v>0</v>
      </c>
      <c r="AK58" s="39">
        <f t="shared" si="59"/>
        <v>0</v>
      </c>
      <c r="AL58" s="39">
        <f t="shared" si="59"/>
        <v>0</v>
      </c>
      <c r="AM58" s="39">
        <f t="shared" si="59"/>
        <v>0</v>
      </c>
      <c r="AN58" s="39">
        <f t="shared" si="59"/>
        <v>0</v>
      </c>
      <c r="AO58" s="83">
        <f t="shared" si="59"/>
        <v>0</v>
      </c>
      <c r="AP58" s="77"/>
      <c r="AR58" s="50"/>
      <c r="AS58" s="111"/>
      <c r="AU58" s="77"/>
      <c r="AW58" s="77"/>
      <c r="AX58" s="77"/>
      <c r="AY58" s="77"/>
    </row>
    <row r="59" spans="1:51" ht="18" customHeight="1" thickBot="1">
      <c r="A59" s="80"/>
      <c r="B59" s="80"/>
      <c r="C59" s="80"/>
      <c r="D59" s="80"/>
      <c r="I59" s="80"/>
      <c r="J59" s="108" t="s">
        <v>109</v>
      </c>
      <c r="K59" s="150">
        <f>SUM(K46:K58)</f>
        <v>42</v>
      </c>
      <c r="L59" s="109">
        <f t="shared" ref="L59:AO59" si="60">SUM(L46:L58)</f>
        <v>42</v>
      </c>
      <c r="M59" s="109">
        <f t="shared" si="60"/>
        <v>42</v>
      </c>
      <c r="N59" s="109">
        <f t="shared" si="60"/>
        <v>42</v>
      </c>
      <c r="O59" s="109">
        <f t="shared" si="60"/>
        <v>42</v>
      </c>
      <c r="P59" s="109">
        <f t="shared" si="60"/>
        <v>42</v>
      </c>
      <c r="Q59" s="109">
        <f t="shared" si="60"/>
        <v>42</v>
      </c>
      <c r="R59" s="109">
        <f t="shared" si="60"/>
        <v>42</v>
      </c>
      <c r="S59" s="109">
        <f t="shared" si="60"/>
        <v>42</v>
      </c>
      <c r="T59" s="109">
        <f t="shared" si="60"/>
        <v>42</v>
      </c>
      <c r="U59" s="109">
        <f t="shared" si="60"/>
        <v>42</v>
      </c>
      <c r="V59" s="109">
        <f t="shared" si="60"/>
        <v>42</v>
      </c>
      <c r="W59" s="109">
        <f t="shared" si="60"/>
        <v>42</v>
      </c>
      <c r="X59" s="109">
        <f t="shared" si="60"/>
        <v>42</v>
      </c>
      <c r="Y59" s="109">
        <f t="shared" si="60"/>
        <v>42</v>
      </c>
      <c r="Z59" s="109">
        <f t="shared" si="60"/>
        <v>42</v>
      </c>
      <c r="AA59" s="109">
        <f t="shared" si="60"/>
        <v>42</v>
      </c>
      <c r="AB59" s="109">
        <f t="shared" si="60"/>
        <v>42</v>
      </c>
      <c r="AC59" s="109">
        <f t="shared" si="60"/>
        <v>42</v>
      </c>
      <c r="AD59" s="109">
        <f t="shared" si="60"/>
        <v>42</v>
      </c>
      <c r="AE59" s="109">
        <f t="shared" si="60"/>
        <v>42</v>
      </c>
      <c r="AF59" s="109">
        <f t="shared" si="60"/>
        <v>42</v>
      </c>
      <c r="AG59" s="109">
        <f t="shared" si="60"/>
        <v>42</v>
      </c>
      <c r="AH59" s="109">
        <f t="shared" si="60"/>
        <v>42</v>
      </c>
      <c r="AI59" s="109">
        <f t="shared" si="60"/>
        <v>42</v>
      </c>
      <c r="AJ59" s="109">
        <f t="shared" si="60"/>
        <v>42</v>
      </c>
      <c r="AK59" s="109">
        <f t="shared" si="60"/>
        <v>42</v>
      </c>
      <c r="AL59" s="109">
        <f t="shared" si="60"/>
        <v>42</v>
      </c>
      <c r="AM59" s="109">
        <f t="shared" si="60"/>
        <v>42</v>
      </c>
      <c r="AN59" s="109">
        <f t="shared" si="60"/>
        <v>42</v>
      </c>
      <c r="AO59" s="110">
        <f t="shared" si="60"/>
        <v>42</v>
      </c>
      <c r="AQ59" s="7"/>
      <c r="AR59" s="6"/>
      <c r="AS59" s="111"/>
      <c r="AU59" s="37"/>
    </row>
    <row r="60" spans="1:51" ht="24.6" customHeight="1">
      <c r="A60" s="80"/>
      <c r="B60" s="80"/>
      <c r="C60" s="80"/>
      <c r="D60" s="80"/>
      <c r="G60" s="80"/>
      <c r="H60" s="112"/>
      <c r="I60" s="113"/>
      <c r="K60" s="113">
        <f>42-K55-K56-K57-19</f>
        <v>0</v>
      </c>
      <c r="L60" s="113">
        <f>42-L55-L56-L57-19</f>
        <v>0</v>
      </c>
      <c r="M60" s="113">
        <f>42-M55-M56-M57-19</f>
        <v>0</v>
      </c>
      <c r="N60" s="113">
        <f>42-N55-N56-N57-23</f>
        <v>0</v>
      </c>
      <c r="O60" s="113">
        <f t="shared" ref="O60:R60" si="61">42-O55-O56-O57-23</f>
        <v>0</v>
      </c>
      <c r="P60" s="113">
        <f t="shared" si="61"/>
        <v>0</v>
      </c>
      <c r="Q60" s="113">
        <f t="shared" si="61"/>
        <v>0</v>
      </c>
      <c r="R60" s="113">
        <f t="shared" si="61"/>
        <v>0</v>
      </c>
      <c r="S60" s="113">
        <f>42-S55-S56-S57-19</f>
        <v>0</v>
      </c>
      <c r="T60" s="113">
        <f>42-T55-T56-T57-19</f>
        <v>0</v>
      </c>
      <c r="U60" s="113">
        <f>42-U55-U56-U57-23</f>
        <v>0</v>
      </c>
      <c r="V60" s="113">
        <f t="shared" ref="V60:Y60" si="62">42-V55-V56-V57-23</f>
        <v>0</v>
      </c>
      <c r="W60" s="113">
        <f t="shared" si="62"/>
        <v>0</v>
      </c>
      <c r="X60" s="113">
        <f>42-X55-X56-X57-23</f>
        <v>0</v>
      </c>
      <c r="Y60" s="113">
        <f t="shared" si="62"/>
        <v>0</v>
      </c>
      <c r="Z60" s="113">
        <f>42-Z55-Z56-Z57-19</f>
        <v>0</v>
      </c>
      <c r="AA60" s="113">
        <f>42-AA55-AA56-AA57-19</f>
        <v>0</v>
      </c>
      <c r="AB60" s="113">
        <f>42-AB55-AB56-AB57-23</f>
        <v>0</v>
      </c>
      <c r="AC60" s="113">
        <f t="shared" ref="AC60:AF60" si="63">42-AC55-AC56-AC57-23</f>
        <v>0</v>
      </c>
      <c r="AD60" s="113">
        <f t="shared" si="63"/>
        <v>0</v>
      </c>
      <c r="AE60" s="113">
        <f>42-AE55-AE56-AE57-23</f>
        <v>0</v>
      </c>
      <c r="AF60" s="113">
        <f t="shared" si="63"/>
        <v>0</v>
      </c>
      <c r="AG60" s="113">
        <f>42-AG55-AG56-AG57-19</f>
        <v>0</v>
      </c>
      <c r="AH60" s="113">
        <f>42-AH55-AH56-AH57-19</f>
        <v>0</v>
      </c>
      <c r="AI60" s="113">
        <f>42-AI55-AI56-AI57-23</f>
        <v>0</v>
      </c>
      <c r="AJ60" s="113">
        <f t="shared" ref="AJ60:AM60" si="64">42-AJ55-AJ56-AJ57-23</f>
        <v>0</v>
      </c>
      <c r="AK60" s="113">
        <f t="shared" si="64"/>
        <v>0</v>
      </c>
      <c r="AL60" s="113">
        <f>42-AL55-AL56-AL57-23</f>
        <v>0</v>
      </c>
      <c r="AM60" s="113">
        <f t="shared" si="64"/>
        <v>0</v>
      </c>
      <c r="AN60" s="113">
        <f>42-AN55-AN56-AN57-19</f>
        <v>0</v>
      </c>
      <c r="AO60" s="113">
        <f>42-AO55-AO56-AO57-19</f>
        <v>0</v>
      </c>
    </row>
    <row r="61" spans="1:51" ht="24.6" customHeight="1">
      <c r="A61" s="80"/>
      <c r="B61" s="80"/>
      <c r="C61" s="80"/>
      <c r="D61" s="80"/>
      <c r="I61" s="80"/>
      <c r="J61" s="112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113"/>
      <c r="AO61" s="113"/>
      <c r="AP61" s="7"/>
    </row>
    <row r="62" spans="1:51" ht="24.6" customHeight="1" thickBot="1">
      <c r="A62" s="80"/>
      <c r="B62" s="80"/>
      <c r="C62" s="80"/>
      <c r="D62" s="80"/>
      <c r="I62" s="80"/>
      <c r="J62" s="112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</row>
    <row r="63" spans="1:51" ht="24.6" customHeight="1" thickBot="1">
      <c r="A63" s="80"/>
      <c r="B63" s="80"/>
      <c r="C63" s="80"/>
      <c r="D63" s="80"/>
      <c r="I63" s="80"/>
      <c r="J63" s="228" t="s">
        <v>47</v>
      </c>
      <c r="K63" s="229" cm="1">
        <f t="array" ref="K63">SUMPRODUCT(COUNTIF(K4:K18,{"1";"M1"}))</f>
        <v>0</v>
      </c>
      <c r="L63" s="231" cm="1">
        <f t="array" ref="L63">SUMPRODUCT(COUNTIF(L4:L18,{"1";"M1"}))</f>
        <v>1</v>
      </c>
      <c r="M63" s="231" cm="1">
        <f t="array" ref="M63">SUMPRODUCT(COUNTIF(M4:M18,{"1";"M1"}))</f>
        <v>0</v>
      </c>
      <c r="N63" s="230" cm="1">
        <f t="array" ref="N63">SUMPRODUCT(COUNTIF(N4:N18,{"1";"M1"}))</f>
        <v>1</v>
      </c>
      <c r="O63" s="230" cm="1">
        <f t="array" ref="O63">SUMPRODUCT(COUNTIF(O4:O18,{"1";"M1"}))</f>
        <v>1</v>
      </c>
      <c r="P63" s="230" cm="1">
        <f t="array" ref="P63">SUMPRODUCT(COUNTIF(P4:P18,{"1";"M1"}))</f>
        <v>1</v>
      </c>
      <c r="Q63" s="230" cm="1">
        <f t="array" ref="Q63">SUMPRODUCT(COUNTIF(Q4:Q18,{"1";"M1"}))</f>
        <v>1</v>
      </c>
      <c r="R63" s="230" cm="1">
        <f t="array" ref="R63">SUMPRODUCT(COUNTIF(R4:R18,{"1";"M1"}))</f>
        <v>2</v>
      </c>
      <c r="S63" s="231" cm="1">
        <f t="array" ref="S63">SUMPRODUCT(COUNTIF(S4:S18,{"1";"M1"}))</f>
        <v>1</v>
      </c>
      <c r="T63" s="231" cm="1">
        <f t="array" ref="T63">SUMPRODUCT(COUNTIF(T4:T18,{"1";"M1"}))</f>
        <v>2</v>
      </c>
      <c r="U63" s="230" cm="1">
        <f t="array" ref="U63">SUMPRODUCT(COUNTIF(U4:U18,{"1";"M1"}))</f>
        <v>1</v>
      </c>
      <c r="V63" s="230" cm="1">
        <f t="array" ref="V63">SUMPRODUCT(COUNTIF(V4:V18,{"1";"M1"}))</f>
        <v>1</v>
      </c>
      <c r="W63" s="230" cm="1">
        <f t="array" ref="W63">SUMPRODUCT(COUNTIF(W4:W18,{"1";"M1"}))</f>
        <v>2</v>
      </c>
      <c r="X63" s="230" cm="1">
        <f t="array" ref="X63">SUMPRODUCT(COUNTIF(X4:X18,{"1";"M1"}))</f>
        <v>1</v>
      </c>
      <c r="Y63" s="230" cm="1">
        <f t="array" ref="Y63">SUMPRODUCT(COUNTIF(Y4:Y18,{"1";"M1"}))</f>
        <v>1</v>
      </c>
      <c r="Z63" s="231" cm="1">
        <f t="array" ref="Z63">SUMPRODUCT(COUNTIF(Z4:Z18,{"1";"M1"}))</f>
        <v>2</v>
      </c>
      <c r="AA63" s="231" cm="1">
        <f t="array" ref="AA63">SUMPRODUCT(COUNTIF(AA4:AA18,{"1";"M1"}))</f>
        <v>2</v>
      </c>
      <c r="AB63" s="230" cm="1">
        <f t="array" ref="AB63">SUMPRODUCT(COUNTIF(AB4:AB18,{"1";"M1"}))</f>
        <v>1</v>
      </c>
      <c r="AC63" s="230" cm="1">
        <f t="array" ref="AC63">SUMPRODUCT(COUNTIF(AC4:AC18,{"1";"M1"}))</f>
        <v>1</v>
      </c>
      <c r="AD63" s="230" cm="1">
        <f t="array" ref="AD63">SUMPRODUCT(COUNTIF(AD4:AD18,{"1";"M1"}))</f>
        <v>1</v>
      </c>
      <c r="AE63" s="230" cm="1">
        <f t="array" ref="AE63">SUMPRODUCT(COUNTIF(AE4:AE18,{"1";"M1"}))</f>
        <v>1</v>
      </c>
      <c r="AF63" s="230" cm="1">
        <f t="array" ref="AF63">SUMPRODUCT(COUNTIF(AF4:AF18,{"1";"M1"}))</f>
        <v>1</v>
      </c>
      <c r="AG63" s="231" cm="1">
        <f t="array" ref="AG63">SUMPRODUCT(COUNTIF(AG4:AG18,{"1";"M1"}))</f>
        <v>1</v>
      </c>
      <c r="AH63" s="231" cm="1">
        <f t="array" ref="AH63">SUMPRODUCT(COUNTIF(AH4:AH18,{"1";"M1"}))</f>
        <v>1</v>
      </c>
      <c r="AI63" s="230" cm="1">
        <f t="array" ref="AI63">SUMPRODUCT(COUNTIF(AI4:AI18,{"1";"M1"}))</f>
        <v>2</v>
      </c>
      <c r="AJ63" s="230" cm="1">
        <f t="array" ref="AJ63">SUMPRODUCT(COUNTIF(AJ4:AJ18,{"1";"M1"}))</f>
        <v>1</v>
      </c>
      <c r="AK63" s="230" cm="1">
        <f t="array" ref="AK63">SUMPRODUCT(COUNTIF(AK4:AK18,{"1";"M1"}))</f>
        <v>3</v>
      </c>
      <c r="AL63" s="230" cm="1">
        <f t="array" ref="AL63">SUMPRODUCT(COUNTIF(AL4:AL18,{"1";"M1"}))</f>
        <v>1</v>
      </c>
      <c r="AM63" s="230" cm="1">
        <f t="array" ref="AM63">SUMPRODUCT(COUNTIF(AM4:AM18,{"1";"M1"}))</f>
        <v>1</v>
      </c>
      <c r="AN63" s="231" cm="1">
        <f t="array" ref="AN63">SUMPRODUCT(COUNTIF(AN4:AN18,{"1";"M1"}))</f>
        <v>1</v>
      </c>
      <c r="AO63" s="320" cm="1">
        <f t="array" ref="AO63">SUMPRODUCT(COUNTIF(AO4:AO18,{"1";"M1"}))</f>
        <v>2</v>
      </c>
    </row>
    <row r="64" spans="1:51" ht="24.6" customHeight="1">
      <c r="A64" s="80"/>
      <c r="B64" s="80"/>
      <c r="C64" s="80"/>
      <c r="D64" s="80"/>
      <c r="I64" s="80"/>
      <c r="L64" s="116"/>
      <c r="M64" s="116"/>
      <c r="N64" s="116"/>
      <c r="Q64" s="116"/>
    </row>
    <row r="116" ht="13.8"/>
  </sheetData>
  <autoFilter ref="AT3:AT58" xr:uid="{00000000-0009-0000-0000-000004000000}"/>
  <mergeCells count="11">
    <mergeCell ref="K1:AH1"/>
    <mergeCell ref="AI1:AK1"/>
    <mergeCell ref="AL1:AN1"/>
    <mergeCell ref="AW2:AY2"/>
    <mergeCell ref="I2:I3"/>
    <mergeCell ref="J2:J3"/>
    <mergeCell ref="A2:A3"/>
    <mergeCell ref="B2:B3"/>
    <mergeCell ref="C2:C3"/>
    <mergeCell ref="D2:D3"/>
    <mergeCell ref="E2:E3"/>
  </mergeCells>
  <conditionalFormatting sqref="K4:AO45">
    <cfRule type="expression" dxfId="264" priority="5">
      <formula>OR(     SUM(COUNTIF(K4:Q4, 上班代號)) &gt; 6,     AND(COLUMN()&gt;11, OR(         AND(SUM(COUNTIF(OFFSET(K4,0,-1), 中班組)), SUM(COUNTIF(K4, 早班組), COUNTIF(K4, 晚班組))),         AND(SUM(COUNTIF(OFFSET(K4,0,-1), 早班組)), SUM(COUNTIF(K4, 晚班組)))     )) )</formula>
    </cfRule>
    <cfRule type="expression" dxfId="263" priority="6">
      <formula>OR(K4="T中", K4="中", K4=2, K4="小夜")</formula>
    </cfRule>
    <cfRule type="expression" dxfId="262" priority="7">
      <formula>OR(K4="T早", K4="早", K4="M1", K4=1, K4="日")</formula>
    </cfRule>
    <cfRule type="expression" dxfId="261" priority="8">
      <formula>OR(K4="晚", K4=3, K4="大夜")</formula>
    </cfRule>
  </conditionalFormatting>
  <conditionalFormatting sqref="K46:AO54">
    <cfRule type="cellIs" dxfId="260" priority="727" operator="equal">
      <formula>5</formula>
    </cfRule>
    <cfRule type="cellIs" dxfId="259" priority="728" operator="equal">
      <formula>4</formula>
    </cfRule>
    <cfRule type="cellIs" dxfId="258" priority="729" operator="equal">
      <formula>3</formula>
    </cfRule>
    <cfRule type="cellIs" dxfId="257" priority="730" operator="equal">
      <formula>2</formula>
    </cfRule>
    <cfRule type="cellIs" dxfId="256" priority="731" operator="equal">
      <formula>1</formula>
    </cfRule>
  </conditionalFormatting>
  <conditionalFormatting sqref="K52:AO54">
    <cfRule type="cellIs" dxfId="255" priority="732" operator="equal">
      <formula>"T中"</formula>
    </cfRule>
  </conditionalFormatting>
  <conditionalFormatting sqref="AP25">
    <cfRule type="cellIs" dxfId="254" priority="735" operator="equal">
      <formula>"大夜"</formula>
    </cfRule>
    <cfRule type="cellIs" dxfId="253" priority="736" operator="equal">
      <formula>"晚"</formula>
    </cfRule>
    <cfRule type="cellIs" dxfId="252" priority="737" operator="equal">
      <formula>3</formula>
    </cfRule>
    <cfRule type="cellIs" dxfId="251" priority="738" operator="equal">
      <formula>"小夜"</formula>
    </cfRule>
    <cfRule type="cellIs" dxfId="250" priority="739" operator="equal">
      <formula>"T中"</formula>
    </cfRule>
    <cfRule type="cellIs" dxfId="249" priority="740" operator="equal">
      <formula>"中"</formula>
    </cfRule>
    <cfRule type="cellIs" dxfId="248" priority="741" operator="equal">
      <formula>"M2"</formula>
    </cfRule>
    <cfRule type="cellIs" dxfId="247" priority="742" operator="equal">
      <formula>2</formula>
    </cfRule>
    <cfRule type="cellIs" dxfId="246" priority="743" operator="equal">
      <formula>"日"</formula>
    </cfRule>
    <cfRule type="cellIs" dxfId="245" priority="744" operator="equal">
      <formula>"T早"</formula>
    </cfRule>
    <cfRule type="cellIs" dxfId="244" priority="745" operator="equal">
      <formula>"早"</formula>
    </cfRule>
    <cfRule type="cellIs" dxfId="243" priority="746" operator="equal">
      <formula>"M1"</formula>
    </cfRule>
    <cfRule type="cellIs" dxfId="242" priority="747" operator="equal">
      <formula>1</formula>
    </cfRule>
  </conditionalFormatting>
  <conditionalFormatting sqref="AS4:AS45">
    <cfRule type="cellIs" dxfId="241" priority="733" operator="equal">
      <formula>-2</formula>
    </cfRule>
    <cfRule type="cellIs" dxfId="240" priority="734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D751E-7321-45E3-8BB6-A62B4A952722}">
  <sheetPr>
    <pageSetUpPr fitToPage="1"/>
  </sheetPr>
  <dimension ref="A1:HQ115"/>
  <sheetViews>
    <sheetView zoomScale="70" zoomScaleNormal="7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AC61" sqref="AC61"/>
    </sheetView>
  </sheetViews>
  <sheetFormatPr defaultColWidth="9" defaultRowHeight="24.6" customHeight="1"/>
  <cols>
    <col min="1" max="9" width="4.109375" style="77" customWidth="1"/>
    <col min="10" max="10" width="23.109375" style="6" customWidth="1"/>
    <col min="11" max="38" width="6.109375" style="6" customWidth="1"/>
    <col min="39" max="39" width="6" style="6" customWidth="1"/>
    <col min="40" max="40" width="6.109375" style="6" customWidth="1"/>
    <col min="41" max="42" width="7.88671875" style="6" customWidth="1"/>
    <col min="43" max="43" width="7.88671875" style="7" customWidth="1"/>
    <col min="44" max="44" width="5.88671875" style="6" customWidth="1"/>
    <col min="45" max="232" width="9" style="6" customWidth="1"/>
    <col min="233" max="233" width="7.109375" style="6" customWidth="1"/>
    <col min="234" max="16384" width="9" style="6"/>
  </cols>
  <sheetData>
    <row r="1" spans="1:224" ht="24.6" customHeight="1" thickBot="1">
      <c r="A1" s="1"/>
      <c r="B1" s="2" t="s">
        <v>103</v>
      </c>
      <c r="C1" s="1"/>
      <c r="D1" s="1"/>
      <c r="E1" s="1"/>
      <c r="F1" s="1"/>
      <c r="G1" s="1"/>
      <c r="H1" s="1"/>
      <c r="I1" s="3">
        <v>9</v>
      </c>
      <c r="J1" s="4"/>
      <c r="K1" s="474" t="str">
        <f>"TPKC剩餘人力："&amp;AQ56&amp;" / NK剩餘人力："&amp;AR56&amp;" /  N班人力："&amp;AQ51</f>
        <v>TPKC剩餘人力：-2 / NK剩餘人力：0 /  N班人力：100</v>
      </c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6"/>
      <c r="AJ1" s="475"/>
      <c r="AK1" s="475"/>
      <c r="AL1" s="477"/>
      <c r="AM1" s="478"/>
      <c r="AN1" s="478"/>
      <c r="AQ1" s="6"/>
      <c r="AR1" s="7"/>
    </row>
    <row r="2" spans="1:224" ht="23.25" customHeight="1" thickBot="1">
      <c r="A2" s="483">
        <v>1</v>
      </c>
      <c r="B2" s="485">
        <v>2</v>
      </c>
      <c r="C2" s="485">
        <v>3</v>
      </c>
      <c r="D2" s="487" t="s">
        <v>104</v>
      </c>
      <c r="E2" s="489" t="s">
        <v>105</v>
      </c>
      <c r="F2" s="8" t="s">
        <v>106</v>
      </c>
      <c r="G2" s="8" t="s">
        <v>107</v>
      </c>
      <c r="H2" s="8" t="s">
        <v>108</v>
      </c>
      <c r="I2" s="479" t="s">
        <v>109</v>
      </c>
      <c r="J2" s="493" t="s">
        <v>158</v>
      </c>
      <c r="K2" s="340" t="s">
        <v>112</v>
      </c>
      <c r="L2" s="12" t="s">
        <v>113</v>
      </c>
      <c r="M2" s="12" t="s">
        <v>114</v>
      </c>
      <c r="N2" s="12" t="s">
        <v>115</v>
      </c>
      <c r="O2" s="13" t="s">
        <v>116</v>
      </c>
      <c r="P2" s="14" t="s">
        <v>117</v>
      </c>
      <c r="Q2" s="14" t="s">
        <v>111</v>
      </c>
      <c r="R2" s="9" t="s">
        <v>112</v>
      </c>
      <c r="S2" s="9" t="s">
        <v>113</v>
      </c>
      <c r="T2" s="9" t="s">
        <v>114</v>
      </c>
      <c r="U2" s="9" t="s">
        <v>115</v>
      </c>
      <c r="V2" s="10" t="s">
        <v>116</v>
      </c>
      <c r="W2" s="11" t="s">
        <v>117</v>
      </c>
      <c r="X2" s="11" t="s">
        <v>111</v>
      </c>
      <c r="Y2" s="12" t="s">
        <v>112</v>
      </c>
      <c r="Z2" s="12" t="s">
        <v>113</v>
      </c>
      <c r="AA2" s="12" t="s">
        <v>114</v>
      </c>
      <c r="AB2" s="12" t="s">
        <v>115</v>
      </c>
      <c r="AC2" s="13" t="s">
        <v>116</v>
      </c>
      <c r="AD2" s="14" t="s">
        <v>117</v>
      </c>
      <c r="AE2" s="14" t="s">
        <v>111</v>
      </c>
      <c r="AF2" s="9" t="s">
        <v>112</v>
      </c>
      <c r="AG2" s="9" t="s">
        <v>113</v>
      </c>
      <c r="AH2" s="9" t="s">
        <v>114</v>
      </c>
      <c r="AI2" s="9" t="s">
        <v>115</v>
      </c>
      <c r="AJ2" s="10" t="s">
        <v>116</v>
      </c>
      <c r="AK2" s="11" t="s">
        <v>117</v>
      </c>
      <c r="AL2" s="11" t="s">
        <v>111</v>
      </c>
      <c r="AM2" s="12" t="s">
        <v>112</v>
      </c>
      <c r="AN2" s="341" t="s">
        <v>113</v>
      </c>
      <c r="AQ2" s="6"/>
      <c r="AU2" s="471" t="s">
        <v>48</v>
      </c>
      <c r="AV2" s="472"/>
      <c r="AW2" s="473"/>
    </row>
    <row r="3" spans="1:224" ht="24.6" customHeight="1" thickBot="1">
      <c r="A3" s="484"/>
      <c r="B3" s="486"/>
      <c r="C3" s="486"/>
      <c r="D3" s="488"/>
      <c r="E3" s="490"/>
      <c r="F3" s="15" t="s">
        <v>118</v>
      </c>
      <c r="G3" s="15" t="s">
        <v>119</v>
      </c>
      <c r="H3" s="16" t="s">
        <v>120</v>
      </c>
      <c r="I3" s="480"/>
      <c r="J3" s="499"/>
      <c r="K3" s="286">
        <v>1</v>
      </c>
      <c r="L3" s="63">
        <v>2</v>
      </c>
      <c r="M3" s="63">
        <v>3</v>
      </c>
      <c r="N3" s="63">
        <v>4</v>
      </c>
      <c r="O3" s="63">
        <v>5</v>
      </c>
      <c r="P3" s="221">
        <v>6</v>
      </c>
      <c r="Q3" s="221">
        <v>7</v>
      </c>
      <c r="R3" s="63">
        <v>8</v>
      </c>
      <c r="S3" s="63">
        <v>9</v>
      </c>
      <c r="T3" s="63">
        <v>10</v>
      </c>
      <c r="U3" s="63">
        <v>11</v>
      </c>
      <c r="V3" s="63">
        <v>12</v>
      </c>
      <c r="W3" s="221">
        <v>13</v>
      </c>
      <c r="X3" s="221">
        <v>14</v>
      </c>
      <c r="Y3" s="63">
        <v>15</v>
      </c>
      <c r="Z3" s="63">
        <v>16</v>
      </c>
      <c r="AA3" s="63">
        <v>17</v>
      </c>
      <c r="AB3" s="63">
        <v>18</v>
      </c>
      <c r="AC3" s="221">
        <v>19</v>
      </c>
      <c r="AD3" s="221">
        <v>20</v>
      </c>
      <c r="AE3" s="221">
        <v>21</v>
      </c>
      <c r="AF3" s="63">
        <v>22</v>
      </c>
      <c r="AG3" s="63">
        <v>23</v>
      </c>
      <c r="AH3" s="63">
        <v>24</v>
      </c>
      <c r="AI3" s="63">
        <v>25</v>
      </c>
      <c r="AJ3" s="63">
        <v>26</v>
      </c>
      <c r="AK3" s="221">
        <v>27</v>
      </c>
      <c r="AL3" s="221">
        <v>28</v>
      </c>
      <c r="AM3" s="63">
        <v>29</v>
      </c>
      <c r="AN3" s="127">
        <v>30</v>
      </c>
      <c r="AO3" s="19" t="s">
        <v>121</v>
      </c>
      <c r="AP3" s="19" t="s">
        <v>122</v>
      </c>
      <c r="AQ3" s="20" t="s">
        <v>123</v>
      </c>
      <c r="AR3" s="21" t="s">
        <v>109</v>
      </c>
      <c r="AS3" s="22" t="s">
        <v>124</v>
      </c>
      <c r="AU3" s="117" t="s">
        <v>49</v>
      </c>
      <c r="AV3" s="117" t="s">
        <v>50</v>
      </c>
      <c r="AW3" s="117" t="s">
        <v>51</v>
      </c>
    </row>
    <row r="4" spans="1:224" ht="25.5" customHeight="1">
      <c r="A4" s="23">
        <f t="shared" ref="A4:A43" si="0">COUNTIF(K4:AN4,1)+COUNTIF(K4:AN4,"早")+COUNTIF(K4:AN4,"M1")+COUNTIF(K4:AN4,"T早")+COUNTIF(K4:AN4,"日")</f>
        <v>0</v>
      </c>
      <c r="B4" s="24">
        <f t="shared" ref="B4:B43" si="1">COUNTIF(K4:AN4,2)+COUNTIF(K4:AN4,"中")+COUNTIF(K4:AN4,"M2")+COUNTIF(K4:AN4,"T中")+COUNTIF(K4:AN4,"小夜")</f>
        <v>0</v>
      </c>
      <c r="C4" s="25">
        <f t="shared" ref="C4:C43" si="2">COUNTIF(K4:AN4,3)+COUNTIF(K4:AN4,"晚")+COUNTIF(K4:AN4,"大夜")</f>
        <v>16</v>
      </c>
      <c r="D4" s="24">
        <f t="shared" ref="D4:D43" si="3">COUNTIF(K4:AN4,"N")+COUNTIF(K4:AN4,"N8")</f>
        <v>0</v>
      </c>
      <c r="E4" s="26">
        <f t="shared" ref="E4:E43" si="4">COUNTIF(K4:AN4,"S")</f>
        <v>5</v>
      </c>
      <c r="F4" s="26">
        <f t="shared" ref="F4:F43" si="5">COUNTIF(K4:AN4,"X")</f>
        <v>4</v>
      </c>
      <c r="G4" s="26">
        <f t="shared" ref="G4:G43" si="6">COUNTIF(K4:AN4,"Y")</f>
        <v>4</v>
      </c>
      <c r="H4" s="26">
        <f t="shared" ref="H4:H43" si="7">COUNTIF(K4:AN4,"Z")</f>
        <v>1</v>
      </c>
      <c r="I4" s="27">
        <f t="shared" ref="I4:I38" si="8">SUM(A4:H4)</f>
        <v>30</v>
      </c>
      <c r="J4" s="282" t="s">
        <v>152</v>
      </c>
      <c r="K4" s="198">
        <v>3</v>
      </c>
      <c r="L4" s="118">
        <v>3</v>
      </c>
      <c r="M4" s="118">
        <v>3</v>
      </c>
      <c r="N4" s="33" t="s">
        <v>52</v>
      </c>
      <c r="O4" s="33" t="s">
        <v>53</v>
      </c>
      <c r="P4" s="31" t="s">
        <v>52</v>
      </c>
      <c r="Q4" s="33" t="s">
        <v>1</v>
      </c>
      <c r="R4" s="33" t="s">
        <v>1</v>
      </c>
      <c r="S4" s="33" t="s">
        <v>1</v>
      </c>
      <c r="T4" s="33" t="s">
        <v>1</v>
      </c>
      <c r="U4" s="33" t="s">
        <v>1</v>
      </c>
      <c r="V4" s="31" t="s">
        <v>0</v>
      </c>
      <c r="W4" s="29">
        <v>3</v>
      </c>
      <c r="X4" s="29">
        <v>3</v>
      </c>
      <c r="Y4" s="118">
        <v>3</v>
      </c>
      <c r="Z4" s="29" t="s">
        <v>52</v>
      </c>
      <c r="AA4" s="343" t="s">
        <v>40</v>
      </c>
      <c r="AB4" s="343" t="s">
        <v>40</v>
      </c>
      <c r="AC4" s="118">
        <v>3</v>
      </c>
      <c r="AD4" s="118">
        <v>3</v>
      </c>
      <c r="AE4" s="29" t="s">
        <v>0</v>
      </c>
      <c r="AF4" s="118">
        <v>3</v>
      </c>
      <c r="AG4" s="118">
        <v>3</v>
      </c>
      <c r="AH4" s="118">
        <v>3</v>
      </c>
      <c r="AI4" s="118">
        <v>3</v>
      </c>
      <c r="AJ4" s="118">
        <v>3</v>
      </c>
      <c r="AK4" s="31" t="s">
        <v>52</v>
      </c>
      <c r="AL4" s="31" t="s">
        <v>0</v>
      </c>
      <c r="AM4" s="29" t="s">
        <v>0</v>
      </c>
      <c r="AN4" s="119">
        <v>3</v>
      </c>
      <c r="AO4" s="35">
        <v>0</v>
      </c>
      <c r="AP4" s="36">
        <f t="shared" ref="AP4:AP44" si="9">$F4+$G4+H4-$I$1</f>
        <v>0</v>
      </c>
      <c r="AQ4" s="36">
        <v>0</v>
      </c>
      <c r="AR4" s="26">
        <f>SUM(AO4:AQ4)</f>
        <v>0</v>
      </c>
      <c r="AS4" s="328" t="s">
        <v>126</v>
      </c>
      <c r="AU4" s="6" cm="2">
        <f t="array" ref="AU4">SUMPRODUCT(COUNTIF(P4:Q4,{"X";"Y";"Z";"S"}))+SUMPRODUCT(COUNTIF(W4:X4,{"X";"Y";"Z";"S"}))+SUMPRODUCT(COUNTIF(AD4:AE4,{"X";"Y";"Z";"S"}))+SUMPRODUCT(COUNTIF(AK4:AL4,{"X";"Y";"Z";"S"}))-5</f>
        <v>0</v>
      </c>
      <c r="AV4" s="6">
        <v>3</v>
      </c>
      <c r="AW4" s="6">
        <f>AU4+AV4</f>
        <v>3</v>
      </c>
    </row>
    <row r="5" spans="1:224" ht="25.5" customHeight="1">
      <c r="A5" s="38">
        <f t="shared" si="0"/>
        <v>0</v>
      </c>
      <c r="B5" s="39">
        <f t="shared" si="1"/>
        <v>10</v>
      </c>
      <c r="C5" s="40">
        <f t="shared" si="2"/>
        <v>11</v>
      </c>
      <c r="D5" s="39">
        <f t="shared" si="3"/>
        <v>0</v>
      </c>
      <c r="E5" s="41">
        <f t="shared" si="4"/>
        <v>0</v>
      </c>
      <c r="F5" s="41">
        <f t="shared" si="5"/>
        <v>4</v>
      </c>
      <c r="G5" s="41">
        <f t="shared" si="6"/>
        <v>4</v>
      </c>
      <c r="H5" s="41">
        <f t="shared" si="7"/>
        <v>1</v>
      </c>
      <c r="I5" s="42">
        <f t="shared" si="8"/>
        <v>30</v>
      </c>
      <c r="J5" s="208" t="s">
        <v>2</v>
      </c>
      <c r="K5" s="49">
        <v>2</v>
      </c>
      <c r="L5" s="30">
        <v>2</v>
      </c>
      <c r="M5" s="30" t="s">
        <v>52</v>
      </c>
      <c r="N5" s="121">
        <v>3</v>
      </c>
      <c r="O5" s="30">
        <v>3</v>
      </c>
      <c r="P5" s="44" t="s">
        <v>53</v>
      </c>
      <c r="Q5" s="44" t="s">
        <v>0</v>
      </c>
      <c r="R5" s="121">
        <v>3</v>
      </c>
      <c r="S5" s="121">
        <v>3</v>
      </c>
      <c r="T5" s="121">
        <v>3</v>
      </c>
      <c r="U5" s="121">
        <v>3</v>
      </c>
      <c r="V5" s="121">
        <v>3</v>
      </c>
      <c r="W5" s="44" t="s">
        <v>52</v>
      </c>
      <c r="X5" s="121">
        <v>2</v>
      </c>
      <c r="Y5" s="30">
        <v>2</v>
      </c>
      <c r="Z5" s="30">
        <v>2</v>
      </c>
      <c r="AA5" s="30" t="s">
        <v>0</v>
      </c>
      <c r="AB5" s="121">
        <v>2</v>
      </c>
      <c r="AC5" s="30">
        <v>2</v>
      </c>
      <c r="AD5" s="44" t="s">
        <v>0</v>
      </c>
      <c r="AE5" s="121">
        <v>3</v>
      </c>
      <c r="AF5" s="121">
        <v>2</v>
      </c>
      <c r="AG5" s="121">
        <v>2</v>
      </c>
      <c r="AH5" s="121">
        <v>2</v>
      </c>
      <c r="AI5" s="30" t="s">
        <v>52</v>
      </c>
      <c r="AJ5" s="30" t="s">
        <v>0</v>
      </c>
      <c r="AK5" s="120">
        <v>3</v>
      </c>
      <c r="AL5" s="121">
        <v>3</v>
      </c>
      <c r="AM5" s="121">
        <v>3</v>
      </c>
      <c r="AN5" s="327" t="s">
        <v>52</v>
      </c>
      <c r="AO5" s="45">
        <v>0</v>
      </c>
      <c r="AP5" s="46">
        <f t="shared" si="9"/>
        <v>0</v>
      </c>
      <c r="AQ5" s="46">
        <v>0</v>
      </c>
      <c r="AR5" s="41">
        <f t="shared" ref="AR5:AR44" si="10">SUM(AO5:AQ5)</f>
        <v>0</v>
      </c>
      <c r="AS5" s="329" t="s">
        <v>128</v>
      </c>
    </row>
    <row r="6" spans="1:224" ht="25.2" customHeight="1">
      <c r="A6" s="38">
        <f t="shared" si="0"/>
        <v>9</v>
      </c>
      <c r="B6" s="39">
        <f t="shared" si="1"/>
        <v>0</v>
      </c>
      <c r="C6" s="40">
        <f t="shared" si="2"/>
        <v>0</v>
      </c>
      <c r="D6" s="39">
        <f t="shared" si="3"/>
        <v>11</v>
      </c>
      <c r="E6" s="41">
        <f t="shared" si="4"/>
        <v>1</v>
      </c>
      <c r="F6" s="41">
        <f t="shared" si="5"/>
        <v>4</v>
      </c>
      <c r="G6" s="41">
        <f t="shared" si="6"/>
        <v>4</v>
      </c>
      <c r="H6" s="41">
        <f t="shared" si="7"/>
        <v>1</v>
      </c>
      <c r="I6" s="42">
        <f t="shared" si="8"/>
        <v>30</v>
      </c>
      <c r="J6" s="209" t="s">
        <v>129</v>
      </c>
      <c r="K6" s="49" t="s">
        <v>41</v>
      </c>
      <c r="L6" s="30" t="s">
        <v>41</v>
      </c>
      <c r="M6" s="30" t="s">
        <v>41</v>
      </c>
      <c r="N6" s="30" t="s">
        <v>52</v>
      </c>
      <c r="O6" s="164" t="s">
        <v>36</v>
      </c>
      <c r="P6" s="44" t="s">
        <v>52</v>
      </c>
      <c r="Q6" s="44" t="s">
        <v>0</v>
      </c>
      <c r="R6" s="164" t="s">
        <v>36</v>
      </c>
      <c r="S6" s="30" t="s">
        <v>41</v>
      </c>
      <c r="T6" s="30" t="s">
        <v>53</v>
      </c>
      <c r="U6" s="30" t="s">
        <v>41</v>
      </c>
      <c r="V6" s="30" t="s">
        <v>159</v>
      </c>
      <c r="W6" s="30" t="s">
        <v>52</v>
      </c>
      <c r="X6" s="164" t="s">
        <v>36</v>
      </c>
      <c r="Y6" s="164" t="s">
        <v>36</v>
      </c>
      <c r="Z6" s="164" t="s">
        <v>36</v>
      </c>
      <c r="AA6" s="30" t="s">
        <v>41</v>
      </c>
      <c r="AB6" s="53" t="s">
        <v>3</v>
      </c>
      <c r="AC6" s="32" t="s">
        <v>1</v>
      </c>
      <c r="AD6" s="44" t="s">
        <v>52</v>
      </c>
      <c r="AE6" s="44" t="s">
        <v>0</v>
      </c>
      <c r="AF6" s="30" t="s">
        <v>41</v>
      </c>
      <c r="AG6" s="30" t="s">
        <v>41</v>
      </c>
      <c r="AH6" s="30" t="s">
        <v>0</v>
      </c>
      <c r="AI6" s="30" t="s">
        <v>41</v>
      </c>
      <c r="AJ6" s="164" t="s">
        <v>36</v>
      </c>
      <c r="AK6" s="216" t="s">
        <v>36</v>
      </c>
      <c r="AL6" s="216" t="s">
        <v>36</v>
      </c>
      <c r="AM6" s="121">
        <v>1</v>
      </c>
      <c r="AN6" s="48" t="s">
        <v>0</v>
      </c>
      <c r="AO6" s="45">
        <v>0</v>
      </c>
      <c r="AP6" s="46">
        <f t="shared" si="9"/>
        <v>0</v>
      </c>
      <c r="AQ6" s="46">
        <v>0</v>
      </c>
      <c r="AR6" s="41">
        <f t="shared" si="10"/>
        <v>0</v>
      </c>
      <c r="AS6" s="329" t="s">
        <v>128</v>
      </c>
      <c r="AU6" s="6" cm="2">
        <f t="array" ref="AU6">SUMPRODUCT(COUNTIF(P6:Q6,{"X";"Y";"Z";"S"}))+SUMPRODUCT(COUNTIF(W6:X6,{"X";"Y";"Z";"S"}))+SUMPRODUCT(COUNTIF(AD6:AE6,{"X";"Y";"Z";"S"}))+SUMPRODUCT(COUNTIF(AK6:AL6,{"X";"Y";"Z";"S"}))-5</f>
        <v>0</v>
      </c>
      <c r="AV6" s="6">
        <v>1</v>
      </c>
      <c r="AW6" s="6">
        <f t="shared" ref="AW6:AW7" si="11">AU6+AV6</f>
        <v>1</v>
      </c>
    </row>
    <row r="7" spans="1:224" ht="25.5" customHeight="1">
      <c r="A7" s="38">
        <f t="shared" si="0"/>
        <v>9</v>
      </c>
      <c r="B7" s="39">
        <f t="shared" si="1"/>
        <v>1</v>
      </c>
      <c r="C7" s="40">
        <f t="shared" si="2"/>
        <v>0</v>
      </c>
      <c r="D7" s="39">
        <f t="shared" si="3"/>
        <v>4</v>
      </c>
      <c r="E7" s="41">
        <f t="shared" si="4"/>
        <v>7</v>
      </c>
      <c r="F7" s="41">
        <f t="shared" si="5"/>
        <v>4</v>
      </c>
      <c r="G7" s="41">
        <f t="shared" si="6"/>
        <v>4</v>
      </c>
      <c r="H7" s="41">
        <f t="shared" si="7"/>
        <v>1</v>
      </c>
      <c r="I7" s="42">
        <f t="shared" si="8"/>
        <v>30</v>
      </c>
      <c r="J7" s="209" t="s">
        <v>130</v>
      </c>
      <c r="K7" s="344" t="s">
        <v>36</v>
      </c>
      <c r="L7" s="30" t="s">
        <v>52</v>
      </c>
      <c r="M7" s="164" t="s">
        <v>36</v>
      </c>
      <c r="N7" s="164" t="s">
        <v>36</v>
      </c>
      <c r="O7" s="32" t="s">
        <v>1</v>
      </c>
      <c r="P7" s="32" t="s">
        <v>1</v>
      </c>
      <c r="Q7" s="44" t="s">
        <v>0</v>
      </c>
      <c r="R7" s="216" t="s">
        <v>36</v>
      </c>
      <c r="S7" s="216" t="s">
        <v>36</v>
      </c>
      <c r="T7" s="216" t="s">
        <v>36</v>
      </c>
      <c r="U7" s="53" t="s">
        <v>3</v>
      </c>
      <c r="V7" s="44" t="s">
        <v>52</v>
      </c>
      <c r="W7" s="164" t="s">
        <v>36</v>
      </c>
      <c r="X7" s="164" t="s">
        <v>36</v>
      </c>
      <c r="Y7" s="44" t="s">
        <v>0</v>
      </c>
      <c r="Z7" s="32" t="s">
        <v>1</v>
      </c>
      <c r="AA7" s="32" t="s">
        <v>1</v>
      </c>
      <c r="AB7" s="32" t="s">
        <v>1</v>
      </c>
      <c r="AC7" s="32" t="s">
        <v>1</v>
      </c>
      <c r="AD7" s="32" t="s">
        <v>1</v>
      </c>
      <c r="AE7" s="44" t="s">
        <v>0</v>
      </c>
      <c r="AF7" s="53" t="s">
        <v>3</v>
      </c>
      <c r="AG7" s="30" t="s">
        <v>52</v>
      </c>
      <c r="AH7" s="30" t="s">
        <v>52</v>
      </c>
      <c r="AI7" s="30" t="s">
        <v>53</v>
      </c>
      <c r="AJ7" s="164" t="s">
        <v>36</v>
      </c>
      <c r="AK7" s="121">
        <v>2</v>
      </c>
      <c r="AL7" s="30" t="s">
        <v>0</v>
      </c>
      <c r="AM7" s="348" t="s">
        <v>41</v>
      </c>
      <c r="AN7" s="348" t="s">
        <v>41</v>
      </c>
      <c r="AO7" s="45">
        <v>0</v>
      </c>
      <c r="AP7" s="46">
        <f t="shared" si="9"/>
        <v>0</v>
      </c>
      <c r="AQ7" s="46">
        <v>0</v>
      </c>
      <c r="AR7" s="41">
        <f t="shared" si="10"/>
        <v>0</v>
      </c>
      <c r="AS7" s="329" t="s">
        <v>128</v>
      </c>
      <c r="AU7" s="6" cm="2">
        <f t="array" ref="AU7">SUMPRODUCT(COUNTIF(P7:Q7,{"X";"Y";"Z";"S"}))+SUMPRODUCT(COUNTIF(W7:X7,{"X";"Y";"Z";"S"}))+SUMPRODUCT(COUNTIF(AD7:AE7,{"X";"Y";"Z";"S"}))+SUMPRODUCT(COUNTIF(AK7:AL7,{"X";"Y";"Z";"S"}))-5</f>
        <v>0</v>
      </c>
      <c r="AV7" s="6">
        <v>2</v>
      </c>
      <c r="AW7" s="6">
        <f t="shared" si="11"/>
        <v>2</v>
      </c>
    </row>
    <row r="8" spans="1:224" ht="24" customHeight="1">
      <c r="A8" s="38">
        <f t="shared" si="0"/>
        <v>2</v>
      </c>
      <c r="B8" s="39">
        <f t="shared" si="1"/>
        <v>0</v>
      </c>
      <c r="C8" s="40">
        <f t="shared" si="2"/>
        <v>0</v>
      </c>
      <c r="D8" s="39">
        <f t="shared" si="3"/>
        <v>19</v>
      </c>
      <c r="E8" s="41">
        <f t="shared" si="4"/>
        <v>0</v>
      </c>
      <c r="F8" s="41">
        <f t="shared" si="5"/>
        <v>4</v>
      </c>
      <c r="G8" s="41">
        <f t="shared" si="6"/>
        <v>4</v>
      </c>
      <c r="H8" s="41">
        <f t="shared" si="7"/>
        <v>1</v>
      </c>
      <c r="I8" s="42">
        <f t="shared" si="8"/>
        <v>30</v>
      </c>
      <c r="J8" s="209" t="s">
        <v>132</v>
      </c>
      <c r="K8" s="49" t="s">
        <v>3</v>
      </c>
      <c r="L8" s="30" t="s">
        <v>3</v>
      </c>
      <c r="M8" s="121">
        <v>1</v>
      </c>
      <c r="N8" s="30" t="s">
        <v>3</v>
      </c>
      <c r="O8" s="121">
        <v>1</v>
      </c>
      <c r="P8" s="44" t="s">
        <v>52</v>
      </c>
      <c r="Q8" s="44" t="s">
        <v>0</v>
      </c>
      <c r="R8" s="30" t="s">
        <v>3</v>
      </c>
      <c r="S8" s="30" t="s">
        <v>3</v>
      </c>
      <c r="T8" s="30" t="s">
        <v>3</v>
      </c>
      <c r="U8" s="30" t="s">
        <v>3</v>
      </c>
      <c r="V8" s="30" t="s">
        <v>3</v>
      </c>
      <c r="W8" s="44" t="s">
        <v>52</v>
      </c>
      <c r="X8" s="44" t="s">
        <v>0</v>
      </c>
      <c r="Y8" s="30" t="s">
        <v>3</v>
      </c>
      <c r="Z8" s="30" t="s">
        <v>3</v>
      </c>
      <c r="AA8" s="30" t="s">
        <v>3</v>
      </c>
      <c r="AB8" s="30" t="s">
        <v>3</v>
      </c>
      <c r="AC8" s="44" t="s">
        <v>53</v>
      </c>
      <c r="AD8" s="44" t="s">
        <v>52</v>
      </c>
      <c r="AE8" s="44" t="s">
        <v>0</v>
      </c>
      <c r="AF8" s="30" t="s">
        <v>3</v>
      </c>
      <c r="AG8" s="30" t="s">
        <v>3</v>
      </c>
      <c r="AH8" s="30" t="s">
        <v>3</v>
      </c>
      <c r="AI8" s="30" t="s">
        <v>3</v>
      </c>
      <c r="AJ8" s="30" t="s">
        <v>3</v>
      </c>
      <c r="AK8" s="44" t="s">
        <v>52</v>
      </c>
      <c r="AL8" s="44" t="s">
        <v>0</v>
      </c>
      <c r="AM8" s="30" t="s">
        <v>3</v>
      </c>
      <c r="AN8" s="48" t="s">
        <v>3</v>
      </c>
      <c r="AO8" s="45">
        <v>0</v>
      </c>
      <c r="AP8" s="46">
        <f t="shared" si="9"/>
        <v>0</v>
      </c>
      <c r="AQ8" s="46">
        <v>0</v>
      </c>
      <c r="AR8" s="41">
        <f t="shared" si="10"/>
        <v>0</v>
      </c>
      <c r="AS8" s="329" t="s">
        <v>133</v>
      </c>
    </row>
    <row r="9" spans="1:224" s="50" customFormat="1" ht="24.75" customHeight="1">
      <c r="A9" s="38">
        <f t="shared" si="0"/>
        <v>11</v>
      </c>
      <c r="B9" s="39">
        <f t="shared" si="1"/>
        <v>3</v>
      </c>
      <c r="C9" s="40">
        <f t="shared" si="2"/>
        <v>0</v>
      </c>
      <c r="D9" s="39">
        <f t="shared" si="3"/>
        <v>6</v>
      </c>
      <c r="E9" s="41">
        <f t="shared" si="4"/>
        <v>1</v>
      </c>
      <c r="F9" s="41">
        <f t="shared" si="5"/>
        <v>4</v>
      </c>
      <c r="G9" s="41">
        <f t="shared" si="6"/>
        <v>4</v>
      </c>
      <c r="H9" s="41">
        <f t="shared" si="7"/>
        <v>1</v>
      </c>
      <c r="I9" s="42">
        <f t="shared" si="8"/>
        <v>30</v>
      </c>
      <c r="J9" s="209" t="s">
        <v>4</v>
      </c>
      <c r="K9" s="335" t="s">
        <v>5</v>
      </c>
      <c r="L9" s="30" t="s">
        <v>3</v>
      </c>
      <c r="M9" s="164" t="s">
        <v>36</v>
      </c>
      <c r="N9" s="164" t="s">
        <v>36</v>
      </c>
      <c r="O9" s="32" t="s">
        <v>52</v>
      </c>
      <c r="P9" s="121">
        <v>2</v>
      </c>
      <c r="Q9" s="30">
        <v>2</v>
      </c>
      <c r="R9" s="30" t="s">
        <v>52</v>
      </c>
      <c r="S9" s="30" t="s">
        <v>3</v>
      </c>
      <c r="T9" s="164" t="s">
        <v>36</v>
      </c>
      <c r="U9" s="164" t="s">
        <v>36</v>
      </c>
      <c r="V9" s="30" t="s">
        <v>3</v>
      </c>
      <c r="W9" s="121">
        <v>2</v>
      </c>
      <c r="X9" s="44" t="s">
        <v>0</v>
      </c>
      <c r="Y9" s="30" t="s">
        <v>53</v>
      </c>
      <c r="Z9" s="164" t="s">
        <v>36</v>
      </c>
      <c r="AA9" s="30" t="s">
        <v>3</v>
      </c>
      <c r="AB9" s="53" t="s">
        <v>3</v>
      </c>
      <c r="AC9" s="32" t="s">
        <v>1</v>
      </c>
      <c r="AD9" s="30" t="s">
        <v>52</v>
      </c>
      <c r="AE9" s="44" t="s">
        <v>0</v>
      </c>
      <c r="AF9" s="164" t="s">
        <v>36</v>
      </c>
      <c r="AG9" s="164" t="s">
        <v>36</v>
      </c>
      <c r="AH9" s="164" t="s">
        <v>36</v>
      </c>
      <c r="AI9" s="124" t="s">
        <v>5</v>
      </c>
      <c r="AJ9" s="30" t="s">
        <v>3</v>
      </c>
      <c r="AK9" s="44" t="s">
        <v>52</v>
      </c>
      <c r="AL9" s="44" t="s">
        <v>0</v>
      </c>
      <c r="AM9" s="164" t="s">
        <v>36</v>
      </c>
      <c r="AN9" s="290" t="s">
        <v>0</v>
      </c>
      <c r="AO9" s="45">
        <v>0</v>
      </c>
      <c r="AP9" s="46">
        <f t="shared" si="9"/>
        <v>0</v>
      </c>
      <c r="AQ9" s="46">
        <v>0</v>
      </c>
      <c r="AR9" s="41">
        <f t="shared" si="10"/>
        <v>0</v>
      </c>
      <c r="AS9" s="329" t="s">
        <v>126</v>
      </c>
      <c r="AT9" s="6"/>
      <c r="AU9" s="6" cm="2">
        <f t="array" ref="AU9">SUMPRODUCT(COUNTIF(P9:Q9,{"X";"Y";"Z";"S"}))+SUMPRODUCT(COUNTIF(W9:X9,{"X";"Y";"Z";"S"}))+SUMPRODUCT(COUNTIF(AD9:AE9,{"X";"Y";"Z";"S"}))+SUMPRODUCT(COUNTIF(AK9:AL9,{"X";"Y";"Z";"S"}))-5</f>
        <v>0</v>
      </c>
      <c r="AV9" s="6">
        <v>5</v>
      </c>
      <c r="AW9" s="6">
        <f t="shared" ref="AW9:AW13" si="12">AU9+AV9</f>
        <v>5</v>
      </c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</row>
    <row r="10" spans="1:224" s="50" customFormat="1" ht="29.25" customHeight="1">
      <c r="A10" s="38">
        <f t="shared" si="0"/>
        <v>15</v>
      </c>
      <c r="B10" s="39">
        <f t="shared" si="1"/>
        <v>1</v>
      </c>
      <c r="C10" s="40">
        <f t="shared" si="2"/>
        <v>0</v>
      </c>
      <c r="D10" s="39">
        <f t="shared" si="3"/>
        <v>2</v>
      </c>
      <c r="E10" s="41">
        <f t="shared" si="4"/>
        <v>3</v>
      </c>
      <c r="F10" s="41">
        <f t="shared" si="5"/>
        <v>4</v>
      </c>
      <c r="G10" s="41">
        <f t="shared" si="6"/>
        <v>4</v>
      </c>
      <c r="H10" s="41">
        <f t="shared" si="7"/>
        <v>1</v>
      </c>
      <c r="I10" s="42">
        <f t="shared" si="8"/>
        <v>30</v>
      </c>
      <c r="J10" s="210" t="s">
        <v>134</v>
      </c>
      <c r="K10" s="163" t="s">
        <v>36</v>
      </c>
      <c r="L10" s="164" t="s">
        <v>36</v>
      </c>
      <c r="M10" s="44" t="s">
        <v>52</v>
      </c>
      <c r="N10" s="32" t="s">
        <v>1</v>
      </c>
      <c r="O10" s="32" t="s">
        <v>1</v>
      </c>
      <c r="P10" s="32" t="s">
        <v>1</v>
      </c>
      <c r="Q10" s="44" t="s">
        <v>0</v>
      </c>
      <c r="R10" s="121">
        <v>1</v>
      </c>
      <c r="S10" s="164" t="s">
        <v>36</v>
      </c>
      <c r="T10" s="30" t="s">
        <v>3</v>
      </c>
      <c r="U10" s="164" t="s">
        <v>36</v>
      </c>
      <c r="V10" s="164" t="s">
        <v>36</v>
      </c>
      <c r="W10" s="164" t="s">
        <v>36</v>
      </c>
      <c r="X10" s="30" t="s">
        <v>0</v>
      </c>
      <c r="Y10" s="136" t="s">
        <v>3</v>
      </c>
      <c r="Z10" s="136" t="s">
        <v>36</v>
      </c>
      <c r="AA10" s="121">
        <v>2</v>
      </c>
      <c r="AB10" s="32" t="s">
        <v>52</v>
      </c>
      <c r="AC10" s="32" t="s">
        <v>53</v>
      </c>
      <c r="AD10" s="44" t="s">
        <v>52</v>
      </c>
      <c r="AE10" s="44" t="s">
        <v>0</v>
      </c>
      <c r="AF10" s="216" t="s">
        <v>36</v>
      </c>
      <c r="AG10" s="216" t="s">
        <v>36</v>
      </c>
      <c r="AH10" s="30" t="s">
        <v>0</v>
      </c>
      <c r="AI10" s="164" t="s">
        <v>52</v>
      </c>
      <c r="AJ10" s="121">
        <v>1</v>
      </c>
      <c r="AK10" s="164" t="s">
        <v>36</v>
      </c>
      <c r="AL10" s="164" t="s">
        <v>36</v>
      </c>
      <c r="AM10" s="164" t="s">
        <v>36</v>
      </c>
      <c r="AN10" s="327" t="s">
        <v>36</v>
      </c>
      <c r="AO10" s="45">
        <v>0</v>
      </c>
      <c r="AP10" s="46">
        <f t="shared" si="9"/>
        <v>0</v>
      </c>
      <c r="AQ10" s="46">
        <v>0</v>
      </c>
      <c r="AR10" s="41">
        <f t="shared" si="10"/>
        <v>0</v>
      </c>
      <c r="AS10" s="329" t="s">
        <v>128</v>
      </c>
      <c r="AT10" s="6"/>
      <c r="AU10" s="6" cm="2">
        <f t="array" ref="AU10">SUMPRODUCT(COUNTIF(P10:Q10,{"X";"Y";"Z";"S"}))+SUMPRODUCT(COUNTIF(W10:X10,{"X";"Y";"Z";"S"}))+SUMPRODUCT(COUNTIF(AD10:AE10,{"X";"Y";"Z";"S"}))+SUMPRODUCT(COUNTIF(AK10:AL10,{"X";"Y";"Z";"S"}))-5</f>
        <v>0</v>
      </c>
      <c r="AV10" s="6">
        <v>2</v>
      </c>
      <c r="AW10" s="6">
        <f t="shared" si="12"/>
        <v>2</v>
      </c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</row>
    <row r="11" spans="1:224" s="50" customFormat="1" ht="25.2" customHeight="1">
      <c r="A11" s="38">
        <f t="shared" si="0"/>
        <v>18</v>
      </c>
      <c r="B11" s="39">
        <f t="shared" si="1"/>
        <v>0</v>
      </c>
      <c r="C11" s="40">
        <f t="shared" si="2"/>
        <v>0</v>
      </c>
      <c r="D11" s="39">
        <f t="shared" si="3"/>
        <v>2</v>
      </c>
      <c r="E11" s="41">
        <f t="shared" si="4"/>
        <v>1</v>
      </c>
      <c r="F11" s="41">
        <f t="shared" si="5"/>
        <v>4</v>
      </c>
      <c r="G11" s="41">
        <f t="shared" si="6"/>
        <v>4</v>
      </c>
      <c r="H11" s="41">
        <f t="shared" si="7"/>
        <v>1</v>
      </c>
      <c r="I11" s="42">
        <f t="shared" si="8"/>
        <v>30</v>
      </c>
      <c r="J11" s="209" t="s">
        <v>6</v>
      </c>
      <c r="K11" s="163" t="s">
        <v>36</v>
      </c>
      <c r="L11" s="164" t="s">
        <v>36</v>
      </c>
      <c r="M11" s="164" t="s">
        <v>36</v>
      </c>
      <c r="N11" s="124" t="s">
        <v>5</v>
      </c>
      <c r="O11" s="32" t="s">
        <v>0</v>
      </c>
      <c r="P11" s="30" t="s">
        <v>36</v>
      </c>
      <c r="Q11" s="30" t="s">
        <v>36</v>
      </c>
      <c r="R11" s="164" t="s">
        <v>52</v>
      </c>
      <c r="S11" s="164" t="s">
        <v>36</v>
      </c>
      <c r="T11" s="30" t="s">
        <v>3</v>
      </c>
      <c r="U11" s="124" t="s">
        <v>5</v>
      </c>
      <c r="V11" s="30" t="s">
        <v>0</v>
      </c>
      <c r="W11" s="44" t="s">
        <v>52</v>
      </c>
      <c r="X11" s="44" t="s">
        <v>53</v>
      </c>
      <c r="Y11" s="121">
        <v>1</v>
      </c>
      <c r="Z11" s="30" t="s">
        <v>3</v>
      </c>
      <c r="AA11" s="164" t="s">
        <v>36</v>
      </c>
      <c r="AB11" s="124" t="s">
        <v>5</v>
      </c>
      <c r="AC11" s="44" t="s">
        <v>52</v>
      </c>
      <c r="AD11" s="121">
        <v>1</v>
      </c>
      <c r="AE11" s="30" t="s">
        <v>36</v>
      </c>
      <c r="AF11" s="164" t="s">
        <v>36</v>
      </c>
      <c r="AG11" s="164" t="s">
        <v>36</v>
      </c>
      <c r="AH11" s="30" t="s">
        <v>36</v>
      </c>
      <c r="AI11" s="164" t="s">
        <v>36</v>
      </c>
      <c r="AJ11" s="30" t="s">
        <v>0</v>
      </c>
      <c r="AK11" s="44" t="s">
        <v>52</v>
      </c>
      <c r="AL11" s="32" t="s">
        <v>1</v>
      </c>
      <c r="AM11" s="30" t="s">
        <v>0</v>
      </c>
      <c r="AN11" s="30">
        <v>1</v>
      </c>
      <c r="AO11" s="45">
        <v>0</v>
      </c>
      <c r="AP11" s="46">
        <f t="shared" si="9"/>
        <v>0</v>
      </c>
      <c r="AQ11" s="46">
        <v>0</v>
      </c>
      <c r="AR11" s="41">
        <f t="shared" si="10"/>
        <v>0</v>
      </c>
      <c r="AS11" s="329" t="s">
        <v>126</v>
      </c>
      <c r="AT11" s="6"/>
      <c r="AU11" s="6" cm="2">
        <f t="array" ref="AU11">SUMPRODUCT(COUNTIF(P11:Q11,{"X";"Y";"Z";"S"}))+SUMPRODUCT(COUNTIF(W11:X11,{"X";"Y";"Z";"S"}))+SUMPRODUCT(COUNTIF(AD11:AE11,{"X";"Y";"Z";"S"}))+SUMPRODUCT(COUNTIF(AK11:AL11,{"X";"Y";"Z";"S"}))-5</f>
        <v>-1</v>
      </c>
      <c r="AV11" s="6">
        <v>5</v>
      </c>
      <c r="AW11" s="6">
        <f t="shared" si="12"/>
        <v>4</v>
      </c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</row>
    <row r="12" spans="1:224" s="50" customFormat="1" ht="25.5" customHeight="1">
      <c r="A12" s="38">
        <f t="shared" si="0"/>
        <v>14</v>
      </c>
      <c r="B12" s="39">
        <f t="shared" si="1"/>
        <v>2</v>
      </c>
      <c r="C12" s="40">
        <f t="shared" si="2"/>
        <v>0</v>
      </c>
      <c r="D12" s="39">
        <f t="shared" si="3"/>
        <v>2</v>
      </c>
      <c r="E12" s="41">
        <f t="shared" si="4"/>
        <v>3</v>
      </c>
      <c r="F12" s="41">
        <f t="shared" si="5"/>
        <v>4</v>
      </c>
      <c r="G12" s="41">
        <f t="shared" si="6"/>
        <v>4</v>
      </c>
      <c r="H12" s="41">
        <f t="shared" si="7"/>
        <v>1</v>
      </c>
      <c r="I12" s="42">
        <f t="shared" si="8"/>
        <v>30</v>
      </c>
      <c r="J12" s="209" t="s">
        <v>135</v>
      </c>
      <c r="K12" s="32" t="s">
        <v>1</v>
      </c>
      <c r="L12" s="164" t="s">
        <v>36</v>
      </c>
      <c r="M12" s="164" t="s">
        <v>36</v>
      </c>
      <c r="N12" s="30" t="s">
        <v>52</v>
      </c>
      <c r="O12" s="164" t="s">
        <v>36</v>
      </c>
      <c r="P12" s="30">
        <v>2</v>
      </c>
      <c r="Q12" s="121">
        <v>2</v>
      </c>
      <c r="R12" s="30" t="s">
        <v>0</v>
      </c>
      <c r="S12" s="164" t="s">
        <v>36</v>
      </c>
      <c r="T12" s="216">
        <v>1</v>
      </c>
      <c r="U12" s="164" t="s">
        <v>36</v>
      </c>
      <c r="V12" s="164" t="s">
        <v>36</v>
      </c>
      <c r="W12" s="44" t="s">
        <v>53</v>
      </c>
      <c r="X12" s="44" t="s">
        <v>0</v>
      </c>
      <c r="Y12" s="164" t="s">
        <v>36</v>
      </c>
      <c r="Z12" s="121">
        <v>1</v>
      </c>
      <c r="AA12" s="121">
        <v>1</v>
      </c>
      <c r="AB12" s="164" t="s">
        <v>36</v>
      </c>
      <c r="AC12" s="32" t="s">
        <v>52</v>
      </c>
      <c r="AD12" s="30" t="s">
        <v>0</v>
      </c>
      <c r="AE12" s="164" t="s">
        <v>36</v>
      </c>
      <c r="AF12" s="121">
        <v>1</v>
      </c>
      <c r="AG12" s="30" t="s">
        <v>3</v>
      </c>
      <c r="AH12" s="30" t="s">
        <v>52</v>
      </c>
      <c r="AI12" s="164" t="s">
        <v>36</v>
      </c>
      <c r="AJ12" s="30" t="s">
        <v>3</v>
      </c>
      <c r="AK12" s="44" t="s">
        <v>52</v>
      </c>
      <c r="AL12" s="32" t="s">
        <v>1</v>
      </c>
      <c r="AM12" s="32" t="s">
        <v>1</v>
      </c>
      <c r="AN12" s="123" t="s">
        <v>0</v>
      </c>
      <c r="AO12" s="45">
        <v>0</v>
      </c>
      <c r="AP12" s="46">
        <f t="shared" si="9"/>
        <v>0</v>
      </c>
      <c r="AQ12" s="46">
        <v>0</v>
      </c>
      <c r="AR12" s="41">
        <f t="shared" si="10"/>
        <v>0</v>
      </c>
      <c r="AS12" s="329" t="s">
        <v>128</v>
      </c>
      <c r="AT12" s="6"/>
      <c r="AU12" s="6" cm="2">
        <f t="array" ref="AU12">SUMPRODUCT(COUNTIF(P12:Q12,{"X";"Y";"Z";"S"}))+SUMPRODUCT(COUNTIF(W12:X12,{"X";"Y";"Z";"S"}))+SUMPRODUCT(COUNTIF(AD12:AE12,{"X";"Y";"Z";"S"}))+SUMPRODUCT(COUNTIF(AK12:AL12,{"X";"Y";"Z";"S"}))-5</f>
        <v>0</v>
      </c>
      <c r="AV12" s="6">
        <v>2</v>
      </c>
      <c r="AW12" s="6">
        <f t="shared" si="12"/>
        <v>2</v>
      </c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</row>
    <row r="13" spans="1:224" s="50" customFormat="1" ht="28.35" customHeight="1">
      <c r="A13" s="38">
        <f t="shared" si="0"/>
        <v>13</v>
      </c>
      <c r="B13" s="39">
        <f t="shared" si="1"/>
        <v>0</v>
      </c>
      <c r="C13" s="40">
        <f t="shared" si="2"/>
        <v>0</v>
      </c>
      <c r="D13" s="39">
        <f t="shared" si="3"/>
        <v>6</v>
      </c>
      <c r="E13" s="41">
        <f t="shared" si="4"/>
        <v>2</v>
      </c>
      <c r="F13" s="41">
        <f t="shared" si="5"/>
        <v>4</v>
      </c>
      <c r="G13" s="41">
        <f t="shared" si="6"/>
        <v>4</v>
      </c>
      <c r="H13" s="41">
        <f t="shared" si="7"/>
        <v>1</v>
      </c>
      <c r="I13" s="42">
        <f t="shared" si="8"/>
        <v>30</v>
      </c>
      <c r="J13" s="210" t="s">
        <v>136</v>
      </c>
      <c r="K13" s="122" t="s">
        <v>0</v>
      </c>
      <c r="L13" s="124" t="s">
        <v>58</v>
      </c>
      <c r="M13" s="216" t="s">
        <v>36</v>
      </c>
      <c r="N13" s="164" t="s">
        <v>36</v>
      </c>
      <c r="O13" s="122" t="s">
        <v>52</v>
      </c>
      <c r="P13" s="121">
        <v>1</v>
      </c>
      <c r="Q13" s="121">
        <v>1</v>
      </c>
      <c r="R13" s="164" t="s">
        <v>36</v>
      </c>
      <c r="S13" s="53" t="s">
        <v>3</v>
      </c>
      <c r="T13" s="30" t="s">
        <v>52</v>
      </c>
      <c r="U13" s="30" t="s">
        <v>3</v>
      </c>
      <c r="V13" s="124" t="s">
        <v>58</v>
      </c>
      <c r="W13" s="44" t="s">
        <v>53</v>
      </c>
      <c r="X13" s="44" t="s">
        <v>0</v>
      </c>
      <c r="Y13" s="216" t="s">
        <v>36</v>
      </c>
      <c r="Z13" s="124" t="s">
        <v>58</v>
      </c>
      <c r="AA13" s="32" t="s">
        <v>1</v>
      </c>
      <c r="AB13" s="30" t="s">
        <v>3</v>
      </c>
      <c r="AC13" s="30" t="s">
        <v>0</v>
      </c>
      <c r="AD13" s="30" t="s">
        <v>52</v>
      </c>
      <c r="AE13" s="121">
        <v>1</v>
      </c>
      <c r="AF13" s="53" t="s">
        <v>3</v>
      </c>
      <c r="AG13" s="30" t="s">
        <v>3</v>
      </c>
      <c r="AH13" s="30" t="s">
        <v>3</v>
      </c>
      <c r="AI13" s="164" t="s">
        <v>36</v>
      </c>
      <c r="AJ13" s="124" t="s">
        <v>58</v>
      </c>
      <c r="AK13" s="44" t="s">
        <v>52</v>
      </c>
      <c r="AL13" s="44" t="s">
        <v>0</v>
      </c>
      <c r="AM13" s="124" t="s">
        <v>58</v>
      </c>
      <c r="AN13" s="290" t="s">
        <v>1</v>
      </c>
      <c r="AO13" s="45">
        <v>0</v>
      </c>
      <c r="AP13" s="46">
        <f t="shared" si="9"/>
        <v>0</v>
      </c>
      <c r="AQ13" s="46">
        <v>0</v>
      </c>
      <c r="AR13" s="41">
        <f t="shared" si="10"/>
        <v>0</v>
      </c>
      <c r="AS13" s="329" t="s">
        <v>126</v>
      </c>
      <c r="AT13" s="6"/>
      <c r="AU13" s="6" cm="2">
        <f t="array" ref="AU13">SUMPRODUCT(COUNTIF(P13:Q13,{"X";"Y";"Z";"S"}))+SUMPRODUCT(COUNTIF(W13:X13,{"X";"Y";"Z";"S"}))+SUMPRODUCT(COUNTIF(AD13:AE13,{"X";"Y";"Z";"S"}))+SUMPRODUCT(COUNTIF(AK13:AL13,{"X";"Y";"Z";"S"}))-5</f>
        <v>0</v>
      </c>
      <c r="AV13" s="6">
        <v>4</v>
      </c>
      <c r="AW13" s="6">
        <f t="shared" si="12"/>
        <v>4</v>
      </c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</row>
    <row r="14" spans="1:224" s="50" customFormat="1" ht="25.5" customHeight="1">
      <c r="A14" s="38">
        <f t="shared" si="0"/>
        <v>0</v>
      </c>
      <c r="B14" s="39">
        <f t="shared" si="1"/>
        <v>12</v>
      </c>
      <c r="C14" s="40">
        <f t="shared" si="2"/>
        <v>5</v>
      </c>
      <c r="D14" s="39">
        <f t="shared" si="3"/>
        <v>3</v>
      </c>
      <c r="E14" s="41">
        <f t="shared" si="4"/>
        <v>1</v>
      </c>
      <c r="F14" s="41">
        <f t="shared" si="5"/>
        <v>4</v>
      </c>
      <c r="G14" s="41">
        <f t="shared" si="6"/>
        <v>4</v>
      </c>
      <c r="H14" s="41">
        <f t="shared" si="7"/>
        <v>1</v>
      </c>
      <c r="I14" s="42">
        <f t="shared" si="8"/>
        <v>30</v>
      </c>
      <c r="J14" s="211" t="s">
        <v>7</v>
      </c>
      <c r="K14" s="200">
        <v>2</v>
      </c>
      <c r="L14" s="121">
        <v>2</v>
      </c>
      <c r="M14" s="32" t="s">
        <v>52</v>
      </c>
      <c r="N14" s="30">
        <v>2</v>
      </c>
      <c r="O14" s="121">
        <v>2</v>
      </c>
      <c r="P14" s="44" t="s">
        <v>0</v>
      </c>
      <c r="Q14" s="121">
        <v>3</v>
      </c>
      <c r="R14" s="32" t="s">
        <v>0</v>
      </c>
      <c r="S14" s="53" t="s">
        <v>3</v>
      </c>
      <c r="T14" s="121">
        <v>2</v>
      </c>
      <c r="U14" s="121">
        <v>2</v>
      </c>
      <c r="V14" s="30" t="s">
        <v>52</v>
      </c>
      <c r="W14" s="121">
        <v>3</v>
      </c>
      <c r="X14" s="121">
        <v>3</v>
      </c>
      <c r="Y14" s="121">
        <v>2</v>
      </c>
      <c r="Z14" s="121">
        <v>2</v>
      </c>
      <c r="AA14" s="30" t="s">
        <v>0</v>
      </c>
      <c r="AB14" s="53" t="s">
        <v>3</v>
      </c>
      <c r="AC14" s="121">
        <v>2</v>
      </c>
      <c r="AD14" s="44" t="s">
        <v>0</v>
      </c>
      <c r="AE14" s="30" t="s">
        <v>53</v>
      </c>
      <c r="AF14" s="53" t="s">
        <v>3</v>
      </c>
      <c r="AG14" s="32" t="s">
        <v>1</v>
      </c>
      <c r="AH14" s="32" t="s">
        <v>52</v>
      </c>
      <c r="AI14" s="121">
        <v>2</v>
      </c>
      <c r="AJ14" s="41" t="s">
        <v>52</v>
      </c>
      <c r="AK14" s="30">
        <v>3</v>
      </c>
      <c r="AL14" s="30">
        <v>3</v>
      </c>
      <c r="AM14" s="121" t="s">
        <v>38</v>
      </c>
      <c r="AN14" s="126" t="s">
        <v>38</v>
      </c>
      <c r="AO14" s="45">
        <v>0</v>
      </c>
      <c r="AP14" s="46">
        <f t="shared" si="9"/>
        <v>0</v>
      </c>
      <c r="AQ14" s="46">
        <v>0</v>
      </c>
      <c r="AR14" s="41">
        <f t="shared" si="10"/>
        <v>0</v>
      </c>
      <c r="AS14" s="329" t="s">
        <v>128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</row>
    <row r="15" spans="1:224" s="50" customFormat="1" ht="25.5" customHeight="1">
      <c r="A15" s="38">
        <f t="shared" si="0"/>
        <v>10</v>
      </c>
      <c r="B15" s="39">
        <f t="shared" si="1"/>
        <v>2</v>
      </c>
      <c r="C15" s="40">
        <f t="shared" si="2"/>
        <v>0</v>
      </c>
      <c r="D15" s="39">
        <f t="shared" si="3"/>
        <v>7</v>
      </c>
      <c r="E15" s="41">
        <f t="shared" si="4"/>
        <v>2</v>
      </c>
      <c r="F15" s="41">
        <f t="shared" si="5"/>
        <v>4</v>
      </c>
      <c r="G15" s="41">
        <f t="shared" si="6"/>
        <v>4</v>
      </c>
      <c r="H15" s="41">
        <f t="shared" si="7"/>
        <v>1</v>
      </c>
      <c r="I15" s="42">
        <f t="shared" si="8"/>
        <v>30</v>
      </c>
      <c r="J15" s="209" t="s">
        <v>8</v>
      </c>
      <c r="K15" s="336" t="s">
        <v>3</v>
      </c>
      <c r="L15" s="164" t="s">
        <v>36</v>
      </c>
      <c r="M15" s="30" t="s">
        <v>52</v>
      </c>
      <c r="N15" s="124" t="s">
        <v>58</v>
      </c>
      <c r="O15" s="216" t="s">
        <v>36</v>
      </c>
      <c r="P15" s="164" t="s">
        <v>36</v>
      </c>
      <c r="Q15" s="164" t="s">
        <v>36</v>
      </c>
      <c r="R15" s="30" t="s">
        <v>0</v>
      </c>
      <c r="S15" s="53" t="s">
        <v>3</v>
      </c>
      <c r="T15" s="53" t="s">
        <v>3</v>
      </c>
      <c r="U15" s="124" t="s">
        <v>58</v>
      </c>
      <c r="V15" s="121">
        <v>2</v>
      </c>
      <c r="W15" s="44" t="s">
        <v>52</v>
      </c>
      <c r="X15" s="44" t="s">
        <v>53</v>
      </c>
      <c r="Y15" s="32" t="s">
        <v>1</v>
      </c>
      <c r="Z15" s="30" t="s">
        <v>0</v>
      </c>
      <c r="AA15" s="30" t="s">
        <v>52</v>
      </c>
      <c r="AB15" s="124" t="s">
        <v>58</v>
      </c>
      <c r="AC15" s="164" t="s">
        <v>36</v>
      </c>
      <c r="AD15" s="164" t="s">
        <v>36</v>
      </c>
      <c r="AE15" s="30" t="s">
        <v>0</v>
      </c>
      <c r="AF15" s="53" t="s">
        <v>3</v>
      </c>
      <c r="AG15" s="53" t="s">
        <v>3</v>
      </c>
      <c r="AH15" s="30" t="s">
        <v>3</v>
      </c>
      <c r="AI15" s="124" t="s">
        <v>58</v>
      </c>
      <c r="AJ15" s="121">
        <v>2</v>
      </c>
      <c r="AK15" s="44" t="s">
        <v>52</v>
      </c>
      <c r="AL15" s="44" t="s">
        <v>0</v>
      </c>
      <c r="AM15" s="30" t="s">
        <v>3</v>
      </c>
      <c r="AN15" s="290" t="s">
        <v>1</v>
      </c>
      <c r="AO15" s="45">
        <v>0</v>
      </c>
      <c r="AP15" s="46">
        <f t="shared" si="9"/>
        <v>0</v>
      </c>
      <c r="AQ15" s="46">
        <v>0</v>
      </c>
      <c r="AR15" s="41">
        <f t="shared" si="10"/>
        <v>0</v>
      </c>
      <c r="AS15" s="329" t="s">
        <v>126</v>
      </c>
      <c r="AT15" s="6"/>
      <c r="AU15" s="6" cm="2">
        <f t="array" ref="AU15">SUMPRODUCT(COUNTIF(P15:Q15,{"X";"Y";"Z";"S"}))+SUMPRODUCT(COUNTIF(W15:X15,{"X";"Y";"Z";"S"}))+SUMPRODUCT(COUNTIF(AD15:AE15,{"X";"Y";"Z";"S"}))+SUMPRODUCT(COUNTIF(AK15:AL15,{"X";"Y";"Z";"S"}))-5</f>
        <v>0</v>
      </c>
      <c r="AV15" s="6">
        <v>5</v>
      </c>
      <c r="AW15" s="6">
        <f t="shared" ref="AW15:AW18" si="13">AU15+AV15</f>
        <v>5</v>
      </c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</row>
    <row r="16" spans="1:224" s="50" customFormat="1" ht="25.2" customHeight="1">
      <c r="A16" s="38">
        <f t="shared" si="0"/>
        <v>10</v>
      </c>
      <c r="B16" s="39">
        <f t="shared" si="1"/>
        <v>3</v>
      </c>
      <c r="C16" s="40">
        <f t="shared" si="2"/>
        <v>0</v>
      </c>
      <c r="D16" s="39">
        <f t="shared" si="3"/>
        <v>5</v>
      </c>
      <c r="E16" s="41">
        <f t="shared" si="4"/>
        <v>3</v>
      </c>
      <c r="F16" s="41">
        <f t="shared" si="5"/>
        <v>4</v>
      </c>
      <c r="G16" s="41">
        <f t="shared" si="6"/>
        <v>4</v>
      </c>
      <c r="H16" s="41">
        <f t="shared" si="7"/>
        <v>1</v>
      </c>
      <c r="I16" s="42">
        <f t="shared" si="8"/>
        <v>30</v>
      </c>
      <c r="J16" s="212" t="s">
        <v>93</v>
      </c>
      <c r="K16" s="163" t="s">
        <v>36</v>
      </c>
      <c r="L16" s="124" t="s">
        <v>5</v>
      </c>
      <c r="M16" s="124">
        <v>2</v>
      </c>
      <c r="N16" s="121">
        <v>2</v>
      </c>
      <c r="O16" s="164" t="s">
        <v>0</v>
      </c>
      <c r="P16" s="30" t="s">
        <v>52</v>
      </c>
      <c r="Q16" s="30">
        <v>1</v>
      </c>
      <c r="R16" s="30" t="s">
        <v>3</v>
      </c>
      <c r="S16" s="124" t="s">
        <v>5</v>
      </c>
      <c r="T16" s="32" t="s">
        <v>0</v>
      </c>
      <c r="U16" s="53" t="s">
        <v>3</v>
      </c>
      <c r="V16" s="30" t="s">
        <v>3</v>
      </c>
      <c r="W16" s="44" t="s">
        <v>52</v>
      </c>
      <c r="X16" s="44" t="s">
        <v>53</v>
      </c>
      <c r="Y16" s="32" t="s">
        <v>1</v>
      </c>
      <c r="Z16" s="32" t="s">
        <v>1</v>
      </c>
      <c r="AA16" s="32" t="s">
        <v>52</v>
      </c>
      <c r="AB16" s="53" t="s">
        <v>3</v>
      </c>
      <c r="AC16" s="216" t="s">
        <v>36</v>
      </c>
      <c r="AD16" s="164" t="s">
        <v>36</v>
      </c>
      <c r="AE16" s="121">
        <v>2</v>
      </c>
      <c r="AF16" s="30" t="s">
        <v>0</v>
      </c>
      <c r="AG16" s="124" t="s">
        <v>5</v>
      </c>
      <c r="AH16" s="53" t="s">
        <v>3</v>
      </c>
      <c r="AI16" s="285">
        <v>1</v>
      </c>
      <c r="AJ16" s="32" t="s">
        <v>1</v>
      </c>
      <c r="AK16" s="44" t="s">
        <v>52</v>
      </c>
      <c r="AL16" s="44" t="s">
        <v>0</v>
      </c>
      <c r="AM16" s="164" t="s">
        <v>36</v>
      </c>
      <c r="AN16" s="125" t="s">
        <v>5</v>
      </c>
      <c r="AO16" s="45">
        <v>0</v>
      </c>
      <c r="AP16" s="46">
        <f t="shared" si="9"/>
        <v>0</v>
      </c>
      <c r="AQ16" s="46">
        <v>0</v>
      </c>
      <c r="AR16" s="41">
        <f t="shared" si="10"/>
        <v>0</v>
      </c>
      <c r="AS16" s="329" t="s">
        <v>128</v>
      </c>
      <c r="AT16" s="6"/>
      <c r="AU16" s="6" cm="2">
        <f t="array" ref="AU16">SUMPRODUCT(COUNTIF(P16:Q16,{"X";"Y";"Z";"S"}))+SUMPRODUCT(COUNTIF(W16:X16,{"X";"Y";"Z";"S"}))+SUMPRODUCT(COUNTIF(AD16:AE16,{"X";"Y";"Z";"S"}))+SUMPRODUCT(COUNTIF(AK16:AL16,{"X";"Y";"Z";"S"}))-5</f>
        <v>0</v>
      </c>
      <c r="AV16" s="6">
        <v>4</v>
      </c>
      <c r="AW16" s="6">
        <f t="shared" si="13"/>
        <v>4</v>
      </c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</row>
    <row r="17" spans="1:224" ht="25.5" customHeight="1" thickBot="1">
      <c r="A17" s="54">
        <f t="shared" si="0"/>
        <v>4</v>
      </c>
      <c r="B17" s="55">
        <f t="shared" si="1"/>
        <v>7</v>
      </c>
      <c r="C17" s="56">
        <f t="shared" si="2"/>
        <v>4</v>
      </c>
      <c r="D17" s="55">
        <f t="shared" si="3"/>
        <v>4</v>
      </c>
      <c r="E17" s="17">
        <f t="shared" si="4"/>
        <v>2</v>
      </c>
      <c r="F17" s="17">
        <f t="shared" si="5"/>
        <v>4</v>
      </c>
      <c r="G17" s="17">
        <f t="shared" si="6"/>
        <v>4</v>
      </c>
      <c r="H17" s="17">
        <f t="shared" si="7"/>
        <v>1</v>
      </c>
      <c r="I17" s="57">
        <f>SUM(A17:H17)</f>
        <v>30</v>
      </c>
      <c r="J17" s="209" t="s">
        <v>9</v>
      </c>
      <c r="K17" s="336" t="s">
        <v>3</v>
      </c>
      <c r="L17" s="53" t="s">
        <v>3</v>
      </c>
      <c r="M17" s="30">
        <v>2</v>
      </c>
      <c r="N17" s="30" t="s">
        <v>52</v>
      </c>
      <c r="O17" s="121">
        <v>3</v>
      </c>
      <c r="P17" s="121">
        <v>3</v>
      </c>
      <c r="Q17" s="30" t="s">
        <v>0</v>
      </c>
      <c r="R17" s="121">
        <v>2</v>
      </c>
      <c r="S17" s="121">
        <v>2</v>
      </c>
      <c r="T17" s="30" t="s">
        <v>38</v>
      </c>
      <c r="U17" s="30" t="s">
        <v>38</v>
      </c>
      <c r="V17" s="44" t="s">
        <v>52</v>
      </c>
      <c r="W17" s="52" t="s">
        <v>1</v>
      </c>
      <c r="X17" s="44" t="s">
        <v>0</v>
      </c>
      <c r="Y17" s="160" t="s">
        <v>40</v>
      </c>
      <c r="Z17" s="171" t="s">
        <v>40</v>
      </c>
      <c r="AA17" s="30" t="s">
        <v>0</v>
      </c>
      <c r="AB17" s="53" t="s">
        <v>3</v>
      </c>
      <c r="AC17" s="164" t="s">
        <v>36</v>
      </c>
      <c r="AD17" s="124">
        <v>2</v>
      </c>
      <c r="AE17" s="30">
        <v>2</v>
      </c>
      <c r="AF17" s="30" t="s">
        <v>52</v>
      </c>
      <c r="AG17" s="30" t="s">
        <v>53</v>
      </c>
      <c r="AH17" s="121">
        <v>1</v>
      </c>
      <c r="AI17" s="53" t="s">
        <v>3</v>
      </c>
      <c r="AJ17" s="32" t="s">
        <v>1</v>
      </c>
      <c r="AK17" s="44" t="s">
        <v>52</v>
      </c>
      <c r="AL17" s="44" t="s">
        <v>0</v>
      </c>
      <c r="AM17" s="164" t="s">
        <v>36</v>
      </c>
      <c r="AN17" s="48" t="s">
        <v>36</v>
      </c>
      <c r="AO17" s="45">
        <v>0</v>
      </c>
      <c r="AP17" s="46">
        <f t="shared" si="9"/>
        <v>0</v>
      </c>
      <c r="AQ17" s="46">
        <v>0</v>
      </c>
      <c r="AR17" s="41">
        <f>SUM(AO17:AQ17)</f>
        <v>0</v>
      </c>
      <c r="AS17" s="329" t="s">
        <v>126</v>
      </c>
      <c r="AU17" s="6" cm="2">
        <f t="array" ref="AU17">SUMPRODUCT(COUNTIF(P17:Q17,{"X";"Y";"Z";"S"}))+SUMPRODUCT(COUNTIF(W17:X17,{"X";"Y";"Z";"S"}))+SUMPRODUCT(COUNTIF(AD17:AE17,{"X";"Y";"Z";"S"}))+SUMPRODUCT(COUNTIF(AK17:AL17,{"X";"Y";"Z";"S"}))-5</f>
        <v>0</v>
      </c>
      <c r="AV17" s="6">
        <v>5</v>
      </c>
      <c r="AW17" s="6">
        <f t="shared" si="13"/>
        <v>5</v>
      </c>
    </row>
    <row r="18" spans="1:224" ht="25.5" customHeight="1" thickBot="1">
      <c r="A18" s="38">
        <f t="shared" si="0"/>
        <v>9</v>
      </c>
      <c r="B18" s="39">
        <f t="shared" si="1"/>
        <v>2</v>
      </c>
      <c r="C18" s="40">
        <f t="shared" si="2"/>
        <v>0</v>
      </c>
      <c r="D18" s="39">
        <f t="shared" si="3"/>
        <v>2</v>
      </c>
      <c r="E18" s="41">
        <f t="shared" si="4"/>
        <v>8</v>
      </c>
      <c r="F18" s="41">
        <f t="shared" si="5"/>
        <v>4</v>
      </c>
      <c r="G18" s="41">
        <f t="shared" si="6"/>
        <v>4</v>
      </c>
      <c r="H18" s="41">
        <f t="shared" si="7"/>
        <v>1</v>
      </c>
      <c r="I18" s="42">
        <f t="shared" ref="I18" si="14">SUM(A18:H18)</f>
        <v>30</v>
      </c>
      <c r="J18" s="224" t="s">
        <v>137</v>
      </c>
      <c r="K18" s="186" t="s">
        <v>52</v>
      </c>
      <c r="L18" s="52" t="s">
        <v>1</v>
      </c>
      <c r="M18" s="52" t="s">
        <v>1</v>
      </c>
      <c r="N18" s="52" t="s">
        <v>1</v>
      </c>
      <c r="O18" s="52" t="s">
        <v>1</v>
      </c>
      <c r="P18" s="309" t="s">
        <v>1</v>
      </c>
      <c r="Q18" s="59" t="s">
        <v>0</v>
      </c>
      <c r="R18" s="52" t="s">
        <v>1</v>
      </c>
      <c r="S18" s="52" t="s">
        <v>1</v>
      </c>
      <c r="T18" s="60" t="s">
        <v>52</v>
      </c>
      <c r="U18" s="337" t="s">
        <v>3</v>
      </c>
      <c r="V18" s="199">
        <v>1</v>
      </c>
      <c r="W18" s="199">
        <v>1</v>
      </c>
      <c r="X18" s="199">
        <v>1</v>
      </c>
      <c r="Y18" s="337" t="s">
        <v>36</v>
      </c>
      <c r="Z18" s="60" t="s">
        <v>0</v>
      </c>
      <c r="AA18" s="222" t="s">
        <v>36</v>
      </c>
      <c r="AB18" s="60">
        <v>2</v>
      </c>
      <c r="AC18" s="52" t="s">
        <v>52</v>
      </c>
      <c r="AD18" s="59" t="s">
        <v>53</v>
      </c>
      <c r="AE18" s="59" t="s">
        <v>0</v>
      </c>
      <c r="AF18" s="182" t="s">
        <v>3</v>
      </c>
      <c r="AG18" s="337" t="s">
        <v>36</v>
      </c>
      <c r="AH18" s="222" t="s">
        <v>36</v>
      </c>
      <c r="AI18" s="41" t="s">
        <v>52</v>
      </c>
      <c r="AJ18" s="337" t="s">
        <v>36</v>
      </c>
      <c r="AK18" s="32" t="s">
        <v>1</v>
      </c>
      <c r="AL18" s="199">
        <v>2</v>
      </c>
      <c r="AM18" s="60" t="s">
        <v>0</v>
      </c>
      <c r="AN18" s="345" t="s">
        <v>36</v>
      </c>
      <c r="AO18" s="73">
        <v>0</v>
      </c>
      <c r="AP18" s="74">
        <f t="shared" si="9"/>
        <v>0</v>
      </c>
      <c r="AQ18" s="74">
        <v>0</v>
      </c>
      <c r="AR18" s="63">
        <f t="shared" ref="AR18" si="15">SUM(AO18:AQ18)</f>
        <v>0</v>
      </c>
      <c r="AS18" s="330" t="s">
        <v>128</v>
      </c>
      <c r="AU18" s="6" cm="2">
        <f t="array" ref="AU18">SUMPRODUCT(COUNTIF(P18:Q18,{"X";"Y";"Z";"S"}))+SUMPRODUCT(COUNTIF(W18:X18,{"X";"Y";"Z";"S"}))+SUMPRODUCT(COUNTIF(AD18:AE18,{"X";"Y";"Z";"S"}))+SUMPRODUCT(COUNTIF(AK18:AL18,{"X";"Y";"Z";"S"}))-5</f>
        <v>0</v>
      </c>
      <c r="AV18" s="6">
        <v>2</v>
      </c>
      <c r="AW18" s="6">
        <f t="shared" si="13"/>
        <v>2</v>
      </c>
    </row>
    <row r="19" spans="1:224" s="50" customFormat="1" ht="25.5" customHeight="1">
      <c r="A19" s="23">
        <f>COUNTIF(K19:AN19,1)+COUNTIF(K19:AN19,"早")+COUNTIF(K19:AN19,"M1")+COUNTIF(K19:AN19,"T早")+COUNTIF(K19:AN19,"日")</f>
        <v>2</v>
      </c>
      <c r="B19" s="24">
        <f>COUNTIF(K19:AN19,2)+COUNTIF(K19:AN19,"中")+COUNTIF(K19:AN19,"M2")+COUNTIF(K19:AN19,"T中")+COUNTIF(K19:AN19,"小夜")</f>
        <v>17</v>
      </c>
      <c r="C19" s="25">
        <f>COUNTIF(K19:AN19,3)+COUNTIF(K19:AN19,"晚")+COUNTIF(K19:AN19,"大夜")</f>
        <v>0</v>
      </c>
      <c r="D19" s="24">
        <f>COUNTIF(K19:AN19,"N")+COUNTIF(K19:AN19,"N8")</f>
        <v>0</v>
      </c>
      <c r="E19" s="26">
        <f>COUNTIF(K19:AN19,"S")</f>
        <v>2</v>
      </c>
      <c r="F19" s="26">
        <f>COUNTIF(K19:AN19,"X")</f>
        <v>4</v>
      </c>
      <c r="G19" s="26">
        <f>COUNTIF(K19:AN19,"Y")</f>
        <v>4</v>
      </c>
      <c r="H19" s="26">
        <f>COUNTIF(K19:AN19,"Z")</f>
        <v>1</v>
      </c>
      <c r="I19" s="27">
        <f t="shared" si="8"/>
        <v>30</v>
      </c>
      <c r="J19" s="189" t="s">
        <v>10</v>
      </c>
      <c r="K19" s="326" t="s">
        <v>52</v>
      </c>
      <c r="L19" s="316" t="s">
        <v>1</v>
      </c>
      <c r="M19" s="316" t="s">
        <v>1</v>
      </c>
      <c r="N19" s="316" t="s">
        <v>0</v>
      </c>
      <c r="O19" s="164">
        <v>2</v>
      </c>
      <c r="P19" s="339">
        <v>2</v>
      </c>
      <c r="Q19" s="164">
        <v>2</v>
      </c>
      <c r="R19" s="164" t="s">
        <v>0</v>
      </c>
      <c r="S19" s="164" t="s">
        <v>52</v>
      </c>
      <c r="T19" s="164">
        <v>1</v>
      </c>
      <c r="U19" s="164">
        <v>2</v>
      </c>
      <c r="V19" s="164">
        <v>2</v>
      </c>
      <c r="W19" s="339">
        <v>2</v>
      </c>
      <c r="X19" s="164">
        <v>2</v>
      </c>
      <c r="Y19" s="164" t="s">
        <v>52</v>
      </c>
      <c r="Z19" s="164">
        <v>2</v>
      </c>
      <c r="AA19" s="164">
        <v>2</v>
      </c>
      <c r="AB19" s="164">
        <v>2</v>
      </c>
      <c r="AC19" s="164">
        <v>2</v>
      </c>
      <c r="AD19" s="339">
        <v>2</v>
      </c>
      <c r="AE19" s="316" t="s">
        <v>0</v>
      </c>
      <c r="AF19" s="316" t="s">
        <v>53</v>
      </c>
      <c r="AG19" s="316" t="s">
        <v>52</v>
      </c>
      <c r="AH19" s="164">
        <v>1</v>
      </c>
      <c r="AI19" s="164">
        <v>2</v>
      </c>
      <c r="AJ19" s="164">
        <v>2</v>
      </c>
      <c r="AK19" s="164">
        <v>2</v>
      </c>
      <c r="AL19" s="164">
        <v>2</v>
      </c>
      <c r="AM19" s="164" t="s">
        <v>0</v>
      </c>
      <c r="AN19" s="168">
        <v>2</v>
      </c>
      <c r="AO19" s="166">
        <v>0</v>
      </c>
      <c r="AP19" s="167">
        <f t="shared" si="9"/>
        <v>0</v>
      </c>
      <c r="AQ19" s="167">
        <v>0</v>
      </c>
      <c r="AR19" s="331">
        <f t="shared" si="10"/>
        <v>0</v>
      </c>
      <c r="AS19" s="332" t="s">
        <v>128</v>
      </c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</row>
    <row r="20" spans="1:224" s="50" customFormat="1" ht="25.5" customHeight="1">
      <c r="A20" s="38">
        <f t="shared" si="0"/>
        <v>7</v>
      </c>
      <c r="B20" s="39">
        <f t="shared" si="1"/>
        <v>7</v>
      </c>
      <c r="C20" s="40">
        <f t="shared" si="2"/>
        <v>0</v>
      </c>
      <c r="D20" s="39">
        <f t="shared" si="3"/>
        <v>1</v>
      </c>
      <c r="E20" s="41">
        <f t="shared" si="4"/>
        <v>6</v>
      </c>
      <c r="F20" s="41">
        <f t="shared" si="5"/>
        <v>4</v>
      </c>
      <c r="G20" s="41">
        <f t="shared" si="6"/>
        <v>4</v>
      </c>
      <c r="H20" s="41">
        <f t="shared" si="7"/>
        <v>1</v>
      </c>
      <c r="I20" s="42">
        <f t="shared" si="8"/>
        <v>30</v>
      </c>
      <c r="J20" s="190" t="s">
        <v>11</v>
      </c>
      <c r="K20" s="122" t="s">
        <v>1</v>
      </c>
      <c r="L20" s="32" t="s">
        <v>1</v>
      </c>
      <c r="M20" s="30" t="s">
        <v>38</v>
      </c>
      <c r="N20" s="30" t="s">
        <v>38</v>
      </c>
      <c r="O20" s="30" t="s">
        <v>38</v>
      </c>
      <c r="P20" s="44" t="s">
        <v>52</v>
      </c>
      <c r="Q20" s="32" t="s">
        <v>1</v>
      </c>
      <c r="R20" s="32" t="s">
        <v>1</v>
      </c>
      <c r="S20" s="32" t="s">
        <v>1</v>
      </c>
      <c r="T20" s="44" t="s">
        <v>0</v>
      </c>
      <c r="U20" s="30">
        <v>2</v>
      </c>
      <c r="V20" s="30">
        <v>2</v>
      </c>
      <c r="W20" s="30" t="s">
        <v>38</v>
      </c>
      <c r="X20" s="30" t="s">
        <v>38</v>
      </c>
      <c r="Y20" s="32" t="s">
        <v>52</v>
      </c>
      <c r="Z20" s="32" t="s">
        <v>53</v>
      </c>
      <c r="AA20" s="164" t="s">
        <v>36</v>
      </c>
      <c r="AB20" s="164" t="s">
        <v>36</v>
      </c>
      <c r="AC20" s="32" t="s">
        <v>1</v>
      </c>
      <c r="AD20" s="44" t="s">
        <v>52</v>
      </c>
      <c r="AE20" s="44" t="s">
        <v>0</v>
      </c>
      <c r="AF20" s="164" t="s">
        <v>36</v>
      </c>
      <c r="AG20" s="164" t="s">
        <v>36</v>
      </c>
      <c r="AH20" s="53" t="s">
        <v>3</v>
      </c>
      <c r="AI20" s="30" t="s">
        <v>0</v>
      </c>
      <c r="AJ20" s="30" t="s">
        <v>52</v>
      </c>
      <c r="AK20" s="30">
        <v>1</v>
      </c>
      <c r="AL20" s="30">
        <v>1</v>
      </c>
      <c r="AM20" s="30" t="s">
        <v>0</v>
      </c>
      <c r="AN20" s="327" t="s">
        <v>36</v>
      </c>
      <c r="AO20" s="45">
        <v>0</v>
      </c>
      <c r="AP20" s="46">
        <f t="shared" si="9"/>
        <v>0</v>
      </c>
      <c r="AQ20" s="46">
        <v>0</v>
      </c>
      <c r="AR20" s="41">
        <f t="shared" si="10"/>
        <v>0</v>
      </c>
      <c r="AS20" s="329" t="s">
        <v>128</v>
      </c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</row>
    <row r="21" spans="1:224" ht="25.5" customHeight="1">
      <c r="A21" s="38">
        <f t="shared" si="0"/>
        <v>5</v>
      </c>
      <c r="B21" s="39">
        <f t="shared" si="1"/>
        <v>11</v>
      </c>
      <c r="C21" s="40">
        <f t="shared" si="2"/>
        <v>2</v>
      </c>
      <c r="D21" s="39">
        <f t="shared" si="3"/>
        <v>2</v>
      </c>
      <c r="E21" s="41">
        <f t="shared" si="4"/>
        <v>1</v>
      </c>
      <c r="F21" s="41">
        <f t="shared" si="5"/>
        <v>4</v>
      </c>
      <c r="G21" s="41">
        <f t="shared" si="6"/>
        <v>4</v>
      </c>
      <c r="H21" s="41">
        <f t="shared" si="7"/>
        <v>1</v>
      </c>
      <c r="I21" s="42">
        <f t="shared" si="8"/>
        <v>30</v>
      </c>
      <c r="J21" s="333" t="s">
        <v>12</v>
      </c>
      <c r="K21" s="49">
        <v>2</v>
      </c>
      <c r="L21" s="30" t="s">
        <v>0</v>
      </c>
      <c r="M21" s="30" t="s">
        <v>38</v>
      </c>
      <c r="N21" s="30">
        <v>2</v>
      </c>
      <c r="O21" s="30">
        <v>2</v>
      </c>
      <c r="P21" s="44" t="s">
        <v>52</v>
      </c>
      <c r="Q21" s="44" t="s">
        <v>0</v>
      </c>
      <c r="R21" s="160" t="s">
        <v>40</v>
      </c>
      <c r="S21" s="160" t="s">
        <v>40</v>
      </c>
      <c r="T21" s="30" t="s">
        <v>0</v>
      </c>
      <c r="U21" s="53" t="s">
        <v>3</v>
      </c>
      <c r="V21" s="164" t="s">
        <v>36</v>
      </c>
      <c r="W21" s="164" t="s">
        <v>36</v>
      </c>
      <c r="X21" s="164" t="s">
        <v>36</v>
      </c>
      <c r="Y21" s="164" t="s">
        <v>36</v>
      </c>
      <c r="Z21" s="30" t="s">
        <v>52</v>
      </c>
      <c r="AA21" s="164" t="s">
        <v>36</v>
      </c>
      <c r="AB21" s="53" t="s">
        <v>3</v>
      </c>
      <c r="AC21" s="32" t="s">
        <v>1</v>
      </c>
      <c r="AD21" s="44" t="s">
        <v>53</v>
      </c>
      <c r="AE21" s="44" t="s">
        <v>0</v>
      </c>
      <c r="AF21" s="30" t="s">
        <v>38</v>
      </c>
      <c r="AG21" s="30" t="s">
        <v>38</v>
      </c>
      <c r="AH21" s="30" t="s">
        <v>38</v>
      </c>
      <c r="AI21" s="30" t="s">
        <v>52</v>
      </c>
      <c r="AJ21" s="30" t="s">
        <v>38</v>
      </c>
      <c r="AK21" s="30" t="s">
        <v>38</v>
      </c>
      <c r="AL21" s="30" t="s">
        <v>38</v>
      </c>
      <c r="AM21" s="30" t="s">
        <v>52</v>
      </c>
      <c r="AN21" s="327">
        <v>2</v>
      </c>
      <c r="AO21" s="45">
        <v>0</v>
      </c>
      <c r="AP21" s="46">
        <f t="shared" si="9"/>
        <v>0</v>
      </c>
      <c r="AQ21" s="46">
        <v>0</v>
      </c>
      <c r="AR21" s="41">
        <f t="shared" si="10"/>
        <v>0</v>
      </c>
      <c r="AS21" s="329" t="s">
        <v>126</v>
      </c>
    </row>
    <row r="22" spans="1:224" ht="25.5" customHeight="1">
      <c r="A22" s="38">
        <f t="shared" si="0"/>
        <v>2</v>
      </c>
      <c r="B22" s="39">
        <f t="shared" si="1"/>
        <v>0</v>
      </c>
      <c r="C22" s="40">
        <f t="shared" si="2"/>
        <v>19</v>
      </c>
      <c r="D22" s="39">
        <f t="shared" si="3"/>
        <v>0</v>
      </c>
      <c r="E22" s="41">
        <f t="shared" si="4"/>
        <v>0</v>
      </c>
      <c r="F22" s="41">
        <f t="shared" si="5"/>
        <v>4</v>
      </c>
      <c r="G22" s="41">
        <f t="shared" si="6"/>
        <v>4</v>
      </c>
      <c r="H22" s="41">
        <f t="shared" si="7"/>
        <v>1</v>
      </c>
      <c r="I22" s="42">
        <f t="shared" si="8"/>
        <v>30</v>
      </c>
      <c r="J22" s="190" t="s">
        <v>13</v>
      </c>
      <c r="K22" s="49" t="s">
        <v>40</v>
      </c>
      <c r="L22" s="30" t="s">
        <v>40</v>
      </c>
      <c r="M22" s="30" t="s">
        <v>0</v>
      </c>
      <c r="N22" s="30" t="s">
        <v>40</v>
      </c>
      <c r="O22" s="30" t="s">
        <v>40</v>
      </c>
      <c r="P22" s="44" t="s">
        <v>52</v>
      </c>
      <c r="Q22" s="44" t="s">
        <v>53</v>
      </c>
      <c r="R22" s="32" t="s">
        <v>0</v>
      </c>
      <c r="S22" s="160" t="s">
        <v>40</v>
      </c>
      <c r="T22" s="160" t="s">
        <v>40</v>
      </c>
      <c r="U22" s="160" t="s">
        <v>40</v>
      </c>
      <c r="V22" s="160" t="s">
        <v>40</v>
      </c>
      <c r="W22" s="160" t="s">
        <v>40</v>
      </c>
      <c r="X22" s="160" t="s">
        <v>40</v>
      </c>
      <c r="Y22" s="30" t="s">
        <v>52</v>
      </c>
      <c r="Z22" s="160" t="s">
        <v>40</v>
      </c>
      <c r="AA22" s="160" t="s">
        <v>40</v>
      </c>
      <c r="AB22" s="160" t="s">
        <v>40</v>
      </c>
      <c r="AC22" s="30" t="s">
        <v>40</v>
      </c>
      <c r="AD22" s="44" t="s">
        <v>52</v>
      </c>
      <c r="AE22" s="44" t="s">
        <v>0</v>
      </c>
      <c r="AF22" s="160" t="s">
        <v>40</v>
      </c>
      <c r="AG22" s="160" t="s">
        <v>40</v>
      </c>
      <c r="AH22" s="160" t="s">
        <v>40</v>
      </c>
      <c r="AI22" s="160" t="s">
        <v>40</v>
      </c>
      <c r="AJ22" s="41" t="s">
        <v>52</v>
      </c>
      <c r="AK22" s="30" t="s">
        <v>36</v>
      </c>
      <c r="AL22" s="30" t="s">
        <v>36</v>
      </c>
      <c r="AM22" s="30" t="s">
        <v>0</v>
      </c>
      <c r="AN22" s="181" t="s">
        <v>40</v>
      </c>
      <c r="AO22" s="45">
        <v>0</v>
      </c>
      <c r="AP22" s="46">
        <f t="shared" si="9"/>
        <v>0</v>
      </c>
      <c r="AQ22" s="46">
        <v>0</v>
      </c>
      <c r="AR22" s="41">
        <f t="shared" si="10"/>
        <v>0</v>
      </c>
      <c r="AS22" s="329" t="s">
        <v>128</v>
      </c>
    </row>
    <row r="23" spans="1:224" s="50" customFormat="1" ht="25.5" customHeight="1">
      <c r="A23" s="38">
        <f t="shared" si="0"/>
        <v>7</v>
      </c>
      <c r="B23" s="39">
        <f t="shared" si="1"/>
        <v>8</v>
      </c>
      <c r="C23" s="40">
        <f t="shared" si="2"/>
        <v>6</v>
      </c>
      <c r="D23" s="39">
        <f t="shared" si="3"/>
        <v>0</v>
      </c>
      <c r="E23" s="41">
        <f t="shared" si="4"/>
        <v>0</v>
      </c>
      <c r="F23" s="41">
        <f t="shared" si="5"/>
        <v>4</v>
      </c>
      <c r="G23" s="41">
        <f t="shared" si="6"/>
        <v>4</v>
      </c>
      <c r="H23" s="41">
        <f t="shared" si="7"/>
        <v>1</v>
      </c>
      <c r="I23" s="42">
        <f t="shared" si="8"/>
        <v>30</v>
      </c>
      <c r="J23" s="301" t="s">
        <v>138</v>
      </c>
      <c r="K23" s="49" t="s">
        <v>0</v>
      </c>
      <c r="L23" s="30">
        <v>2</v>
      </c>
      <c r="M23" s="30">
        <v>2</v>
      </c>
      <c r="N23" s="30" t="s">
        <v>52</v>
      </c>
      <c r="O23" s="164" t="s">
        <v>36</v>
      </c>
      <c r="P23" s="164" t="s">
        <v>36</v>
      </c>
      <c r="Q23" s="164" t="s">
        <v>36</v>
      </c>
      <c r="R23" s="164" t="s">
        <v>36</v>
      </c>
      <c r="S23" s="160" t="s">
        <v>52</v>
      </c>
      <c r="T23" s="160" t="s">
        <v>40</v>
      </c>
      <c r="U23" s="160" t="s">
        <v>40</v>
      </c>
      <c r="V23" s="30" t="s">
        <v>40</v>
      </c>
      <c r="W23" s="44" t="s">
        <v>53</v>
      </c>
      <c r="X23" s="44" t="s">
        <v>0</v>
      </c>
      <c r="Y23" s="30" t="s">
        <v>38</v>
      </c>
      <c r="Z23" s="30" t="s">
        <v>38</v>
      </c>
      <c r="AA23" s="30" t="s">
        <v>38</v>
      </c>
      <c r="AB23" s="30" t="s">
        <v>38</v>
      </c>
      <c r="AC23" s="30" t="s">
        <v>52</v>
      </c>
      <c r="AD23" s="285">
        <v>1</v>
      </c>
      <c r="AE23" s="30">
        <v>1</v>
      </c>
      <c r="AF23" s="164" t="s">
        <v>36</v>
      </c>
      <c r="AG23" s="30" t="s">
        <v>0</v>
      </c>
      <c r="AH23" s="30">
        <v>3</v>
      </c>
      <c r="AI23" s="30">
        <v>3</v>
      </c>
      <c r="AJ23" s="30">
        <v>3</v>
      </c>
      <c r="AK23" s="44" t="s">
        <v>52</v>
      </c>
      <c r="AL23" s="44" t="s">
        <v>0</v>
      </c>
      <c r="AM23" s="30" t="s">
        <v>38</v>
      </c>
      <c r="AN23" s="48" t="s">
        <v>38</v>
      </c>
      <c r="AO23" s="45">
        <v>0</v>
      </c>
      <c r="AP23" s="46">
        <f t="shared" si="9"/>
        <v>0</v>
      </c>
      <c r="AQ23" s="46">
        <v>0</v>
      </c>
      <c r="AR23" s="41">
        <f t="shared" si="10"/>
        <v>0</v>
      </c>
      <c r="AS23" s="329" t="s">
        <v>126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</row>
    <row r="24" spans="1:224" s="50" customFormat="1" ht="25.5" customHeight="1">
      <c r="A24" s="38">
        <f t="shared" si="0"/>
        <v>8</v>
      </c>
      <c r="B24" s="39">
        <f t="shared" si="1"/>
        <v>0</v>
      </c>
      <c r="C24" s="40">
        <f t="shared" si="2"/>
        <v>0</v>
      </c>
      <c r="D24" s="39">
        <f t="shared" si="3"/>
        <v>13</v>
      </c>
      <c r="E24" s="41">
        <f t="shared" si="4"/>
        <v>0</v>
      </c>
      <c r="F24" s="41">
        <f t="shared" si="5"/>
        <v>4</v>
      </c>
      <c r="G24" s="41">
        <f t="shared" si="6"/>
        <v>4</v>
      </c>
      <c r="H24" s="41">
        <f t="shared" si="7"/>
        <v>1</v>
      </c>
      <c r="I24" s="42">
        <f t="shared" si="8"/>
        <v>30</v>
      </c>
      <c r="J24" s="194" t="s">
        <v>15</v>
      </c>
      <c r="K24" s="49" t="s">
        <v>3</v>
      </c>
      <c r="L24" s="30">
        <v>1</v>
      </c>
      <c r="M24" s="30">
        <v>1</v>
      </c>
      <c r="N24" s="30" t="s">
        <v>3</v>
      </c>
      <c r="O24" s="30" t="s">
        <v>3</v>
      </c>
      <c r="P24" s="44" t="s">
        <v>52</v>
      </c>
      <c r="Q24" s="44" t="s">
        <v>0</v>
      </c>
      <c r="R24" s="30" t="s">
        <v>3</v>
      </c>
      <c r="S24" s="30" t="s">
        <v>3</v>
      </c>
      <c r="T24" s="30" t="s">
        <v>3</v>
      </c>
      <c r="U24" s="30" t="s">
        <v>3</v>
      </c>
      <c r="V24" s="30" t="s">
        <v>3</v>
      </c>
      <c r="W24" s="44" t="s">
        <v>52</v>
      </c>
      <c r="X24" s="44" t="s">
        <v>0</v>
      </c>
      <c r="Y24" s="30">
        <v>1</v>
      </c>
      <c r="Z24" s="30">
        <v>1</v>
      </c>
      <c r="AA24" s="30">
        <v>1</v>
      </c>
      <c r="AB24" s="30" t="s">
        <v>3</v>
      </c>
      <c r="AC24" s="44" t="s">
        <v>53</v>
      </c>
      <c r="AD24" s="44" t="s">
        <v>52</v>
      </c>
      <c r="AE24" s="44" t="s">
        <v>0</v>
      </c>
      <c r="AF24" s="30" t="s">
        <v>3</v>
      </c>
      <c r="AG24" s="30">
        <v>1</v>
      </c>
      <c r="AH24" s="53" t="s">
        <v>3</v>
      </c>
      <c r="AI24" s="30" t="s">
        <v>3</v>
      </c>
      <c r="AJ24" s="30" t="s">
        <v>3</v>
      </c>
      <c r="AK24" s="44" t="s">
        <v>52</v>
      </c>
      <c r="AL24" s="44" t="s">
        <v>0</v>
      </c>
      <c r="AM24" s="30">
        <v>1</v>
      </c>
      <c r="AN24" s="48">
        <v>1</v>
      </c>
      <c r="AO24" s="45">
        <v>0</v>
      </c>
      <c r="AP24" s="46">
        <f t="shared" si="9"/>
        <v>0</v>
      </c>
      <c r="AQ24" s="46">
        <v>0</v>
      </c>
      <c r="AR24" s="41">
        <f t="shared" si="10"/>
        <v>0</v>
      </c>
      <c r="AS24" s="329" t="s">
        <v>133</v>
      </c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</row>
    <row r="25" spans="1:224" s="50" customFormat="1" ht="25.5" customHeight="1">
      <c r="A25" s="38">
        <f t="shared" si="0"/>
        <v>3</v>
      </c>
      <c r="B25" s="39">
        <f t="shared" si="1"/>
        <v>11</v>
      </c>
      <c r="C25" s="40">
        <f t="shared" si="2"/>
        <v>7</v>
      </c>
      <c r="D25" s="39">
        <f t="shared" si="3"/>
        <v>0</v>
      </c>
      <c r="E25" s="41">
        <f t="shared" si="4"/>
        <v>0</v>
      </c>
      <c r="F25" s="41">
        <f t="shared" si="5"/>
        <v>4</v>
      </c>
      <c r="G25" s="41">
        <f t="shared" si="6"/>
        <v>4</v>
      </c>
      <c r="H25" s="41">
        <f t="shared" si="7"/>
        <v>1</v>
      </c>
      <c r="I25" s="42">
        <f t="shared" si="8"/>
        <v>30</v>
      </c>
      <c r="J25" s="194" t="s">
        <v>16</v>
      </c>
      <c r="K25" s="122" t="s">
        <v>52</v>
      </c>
      <c r="L25" s="160" t="s">
        <v>40</v>
      </c>
      <c r="M25" s="160" t="s">
        <v>40</v>
      </c>
      <c r="N25" s="160" t="s">
        <v>40</v>
      </c>
      <c r="O25" s="30">
        <v>3</v>
      </c>
      <c r="P25" s="30">
        <v>3</v>
      </c>
      <c r="Q25" s="30" t="s">
        <v>0</v>
      </c>
      <c r="R25" s="30">
        <v>2</v>
      </c>
      <c r="S25" s="30" t="s">
        <v>38</v>
      </c>
      <c r="T25" s="30" t="s">
        <v>38</v>
      </c>
      <c r="U25" s="30" t="s">
        <v>38</v>
      </c>
      <c r="V25" s="30" t="s">
        <v>38</v>
      </c>
      <c r="W25" s="44" t="s">
        <v>52</v>
      </c>
      <c r="X25" s="44" t="s">
        <v>0</v>
      </c>
      <c r="Y25" s="32" t="s">
        <v>53</v>
      </c>
      <c r="Z25" s="30" t="s">
        <v>38</v>
      </c>
      <c r="AA25" s="30" t="s">
        <v>38</v>
      </c>
      <c r="AB25" s="30" t="s">
        <v>38</v>
      </c>
      <c r="AC25" s="30" t="s">
        <v>52</v>
      </c>
      <c r="AD25" s="30" t="s">
        <v>38</v>
      </c>
      <c r="AE25" s="30" t="s">
        <v>38</v>
      </c>
      <c r="AF25" s="30">
        <v>2</v>
      </c>
      <c r="AG25" s="30" t="s">
        <v>0</v>
      </c>
      <c r="AH25" s="164" t="s">
        <v>36</v>
      </c>
      <c r="AI25" s="164" t="s">
        <v>36</v>
      </c>
      <c r="AJ25" s="164" t="s">
        <v>36</v>
      </c>
      <c r="AK25" s="44" t="s">
        <v>52</v>
      </c>
      <c r="AL25" s="44" t="s">
        <v>0</v>
      </c>
      <c r="AM25" s="30" t="s">
        <v>40</v>
      </c>
      <c r="AN25" s="48" t="s">
        <v>40</v>
      </c>
      <c r="AO25" s="45">
        <v>0</v>
      </c>
      <c r="AP25" s="46">
        <f t="shared" si="9"/>
        <v>0</v>
      </c>
      <c r="AQ25" s="46">
        <v>0</v>
      </c>
      <c r="AR25" s="41">
        <f t="shared" si="10"/>
        <v>0</v>
      </c>
      <c r="AS25" s="329" t="s">
        <v>126</v>
      </c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</row>
    <row r="26" spans="1:224" s="50" customFormat="1" ht="25.5" customHeight="1">
      <c r="A26" s="38">
        <f t="shared" si="0"/>
        <v>20</v>
      </c>
      <c r="B26" s="39">
        <f t="shared" si="1"/>
        <v>0</v>
      </c>
      <c r="C26" s="40">
        <f t="shared" si="2"/>
        <v>0</v>
      </c>
      <c r="D26" s="39">
        <f t="shared" si="3"/>
        <v>0</v>
      </c>
      <c r="E26" s="41">
        <f t="shared" si="4"/>
        <v>1</v>
      </c>
      <c r="F26" s="41">
        <f t="shared" si="5"/>
        <v>4</v>
      </c>
      <c r="G26" s="41">
        <f t="shared" si="6"/>
        <v>4</v>
      </c>
      <c r="H26" s="41">
        <f t="shared" si="7"/>
        <v>1</v>
      </c>
      <c r="I26" s="42">
        <f t="shared" si="8"/>
        <v>30</v>
      </c>
      <c r="J26" s="193" t="s">
        <v>17</v>
      </c>
      <c r="K26" s="49">
        <v>1</v>
      </c>
      <c r="L26" s="30">
        <v>1</v>
      </c>
      <c r="M26" s="30" t="s">
        <v>0</v>
      </c>
      <c r="N26" s="30">
        <v>1</v>
      </c>
      <c r="O26" s="30">
        <v>1</v>
      </c>
      <c r="P26" s="44" t="s">
        <v>52</v>
      </c>
      <c r="Q26" s="44" t="s">
        <v>53</v>
      </c>
      <c r="R26" s="30">
        <v>1</v>
      </c>
      <c r="S26" s="30">
        <v>1</v>
      </c>
      <c r="T26" s="30" t="s">
        <v>52</v>
      </c>
      <c r="U26" s="30">
        <v>1</v>
      </c>
      <c r="V26" s="30">
        <v>1</v>
      </c>
      <c r="W26" s="30">
        <v>1</v>
      </c>
      <c r="X26" s="285">
        <v>1</v>
      </c>
      <c r="Y26" s="30">
        <v>1</v>
      </c>
      <c r="Z26" s="30" t="s">
        <v>0</v>
      </c>
      <c r="AA26" s="30">
        <v>1</v>
      </c>
      <c r="AB26" s="285">
        <v>1</v>
      </c>
      <c r="AC26" s="30">
        <v>1</v>
      </c>
      <c r="AD26" s="44" t="s">
        <v>52</v>
      </c>
      <c r="AE26" s="44" t="s">
        <v>0</v>
      </c>
      <c r="AF26" s="30">
        <v>1</v>
      </c>
      <c r="AG26" s="30">
        <v>1</v>
      </c>
      <c r="AH26" s="30">
        <v>1</v>
      </c>
      <c r="AI26" s="30" t="s">
        <v>0</v>
      </c>
      <c r="AJ26" s="30" t="s">
        <v>52</v>
      </c>
      <c r="AK26" s="30">
        <v>1</v>
      </c>
      <c r="AL26" s="285">
        <v>1</v>
      </c>
      <c r="AM26" s="30">
        <v>1</v>
      </c>
      <c r="AN26" s="32" t="s">
        <v>1</v>
      </c>
      <c r="AO26" s="45">
        <v>0</v>
      </c>
      <c r="AP26" s="46">
        <f t="shared" si="9"/>
        <v>0</v>
      </c>
      <c r="AQ26" s="46">
        <v>0</v>
      </c>
      <c r="AR26" s="41">
        <f t="shared" si="10"/>
        <v>0</v>
      </c>
      <c r="AS26" s="329" t="s">
        <v>126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</row>
    <row r="27" spans="1:224" s="50" customFormat="1" ht="27" customHeight="1">
      <c r="A27" s="38">
        <f t="shared" si="0"/>
        <v>4</v>
      </c>
      <c r="B27" s="39">
        <f t="shared" si="1"/>
        <v>5</v>
      </c>
      <c r="C27" s="40">
        <f t="shared" si="2"/>
        <v>7</v>
      </c>
      <c r="D27" s="39">
        <f t="shared" si="3"/>
        <v>0</v>
      </c>
      <c r="E27" s="41">
        <f t="shared" si="4"/>
        <v>5</v>
      </c>
      <c r="F27" s="41">
        <f t="shared" si="5"/>
        <v>4</v>
      </c>
      <c r="G27" s="41">
        <f t="shared" si="6"/>
        <v>4</v>
      </c>
      <c r="H27" s="41">
        <f t="shared" si="7"/>
        <v>1</v>
      </c>
      <c r="I27" s="42">
        <f t="shared" si="8"/>
        <v>30</v>
      </c>
      <c r="J27" s="194" t="s">
        <v>139</v>
      </c>
      <c r="K27" s="122" t="s">
        <v>1</v>
      </c>
      <c r="L27" s="32" t="s">
        <v>1</v>
      </c>
      <c r="M27" s="32" t="s">
        <v>1</v>
      </c>
      <c r="N27" s="32" t="s">
        <v>1</v>
      </c>
      <c r="O27" s="32" t="s">
        <v>1</v>
      </c>
      <c r="P27" s="44" t="s">
        <v>52</v>
      </c>
      <c r="Q27" s="44" t="s">
        <v>0</v>
      </c>
      <c r="R27" s="30" t="s">
        <v>0</v>
      </c>
      <c r="S27" s="30">
        <v>2</v>
      </c>
      <c r="T27" s="30">
        <v>2</v>
      </c>
      <c r="U27" s="44" t="s">
        <v>0</v>
      </c>
      <c r="V27" s="30">
        <v>3</v>
      </c>
      <c r="W27" s="30">
        <v>2</v>
      </c>
      <c r="X27" s="30">
        <v>2</v>
      </c>
      <c r="Y27" s="30">
        <v>2</v>
      </c>
      <c r="Z27" s="30" t="s">
        <v>52</v>
      </c>
      <c r="AA27" s="30" t="s">
        <v>53</v>
      </c>
      <c r="AB27" s="30">
        <v>1</v>
      </c>
      <c r="AC27" s="30">
        <v>1</v>
      </c>
      <c r="AD27" s="285">
        <v>1</v>
      </c>
      <c r="AE27" s="30">
        <v>1</v>
      </c>
      <c r="AF27" s="30" t="s">
        <v>52</v>
      </c>
      <c r="AG27" s="30">
        <v>3</v>
      </c>
      <c r="AH27" s="30">
        <v>3</v>
      </c>
      <c r="AI27" s="30">
        <v>3</v>
      </c>
      <c r="AJ27" s="30">
        <v>3</v>
      </c>
      <c r="AK27" s="44" t="s">
        <v>52</v>
      </c>
      <c r="AL27" s="44" t="s">
        <v>0</v>
      </c>
      <c r="AM27" s="30">
        <v>3</v>
      </c>
      <c r="AN27" s="48">
        <v>3</v>
      </c>
      <c r="AO27" s="45">
        <v>0</v>
      </c>
      <c r="AP27" s="46">
        <f t="shared" si="9"/>
        <v>0</v>
      </c>
      <c r="AQ27" s="46">
        <v>0</v>
      </c>
      <c r="AR27" s="41">
        <f t="shared" si="10"/>
        <v>0</v>
      </c>
      <c r="AS27" s="329" t="s">
        <v>126</v>
      </c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</row>
    <row r="28" spans="1:224" s="50" customFormat="1" ht="25.5" customHeight="1">
      <c r="A28" s="38">
        <f t="shared" si="0"/>
        <v>9</v>
      </c>
      <c r="B28" s="39">
        <f t="shared" si="1"/>
        <v>1</v>
      </c>
      <c r="C28" s="40">
        <f t="shared" si="2"/>
        <v>11</v>
      </c>
      <c r="D28" s="39">
        <f t="shared" si="3"/>
        <v>0</v>
      </c>
      <c r="E28" s="41">
        <f t="shared" si="4"/>
        <v>0</v>
      </c>
      <c r="F28" s="41">
        <f t="shared" si="5"/>
        <v>4</v>
      </c>
      <c r="G28" s="41">
        <f t="shared" si="6"/>
        <v>4</v>
      </c>
      <c r="H28" s="41">
        <f t="shared" si="7"/>
        <v>1</v>
      </c>
      <c r="I28" s="42">
        <f t="shared" si="8"/>
        <v>30</v>
      </c>
      <c r="J28" s="194" t="s">
        <v>140</v>
      </c>
      <c r="K28" s="49">
        <v>1</v>
      </c>
      <c r="L28" s="30" t="s">
        <v>52</v>
      </c>
      <c r="M28" s="30">
        <v>1</v>
      </c>
      <c r="N28" s="30">
        <v>1</v>
      </c>
      <c r="O28" s="30">
        <v>1</v>
      </c>
      <c r="P28" s="30">
        <v>1</v>
      </c>
      <c r="Q28" s="30" t="s">
        <v>0</v>
      </c>
      <c r="R28" s="30">
        <v>3</v>
      </c>
      <c r="S28" s="30">
        <v>3</v>
      </c>
      <c r="T28" s="30">
        <v>3</v>
      </c>
      <c r="U28" s="30">
        <v>3</v>
      </c>
      <c r="V28" s="30">
        <v>3</v>
      </c>
      <c r="W28" s="44" t="s">
        <v>52</v>
      </c>
      <c r="X28" s="44" t="s">
        <v>0</v>
      </c>
      <c r="Y28" s="30">
        <v>3</v>
      </c>
      <c r="Z28" s="30">
        <v>3</v>
      </c>
      <c r="AA28" s="30">
        <v>3</v>
      </c>
      <c r="AB28" s="30">
        <v>3</v>
      </c>
      <c r="AC28" s="30" t="s">
        <v>52</v>
      </c>
      <c r="AD28" s="44" t="s">
        <v>53</v>
      </c>
      <c r="AE28" s="44" t="s">
        <v>0</v>
      </c>
      <c r="AF28" s="30">
        <v>3</v>
      </c>
      <c r="AG28" s="30">
        <v>3</v>
      </c>
      <c r="AH28" s="30" t="s">
        <v>0</v>
      </c>
      <c r="AI28" s="30">
        <v>1</v>
      </c>
      <c r="AJ28" s="30">
        <v>1</v>
      </c>
      <c r="AK28" s="30">
        <v>1</v>
      </c>
      <c r="AL28" s="30">
        <v>1</v>
      </c>
      <c r="AM28" s="30">
        <v>2</v>
      </c>
      <c r="AN28" s="48" t="s">
        <v>52</v>
      </c>
      <c r="AO28" s="62">
        <v>0</v>
      </c>
      <c r="AP28" s="46">
        <f t="shared" si="9"/>
        <v>0</v>
      </c>
      <c r="AQ28" s="46">
        <v>0</v>
      </c>
      <c r="AR28" s="41">
        <f t="shared" si="10"/>
        <v>0</v>
      </c>
      <c r="AS28" s="329" t="s">
        <v>128</v>
      </c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</row>
    <row r="29" spans="1:224" s="50" customFormat="1" ht="25.5" customHeight="1">
      <c r="A29" s="38">
        <f t="shared" si="0"/>
        <v>4</v>
      </c>
      <c r="B29" s="39">
        <f t="shared" si="1"/>
        <v>9</v>
      </c>
      <c r="C29" s="40">
        <f t="shared" si="2"/>
        <v>8</v>
      </c>
      <c r="D29" s="39">
        <f t="shared" si="3"/>
        <v>0</v>
      </c>
      <c r="E29" s="41">
        <f t="shared" si="4"/>
        <v>0</v>
      </c>
      <c r="F29" s="41">
        <f t="shared" si="5"/>
        <v>4</v>
      </c>
      <c r="G29" s="41">
        <f t="shared" si="6"/>
        <v>4</v>
      </c>
      <c r="H29" s="41">
        <f t="shared" si="7"/>
        <v>1</v>
      </c>
      <c r="I29" s="42">
        <f t="shared" si="8"/>
        <v>30</v>
      </c>
      <c r="J29" s="194" t="s">
        <v>19</v>
      </c>
      <c r="K29" s="49">
        <v>3</v>
      </c>
      <c r="L29" s="30">
        <v>3</v>
      </c>
      <c r="M29" s="30">
        <v>3</v>
      </c>
      <c r="N29" s="46">
        <v>3</v>
      </c>
      <c r="O29" s="30" t="s">
        <v>0</v>
      </c>
      <c r="P29" s="44" t="s">
        <v>52</v>
      </c>
      <c r="Q29" s="44" t="s">
        <v>53</v>
      </c>
      <c r="R29" s="30">
        <v>2</v>
      </c>
      <c r="S29" s="30">
        <v>2</v>
      </c>
      <c r="T29" s="30">
        <v>2</v>
      </c>
      <c r="U29" s="30" t="s">
        <v>0</v>
      </c>
      <c r="V29" s="30">
        <v>1</v>
      </c>
      <c r="W29" s="285">
        <v>1</v>
      </c>
      <c r="X29" s="30">
        <v>1</v>
      </c>
      <c r="Y29" s="30" t="s">
        <v>52</v>
      </c>
      <c r="Z29" s="30">
        <v>3</v>
      </c>
      <c r="AA29" s="30">
        <v>3</v>
      </c>
      <c r="AB29" s="30">
        <v>3</v>
      </c>
      <c r="AC29" s="30">
        <v>3</v>
      </c>
      <c r="AD29" s="44" t="s">
        <v>52</v>
      </c>
      <c r="AE29" s="44" t="s">
        <v>0</v>
      </c>
      <c r="AF29" s="30">
        <v>1</v>
      </c>
      <c r="AG29" s="30">
        <v>2</v>
      </c>
      <c r="AH29" s="30">
        <v>2</v>
      </c>
      <c r="AI29" s="30" t="s">
        <v>52</v>
      </c>
      <c r="AJ29" s="30">
        <v>2</v>
      </c>
      <c r="AK29" s="41">
        <v>2</v>
      </c>
      <c r="AL29" s="46">
        <v>2</v>
      </c>
      <c r="AM29" s="46">
        <v>2</v>
      </c>
      <c r="AN29" s="48" t="s">
        <v>0</v>
      </c>
      <c r="AO29" s="62">
        <v>0</v>
      </c>
      <c r="AP29" s="46">
        <f t="shared" si="9"/>
        <v>0</v>
      </c>
      <c r="AQ29" s="46">
        <v>0</v>
      </c>
      <c r="AR29" s="41">
        <f t="shared" si="10"/>
        <v>0</v>
      </c>
      <c r="AS29" s="329" t="s">
        <v>128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</row>
    <row r="30" spans="1:224" s="50" customFormat="1" ht="25.5" customHeight="1">
      <c r="A30" s="38">
        <f t="shared" si="0"/>
        <v>3</v>
      </c>
      <c r="B30" s="39">
        <f t="shared" si="1"/>
        <v>5</v>
      </c>
      <c r="C30" s="40">
        <f t="shared" si="2"/>
        <v>7</v>
      </c>
      <c r="D30" s="39">
        <f t="shared" si="3"/>
        <v>0</v>
      </c>
      <c r="E30" s="41">
        <f t="shared" si="4"/>
        <v>6</v>
      </c>
      <c r="F30" s="41">
        <f t="shared" si="5"/>
        <v>4</v>
      </c>
      <c r="G30" s="41">
        <f t="shared" si="6"/>
        <v>4</v>
      </c>
      <c r="H30" s="41">
        <f t="shared" si="7"/>
        <v>1</v>
      </c>
      <c r="I30" s="42">
        <f>SUM(A30:H30)</f>
        <v>30</v>
      </c>
      <c r="J30" s="194" t="s">
        <v>20</v>
      </c>
      <c r="K30" s="122" t="s">
        <v>1</v>
      </c>
      <c r="L30" s="32" t="s">
        <v>1</v>
      </c>
      <c r="M30" s="32" t="s">
        <v>1</v>
      </c>
      <c r="N30" s="32" t="s">
        <v>1</v>
      </c>
      <c r="O30" s="32" t="s">
        <v>1</v>
      </c>
      <c r="P30" s="30" t="s">
        <v>52</v>
      </c>
      <c r="Q30" s="30">
        <v>3</v>
      </c>
      <c r="R30" s="30">
        <v>3</v>
      </c>
      <c r="S30" s="30">
        <v>3</v>
      </c>
      <c r="T30" s="30">
        <v>3</v>
      </c>
      <c r="U30" s="30">
        <v>3</v>
      </c>
      <c r="V30" s="30" t="s">
        <v>52</v>
      </c>
      <c r="W30" s="44" t="s">
        <v>53</v>
      </c>
      <c r="X30" s="44" t="s">
        <v>0</v>
      </c>
      <c r="Y30" s="30" t="s">
        <v>0</v>
      </c>
      <c r="Z30" s="30">
        <v>1</v>
      </c>
      <c r="AA30" s="30">
        <v>2</v>
      </c>
      <c r="AB30" s="30" t="s">
        <v>52</v>
      </c>
      <c r="AC30" s="30">
        <v>1</v>
      </c>
      <c r="AD30" s="285">
        <v>2</v>
      </c>
      <c r="AE30" s="30">
        <v>2</v>
      </c>
      <c r="AF30" s="30">
        <v>2</v>
      </c>
      <c r="AG30" s="30">
        <v>2</v>
      </c>
      <c r="AH30" s="30" t="s">
        <v>0</v>
      </c>
      <c r="AI30" s="32" t="s">
        <v>1</v>
      </c>
      <c r="AJ30" s="30">
        <v>1</v>
      </c>
      <c r="AK30" s="44" t="s">
        <v>52</v>
      </c>
      <c r="AL30" s="44" t="s">
        <v>0</v>
      </c>
      <c r="AM30" s="30">
        <v>3</v>
      </c>
      <c r="AN30" s="48">
        <v>3</v>
      </c>
      <c r="AO30" s="62">
        <v>0</v>
      </c>
      <c r="AP30" s="46">
        <f t="shared" si="9"/>
        <v>0</v>
      </c>
      <c r="AQ30" s="46">
        <v>0</v>
      </c>
      <c r="AR30" s="41">
        <f>SUM(AO30:AQ30)</f>
        <v>0</v>
      </c>
      <c r="AS30" s="329" t="s">
        <v>126</v>
      </c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</row>
    <row r="31" spans="1:224" s="50" customFormat="1" ht="25.5" customHeight="1" thickBot="1">
      <c r="A31" s="54">
        <f t="shared" si="0"/>
        <v>6</v>
      </c>
      <c r="B31" s="55">
        <f t="shared" si="1"/>
        <v>4</v>
      </c>
      <c r="C31" s="56">
        <f t="shared" si="2"/>
        <v>11</v>
      </c>
      <c r="D31" s="55">
        <f t="shared" si="3"/>
        <v>0</v>
      </c>
      <c r="E31" s="17">
        <f t="shared" si="4"/>
        <v>0</v>
      </c>
      <c r="F31" s="17">
        <f t="shared" si="5"/>
        <v>4</v>
      </c>
      <c r="G31" s="17">
        <f t="shared" si="6"/>
        <v>4</v>
      </c>
      <c r="H31" s="17">
        <f t="shared" si="7"/>
        <v>1</v>
      </c>
      <c r="I31" s="57">
        <f t="shared" si="8"/>
        <v>30</v>
      </c>
      <c r="J31" s="195" t="s">
        <v>21</v>
      </c>
      <c r="K31" s="180">
        <v>3</v>
      </c>
      <c r="L31" s="160">
        <v>3</v>
      </c>
      <c r="M31" s="160">
        <v>3</v>
      </c>
      <c r="N31" s="160">
        <v>3</v>
      </c>
      <c r="O31" s="160" t="s">
        <v>52</v>
      </c>
      <c r="P31" s="160">
        <v>1</v>
      </c>
      <c r="Q31" s="160">
        <v>1</v>
      </c>
      <c r="R31" s="160">
        <v>1</v>
      </c>
      <c r="S31" s="160">
        <v>1</v>
      </c>
      <c r="T31" s="160">
        <v>1</v>
      </c>
      <c r="U31" s="160">
        <v>1</v>
      </c>
      <c r="V31" s="160" t="s">
        <v>52</v>
      </c>
      <c r="W31" s="162" t="s">
        <v>53</v>
      </c>
      <c r="X31" s="162" t="s">
        <v>0</v>
      </c>
      <c r="Y31" s="160">
        <v>3</v>
      </c>
      <c r="Z31" s="160">
        <v>3</v>
      </c>
      <c r="AA31" s="160">
        <v>3</v>
      </c>
      <c r="AB31" s="160">
        <v>3</v>
      </c>
      <c r="AC31" s="161" t="s">
        <v>52</v>
      </c>
      <c r="AD31" s="342">
        <v>3</v>
      </c>
      <c r="AE31" s="160">
        <v>3</v>
      </c>
      <c r="AF31" s="160">
        <v>3</v>
      </c>
      <c r="AG31" s="160" t="s">
        <v>0</v>
      </c>
      <c r="AH31" s="160">
        <v>2</v>
      </c>
      <c r="AI31" s="160">
        <v>2</v>
      </c>
      <c r="AJ31" s="161" t="s">
        <v>52</v>
      </c>
      <c r="AK31" s="162" t="s">
        <v>0</v>
      </c>
      <c r="AL31" s="162" t="s">
        <v>0</v>
      </c>
      <c r="AM31" s="160">
        <v>2</v>
      </c>
      <c r="AN31" s="181">
        <v>2</v>
      </c>
      <c r="AO31" s="142">
        <v>0</v>
      </c>
      <c r="AP31" s="74">
        <f t="shared" si="9"/>
        <v>0</v>
      </c>
      <c r="AQ31" s="74">
        <v>0</v>
      </c>
      <c r="AR31" s="63">
        <f t="shared" si="10"/>
        <v>0</v>
      </c>
      <c r="AS31" s="330" t="s">
        <v>126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</row>
    <row r="32" spans="1:224" s="50" customFormat="1" ht="25.5" customHeight="1">
      <c r="A32" s="23">
        <f t="shared" si="0"/>
        <v>3</v>
      </c>
      <c r="B32" s="24">
        <f t="shared" si="1"/>
        <v>0</v>
      </c>
      <c r="C32" s="25">
        <f t="shared" si="2"/>
        <v>16</v>
      </c>
      <c r="D32" s="24">
        <f t="shared" si="3"/>
        <v>0</v>
      </c>
      <c r="E32" s="26">
        <f t="shared" si="4"/>
        <v>2</v>
      </c>
      <c r="F32" s="26">
        <f t="shared" si="5"/>
        <v>4</v>
      </c>
      <c r="G32" s="26">
        <f t="shared" si="6"/>
        <v>4</v>
      </c>
      <c r="H32" s="26">
        <f t="shared" si="7"/>
        <v>1</v>
      </c>
      <c r="I32" s="27">
        <f t="shared" si="8"/>
        <v>30</v>
      </c>
      <c r="J32" s="189" t="s">
        <v>22</v>
      </c>
      <c r="K32" s="28" t="s">
        <v>40</v>
      </c>
      <c r="L32" s="29" t="s">
        <v>0</v>
      </c>
      <c r="M32" s="29" t="s">
        <v>40</v>
      </c>
      <c r="N32" s="29" t="s">
        <v>40</v>
      </c>
      <c r="O32" s="29" t="s">
        <v>40</v>
      </c>
      <c r="P32" s="31" t="s">
        <v>52</v>
      </c>
      <c r="Q32" s="33" t="s">
        <v>1</v>
      </c>
      <c r="R32" s="29" t="s">
        <v>36</v>
      </c>
      <c r="S32" s="29" t="s">
        <v>36</v>
      </c>
      <c r="T32" s="29" t="s">
        <v>36</v>
      </c>
      <c r="U32" s="29" t="s">
        <v>52</v>
      </c>
      <c r="V32" s="29" t="s">
        <v>40</v>
      </c>
      <c r="W32" s="29" t="s">
        <v>40</v>
      </c>
      <c r="X32" s="29" t="s">
        <v>40</v>
      </c>
      <c r="Y32" s="29" t="s">
        <v>40</v>
      </c>
      <c r="Z32" s="29" t="s">
        <v>52</v>
      </c>
      <c r="AA32" s="29" t="s">
        <v>40</v>
      </c>
      <c r="AB32" s="29" t="s">
        <v>40</v>
      </c>
      <c r="AC32" s="33" t="s">
        <v>154</v>
      </c>
      <c r="AD32" s="31" t="s">
        <v>53</v>
      </c>
      <c r="AE32" s="31" t="s">
        <v>0</v>
      </c>
      <c r="AF32" s="33" t="s">
        <v>156</v>
      </c>
      <c r="AG32" s="29" t="s">
        <v>40</v>
      </c>
      <c r="AH32" s="29" t="s">
        <v>40</v>
      </c>
      <c r="AI32" s="29" t="s">
        <v>40</v>
      </c>
      <c r="AJ32" s="29" t="s">
        <v>40</v>
      </c>
      <c r="AK32" s="29" t="s">
        <v>40</v>
      </c>
      <c r="AL32" s="29" t="s">
        <v>40</v>
      </c>
      <c r="AM32" s="33" t="s">
        <v>52</v>
      </c>
      <c r="AN32" s="135" t="s">
        <v>0</v>
      </c>
      <c r="AO32" s="338">
        <v>0</v>
      </c>
      <c r="AP32" s="167">
        <f t="shared" si="9"/>
        <v>0</v>
      </c>
      <c r="AQ32" s="167">
        <v>0</v>
      </c>
      <c r="AR32" s="331">
        <f t="shared" si="10"/>
        <v>0</v>
      </c>
      <c r="AS32" s="332" t="s">
        <v>128</v>
      </c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</row>
    <row r="33" spans="1:224" s="50" customFormat="1" ht="27.75" customHeight="1">
      <c r="A33" s="38">
        <f t="shared" si="0"/>
        <v>0</v>
      </c>
      <c r="B33" s="39">
        <f t="shared" si="1"/>
        <v>17</v>
      </c>
      <c r="C33" s="40">
        <f t="shared" si="2"/>
        <v>4</v>
      </c>
      <c r="D33" s="39">
        <f t="shared" si="3"/>
        <v>0</v>
      </c>
      <c r="E33" s="41">
        <f t="shared" si="4"/>
        <v>0</v>
      </c>
      <c r="F33" s="41">
        <f t="shared" si="5"/>
        <v>4</v>
      </c>
      <c r="G33" s="41">
        <f t="shared" si="6"/>
        <v>4</v>
      </c>
      <c r="H33" s="41">
        <f t="shared" si="7"/>
        <v>1</v>
      </c>
      <c r="I33" s="42">
        <f t="shared" si="8"/>
        <v>30</v>
      </c>
      <c r="J33" s="193" t="s">
        <v>23</v>
      </c>
      <c r="K33" s="49" t="s">
        <v>38</v>
      </c>
      <c r="L33" s="30" t="s">
        <v>38</v>
      </c>
      <c r="M33" s="30" t="s">
        <v>0</v>
      </c>
      <c r="N33" s="30" t="s">
        <v>38</v>
      </c>
      <c r="O33" s="30" t="s">
        <v>38</v>
      </c>
      <c r="P33" s="44" t="s">
        <v>52</v>
      </c>
      <c r="Q33" s="44" t="s">
        <v>53</v>
      </c>
      <c r="R33" s="30" t="s">
        <v>38</v>
      </c>
      <c r="S33" s="30" t="s">
        <v>38</v>
      </c>
      <c r="T33" s="30" t="s">
        <v>38</v>
      </c>
      <c r="U33" s="30" t="s">
        <v>38</v>
      </c>
      <c r="V33" s="30" t="s">
        <v>52</v>
      </c>
      <c r="W33" s="30" t="s">
        <v>38</v>
      </c>
      <c r="X33" s="30" t="s">
        <v>38</v>
      </c>
      <c r="Y33" s="30" t="s">
        <v>38</v>
      </c>
      <c r="Z33" s="30" t="s">
        <v>0</v>
      </c>
      <c r="AA33" s="30" t="s">
        <v>38</v>
      </c>
      <c r="AB33" s="30" t="s">
        <v>38</v>
      </c>
      <c r="AC33" s="30" t="s">
        <v>38</v>
      </c>
      <c r="AD33" s="44" t="s">
        <v>52</v>
      </c>
      <c r="AE33" s="44" t="s">
        <v>0</v>
      </c>
      <c r="AF33" s="30" t="s">
        <v>38</v>
      </c>
      <c r="AG33" s="30" t="s">
        <v>38</v>
      </c>
      <c r="AH33" s="30" t="s">
        <v>38</v>
      </c>
      <c r="AI33" s="30" t="s">
        <v>52</v>
      </c>
      <c r="AJ33" s="30" t="s">
        <v>40</v>
      </c>
      <c r="AK33" s="30" t="s">
        <v>40</v>
      </c>
      <c r="AL33" s="30" t="s">
        <v>40</v>
      </c>
      <c r="AM33" s="30" t="s">
        <v>40</v>
      </c>
      <c r="AN33" s="290" t="s">
        <v>0</v>
      </c>
      <c r="AO33" s="45">
        <v>0</v>
      </c>
      <c r="AP33" s="46">
        <f t="shared" si="9"/>
        <v>0</v>
      </c>
      <c r="AQ33" s="46">
        <v>0</v>
      </c>
      <c r="AR33" s="41">
        <f t="shared" si="10"/>
        <v>0</v>
      </c>
      <c r="AS33" s="329" t="s">
        <v>128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</row>
    <row r="34" spans="1:224" s="50" customFormat="1" ht="27.75" customHeight="1">
      <c r="A34" s="38">
        <f t="shared" si="0"/>
        <v>1</v>
      </c>
      <c r="B34" s="39">
        <f t="shared" si="1"/>
        <v>14</v>
      </c>
      <c r="C34" s="40">
        <f t="shared" si="2"/>
        <v>0</v>
      </c>
      <c r="D34" s="39">
        <f t="shared" si="3"/>
        <v>1</v>
      </c>
      <c r="E34" s="41">
        <f t="shared" si="4"/>
        <v>5</v>
      </c>
      <c r="F34" s="41">
        <f t="shared" si="5"/>
        <v>4</v>
      </c>
      <c r="G34" s="41">
        <f t="shared" si="6"/>
        <v>4</v>
      </c>
      <c r="H34" s="41">
        <f t="shared" si="7"/>
        <v>1</v>
      </c>
      <c r="I34" s="42">
        <f t="shared" si="8"/>
        <v>30</v>
      </c>
      <c r="J34" s="193" t="s">
        <v>24</v>
      </c>
      <c r="K34" s="122" t="s">
        <v>1</v>
      </c>
      <c r="L34" s="32" t="s">
        <v>1</v>
      </c>
      <c r="M34" s="32" t="s">
        <v>1</v>
      </c>
      <c r="N34" s="32" t="s">
        <v>52</v>
      </c>
      <c r="O34" s="30" t="s">
        <v>36</v>
      </c>
      <c r="P34" s="30" t="s">
        <v>38</v>
      </c>
      <c r="Q34" s="30" t="s">
        <v>38</v>
      </c>
      <c r="R34" s="30" t="s">
        <v>38</v>
      </c>
      <c r="S34" s="30" t="s">
        <v>38</v>
      </c>
      <c r="T34" s="30" t="s">
        <v>0</v>
      </c>
      <c r="U34" s="53" t="s">
        <v>3</v>
      </c>
      <c r="V34" s="30" t="s">
        <v>38</v>
      </c>
      <c r="W34" s="44" t="s">
        <v>52</v>
      </c>
      <c r="X34" s="44" t="s">
        <v>53</v>
      </c>
      <c r="Y34" s="30" t="s">
        <v>38</v>
      </c>
      <c r="Z34" s="30" t="s">
        <v>38</v>
      </c>
      <c r="AA34" s="30" t="s">
        <v>0</v>
      </c>
      <c r="AB34" s="30" t="s">
        <v>52</v>
      </c>
      <c r="AC34" s="30" t="s">
        <v>38</v>
      </c>
      <c r="AD34" s="30" t="s">
        <v>38</v>
      </c>
      <c r="AE34" s="30" t="s">
        <v>38</v>
      </c>
      <c r="AF34" s="30" t="s">
        <v>38</v>
      </c>
      <c r="AG34" s="30" t="s">
        <v>38</v>
      </c>
      <c r="AH34" s="30" t="s">
        <v>0</v>
      </c>
      <c r="AI34" s="30" t="s">
        <v>38</v>
      </c>
      <c r="AJ34" s="30" t="s">
        <v>38</v>
      </c>
      <c r="AK34" s="44" t="s">
        <v>52</v>
      </c>
      <c r="AL34" s="32" t="s">
        <v>1</v>
      </c>
      <c r="AM34" s="32" t="s">
        <v>1</v>
      </c>
      <c r="AN34" s="123" t="s">
        <v>0</v>
      </c>
      <c r="AO34" s="45">
        <v>0</v>
      </c>
      <c r="AP34" s="46">
        <f t="shared" si="9"/>
        <v>0</v>
      </c>
      <c r="AQ34" s="46">
        <v>0</v>
      </c>
      <c r="AR34" s="41">
        <f t="shared" si="10"/>
        <v>0</v>
      </c>
      <c r="AS34" s="329" t="s">
        <v>126</v>
      </c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</row>
    <row r="35" spans="1:224" s="50" customFormat="1" ht="27.6" customHeight="1">
      <c r="A35" s="38">
        <f t="shared" si="0"/>
        <v>1</v>
      </c>
      <c r="B35" s="39">
        <f t="shared" si="1"/>
        <v>16</v>
      </c>
      <c r="C35" s="40">
        <f t="shared" si="2"/>
        <v>2</v>
      </c>
      <c r="D35" s="39">
        <f t="shared" si="3"/>
        <v>0</v>
      </c>
      <c r="E35" s="41">
        <f t="shared" si="4"/>
        <v>2</v>
      </c>
      <c r="F35" s="41">
        <f t="shared" si="5"/>
        <v>4</v>
      </c>
      <c r="G35" s="41">
        <f t="shared" si="6"/>
        <v>4</v>
      </c>
      <c r="H35" s="41">
        <f t="shared" si="7"/>
        <v>1</v>
      </c>
      <c r="I35" s="42">
        <f t="shared" si="8"/>
        <v>30</v>
      </c>
      <c r="J35" s="214" t="s">
        <v>25</v>
      </c>
      <c r="K35" s="49" t="s">
        <v>38</v>
      </c>
      <c r="L35" s="30" t="s">
        <v>38</v>
      </c>
      <c r="M35" s="30" t="s">
        <v>38</v>
      </c>
      <c r="N35" s="30" t="s">
        <v>52</v>
      </c>
      <c r="O35" s="30" t="s">
        <v>53</v>
      </c>
      <c r="P35" s="30" t="s">
        <v>26</v>
      </c>
      <c r="Q35" s="30" t="s">
        <v>38</v>
      </c>
      <c r="R35" s="30" t="s">
        <v>38</v>
      </c>
      <c r="S35" s="30" t="s">
        <v>0</v>
      </c>
      <c r="T35" s="30" t="s">
        <v>40</v>
      </c>
      <c r="U35" s="30" t="s">
        <v>40</v>
      </c>
      <c r="V35" s="30" t="s">
        <v>52</v>
      </c>
      <c r="W35" s="30" t="s">
        <v>38</v>
      </c>
      <c r="X35" s="30" t="s">
        <v>38</v>
      </c>
      <c r="Y35" s="30" t="s">
        <v>0</v>
      </c>
      <c r="Z35" s="30" t="s">
        <v>52</v>
      </c>
      <c r="AA35" s="32" t="s">
        <v>1</v>
      </c>
      <c r="AB35" s="30" t="s">
        <v>36</v>
      </c>
      <c r="AC35" s="30" t="s">
        <v>38</v>
      </c>
      <c r="AD35" s="30" t="s">
        <v>26</v>
      </c>
      <c r="AE35" s="30" t="s">
        <v>38</v>
      </c>
      <c r="AF35" s="30" t="s">
        <v>0</v>
      </c>
      <c r="AG35" s="30" t="s">
        <v>52</v>
      </c>
      <c r="AH35" s="30" t="s">
        <v>38</v>
      </c>
      <c r="AI35" s="30" t="s">
        <v>38</v>
      </c>
      <c r="AJ35" s="30" t="s">
        <v>38</v>
      </c>
      <c r="AK35" s="30" t="s">
        <v>26</v>
      </c>
      <c r="AL35" s="30" t="s">
        <v>38</v>
      </c>
      <c r="AM35" s="32" t="s">
        <v>0</v>
      </c>
      <c r="AN35" s="290" t="s">
        <v>1</v>
      </c>
      <c r="AO35" s="45">
        <v>0</v>
      </c>
      <c r="AP35" s="46">
        <f t="shared" si="9"/>
        <v>0</v>
      </c>
      <c r="AQ35" s="46">
        <v>0</v>
      </c>
      <c r="AR35" s="41">
        <f t="shared" si="10"/>
        <v>0</v>
      </c>
      <c r="AS35" s="329" t="s">
        <v>128</v>
      </c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</row>
    <row r="36" spans="1:224" s="50" customFormat="1" ht="24" customHeight="1">
      <c r="A36" s="38">
        <f t="shared" si="0"/>
        <v>6</v>
      </c>
      <c r="B36" s="39">
        <f t="shared" si="1"/>
        <v>11</v>
      </c>
      <c r="C36" s="40">
        <f t="shared" si="2"/>
        <v>0</v>
      </c>
      <c r="D36" s="39">
        <f t="shared" si="3"/>
        <v>3</v>
      </c>
      <c r="E36" s="41">
        <f t="shared" si="4"/>
        <v>1</v>
      </c>
      <c r="F36" s="41">
        <f t="shared" si="5"/>
        <v>4</v>
      </c>
      <c r="G36" s="41">
        <f t="shared" si="6"/>
        <v>4</v>
      </c>
      <c r="H36" s="41">
        <f t="shared" si="7"/>
        <v>1</v>
      </c>
      <c r="I36" s="42">
        <f t="shared" si="8"/>
        <v>30</v>
      </c>
      <c r="J36" s="193" t="s">
        <v>27</v>
      </c>
      <c r="K36" s="49" t="s">
        <v>38</v>
      </c>
      <c r="L36" s="30" t="s">
        <v>38</v>
      </c>
      <c r="M36" s="32" t="s">
        <v>52</v>
      </c>
      <c r="N36" s="30" t="s">
        <v>38</v>
      </c>
      <c r="O36" s="30" t="s">
        <v>38</v>
      </c>
      <c r="P36" s="30" t="s">
        <v>38</v>
      </c>
      <c r="Q36" s="30" t="s">
        <v>38</v>
      </c>
      <c r="R36" s="30" t="s">
        <v>0</v>
      </c>
      <c r="S36" s="53" t="s">
        <v>3</v>
      </c>
      <c r="T36" s="30" t="s">
        <v>36</v>
      </c>
      <c r="U36" s="32" t="s">
        <v>0</v>
      </c>
      <c r="V36" s="32" t="s">
        <v>1</v>
      </c>
      <c r="W36" s="44" t="s">
        <v>52</v>
      </c>
      <c r="X36" s="44" t="s">
        <v>0</v>
      </c>
      <c r="Y36" s="32" t="s">
        <v>53</v>
      </c>
      <c r="Z36" s="30" t="s">
        <v>36</v>
      </c>
      <c r="AA36" s="30" t="s">
        <v>36</v>
      </c>
      <c r="AB36" s="53" t="s">
        <v>3</v>
      </c>
      <c r="AC36" s="30" t="s">
        <v>52</v>
      </c>
      <c r="AD36" s="30" t="s">
        <v>36</v>
      </c>
      <c r="AE36" s="30" t="s">
        <v>36</v>
      </c>
      <c r="AF36" s="53" t="s">
        <v>3</v>
      </c>
      <c r="AG36" s="30" t="s">
        <v>0</v>
      </c>
      <c r="AH36" s="30" t="s">
        <v>36</v>
      </c>
      <c r="AI36" s="30" t="s">
        <v>38</v>
      </c>
      <c r="AJ36" s="30" t="s">
        <v>52</v>
      </c>
      <c r="AK36" s="30" t="s">
        <v>38</v>
      </c>
      <c r="AL36" s="30" t="s">
        <v>38</v>
      </c>
      <c r="AM36" s="30" t="s">
        <v>38</v>
      </c>
      <c r="AN36" s="48" t="s">
        <v>38</v>
      </c>
      <c r="AO36" s="306" t="s">
        <v>38</v>
      </c>
      <c r="AP36" s="46">
        <f t="shared" si="9"/>
        <v>0</v>
      </c>
      <c r="AQ36" s="46">
        <v>0</v>
      </c>
      <c r="AR36" s="41">
        <f t="shared" si="10"/>
        <v>0</v>
      </c>
      <c r="AS36" s="329" t="s">
        <v>126</v>
      </c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</row>
    <row r="37" spans="1:224" ht="25.5" customHeight="1">
      <c r="A37" s="38">
        <f t="shared" si="0"/>
        <v>0</v>
      </c>
      <c r="B37" s="39">
        <f t="shared" si="1"/>
        <v>1</v>
      </c>
      <c r="C37" s="40">
        <f t="shared" si="2"/>
        <v>17</v>
      </c>
      <c r="D37" s="39">
        <f t="shared" si="3"/>
        <v>3</v>
      </c>
      <c r="E37" s="41">
        <f t="shared" si="4"/>
        <v>0</v>
      </c>
      <c r="F37" s="41">
        <f t="shared" si="5"/>
        <v>4</v>
      </c>
      <c r="G37" s="41">
        <f t="shared" si="6"/>
        <v>4</v>
      </c>
      <c r="H37" s="41">
        <f t="shared" si="7"/>
        <v>1</v>
      </c>
      <c r="I37" s="42">
        <f t="shared" si="8"/>
        <v>30</v>
      </c>
      <c r="J37" s="193" t="s">
        <v>57</v>
      </c>
      <c r="K37" s="49" t="s">
        <v>40</v>
      </c>
      <c r="L37" s="30" t="s">
        <v>40</v>
      </c>
      <c r="M37" s="30" t="s">
        <v>40</v>
      </c>
      <c r="N37" s="30" t="s">
        <v>52</v>
      </c>
      <c r="O37" s="30" t="s">
        <v>40</v>
      </c>
      <c r="P37" s="30" t="s">
        <v>40</v>
      </c>
      <c r="Q37" s="30" t="s">
        <v>40</v>
      </c>
      <c r="R37" s="30" t="s">
        <v>40</v>
      </c>
      <c r="S37" s="30" t="s">
        <v>40</v>
      </c>
      <c r="T37" s="32" t="s">
        <v>0</v>
      </c>
      <c r="U37" s="53" t="s">
        <v>3</v>
      </c>
      <c r="V37" s="30" t="s">
        <v>38</v>
      </c>
      <c r="W37" s="44" t="s">
        <v>52</v>
      </c>
      <c r="X37" s="44" t="s">
        <v>0</v>
      </c>
      <c r="Y37" s="30" t="s">
        <v>40</v>
      </c>
      <c r="Z37" s="30" t="s">
        <v>40</v>
      </c>
      <c r="AA37" s="30" t="s">
        <v>0</v>
      </c>
      <c r="AB37" s="30" t="s">
        <v>52</v>
      </c>
      <c r="AC37" s="30" t="s">
        <v>40</v>
      </c>
      <c r="AD37" s="30" t="s">
        <v>40</v>
      </c>
      <c r="AE37" s="30" t="s">
        <v>40</v>
      </c>
      <c r="AF37" s="30" t="s">
        <v>40</v>
      </c>
      <c r="AG37" s="32" t="s">
        <v>52</v>
      </c>
      <c r="AH37" s="30" t="s">
        <v>40</v>
      </c>
      <c r="AI37" s="30" t="s">
        <v>40</v>
      </c>
      <c r="AJ37" s="30" t="s">
        <v>40</v>
      </c>
      <c r="AK37" s="44" t="s">
        <v>53</v>
      </c>
      <c r="AL37" s="44" t="s">
        <v>0</v>
      </c>
      <c r="AM37" s="30" t="s">
        <v>3</v>
      </c>
      <c r="AN37" s="30" t="s">
        <v>3</v>
      </c>
      <c r="AO37" s="45">
        <v>0</v>
      </c>
      <c r="AP37" s="46">
        <f t="shared" si="9"/>
        <v>0</v>
      </c>
      <c r="AQ37" s="46">
        <v>0</v>
      </c>
      <c r="AR37" s="41">
        <f t="shared" si="10"/>
        <v>0</v>
      </c>
      <c r="AS37" s="329" t="s">
        <v>126</v>
      </c>
    </row>
    <row r="38" spans="1:224" ht="25.5" customHeight="1" thickBot="1">
      <c r="A38" s="54">
        <f t="shared" si="0"/>
        <v>5</v>
      </c>
      <c r="B38" s="55">
        <f t="shared" si="1"/>
        <v>0</v>
      </c>
      <c r="C38" s="56">
        <f t="shared" si="2"/>
        <v>9</v>
      </c>
      <c r="D38" s="55">
        <f t="shared" si="3"/>
        <v>4</v>
      </c>
      <c r="E38" s="17">
        <f t="shared" si="4"/>
        <v>3</v>
      </c>
      <c r="F38" s="17">
        <f t="shared" si="5"/>
        <v>4</v>
      </c>
      <c r="G38" s="17">
        <f t="shared" si="6"/>
        <v>4</v>
      </c>
      <c r="H38" s="17">
        <f t="shared" si="7"/>
        <v>1</v>
      </c>
      <c r="I38" s="57">
        <f t="shared" si="8"/>
        <v>30</v>
      </c>
      <c r="J38" s="215" t="s">
        <v>28</v>
      </c>
      <c r="K38" s="325" t="s">
        <v>0</v>
      </c>
      <c r="L38" s="182" t="s">
        <v>3</v>
      </c>
      <c r="M38" s="32" t="s">
        <v>1</v>
      </c>
      <c r="N38" s="60" t="s">
        <v>36</v>
      </c>
      <c r="O38" s="60" t="s">
        <v>52</v>
      </c>
      <c r="P38" s="60" t="s">
        <v>40</v>
      </c>
      <c r="Q38" s="60" t="s">
        <v>40</v>
      </c>
      <c r="R38" s="60" t="s">
        <v>40</v>
      </c>
      <c r="S38" s="60" t="s">
        <v>52</v>
      </c>
      <c r="T38" s="164" t="s">
        <v>36</v>
      </c>
      <c r="U38" s="60" t="s">
        <v>36</v>
      </c>
      <c r="V38" s="60" t="s">
        <v>36</v>
      </c>
      <c r="W38" s="59" t="s">
        <v>53</v>
      </c>
      <c r="X38" s="59" t="s">
        <v>0</v>
      </c>
      <c r="Y38" s="32" t="s">
        <v>1</v>
      </c>
      <c r="Z38" s="182" t="s">
        <v>3</v>
      </c>
      <c r="AA38" s="182" t="s">
        <v>3</v>
      </c>
      <c r="AB38" s="60" t="s">
        <v>36</v>
      </c>
      <c r="AC38" s="60" t="s">
        <v>52</v>
      </c>
      <c r="AD38" s="60" t="s">
        <v>40</v>
      </c>
      <c r="AE38" s="60" t="s">
        <v>40</v>
      </c>
      <c r="AF38" s="60" t="s">
        <v>40</v>
      </c>
      <c r="AG38" s="60" t="s">
        <v>40</v>
      </c>
      <c r="AH38" s="60" t="s">
        <v>0</v>
      </c>
      <c r="AI38" s="182" t="s">
        <v>3</v>
      </c>
      <c r="AJ38" s="32" t="s">
        <v>1</v>
      </c>
      <c r="AK38" s="59" t="s">
        <v>52</v>
      </c>
      <c r="AL38" s="59" t="s">
        <v>0</v>
      </c>
      <c r="AM38" s="60" t="s">
        <v>40</v>
      </c>
      <c r="AN38" s="61" t="s">
        <v>40</v>
      </c>
      <c r="AO38" s="73">
        <v>0</v>
      </c>
      <c r="AP38" s="74">
        <f t="shared" si="9"/>
        <v>0</v>
      </c>
      <c r="AQ38" s="74">
        <v>0</v>
      </c>
      <c r="AR38" s="63">
        <f t="shared" si="10"/>
        <v>0</v>
      </c>
      <c r="AS38" s="330" t="s">
        <v>126</v>
      </c>
    </row>
    <row r="39" spans="1:224" s="50" customFormat="1" ht="24.75" customHeight="1">
      <c r="A39" s="23">
        <f t="shared" si="0"/>
        <v>2</v>
      </c>
      <c r="B39" s="24">
        <f t="shared" si="1"/>
        <v>0</v>
      </c>
      <c r="C39" s="25">
        <f t="shared" si="2"/>
        <v>12</v>
      </c>
      <c r="D39" s="24">
        <f t="shared" si="3"/>
        <v>6</v>
      </c>
      <c r="E39" s="26">
        <f t="shared" si="4"/>
        <v>1</v>
      </c>
      <c r="F39" s="26">
        <f t="shared" si="5"/>
        <v>4</v>
      </c>
      <c r="G39" s="26">
        <f t="shared" si="6"/>
        <v>4</v>
      </c>
      <c r="H39" s="26">
        <f t="shared" si="7"/>
        <v>1</v>
      </c>
      <c r="I39" s="176">
        <f>SUM(A39:H39)</f>
        <v>30</v>
      </c>
      <c r="J39" s="66" t="s">
        <v>142</v>
      </c>
      <c r="K39" s="163" t="s">
        <v>0</v>
      </c>
      <c r="L39" s="164" t="s">
        <v>3</v>
      </c>
      <c r="M39" s="164" t="s">
        <v>3</v>
      </c>
      <c r="N39" s="164" t="s">
        <v>3</v>
      </c>
      <c r="O39" s="164" t="s">
        <v>54</v>
      </c>
      <c r="P39" s="165" t="s">
        <v>52</v>
      </c>
      <c r="Q39" s="165" t="s">
        <v>0</v>
      </c>
      <c r="R39" s="164" t="s">
        <v>54</v>
      </c>
      <c r="S39" s="164" t="s">
        <v>3</v>
      </c>
      <c r="T39" s="164" t="s">
        <v>3</v>
      </c>
      <c r="U39" s="164" t="s">
        <v>3</v>
      </c>
      <c r="V39" s="164" t="s">
        <v>52</v>
      </c>
      <c r="W39" s="164" t="s">
        <v>55</v>
      </c>
      <c r="X39" s="164" t="s">
        <v>55</v>
      </c>
      <c r="Y39" s="164" t="s">
        <v>53</v>
      </c>
      <c r="Z39" s="316" t="s">
        <v>1</v>
      </c>
      <c r="AA39" s="164" t="s">
        <v>0</v>
      </c>
      <c r="AB39" s="164" t="s">
        <v>55</v>
      </c>
      <c r="AC39" s="164" t="s">
        <v>55</v>
      </c>
      <c r="AD39" s="164" t="s">
        <v>55</v>
      </c>
      <c r="AE39" s="164" t="s">
        <v>55</v>
      </c>
      <c r="AF39" s="164" t="s">
        <v>52</v>
      </c>
      <c r="AG39" s="164" t="s">
        <v>0</v>
      </c>
      <c r="AH39" s="164" t="s">
        <v>52</v>
      </c>
      <c r="AI39" s="164" t="s">
        <v>55</v>
      </c>
      <c r="AJ39" s="164" t="s">
        <v>55</v>
      </c>
      <c r="AK39" s="164" t="s">
        <v>55</v>
      </c>
      <c r="AL39" s="164" t="s">
        <v>55</v>
      </c>
      <c r="AM39" s="164" t="s">
        <v>55</v>
      </c>
      <c r="AN39" s="327" t="s">
        <v>55</v>
      </c>
      <c r="AO39" s="334">
        <v>0</v>
      </c>
      <c r="AP39" s="167">
        <f t="shared" si="9"/>
        <v>0</v>
      </c>
      <c r="AQ39" s="167">
        <v>0</v>
      </c>
      <c r="AR39" s="331">
        <f t="shared" si="10"/>
        <v>0</v>
      </c>
      <c r="AS39" s="332" t="s">
        <v>128</v>
      </c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</row>
    <row r="40" spans="1:224" s="50" customFormat="1" ht="24.75" customHeight="1">
      <c r="A40" s="38">
        <f t="shared" si="0"/>
        <v>1</v>
      </c>
      <c r="B40" s="39">
        <f t="shared" si="1"/>
        <v>13</v>
      </c>
      <c r="C40" s="40">
        <f t="shared" si="2"/>
        <v>0</v>
      </c>
      <c r="D40" s="39">
        <f t="shared" si="3"/>
        <v>4</v>
      </c>
      <c r="E40" s="41">
        <f t="shared" si="4"/>
        <v>3</v>
      </c>
      <c r="F40" s="41">
        <f t="shared" si="5"/>
        <v>4</v>
      </c>
      <c r="G40" s="41">
        <f t="shared" si="6"/>
        <v>4</v>
      </c>
      <c r="H40" s="41">
        <f t="shared" si="7"/>
        <v>1</v>
      </c>
      <c r="I40" s="177">
        <f t="shared" ref="I40:I43" si="16">SUM(A40:H40)</f>
        <v>30</v>
      </c>
      <c r="J40" s="67" t="s">
        <v>29</v>
      </c>
      <c r="K40" s="49" t="s">
        <v>3</v>
      </c>
      <c r="L40" s="30" t="s">
        <v>56</v>
      </c>
      <c r="M40" s="30" t="s">
        <v>56</v>
      </c>
      <c r="N40" s="30" t="s">
        <v>56</v>
      </c>
      <c r="O40" s="30" t="s">
        <v>56</v>
      </c>
      <c r="P40" s="44" t="s">
        <v>52</v>
      </c>
      <c r="Q40" s="44" t="s">
        <v>53</v>
      </c>
      <c r="R40" s="30" t="s">
        <v>0</v>
      </c>
      <c r="S40" s="30" t="s">
        <v>3</v>
      </c>
      <c r="T40" s="30" t="s">
        <v>56</v>
      </c>
      <c r="U40" s="30" t="s">
        <v>56</v>
      </c>
      <c r="V40" s="30" t="s">
        <v>56</v>
      </c>
      <c r="W40" s="30" t="s">
        <v>56</v>
      </c>
      <c r="X40" s="30" t="s">
        <v>56</v>
      </c>
      <c r="Y40" s="30" t="s">
        <v>52</v>
      </c>
      <c r="Z40" s="30" t="s">
        <v>3</v>
      </c>
      <c r="AA40" s="32" t="s">
        <v>1</v>
      </c>
      <c r="AB40" s="32" t="s">
        <v>1</v>
      </c>
      <c r="AC40" s="30" t="s">
        <v>0</v>
      </c>
      <c r="AD40" s="44" t="s">
        <v>52</v>
      </c>
      <c r="AE40" s="44" t="s">
        <v>0</v>
      </c>
      <c r="AF40" s="32" t="s">
        <v>1</v>
      </c>
      <c r="AG40" s="30" t="s">
        <v>56</v>
      </c>
      <c r="AH40" s="30" t="s">
        <v>56</v>
      </c>
      <c r="AI40" s="30" t="s">
        <v>52</v>
      </c>
      <c r="AJ40" s="53" t="s">
        <v>3</v>
      </c>
      <c r="AK40" s="30" t="s">
        <v>56</v>
      </c>
      <c r="AL40" s="30" t="s">
        <v>56</v>
      </c>
      <c r="AM40" s="30" t="s">
        <v>0</v>
      </c>
      <c r="AN40" s="48" t="s">
        <v>54</v>
      </c>
      <c r="AO40" s="45">
        <v>0</v>
      </c>
      <c r="AP40" s="46">
        <f t="shared" si="9"/>
        <v>0</v>
      </c>
      <c r="AQ40" s="46">
        <v>0</v>
      </c>
      <c r="AR40" s="41">
        <f t="shared" si="10"/>
        <v>0</v>
      </c>
      <c r="AS40" s="329" t="s">
        <v>128</v>
      </c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</row>
    <row r="41" spans="1:224" ht="25.5" customHeight="1">
      <c r="A41" s="38">
        <f t="shared" si="0"/>
        <v>9</v>
      </c>
      <c r="B41" s="39">
        <f t="shared" si="1"/>
        <v>2</v>
      </c>
      <c r="C41" s="40">
        <f t="shared" si="2"/>
        <v>6</v>
      </c>
      <c r="D41" s="39">
        <f t="shared" si="3"/>
        <v>3</v>
      </c>
      <c r="E41" s="41">
        <f t="shared" si="4"/>
        <v>1</v>
      </c>
      <c r="F41" s="41">
        <f t="shared" si="5"/>
        <v>4</v>
      </c>
      <c r="G41" s="41">
        <f t="shared" si="6"/>
        <v>4</v>
      </c>
      <c r="H41" s="41">
        <f t="shared" si="7"/>
        <v>1</v>
      </c>
      <c r="I41" s="177">
        <f t="shared" si="16"/>
        <v>30</v>
      </c>
      <c r="J41" s="68" t="s">
        <v>30</v>
      </c>
      <c r="K41" s="122" t="s">
        <v>52</v>
      </c>
      <c r="L41" s="30" t="s">
        <v>54</v>
      </c>
      <c r="M41" s="30" t="s">
        <v>54</v>
      </c>
      <c r="N41" s="30" t="s">
        <v>3</v>
      </c>
      <c r="O41" s="30" t="s">
        <v>3</v>
      </c>
      <c r="P41" s="44" t="s">
        <v>53</v>
      </c>
      <c r="Q41" s="44" t="s">
        <v>0</v>
      </c>
      <c r="R41" s="30" t="s">
        <v>55</v>
      </c>
      <c r="S41" s="30" t="s">
        <v>55</v>
      </c>
      <c r="T41" s="30" t="s">
        <v>55</v>
      </c>
      <c r="U41" s="30" t="s">
        <v>52</v>
      </c>
      <c r="V41" s="30" t="s">
        <v>54</v>
      </c>
      <c r="W41" s="30" t="s">
        <v>54</v>
      </c>
      <c r="X41" s="30" t="s">
        <v>54</v>
      </c>
      <c r="Y41" s="30" t="s">
        <v>56</v>
      </c>
      <c r="Z41" s="30" t="s">
        <v>0</v>
      </c>
      <c r="AA41" s="30" t="s">
        <v>54</v>
      </c>
      <c r="AB41" s="30" t="s">
        <v>3</v>
      </c>
      <c r="AC41" s="30" t="s">
        <v>56</v>
      </c>
      <c r="AD41" s="44" t="s">
        <v>52</v>
      </c>
      <c r="AE41" s="44" t="s">
        <v>0</v>
      </c>
      <c r="AF41" s="30" t="s">
        <v>55</v>
      </c>
      <c r="AG41" s="30" t="s">
        <v>55</v>
      </c>
      <c r="AH41" s="30" t="s">
        <v>55</v>
      </c>
      <c r="AI41" s="30" t="s">
        <v>0</v>
      </c>
      <c r="AJ41" s="30" t="s">
        <v>54</v>
      </c>
      <c r="AK41" s="30" t="s">
        <v>54</v>
      </c>
      <c r="AL41" s="30" t="s">
        <v>54</v>
      </c>
      <c r="AM41" s="32" t="s">
        <v>1</v>
      </c>
      <c r="AN41" s="32" t="s">
        <v>52</v>
      </c>
      <c r="AO41" s="45">
        <v>0</v>
      </c>
      <c r="AP41" s="46">
        <f t="shared" si="9"/>
        <v>0</v>
      </c>
      <c r="AQ41" s="46">
        <v>0</v>
      </c>
      <c r="AR41" s="41">
        <f t="shared" si="10"/>
        <v>0</v>
      </c>
      <c r="AS41" s="329" t="s">
        <v>128</v>
      </c>
    </row>
    <row r="42" spans="1:224" s="50" customFormat="1" ht="25.5" customHeight="1">
      <c r="A42" s="38">
        <f t="shared" si="0"/>
        <v>9</v>
      </c>
      <c r="B42" s="39">
        <f t="shared" si="1"/>
        <v>0</v>
      </c>
      <c r="C42" s="40">
        <f t="shared" si="2"/>
        <v>5</v>
      </c>
      <c r="D42" s="39">
        <f t="shared" si="3"/>
        <v>4</v>
      </c>
      <c r="E42" s="41">
        <f t="shared" si="4"/>
        <v>3</v>
      </c>
      <c r="F42" s="41">
        <f t="shared" si="5"/>
        <v>4</v>
      </c>
      <c r="G42" s="41">
        <f t="shared" si="6"/>
        <v>4</v>
      </c>
      <c r="H42" s="41">
        <f t="shared" si="7"/>
        <v>1</v>
      </c>
      <c r="I42" s="177">
        <f t="shared" si="16"/>
        <v>30</v>
      </c>
      <c r="J42" s="68" t="s">
        <v>31</v>
      </c>
      <c r="K42" s="49" t="s">
        <v>55</v>
      </c>
      <c r="L42" s="30" t="s">
        <v>55</v>
      </c>
      <c r="M42" s="30" t="s">
        <v>55</v>
      </c>
      <c r="N42" s="30" t="s">
        <v>0</v>
      </c>
      <c r="O42" s="30" t="s">
        <v>52</v>
      </c>
      <c r="P42" s="30" t="s">
        <v>54</v>
      </c>
      <c r="Q42" s="30" t="s">
        <v>54</v>
      </c>
      <c r="R42" s="30" t="s">
        <v>3</v>
      </c>
      <c r="S42" s="32" t="s">
        <v>1</v>
      </c>
      <c r="T42" s="44" t="s">
        <v>0</v>
      </c>
      <c r="U42" s="30" t="s">
        <v>55</v>
      </c>
      <c r="V42" s="30" t="s">
        <v>55</v>
      </c>
      <c r="W42" s="44" t="s">
        <v>52</v>
      </c>
      <c r="X42" s="32" t="s">
        <v>1</v>
      </c>
      <c r="Y42" s="30" t="s">
        <v>3</v>
      </c>
      <c r="Z42" s="30" t="s">
        <v>54</v>
      </c>
      <c r="AA42" s="30" t="s">
        <v>53</v>
      </c>
      <c r="AB42" s="30" t="s">
        <v>54</v>
      </c>
      <c r="AC42" s="32" t="s">
        <v>1</v>
      </c>
      <c r="AD42" s="30" t="s">
        <v>52</v>
      </c>
      <c r="AE42" s="30" t="s">
        <v>54</v>
      </c>
      <c r="AF42" s="30" t="s">
        <v>54</v>
      </c>
      <c r="AG42" s="30" t="s">
        <v>54</v>
      </c>
      <c r="AH42" s="30" t="s">
        <v>54</v>
      </c>
      <c r="AI42" s="30" t="s">
        <v>54</v>
      </c>
      <c r="AJ42" s="30" t="s">
        <v>0</v>
      </c>
      <c r="AK42" s="44" t="s">
        <v>52</v>
      </c>
      <c r="AL42" s="44" t="s">
        <v>0</v>
      </c>
      <c r="AM42" s="30" t="s">
        <v>3</v>
      </c>
      <c r="AN42" s="48" t="s">
        <v>3</v>
      </c>
      <c r="AO42" s="45">
        <v>0</v>
      </c>
      <c r="AP42" s="46">
        <f t="shared" si="9"/>
        <v>0</v>
      </c>
      <c r="AQ42" s="46">
        <v>0</v>
      </c>
      <c r="AR42" s="41">
        <f t="shared" si="10"/>
        <v>0</v>
      </c>
      <c r="AS42" s="329" t="s">
        <v>126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</row>
    <row r="43" spans="1:224" s="50" customFormat="1" ht="25.2" customHeight="1">
      <c r="A43" s="38">
        <f t="shared" si="0"/>
        <v>5</v>
      </c>
      <c r="B43" s="39">
        <f t="shared" si="1"/>
        <v>7</v>
      </c>
      <c r="C43" s="40">
        <f t="shared" si="2"/>
        <v>4</v>
      </c>
      <c r="D43" s="39">
        <f t="shared" si="3"/>
        <v>5</v>
      </c>
      <c r="E43" s="41">
        <f t="shared" si="4"/>
        <v>0</v>
      </c>
      <c r="F43" s="41">
        <f t="shared" si="5"/>
        <v>4</v>
      </c>
      <c r="G43" s="41">
        <f t="shared" si="6"/>
        <v>4</v>
      </c>
      <c r="H43" s="41">
        <f t="shared" si="7"/>
        <v>1</v>
      </c>
      <c r="I43" s="177">
        <f t="shared" si="16"/>
        <v>30</v>
      </c>
      <c r="J43" s="68" t="s">
        <v>32</v>
      </c>
      <c r="K43" s="49" t="s">
        <v>56</v>
      </c>
      <c r="L43" s="32" t="s">
        <v>52</v>
      </c>
      <c r="M43" s="30" t="s">
        <v>0</v>
      </c>
      <c r="N43" s="30" t="s">
        <v>55</v>
      </c>
      <c r="O43" s="30" t="s">
        <v>55</v>
      </c>
      <c r="P43" s="30" t="s">
        <v>55</v>
      </c>
      <c r="Q43" s="30" t="s">
        <v>55</v>
      </c>
      <c r="R43" s="32" t="s">
        <v>0</v>
      </c>
      <c r="S43" s="30" t="s">
        <v>54</v>
      </c>
      <c r="T43" s="30" t="s">
        <v>54</v>
      </c>
      <c r="U43" s="30" t="s">
        <v>54</v>
      </c>
      <c r="V43" s="30" t="s">
        <v>3</v>
      </c>
      <c r="W43" s="44" t="s">
        <v>52</v>
      </c>
      <c r="X43" s="44" t="s">
        <v>53</v>
      </c>
      <c r="Y43" s="30" t="s">
        <v>54</v>
      </c>
      <c r="Z43" s="30" t="s">
        <v>56</v>
      </c>
      <c r="AA43" s="30" t="s">
        <v>56</v>
      </c>
      <c r="AB43" s="30" t="s">
        <v>56</v>
      </c>
      <c r="AC43" s="30" t="s">
        <v>52</v>
      </c>
      <c r="AD43" s="30" t="s">
        <v>56</v>
      </c>
      <c r="AE43" s="30" t="s">
        <v>56</v>
      </c>
      <c r="AF43" s="30" t="s">
        <v>56</v>
      </c>
      <c r="AG43" s="30" t="s">
        <v>0</v>
      </c>
      <c r="AH43" s="30" t="s">
        <v>3</v>
      </c>
      <c r="AI43" s="30" t="s">
        <v>3</v>
      </c>
      <c r="AJ43" s="30" t="s">
        <v>3</v>
      </c>
      <c r="AK43" s="44" t="s">
        <v>52</v>
      </c>
      <c r="AL43" s="44" t="s">
        <v>0</v>
      </c>
      <c r="AM43" s="30" t="s">
        <v>54</v>
      </c>
      <c r="AN43" s="48" t="s">
        <v>3</v>
      </c>
      <c r="AO43" s="45">
        <v>0</v>
      </c>
      <c r="AP43" s="46">
        <f t="shared" si="9"/>
        <v>0</v>
      </c>
      <c r="AQ43" s="46">
        <v>0</v>
      </c>
      <c r="AR43" s="41">
        <f t="shared" si="10"/>
        <v>0</v>
      </c>
      <c r="AS43" s="329" t="s">
        <v>126</v>
      </c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</row>
    <row r="44" spans="1:224" s="50" customFormat="1" ht="25.5" customHeight="1" thickBot="1">
      <c r="A44" s="69">
        <f t="shared" ref="A44" si="17">COUNTIF(K44:AN44,1)+COUNTIF(K44:AN44,"早")+COUNTIF(K44:AN44,"M1")+COUNTIF(K44:AN44,"T早")+COUNTIF(K44:AN44,"日")</f>
        <v>4</v>
      </c>
      <c r="B44" s="70">
        <f t="shared" ref="B44" si="18">COUNTIF(K44:AN44,2)+COUNTIF(K44:AN44,"中")+COUNTIF(K44:AN44,"M2")+COUNTIF(K44:AN44,"T中")+COUNTIF(K44:AN44,"小夜")</f>
        <v>8</v>
      </c>
      <c r="C44" s="71">
        <f t="shared" ref="C44" si="19">COUNTIF(K44:AN44,3)+COUNTIF(K44:AN44,"晚")+COUNTIF(K44:AN44,"大夜")</f>
        <v>3</v>
      </c>
      <c r="D44" s="70">
        <f t="shared" ref="D44" si="20">COUNTIF(K44:AN44,"N")+COUNTIF(K44:AN44,"N8")</f>
        <v>6</v>
      </c>
      <c r="E44" s="63">
        <f t="shared" ref="E44" si="21">COUNTIF(K44:AN44,"S")</f>
        <v>0</v>
      </c>
      <c r="F44" s="63">
        <f t="shared" ref="F44" si="22">COUNTIF(K44:AN44,"X")</f>
        <v>4</v>
      </c>
      <c r="G44" s="63">
        <f t="shared" ref="G44" si="23">COUNTIF(K44:AN44,"Y")</f>
        <v>4</v>
      </c>
      <c r="H44" s="63">
        <f t="shared" ref="H44" si="24">COUNTIF(K44:AN44,"Z")</f>
        <v>1</v>
      </c>
      <c r="I44" s="178">
        <f t="shared" ref="I44" si="25">SUM(A44:H44)</f>
        <v>30</v>
      </c>
      <c r="J44" s="72" t="s">
        <v>33</v>
      </c>
      <c r="K44" s="227" t="s">
        <v>54</v>
      </c>
      <c r="L44" s="60" t="s">
        <v>3</v>
      </c>
      <c r="M44" s="60" t="s">
        <v>3</v>
      </c>
      <c r="N44" s="60" t="s">
        <v>54</v>
      </c>
      <c r="O44" s="60" t="s">
        <v>52</v>
      </c>
      <c r="P44" s="60" t="s">
        <v>56</v>
      </c>
      <c r="Q44" s="60" t="s">
        <v>56</v>
      </c>
      <c r="R44" s="60" t="s">
        <v>56</v>
      </c>
      <c r="S44" s="60" t="s">
        <v>56</v>
      </c>
      <c r="T44" s="60" t="s">
        <v>52</v>
      </c>
      <c r="U44" s="60" t="s">
        <v>3</v>
      </c>
      <c r="V44" s="60" t="s">
        <v>3</v>
      </c>
      <c r="W44" s="59" t="s">
        <v>53</v>
      </c>
      <c r="X44" s="59" t="s">
        <v>0</v>
      </c>
      <c r="Y44" s="60" t="s">
        <v>55</v>
      </c>
      <c r="Z44" s="60" t="s">
        <v>55</v>
      </c>
      <c r="AA44" s="60" t="s">
        <v>55</v>
      </c>
      <c r="AB44" s="60" t="s">
        <v>52</v>
      </c>
      <c r="AC44" s="60" t="s">
        <v>54</v>
      </c>
      <c r="AD44" s="60" t="s">
        <v>54</v>
      </c>
      <c r="AE44" s="60" t="s">
        <v>0</v>
      </c>
      <c r="AF44" s="182" t="s">
        <v>3</v>
      </c>
      <c r="AG44" s="60" t="s">
        <v>3</v>
      </c>
      <c r="AH44" s="60" t="s">
        <v>0</v>
      </c>
      <c r="AI44" s="60" t="s">
        <v>56</v>
      </c>
      <c r="AJ44" s="60" t="s">
        <v>56</v>
      </c>
      <c r="AK44" s="59" t="s">
        <v>52</v>
      </c>
      <c r="AL44" s="59" t="s">
        <v>0</v>
      </c>
      <c r="AM44" s="60" t="s">
        <v>56</v>
      </c>
      <c r="AN44" s="61" t="s">
        <v>56</v>
      </c>
      <c r="AO44" s="73">
        <v>0</v>
      </c>
      <c r="AP44" s="74">
        <f t="shared" si="9"/>
        <v>0</v>
      </c>
      <c r="AQ44" s="74">
        <v>0</v>
      </c>
      <c r="AR44" s="63">
        <f t="shared" si="10"/>
        <v>0</v>
      </c>
      <c r="AS44" s="330" t="s">
        <v>126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</row>
    <row r="45" spans="1:224" s="77" customFormat="1" ht="18" customHeight="1">
      <c r="A45" s="75"/>
      <c r="B45" s="75"/>
      <c r="C45" s="75"/>
      <c r="D45" s="75"/>
      <c r="E45" s="76"/>
      <c r="I45" s="75"/>
      <c r="J45" s="78">
        <v>1</v>
      </c>
      <c r="K45" s="346" cm="2">
        <f t="array" ref="K45">SUMPRODUCT(COUNTIF(K4:K44,{"1";"M1"}))</f>
        <v>3</v>
      </c>
      <c r="L45" s="346" cm="2">
        <f t="array" ref="L45">SUMPRODUCT(COUNTIF(L4:L44,{"1";"M1"}))</f>
        <v>3</v>
      </c>
      <c r="M45" s="346" cm="2">
        <f t="array" ref="M45">SUMPRODUCT(COUNTIF(M4:M44,{"1";"M1"}))</f>
        <v>3</v>
      </c>
      <c r="N45" s="346" cm="2">
        <f t="array" ref="N45">SUMPRODUCT(COUNTIF(N4:N44,{"1";"M1"}))</f>
        <v>3</v>
      </c>
      <c r="O45" s="346" cm="2">
        <f t="array" ref="O45">SUMPRODUCT(COUNTIF(O4:O44,{"1";"M1"}))</f>
        <v>3</v>
      </c>
      <c r="P45" s="346" cm="2">
        <f t="array" ref="P45">SUMPRODUCT(COUNTIF(P4:P44,{"1";"M1"}))</f>
        <v>3</v>
      </c>
      <c r="Q45" s="346" cm="2">
        <f t="array" ref="Q45">SUMPRODUCT(COUNTIF(Q4:Q44,{"1";"M1"}))</f>
        <v>3</v>
      </c>
      <c r="R45" s="346" cm="2">
        <f t="array" ref="R45">SUMPRODUCT(COUNTIF(R4:R44,{"1";"M1"}))</f>
        <v>3</v>
      </c>
      <c r="S45" s="346" cm="2">
        <f t="array" ref="S45">SUMPRODUCT(COUNTIF(S4:S44,{"1";"M1"}))</f>
        <v>3</v>
      </c>
      <c r="T45" s="346" cm="2">
        <f t="array" ref="T45">SUMPRODUCT(COUNTIF(T4:T44,{"1";"M1"}))</f>
        <v>3</v>
      </c>
      <c r="U45" s="346" cm="2">
        <f t="array" ref="U45">SUMPRODUCT(COUNTIF(U4:U44,{"1";"M1"}))</f>
        <v>3</v>
      </c>
      <c r="V45" s="346" cm="2">
        <f t="array" ref="V45">SUMPRODUCT(COUNTIF(V4:V44,{"1";"M1"}))</f>
        <v>3</v>
      </c>
      <c r="W45" s="346" cm="2">
        <f t="array" ref="W45">SUMPRODUCT(COUNTIF(W4:W44,{"1";"M1"}))</f>
        <v>3</v>
      </c>
      <c r="X45" s="346" cm="2">
        <f t="array" ref="X45">SUMPRODUCT(COUNTIF(X4:X44,{"1";"M1"}))</f>
        <v>3</v>
      </c>
      <c r="Y45" s="346" cm="2">
        <f t="array" ref="Y45">SUMPRODUCT(COUNTIF(Y4:Y44,{"1";"M1"}))</f>
        <v>3</v>
      </c>
      <c r="Z45" s="346" cm="2">
        <f t="array" ref="Z45">SUMPRODUCT(COUNTIF(Z4:Z44,{"1";"M1"}))</f>
        <v>3</v>
      </c>
      <c r="AA45" s="346" cm="2">
        <f t="array" ref="AA45">SUMPRODUCT(COUNTIF(AA4:AA44,{"1";"M1"}))</f>
        <v>3</v>
      </c>
      <c r="AB45" s="346" cm="2">
        <f t="array" ref="AB45">SUMPRODUCT(COUNTIF(AB4:AB44,{"1";"M1"}))</f>
        <v>3</v>
      </c>
      <c r="AC45" s="346" cm="2">
        <f t="array" ref="AC45">SUMPRODUCT(COUNTIF(AC4:AC44,{"1";"M1"}))</f>
        <v>3</v>
      </c>
      <c r="AD45" s="346" cm="2">
        <f t="array" ref="AD45">SUMPRODUCT(COUNTIF(AD4:AD44,{"1";"M1"}))</f>
        <v>3</v>
      </c>
      <c r="AE45" s="346" cm="2">
        <f t="array" ref="AE45">SUMPRODUCT(COUNTIF(AE4:AE44,{"1";"M1"}))</f>
        <v>3</v>
      </c>
      <c r="AF45" s="346" cm="2">
        <f t="array" ref="AF45">SUMPRODUCT(COUNTIF(AF4:AF44,{"1";"M1"}))</f>
        <v>3</v>
      </c>
      <c r="AG45" s="346" cm="2">
        <f t="array" ref="AG45">SUMPRODUCT(COUNTIF(AG4:AG44,{"1";"M1"}))</f>
        <v>3</v>
      </c>
      <c r="AH45" s="346" cm="2">
        <f t="array" ref="AH45">SUMPRODUCT(COUNTIF(AH4:AH44,{"1";"M1"}))</f>
        <v>3</v>
      </c>
      <c r="AI45" s="346" cm="2">
        <f t="array" ref="AI45">SUMPRODUCT(COUNTIF(AI4:AI44,{"1";"M1"}))</f>
        <v>3</v>
      </c>
      <c r="AJ45" s="346" cm="2">
        <f t="array" ref="AJ45">SUMPRODUCT(COUNTIF(AJ4:AJ44,{"1";"M1"}))</f>
        <v>3</v>
      </c>
      <c r="AK45" s="346" cm="2">
        <f t="array" ref="AK45">SUMPRODUCT(COUNTIF(AK4:AK44,{"1";"M1"}))</f>
        <v>3</v>
      </c>
      <c r="AL45" s="346" cm="2">
        <f t="array" ref="AL45">SUMPRODUCT(COUNTIF(AL4:AL44,{"1";"M1"}))</f>
        <v>3</v>
      </c>
      <c r="AM45" s="346" cm="2">
        <f t="array" ref="AM45">SUMPRODUCT(COUNTIF(AM4:AM44,{"1";"M1"}))</f>
        <v>3</v>
      </c>
      <c r="AN45" s="346" cm="2">
        <f t="array" ref="AN45">SUMPRODUCT(COUNTIF(AN4:AN44,{"1";"M1"}))</f>
        <v>3</v>
      </c>
      <c r="AP45" s="50"/>
      <c r="AQ45" s="6"/>
      <c r="AR45" s="75"/>
      <c r="AS45" s="79"/>
      <c r="AU45" s="6"/>
      <c r="AV45" s="6"/>
      <c r="AW45" s="6"/>
    </row>
    <row r="46" spans="1:224" s="77" customFormat="1" ht="18" customHeight="1">
      <c r="A46" s="80"/>
      <c r="B46" s="80"/>
      <c r="C46" s="81"/>
      <c r="D46" s="81"/>
      <c r="E46" s="75"/>
      <c r="I46" s="81"/>
      <c r="J46" s="82">
        <v>2</v>
      </c>
      <c r="K46" s="129" cm="2">
        <f t="array" ref="K46">SUMPRODUCT(COUNTIF(K4:K44,{"2";"M2"}))</f>
        <v>3</v>
      </c>
      <c r="L46" s="129" cm="2">
        <f t="array" ref="L46">SUMPRODUCT(COUNTIF(L4:L44,{"2";"M2"}))</f>
        <v>3</v>
      </c>
      <c r="M46" s="129" cm="2">
        <f t="array" ref="M46">SUMPRODUCT(COUNTIF(M4:M44,{"2";"M2"}))</f>
        <v>3</v>
      </c>
      <c r="N46" s="129" cm="2">
        <f t="array" ref="N46">SUMPRODUCT(COUNTIF(N4:N44,{"2";"M2"}))</f>
        <v>3</v>
      </c>
      <c r="O46" s="129" cm="2">
        <f t="array" ref="O46">SUMPRODUCT(COUNTIF(O4:O44,{"2";"M2"}))</f>
        <v>3</v>
      </c>
      <c r="P46" s="129" cm="2">
        <f t="array" ref="P46">SUMPRODUCT(COUNTIF(P4:P44,{"2";"M2"}))</f>
        <v>3</v>
      </c>
      <c r="Q46" s="129" cm="2">
        <f t="array" ref="Q46">SUMPRODUCT(COUNTIF(Q4:Q44,{"2";"M2"}))</f>
        <v>3</v>
      </c>
      <c r="R46" s="129" cm="2">
        <f t="array" ref="R46">SUMPRODUCT(COUNTIF(R4:R44,{"2";"M2"}))</f>
        <v>3</v>
      </c>
      <c r="S46" s="129" cm="2">
        <f t="array" ref="S46">SUMPRODUCT(COUNTIF(S4:S44,{"2";"M2"}))</f>
        <v>3</v>
      </c>
      <c r="T46" s="129" cm="2">
        <f t="array" ref="T46">SUMPRODUCT(COUNTIF(T4:T44,{"2";"M2"}))</f>
        <v>3</v>
      </c>
      <c r="U46" s="129" cm="2">
        <f t="array" ref="U46">SUMPRODUCT(COUNTIF(U4:U44,{"2";"M2"}))</f>
        <v>3</v>
      </c>
      <c r="V46" s="129" cm="2">
        <f t="array" ref="V46">SUMPRODUCT(COUNTIF(V4:V44,{"2";"M2"}))</f>
        <v>3</v>
      </c>
      <c r="W46" s="129" cm="2">
        <f t="array" ref="W46">SUMPRODUCT(COUNTIF(W4:W44,{"2";"M2"}))</f>
        <v>3</v>
      </c>
      <c r="X46" s="129" cm="2">
        <f t="array" ref="X46">SUMPRODUCT(COUNTIF(X4:X44,{"2";"M2"}))</f>
        <v>3</v>
      </c>
      <c r="Y46" s="129" cm="2">
        <f t="array" ref="Y46">SUMPRODUCT(COUNTIF(Y4:Y44,{"2";"M2"}))</f>
        <v>3</v>
      </c>
      <c r="Z46" s="129" cm="2">
        <f t="array" ref="Z46">SUMPRODUCT(COUNTIF(Z4:Z44,{"2";"M2"}))</f>
        <v>3</v>
      </c>
      <c r="AA46" s="129" cm="2">
        <f t="array" ref="AA46">SUMPRODUCT(COUNTIF(AA4:AA44,{"2";"M2"}))</f>
        <v>3</v>
      </c>
      <c r="AB46" s="129" cm="2">
        <f t="array" ref="AB46">SUMPRODUCT(COUNTIF(AB4:AB44,{"2";"M2"}))</f>
        <v>3</v>
      </c>
      <c r="AC46" s="129" cm="2">
        <f t="array" ref="AC46">SUMPRODUCT(COUNTIF(AC4:AC44,{"2";"M2"}))</f>
        <v>3</v>
      </c>
      <c r="AD46" s="129" cm="2">
        <f t="array" ref="AD46">SUMPRODUCT(COUNTIF(AD4:AD44,{"2";"M2"}))</f>
        <v>3</v>
      </c>
      <c r="AE46" s="129" cm="2">
        <f t="array" ref="AE46">SUMPRODUCT(COUNTIF(AE4:AE44,{"2";"M2"}))</f>
        <v>3</v>
      </c>
      <c r="AF46" s="129" cm="2">
        <f t="array" ref="AF46">SUMPRODUCT(COUNTIF(AF4:AF44,{"2";"M2"}))</f>
        <v>3</v>
      </c>
      <c r="AG46" s="129" cm="2">
        <f t="array" ref="AG46">SUMPRODUCT(COUNTIF(AG4:AG44,{"2";"M2"}))</f>
        <v>3</v>
      </c>
      <c r="AH46" s="129" cm="2">
        <f t="array" ref="AH46">SUMPRODUCT(COUNTIF(AH4:AH44,{"2";"M2"}))</f>
        <v>3</v>
      </c>
      <c r="AI46" s="129" cm="2">
        <f t="array" ref="AI46">SUMPRODUCT(COUNTIF(AI4:AI44,{"2";"M2"}))</f>
        <v>3</v>
      </c>
      <c r="AJ46" s="129" cm="2">
        <f t="array" ref="AJ46">SUMPRODUCT(COUNTIF(AJ4:AJ44,{"2";"M2"}))</f>
        <v>3</v>
      </c>
      <c r="AK46" s="129" cm="2">
        <f t="array" ref="AK46">SUMPRODUCT(COUNTIF(AK4:AK44,{"2";"M2"}))</f>
        <v>3</v>
      </c>
      <c r="AL46" s="129" cm="2">
        <f t="array" ref="AL46">SUMPRODUCT(COUNTIF(AL4:AL44,{"2";"M2"}))</f>
        <v>3</v>
      </c>
      <c r="AM46" s="129" cm="2">
        <f t="array" ref="AM46">SUMPRODUCT(COUNTIF(AM4:AM44,{"2";"M2"}))</f>
        <v>3</v>
      </c>
      <c r="AN46" s="129" cm="2">
        <f t="array" ref="AN46">SUMPRODUCT(COUNTIF(AN4:AN44,{"2";"M2"}))</f>
        <v>3</v>
      </c>
      <c r="AP46" s="50"/>
      <c r="AQ46" s="6" t="s">
        <v>34</v>
      </c>
      <c r="AR46" s="75" t="s">
        <v>35</v>
      </c>
      <c r="AS46" s="84"/>
      <c r="AU46" s="6"/>
      <c r="AV46" s="6"/>
      <c r="AW46" s="6"/>
    </row>
    <row r="47" spans="1:224" s="77" customFormat="1" ht="18" customHeight="1" thickBot="1">
      <c r="A47" s="80"/>
      <c r="B47" s="80"/>
      <c r="C47" s="81"/>
      <c r="D47" s="81"/>
      <c r="E47" s="75"/>
      <c r="I47" s="81"/>
      <c r="J47" s="85">
        <v>3</v>
      </c>
      <c r="K47" s="130">
        <f t="shared" ref="K47:AN47" si="26">COUNTIF(K4:K44,3)</f>
        <v>3</v>
      </c>
      <c r="L47" s="130">
        <f t="shared" si="26"/>
        <v>3</v>
      </c>
      <c r="M47" s="130">
        <f t="shared" si="26"/>
        <v>3</v>
      </c>
      <c r="N47" s="130">
        <f t="shared" si="26"/>
        <v>3</v>
      </c>
      <c r="O47" s="130">
        <f t="shared" si="26"/>
        <v>3</v>
      </c>
      <c r="P47" s="130">
        <f t="shared" si="26"/>
        <v>2</v>
      </c>
      <c r="Q47" s="130">
        <f t="shared" si="26"/>
        <v>2</v>
      </c>
      <c r="R47" s="130">
        <f t="shared" si="26"/>
        <v>3</v>
      </c>
      <c r="S47" s="130">
        <f t="shared" si="26"/>
        <v>3</v>
      </c>
      <c r="T47" s="130">
        <f t="shared" si="26"/>
        <v>3</v>
      </c>
      <c r="U47" s="130">
        <f t="shared" si="26"/>
        <v>3</v>
      </c>
      <c r="V47" s="130">
        <f t="shared" si="26"/>
        <v>3</v>
      </c>
      <c r="W47" s="130">
        <f t="shared" si="26"/>
        <v>2</v>
      </c>
      <c r="X47" s="130">
        <f t="shared" si="26"/>
        <v>2</v>
      </c>
      <c r="Y47" s="130">
        <f t="shared" si="26"/>
        <v>3</v>
      </c>
      <c r="Z47" s="130">
        <f t="shared" si="26"/>
        <v>3</v>
      </c>
      <c r="AA47" s="130">
        <f t="shared" si="26"/>
        <v>3</v>
      </c>
      <c r="AB47" s="130">
        <f t="shared" si="26"/>
        <v>3</v>
      </c>
      <c r="AC47" s="130">
        <f t="shared" si="26"/>
        <v>2</v>
      </c>
      <c r="AD47" s="130">
        <f t="shared" si="26"/>
        <v>2</v>
      </c>
      <c r="AE47" s="130">
        <f t="shared" si="26"/>
        <v>2</v>
      </c>
      <c r="AF47" s="130">
        <f t="shared" si="26"/>
        <v>3</v>
      </c>
      <c r="AG47" s="130">
        <f t="shared" si="26"/>
        <v>3</v>
      </c>
      <c r="AH47" s="130">
        <f t="shared" si="26"/>
        <v>3</v>
      </c>
      <c r="AI47" s="130">
        <f t="shared" si="26"/>
        <v>3</v>
      </c>
      <c r="AJ47" s="130">
        <f t="shared" si="26"/>
        <v>3</v>
      </c>
      <c r="AK47" s="130">
        <f t="shared" si="26"/>
        <v>2</v>
      </c>
      <c r="AL47" s="130">
        <f t="shared" si="26"/>
        <v>2</v>
      </c>
      <c r="AM47" s="130">
        <f t="shared" si="26"/>
        <v>3</v>
      </c>
      <c r="AN47" s="130">
        <f t="shared" si="26"/>
        <v>3</v>
      </c>
      <c r="AP47" s="75" t="s">
        <v>109</v>
      </c>
      <c r="AQ47" s="75">
        <f>35*30</f>
        <v>1050</v>
      </c>
      <c r="AR47" s="75">
        <f>6*30</f>
        <v>180</v>
      </c>
      <c r="AS47" s="84"/>
    </row>
    <row r="48" spans="1:224" s="77" customFormat="1" ht="18" customHeight="1">
      <c r="A48" s="80"/>
      <c r="B48" s="80"/>
      <c r="C48" s="81"/>
      <c r="D48" s="81"/>
      <c r="E48" s="75"/>
      <c r="I48" s="81"/>
      <c r="J48" s="86" t="s">
        <v>36</v>
      </c>
      <c r="K48" s="128" cm="2">
        <f t="array" ref="K48">SUMPRODUCT(COUNTIF(K4:K44,{"早";"T早"}))</f>
        <v>4</v>
      </c>
      <c r="L48" s="128" cm="2">
        <f t="array" ref="L48">SUMPRODUCT(COUNTIF(L4:L44,{"早";"T早"}))</f>
        <v>5</v>
      </c>
      <c r="M48" s="128" cm="2">
        <f t="array" ref="M48">SUMPRODUCT(COUNTIF(M4:M44,{"早";"T早"}))</f>
        <v>5</v>
      </c>
      <c r="N48" s="128" cm="2">
        <f t="array" ref="N48">SUMPRODUCT(COUNTIF(N4:N44,{"早";"T早"}))</f>
        <v>5</v>
      </c>
      <c r="O48" s="128" cm="2">
        <f t="array" ref="O48">SUMPRODUCT(COUNTIF(O4:O44,{"早";"T早"}))</f>
        <v>5</v>
      </c>
      <c r="P48" s="128" cm="2">
        <f t="array" ref="P48">SUMPRODUCT(COUNTIF(P4:P44,{"早";"T早"}))</f>
        <v>3</v>
      </c>
      <c r="Q48" s="128" cm="2">
        <f t="array" ref="Q48">SUMPRODUCT(COUNTIF(Q4:Q44,{"早";"T早"}))</f>
        <v>3</v>
      </c>
      <c r="R48" s="128" cm="2">
        <f t="array" ref="R48">SUMPRODUCT(COUNTIF(R4:R44,{"早";"T早"}))</f>
        <v>5</v>
      </c>
      <c r="S48" s="128" cm="2">
        <f t="array" ref="S48">SUMPRODUCT(COUNTIF(S4:S44,{"早";"T早"}))</f>
        <v>5</v>
      </c>
      <c r="T48" s="128" cm="2">
        <f t="array" ref="T48">SUMPRODUCT(COUNTIF(T4:T44,{"早";"T早"}))</f>
        <v>5</v>
      </c>
      <c r="U48" s="128" cm="2">
        <f t="array" ref="U48">SUMPRODUCT(COUNTIF(U4:U44,{"早";"T早"}))</f>
        <v>5</v>
      </c>
      <c r="V48" s="128" cm="2">
        <f t="array" ref="V48">SUMPRODUCT(COUNTIF(V4:V44,{"早";"T早"}))</f>
        <v>5</v>
      </c>
      <c r="W48" s="128" cm="2">
        <f t="array" ref="W48">SUMPRODUCT(COUNTIF(W4:W44,{"早";"T早"}))</f>
        <v>3</v>
      </c>
      <c r="X48" s="128" cm="2">
        <f t="array" ref="X48">SUMPRODUCT(COUNTIF(X4:X44,{"早";"T早"}))</f>
        <v>3</v>
      </c>
      <c r="Y48" s="128" cm="2">
        <f t="array" ref="Y48">SUMPRODUCT(COUNTIF(Y4:Y44,{"早";"T早"}))</f>
        <v>5</v>
      </c>
      <c r="Z48" s="128" cm="2">
        <f t="array" ref="Z48">SUMPRODUCT(COUNTIF(Z4:Z44,{"早";"T早"}))</f>
        <v>5</v>
      </c>
      <c r="AA48" s="128" cm="2">
        <f t="array" ref="AA48">SUMPRODUCT(COUNTIF(AA4:AA44,{"早";"T早"}))</f>
        <v>5</v>
      </c>
      <c r="AB48" s="128" cm="2">
        <f t="array" ref="AB48">SUMPRODUCT(COUNTIF(AB4:AB44,{"早";"T早"}))</f>
        <v>5</v>
      </c>
      <c r="AC48" s="128" cm="2">
        <f t="array" ref="AC48">SUMPRODUCT(COUNTIF(AC4:AC44,{"早";"T早"}))</f>
        <v>3</v>
      </c>
      <c r="AD48" s="128" cm="2">
        <f t="array" ref="AD48">SUMPRODUCT(COUNTIF(AD4:AD44,{"早";"T早"}))</f>
        <v>3</v>
      </c>
      <c r="AE48" s="128" cm="2">
        <f t="array" ref="AE48">SUMPRODUCT(COUNTIF(AE4:AE44,{"早";"T早"}))</f>
        <v>3</v>
      </c>
      <c r="AF48" s="128" cm="2">
        <f t="array" ref="AF48">SUMPRODUCT(COUNTIF(AF4:AF44,{"早";"T早"}))</f>
        <v>5</v>
      </c>
      <c r="AG48" s="128" cm="2">
        <f t="array" ref="AG48">SUMPRODUCT(COUNTIF(AG4:AG44,{"早";"T早"}))</f>
        <v>5</v>
      </c>
      <c r="AH48" s="128" cm="2">
        <f t="array" ref="AH48">SUMPRODUCT(COUNTIF(AH4:AH44,{"早";"T早"}))</f>
        <v>5</v>
      </c>
      <c r="AI48" s="128" cm="2">
        <f t="array" ref="AI48">SUMPRODUCT(COUNTIF(AI4:AI44,{"早";"T早"}))</f>
        <v>5</v>
      </c>
      <c r="AJ48" s="128" cm="2">
        <f t="array" ref="AJ48">SUMPRODUCT(COUNTIF(AJ4:AJ44,{"早";"T早"}))</f>
        <v>5</v>
      </c>
      <c r="AK48" s="128" cm="2">
        <f t="array" ref="AK48">SUMPRODUCT(COUNTIF(AK4:AK44,{"早";"T早"}))</f>
        <v>3</v>
      </c>
      <c r="AL48" s="128" cm="2">
        <f t="array" ref="AL48">SUMPRODUCT(COUNTIF(AL4:AL44,{"早";"T早"}))</f>
        <v>3</v>
      </c>
      <c r="AM48" s="128" cm="2">
        <f t="array" ref="AM48">SUMPRODUCT(COUNTIF(AM4:AM44,{"早";"T早"}))</f>
        <v>5</v>
      </c>
      <c r="AN48" s="128" cm="2">
        <f t="array" ref="AN48">SUMPRODUCT(COUNTIF(AN4:AN44,{"早";"T早"}))</f>
        <v>4</v>
      </c>
      <c r="AP48" s="87" t="s">
        <v>37</v>
      </c>
      <c r="AQ48" s="75">
        <f>20*(30-I1)</f>
        <v>420</v>
      </c>
      <c r="AR48" s="75">
        <f>3*(30-I1)</f>
        <v>63</v>
      </c>
      <c r="AT48" s="84"/>
    </row>
    <row r="49" spans="1:53" s="77" customFormat="1" ht="18" customHeight="1">
      <c r="A49" s="80"/>
      <c r="B49" s="80"/>
      <c r="C49" s="81"/>
      <c r="D49" s="81"/>
      <c r="E49" s="75"/>
      <c r="I49" s="81"/>
      <c r="J49" s="88" t="s">
        <v>38</v>
      </c>
      <c r="K49" s="129" cm="2">
        <f t="array" ref="K49">SUMPRODUCT(COUNTIF(K4:K44,{"中";"T中"}))</f>
        <v>3</v>
      </c>
      <c r="L49" s="129" cm="2">
        <f t="array" ref="L49">SUMPRODUCT(COUNTIF(L4:L44,{"中";"T中"}))</f>
        <v>3</v>
      </c>
      <c r="M49" s="129" cm="2">
        <f t="array" ref="M49">SUMPRODUCT(COUNTIF(M4:M44,{"中";"T中"}))</f>
        <v>3</v>
      </c>
      <c r="N49" s="129" cm="2">
        <f t="array" ref="N49">SUMPRODUCT(COUNTIF(N4:N44,{"中";"T中"}))</f>
        <v>3</v>
      </c>
      <c r="O49" s="129" cm="2">
        <f t="array" ref="O49">SUMPRODUCT(COUNTIF(O4:O44,{"中";"T中"}))</f>
        <v>3</v>
      </c>
      <c r="P49" s="129" cm="2">
        <f t="array" ref="P49">SUMPRODUCT(COUNTIF(P4:P44,{"中";"T中"}))</f>
        <v>3</v>
      </c>
      <c r="Q49" s="129" cm="2">
        <f t="array" ref="Q49">SUMPRODUCT(COUNTIF(Q4:Q44,{"中";"T中"}))</f>
        <v>3</v>
      </c>
      <c r="R49" s="129" cm="2">
        <f t="array" ref="R49">SUMPRODUCT(COUNTIF(R4:R44,{"中";"T中"}))</f>
        <v>3</v>
      </c>
      <c r="S49" s="129" cm="2">
        <f t="array" ref="S49">SUMPRODUCT(COUNTIF(S4:S44,{"中";"T中"}))</f>
        <v>3</v>
      </c>
      <c r="T49" s="129" cm="2">
        <f t="array" ref="T49">SUMPRODUCT(COUNTIF(T4:T44,{"中";"T中"}))</f>
        <v>3</v>
      </c>
      <c r="U49" s="129" cm="2">
        <f t="array" ref="U49">SUMPRODUCT(COUNTIF(U4:U44,{"中";"T中"}))</f>
        <v>3</v>
      </c>
      <c r="V49" s="129" cm="2">
        <f t="array" ref="V49">SUMPRODUCT(COUNTIF(V4:V44,{"中";"T中"}))</f>
        <v>3</v>
      </c>
      <c r="W49" s="129" cm="2">
        <f t="array" ref="W49">SUMPRODUCT(COUNTIF(W4:W44,{"中";"T中"}))</f>
        <v>3</v>
      </c>
      <c r="X49" s="129" cm="2">
        <f t="array" ref="X49">SUMPRODUCT(COUNTIF(X4:X44,{"中";"T中"}))</f>
        <v>3</v>
      </c>
      <c r="Y49" s="129" cm="2">
        <f t="array" ref="Y49">SUMPRODUCT(COUNTIF(Y4:Y44,{"中";"T中"}))</f>
        <v>3</v>
      </c>
      <c r="Z49" s="129" cm="2">
        <f t="array" ref="Z49">SUMPRODUCT(COUNTIF(Z4:Z44,{"中";"T中"}))</f>
        <v>3</v>
      </c>
      <c r="AA49" s="129" cm="2">
        <f t="array" ref="AA49">SUMPRODUCT(COUNTIF(AA4:AA44,{"中";"T中"}))</f>
        <v>3</v>
      </c>
      <c r="AB49" s="129" cm="2">
        <f t="array" ref="AB49">SUMPRODUCT(COUNTIF(AB4:AB44,{"中";"T中"}))</f>
        <v>3</v>
      </c>
      <c r="AC49" s="129" cm="2">
        <f t="array" ref="AC49">SUMPRODUCT(COUNTIF(AC4:AC44,{"中";"T中"}))</f>
        <v>3</v>
      </c>
      <c r="AD49" s="129" cm="2">
        <f t="array" ref="AD49">SUMPRODUCT(COUNTIF(AD4:AD44,{"中";"T中"}))</f>
        <v>3</v>
      </c>
      <c r="AE49" s="129" cm="2">
        <f t="array" ref="AE49">SUMPRODUCT(COUNTIF(AE4:AE44,{"中";"T中"}))</f>
        <v>3</v>
      </c>
      <c r="AF49" s="129" cm="2">
        <f t="array" ref="AF49">SUMPRODUCT(COUNTIF(AF4:AF44,{"中";"T中"}))</f>
        <v>3</v>
      </c>
      <c r="AG49" s="129" cm="2">
        <f t="array" ref="AG49">SUMPRODUCT(COUNTIF(AG4:AG44,{"中";"T中"}))</f>
        <v>3</v>
      </c>
      <c r="AH49" s="129" cm="2">
        <f t="array" ref="AH49">SUMPRODUCT(COUNTIF(AH4:AH44,{"中";"T中"}))</f>
        <v>3</v>
      </c>
      <c r="AI49" s="129" cm="2">
        <f t="array" ref="AI49">SUMPRODUCT(COUNTIF(AI4:AI44,{"中";"T中"}))</f>
        <v>3</v>
      </c>
      <c r="AJ49" s="129" cm="2">
        <f t="array" ref="AJ49">SUMPRODUCT(COUNTIF(AJ4:AJ44,{"中";"T中"}))</f>
        <v>3</v>
      </c>
      <c r="AK49" s="129" cm="2">
        <f t="array" ref="AK49">SUMPRODUCT(COUNTIF(AK4:AK44,{"中";"T中"}))</f>
        <v>3</v>
      </c>
      <c r="AL49" s="129" cm="2">
        <f t="array" ref="AL49">SUMPRODUCT(COUNTIF(AL4:AL44,{"中";"T中"}))</f>
        <v>3</v>
      </c>
      <c r="AM49" s="129" cm="2">
        <f t="array" ref="AM49">SUMPRODUCT(COUNTIF(AM4:AM44,{"中";"T中"}))</f>
        <v>3</v>
      </c>
      <c r="AN49" s="129" cm="2">
        <f t="array" ref="AN49">SUMPRODUCT(COUNTIF(AN4:AN44,{"中";"T中"}))</f>
        <v>3</v>
      </c>
      <c r="AP49" s="87" t="s">
        <v>39</v>
      </c>
      <c r="AQ49" s="75">
        <f>16*I1</f>
        <v>144</v>
      </c>
      <c r="AR49" s="75">
        <f>3*I1</f>
        <v>27</v>
      </c>
      <c r="AT49" s="89"/>
    </row>
    <row r="50" spans="1:53" s="77" customFormat="1" ht="18" customHeight="1" thickBot="1">
      <c r="A50" s="80"/>
      <c r="B50" s="80"/>
      <c r="C50" s="81"/>
      <c r="D50" s="81"/>
      <c r="E50" s="75"/>
      <c r="I50" s="81"/>
      <c r="J50" s="90" t="s">
        <v>40</v>
      </c>
      <c r="K50" s="130">
        <f t="shared" ref="K50:AN50" si="27">COUNTIF(K4:K44,"晚")</f>
        <v>3</v>
      </c>
      <c r="L50" s="130">
        <f t="shared" si="27"/>
        <v>3</v>
      </c>
      <c r="M50" s="130">
        <f t="shared" si="27"/>
        <v>3</v>
      </c>
      <c r="N50" s="130">
        <f t="shared" si="27"/>
        <v>3</v>
      </c>
      <c r="O50" s="130">
        <f t="shared" si="27"/>
        <v>3</v>
      </c>
      <c r="P50" s="130">
        <f t="shared" si="27"/>
        <v>2</v>
      </c>
      <c r="Q50" s="130">
        <f t="shared" si="27"/>
        <v>2</v>
      </c>
      <c r="R50" s="130">
        <f t="shared" si="27"/>
        <v>3</v>
      </c>
      <c r="S50" s="130">
        <f t="shared" si="27"/>
        <v>3</v>
      </c>
      <c r="T50" s="130">
        <f t="shared" si="27"/>
        <v>3</v>
      </c>
      <c r="U50" s="130">
        <f t="shared" si="27"/>
        <v>3</v>
      </c>
      <c r="V50" s="130">
        <f t="shared" si="27"/>
        <v>3</v>
      </c>
      <c r="W50" s="130">
        <f t="shared" si="27"/>
        <v>2</v>
      </c>
      <c r="X50" s="130">
        <f t="shared" si="27"/>
        <v>2</v>
      </c>
      <c r="Y50" s="130">
        <f t="shared" si="27"/>
        <v>3</v>
      </c>
      <c r="Z50" s="130">
        <f t="shared" si="27"/>
        <v>3</v>
      </c>
      <c r="AA50" s="130">
        <f t="shared" si="27"/>
        <v>3</v>
      </c>
      <c r="AB50" s="130">
        <f t="shared" si="27"/>
        <v>3</v>
      </c>
      <c r="AC50" s="130">
        <f t="shared" si="27"/>
        <v>2</v>
      </c>
      <c r="AD50" s="130">
        <f t="shared" si="27"/>
        <v>2</v>
      </c>
      <c r="AE50" s="130">
        <f t="shared" si="27"/>
        <v>2</v>
      </c>
      <c r="AF50" s="130">
        <f t="shared" si="27"/>
        <v>3</v>
      </c>
      <c r="AG50" s="130">
        <f t="shared" si="27"/>
        <v>3</v>
      </c>
      <c r="AH50" s="130">
        <f t="shared" si="27"/>
        <v>3</v>
      </c>
      <c r="AI50" s="130">
        <f t="shared" si="27"/>
        <v>3</v>
      </c>
      <c r="AJ50" s="130">
        <f t="shared" si="27"/>
        <v>3</v>
      </c>
      <c r="AK50" s="130">
        <f t="shared" si="27"/>
        <v>2</v>
      </c>
      <c r="AL50" s="130">
        <f t="shared" si="27"/>
        <v>2</v>
      </c>
      <c r="AM50" s="130">
        <f t="shared" si="27"/>
        <v>3</v>
      </c>
      <c r="AN50" s="130">
        <f t="shared" si="27"/>
        <v>3</v>
      </c>
      <c r="AP50" s="75" t="s">
        <v>0</v>
      </c>
      <c r="AQ50" s="91">
        <f>35*I1</f>
        <v>315</v>
      </c>
      <c r="AR50" s="75">
        <f>6*I1</f>
        <v>54</v>
      </c>
    </row>
    <row r="51" spans="1:53" s="77" customFormat="1" ht="18" customHeight="1">
      <c r="A51" s="80"/>
      <c r="B51" s="80"/>
      <c r="C51" s="81"/>
      <c r="D51" s="81"/>
      <c r="E51" s="75"/>
      <c r="I51" s="81"/>
      <c r="J51" s="86" t="s">
        <v>111</v>
      </c>
      <c r="K51" s="128">
        <f t="shared" ref="K51:AN51" si="28">COUNTIF(K4:K44,"日")</f>
        <v>1</v>
      </c>
      <c r="L51" s="128">
        <f t="shared" si="28"/>
        <v>1</v>
      </c>
      <c r="M51" s="128">
        <f t="shared" si="28"/>
        <v>1</v>
      </c>
      <c r="N51" s="128">
        <f t="shared" si="28"/>
        <v>1</v>
      </c>
      <c r="O51" s="128">
        <f t="shared" si="28"/>
        <v>1</v>
      </c>
      <c r="P51" s="128">
        <f t="shared" si="28"/>
        <v>1</v>
      </c>
      <c r="Q51" s="128">
        <f t="shared" si="28"/>
        <v>1</v>
      </c>
      <c r="R51" s="128">
        <f t="shared" si="28"/>
        <v>1</v>
      </c>
      <c r="S51" s="128">
        <f t="shared" si="28"/>
        <v>1</v>
      </c>
      <c r="T51" s="128">
        <f t="shared" si="28"/>
        <v>1</v>
      </c>
      <c r="U51" s="128">
        <f t="shared" si="28"/>
        <v>1</v>
      </c>
      <c r="V51" s="128">
        <f t="shared" si="28"/>
        <v>1</v>
      </c>
      <c r="W51" s="128">
        <f t="shared" si="28"/>
        <v>1</v>
      </c>
      <c r="X51" s="128">
        <f t="shared" si="28"/>
        <v>1</v>
      </c>
      <c r="Y51" s="128">
        <f t="shared" si="28"/>
        <v>1</v>
      </c>
      <c r="Z51" s="128">
        <f t="shared" si="28"/>
        <v>1</v>
      </c>
      <c r="AA51" s="128">
        <f t="shared" si="28"/>
        <v>1</v>
      </c>
      <c r="AB51" s="128">
        <f t="shared" si="28"/>
        <v>1</v>
      </c>
      <c r="AC51" s="128">
        <f t="shared" si="28"/>
        <v>1</v>
      </c>
      <c r="AD51" s="128">
        <f t="shared" si="28"/>
        <v>1</v>
      </c>
      <c r="AE51" s="128">
        <f t="shared" si="28"/>
        <v>1</v>
      </c>
      <c r="AF51" s="128">
        <f t="shared" si="28"/>
        <v>1</v>
      </c>
      <c r="AG51" s="128">
        <f t="shared" si="28"/>
        <v>1</v>
      </c>
      <c r="AH51" s="128">
        <f t="shared" si="28"/>
        <v>1</v>
      </c>
      <c r="AI51" s="128">
        <f t="shared" si="28"/>
        <v>1</v>
      </c>
      <c r="AJ51" s="128">
        <f t="shared" si="28"/>
        <v>1</v>
      </c>
      <c r="AK51" s="128">
        <f t="shared" si="28"/>
        <v>1</v>
      </c>
      <c r="AL51" s="128">
        <f t="shared" si="28"/>
        <v>1</v>
      </c>
      <c r="AM51" s="128">
        <f t="shared" si="28"/>
        <v>1</v>
      </c>
      <c r="AN51" s="128">
        <f t="shared" si="28"/>
        <v>1</v>
      </c>
      <c r="AP51" s="50" t="s">
        <v>104</v>
      </c>
      <c r="AQ51" s="91" cm="1">
        <f t="array" ref="AQ51">SUMPRODUCT(COUNTIF(K4:AN38,{"N";"N8"}))</f>
        <v>100</v>
      </c>
      <c r="AR51" s="91" cm="1">
        <f t="array" ref="AR51">SUMPRODUCT(COUNTIF(K39:AN44,{"N";"N8"}))</f>
        <v>28</v>
      </c>
    </row>
    <row r="52" spans="1:53" s="77" customFormat="1" ht="18" customHeight="1">
      <c r="A52" s="80"/>
      <c r="B52" s="80"/>
      <c r="C52" s="81"/>
      <c r="D52" s="81"/>
      <c r="E52" s="75"/>
      <c r="I52" s="81"/>
      <c r="J52" s="88" t="s">
        <v>143</v>
      </c>
      <c r="K52" s="129">
        <f t="shared" ref="K52:AN52" si="29">COUNTIF(K4:K44,"小夜")</f>
        <v>1</v>
      </c>
      <c r="L52" s="129">
        <f t="shared" si="29"/>
        <v>1</v>
      </c>
      <c r="M52" s="129">
        <f t="shared" si="29"/>
        <v>1</v>
      </c>
      <c r="N52" s="129">
        <f t="shared" si="29"/>
        <v>1</v>
      </c>
      <c r="O52" s="129">
        <f t="shared" si="29"/>
        <v>1</v>
      </c>
      <c r="P52" s="129">
        <f t="shared" si="29"/>
        <v>1</v>
      </c>
      <c r="Q52" s="129">
        <f t="shared" si="29"/>
        <v>1</v>
      </c>
      <c r="R52" s="129">
        <f t="shared" si="29"/>
        <v>1</v>
      </c>
      <c r="S52" s="129">
        <f t="shared" si="29"/>
        <v>1</v>
      </c>
      <c r="T52" s="129">
        <f t="shared" si="29"/>
        <v>1</v>
      </c>
      <c r="U52" s="129">
        <f t="shared" si="29"/>
        <v>1</v>
      </c>
      <c r="V52" s="129">
        <f t="shared" si="29"/>
        <v>1</v>
      </c>
      <c r="W52" s="129">
        <f t="shared" si="29"/>
        <v>1</v>
      </c>
      <c r="X52" s="129">
        <f t="shared" si="29"/>
        <v>1</v>
      </c>
      <c r="Y52" s="129">
        <f t="shared" si="29"/>
        <v>1</v>
      </c>
      <c r="Z52" s="129">
        <f t="shared" si="29"/>
        <v>1</v>
      </c>
      <c r="AA52" s="129">
        <f t="shared" si="29"/>
        <v>1</v>
      </c>
      <c r="AB52" s="129">
        <f t="shared" si="29"/>
        <v>1</v>
      </c>
      <c r="AC52" s="129">
        <f t="shared" si="29"/>
        <v>1</v>
      </c>
      <c r="AD52" s="129">
        <f t="shared" si="29"/>
        <v>1</v>
      </c>
      <c r="AE52" s="129">
        <f t="shared" si="29"/>
        <v>1</v>
      </c>
      <c r="AF52" s="129">
        <f t="shared" si="29"/>
        <v>1</v>
      </c>
      <c r="AG52" s="129">
        <f t="shared" si="29"/>
        <v>1</v>
      </c>
      <c r="AH52" s="129">
        <f t="shared" si="29"/>
        <v>1</v>
      </c>
      <c r="AI52" s="129">
        <f t="shared" si="29"/>
        <v>1</v>
      </c>
      <c r="AJ52" s="129">
        <f t="shared" si="29"/>
        <v>1</v>
      </c>
      <c r="AK52" s="129">
        <f t="shared" si="29"/>
        <v>1</v>
      </c>
      <c r="AL52" s="129">
        <f t="shared" si="29"/>
        <v>1</v>
      </c>
      <c r="AM52" s="129">
        <f t="shared" si="29"/>
        <v>1</v>
      </c>
      <c r="AN52" s="129">
        <f t="shared" si="29"/>
        <v>1</v>
      </c>
      <c r="AP52" s="50" t="s">
        <v>105</v>
      </c>
      <c r="AQ52" s="92">
        <f>SUMPRODUCT(COUNTIF(K4:AN38,{"S"}))</f>
        <v>73</v>
      </c>
      <c r="AR52" s="75">
        <f>SUMPRODUCT(COUNTIF(K39:AN44,{"S"}))</f>
        <v>8</v>
      </c>
    </row>
    <row r="53" spans="1:53" s="77" customFormat="1" ht="18" customHeight="1" thickBot="1">
      <c r="A53" s="80"/>
      <c r="B53" s="80"/>
      <c r="C53" s="81"/>
      <c r="D53" s="81"/>
      <c r="E53" s="75"/>
      <c r="I53" s="81"/>
      <c r="J53" s="90" t="s">
        <v>144</v>
      </c>
      <c r="K53" s="130">
        <f t="shared" ref="K53:AN53" si="30">COUNTIF(K7:K47,"大夜")</f>
        <v>1</v>
      </c>
      <c r="L53" s="130">
        <f t="shared" si="30"/>
        <v>1</v>
      </c>
      <c r="M53" s="130">
        <f t="shared" si="30"/>
        <v>1</v>
      </c>
      <c r="N53" s="130">
        <f t="shared" si="30"/>
        <v>1</v>
      </c>
      <c r="O53" s="130">
        <f t="shared" si="30"/>
        <v>1</v>
      </c>
      <c r="P53" s="130">
        <f t="shared" si="30"/>
        <v>1</v>
      </c>
      <c r="Q53" s="130">
        <f t="shared" si="30"/>
        <v>1</v>
      </c>
      <c r="R53" s="130">
        <f t="shared" si="30"/>
        <v>1</v>
      </c>
      <c r="S53" s="130">
        <f t="shared" si="30"/>
        <v>1</v>
      </c>
      <c r="T53" s="130">
        <f t="shared" si="30"/>
        <v>1</v>
      </c>
      <c r="U53" s="130">
        <f t="shared" si="30"/>
        <v>1</v>
      </c>
      <c r="V53" s="130">
        <f t="shared" si="30"/>
        <v>1</v>
      </c>
      <c r="W53" s="130">
        <f t="shared" si="30"/>
        <v>1</v>
      </c>
      <c r="X53" s="130">
        <f t="shared" si="30"/>
        <v>1</v>
      </c>
      <c r="Y53" s="130">
        <f t="shared" si="30"/>
        <v>1</v>
      </c>
      <c r="Z53" s="130">
        <f t="shared" si="30"/>
        <v>1</v>
      </c>
      <c r="AA53" s="130">
        <f t="shared" si="30"/>
        <v>1</v>
      </c>
      <c r="AB53" s="130">
        <f t="shared" si="30"/>
        <v>1</v>
      </c>
      <c r="AC53" s="130">
        <f t="shared" si="30"/>
        <v>1</v>
      </c>
      <c r="AD53" s="130">
        <f t="shared" si="30"/>
        <v>1</v>
      </c>
      <c r="AE53" s="130">
        <f t="shared" si="30"/>
        <v>1</v>
      </c>
      <c r="AF53" s="130">
        <f t="shared" si="30"/>
        <v>1</v>
      </c>
      <c r="AG53" s="130">
        <f t="shared" si="30"/>
        <v>1</v>
      </c>
      <c r="AH53" s="130">
        <f t="shared" si="30"/>
        <v>1</v>
      </c>
      <c r="AI53" s="130">
        <f t="shared" si="30"/>
        <v>1</v>
      </c>
      <c r="AJ53" s="130">
        <f t="shared" si="30"/>
        <v>1</v>
      </c>
      <c r="AK53" s="130">
        <f t="shared" si="30"/>
        <v>1</v>
      </c>
      <c r="AL53" s="130">
        <f t="shared" si="30"/>
        <v>1</v>
      </c>
      <c r="AM53" s="130">
        <f t="shared" si="30"/>
        <v>1</v>
      </c>
      <c r="AN53" s="130">
        <f t="shared" si="30"/>
        <v>1</v>
      </c>
      <c r="AP53" s="93" t="s">
        <v>145</v>
      </c>
      <c r="AQ53" s="75">
        <v>0</v>
      </c>
      <c r="AR53" s="75">
        <v>0</v>
      </c>
    </row>
    <row r="54" spans="1:53" s="77" customFormat="1" ht="18" customHeight="1" thickBot="1">
      <c r="A54" s="80"/>
      <c r="B54" s="80"/>
      <c r="C54" s="81"/>
      <c r="D54" s="81"/>
      <c r="E54" s="75"/>
      <c r="I54" s="81"/>
      <c r="J54" s="95" t="s">
        <v>41</v>
      </c>
      <c r="K54" s="347">
        <f t="shared" ref="K54:AN54" si="31">COUNTIF(K4:K44,"N")+COUNTIF(K4:K44,"N8")</f>
        <v>6</v>
      </c>
      <c r="L54" s="96">
        <f t="shared" si="31"/>
        <v>7</v>
      </c>
      <c r="M54" s="96">
        <f t="shared" si="31"/>
        <v>3</v>
      </c>
      <c r="N54" s="96">
        <f t="shared" si="31"/>
        <v>4</v>
      </c>
      <c r="O54" s="96">
        <f t="shared" si="31"/>
        <v>2</v>
      </c>
      <c r="P54" s="96">
        <f t="shared" si="31"/>
        <v>0</v>
      </c>
      <c r="Q54" s="96">
        <f t="shared" si="31"/>
        <v>0</v>
      </c>
      <c r="R54" s="96">
        <f t="shared" si="31"/>
        <v>4</v>
      </c>
      <c r="S54" s="96">
        <f t="shared" si="31"/>
        <v>10</v>
      </c>
      <c r="T54" s="96">
        <f t="shared" si="31"/>
        <v>6</v>
      </c>
      <c r="U54" s="96">
        <f t="shared" si="31"/>
        <v>12</v>
      </c>
      <c r="V54" s="96">
        <f t="shared" si="31"/>
        <v>7</v>
      </c>
      <c r="W54" s="96">
        <f t="shared" si="31"/>
        <v>0</v>
      </c>
      <c r="X54" s="96">
        <f t="shared" si="31"/>
        <v>0</v>
      </c>
      <c r="Y54" s="96">
        <f t="shared" si="31"/>
        <v>3</v>
      </c>
      <c r="Z54" s="96">
        <f t="shared" si="31"/>
        <v>4</v>
      </c>
      <c r="AA54" s="96">
        <f t="shared" si="31"/>
        <v>4</v>
      </c>
      <c r="AB54" s="96">
        <f t="shared" si="31"/>
        <v>11</v>
      </c>
      <c r="AC54" s="96">
        <f t="shared" si="31"/>
        <v>0</v>
      </c>
      <c r="AD54" s="96">
        <f t="shared" si="31"/>
        <v>0</v>
      </c>
      <c r="AE54" s="96">
        <f t="shared" si="31"/>
        <v>0</v>
      </c>
      <c r="AF54" s="96">
        <f t="shared" si="31"/>
        <v>10</v>
      </c>
      <c r="AG54" s="96">
        <f t="shared" si="31"/>
        <v>6</v>
      </c>
      <c r="AH54" s="96">
        <f t="shared" si="31"/>
        <v>7</v>
      </c>
      <c r="AI54" s="96">
        <f t="shared" si="31"/>
        <v>6</v>
      </c>
      <c r="AJ54" s="96">
        <f t="shared" si="31"/>
        <v>6</v>
      </c>
      <c r="AK54" s="96">
        <f t="shared" si="31"/>
        <v>0</v>
      </c>
      <c r="AL54" s="96">
        <f t="shared" si="31"/>
        <v>0</v>
      </c>
      <c r="AM54" s="97">
        <f t="shared" si="31"/>
        <v>5</v>
      </c>
      <c r="AN54" s="99">
        <f t="shared" si="31"/>
        <v>5</v>
      </c>
      <c r="AP54" s="100" t="s">
        <v>42</v>
      </c>
      <c r="AQ54" s="101">
        <v>0</v>
      </c>
      <c r="AR54" s="75">
        <v>0</v>
      </c>
    </row>
    <row r="55" spans="1:53" s="77" customFormat="1" ht="18" customHeight="1">
      <c r="A55" s="80"/>
      <c r="B55" s="80"/>
      <c r="C55" s="80"/>
      <c r="D55" s="80"/>
      <c r="E55" s="75"/>
      <c r="I55" s="81"/>
      <c r="J55" s="78" t="s">
        <v>43</v>
      </c>
      <c r="K55" s="297">
        <f t="shared" ref="K55:AN55" si="32">COUNTIF(K4:K44,"X")+COUNTIF(K4:K44,"Y")+COUNTIF(K4:K44,"Z")</f>
        <v>8</v>
      </c>
      <c r="L55" s="24">
        <f t="shared" si="32"/>
        <v>5</v>
      </c>
      <c r="M55" s="24">
        <f t="shared" si="32"/>
        <v>9</v>
      </c>
      <c r="N55" s="24">
        <f t="shared" si="32"/>
        <v>10</v>
      </c>
      <c r="O55" s="24">
        <f t="shared" si="32"/>
        <v>11</v>
      </c>
      <c r="P55" s="24">
        <f t="shared" si="32"/>
        <v>19</v>
      </c>
      <c r="Q55" s="24">
        <f t="shared" si="32"/>
        <v>19</v>
      </c>
      <c r="R55" s="24">
        <f t="shared" si="32"/>
        <v>11</v>
      </c>
      <c r="S55" s="24">
        <f t="shared" si="32"/>
        <v>4</v>
      </c>
      <c r="T55" s="24">
        <f t="shared" si="32"/>
        <v>11</v>
      </c>
      <c r="U55" s="24">
        <f t="shared" si="32"/>
        <v>5</v>
      </c>
      <c r="V55" s="24">
        <f t="shared" si="32"/>
        <v>10</v>
      </c>
      <c r="W55" s="24">
        <f t="shared" si="32"/>
        <v>21</v>
      </c>
      <c r="X55" s="24">
        <f t="shared" si="32"/>
        <v>21</v>
      </c>
      <c r="Y55" s="24">
        <f t="shared" si="32"/>
        <v>12</v>
      </c>
      <c r="Z55" s="24">
        <f t="shared" si="32"/>
        <v>11</v>
      </c>
      <c r="AA55" s="24">
        <f t="shared" si="32"/>
        <v>10</v>
      </c>
      <c r="AB55" s="24">
        <f t="shared" si="32"/>
        <v>5</v>
      </c>
      <c r="AC55" s="24">
        <f t="shared" si="32"/>
        <v>15</v>
      </c>
      <c r="AD55" s="24">
        <f t="shared" si="32"/>
        <v>21</v>
      </c>
      <c r="AE55" s="24">
        <f t="shared" si="32"/>
        <v>22</v>
      </c>
      <c r="AF55" s="24">
        <f t="shared" si="32"/>
        <v>7</v>
      </c>
      <c r="AG55" s="24">
        <f t="shared" si="32"/>
        <v>11</v>
      </c>
      <c r="AH55" s="24">
        <f t="shared" si="32"/>
        <v>11</v>
      </c>
      <c r="AI55" s="24">
        <f t="shared" si="32"/>
        <v>11</v>
      </c>
      <c r="AJ55" s="24">
        <f t="shared" si="32"/>
        <v>9</v>
      </c>
      <c r="AK55" s="24">
        <f t="shared" si="32"/>
        <v>21</v>
      </c>
      <c r="AL55" s="24">
        <f t="shared" si="32"/>
        <v>19</v>
      </c>
      <c r="AM55" s="24">
        <f t="shared" si="32"/>
        <v>10</v>
      </c>
      <c r="AN55" s="102">
        <f t="shared" si="32"/>
        <v>10</v>
      </c>
      <c r="AP55" s="100" t="s">
        <v>146</v>
      </c>
      <c r="AQ55" s="101">
        <v>0</v>
      </c>
      <c r="AR55" s="75">
        <v>0</v>
      </c>
    </row>
    <row r="56" spans="1:53" s="77" customFormat="1" ht="18" customHeight="1">
      <c r="A56" s="80"/>
      <c r="B56" s="80"/>
      <c r="C56" s="80"/>
      <c r="D56" s="80"/>
      <c r="E56" s="75"/>
      <c r="I56" s="81"/>
      <c r="J56" s="103" t="s">
        <v>44</v>
      </c>
      <c r="K56" s="294">
        <f t="shared" ref="K56:AN56" si="33">COUNTIF(K4:K44,"S")</f>
        <v>5</v>
      </c>
      <c r="L56" s="39">
        <f t="shared" si="33"/>
        <v>6</v>
      </c>
      <c r="M56" s="39">
        <f t="shared" si="33"/>
        <v>6</v>
      </c>
      <c r="N56" s="39">
        <f t="shared" si="33"/>
        <v>4</v>
      </c>
      <c r="O56" s="39">
        <f t="shared" si="33"/>
        <v>5</v>
      </c>
      <c r="P56" s="39">
        <f t="shared" si="33"/>
        <v>3</v>
      </c>
      <c r="Q56" s="39">
        <f t="shared" si="33"/>
        <v>3</v>
      </c>
      <c r="R56" s="39">
        <f t="shared" si="33"/>
        <v>3</v>
      </c>
      <c r="S56" s="39">
        <f t="shared" si="33"/>
        <v>4</v>
      </c>
      <c r="T56" s="39">
        <f t="shared" si="33"/>
        <v>1</v>
      </c>
      <c r="U56" s="39">
        <f t="shared" si="33"/>
        <v>1</v>
      </c>
      <c r="V56" s="39">
        <f t="shared" si="33"/>
        <v>1</v>
      </c>
      <c r="W56" s="39">
        <f t="shared" si="33"/>
        <v>1</v>
      </c>
      <c r="X56" s="39">
        <f t="shared" si="33"/>
        <v>1</v>
      </c>
      <c r="Y56" s="39">
        <f t="shared" si="33"/>
        <v>3</v>
      </c>
      <c r="Z56" s="39">
        <f t="shared" si="33"/>
        <v>3</v>
      </c>
      <c r="AA56" s="39">
        <f t="shared" si="33"/>
        <v>4</v>
      </c>
      <c r="AB56" s="39">
        <f t="shared" si="33"/>
        <v>2</v>
      </c>
      <c r="AC56" s="39">
        <f t="shared" si="33"/>
        <v>7</v>
      </c>
      <c r="AD56" s="39">
        <f t="shared" si="33"/>
        <v>1</v>
      </c>
      <c r="AE56" s="39">
        <f t="shared" si="33"/>
        <v>0</v>
      </c>
      <c r="AF56" s="39">
        <f t="shared" si="33"/>
        <v>1</v>
      </c>
      <c r="AG56" s="39">
        <f t="shared" si="33"/>
        <v>1</v>
      </c>
      <c r="AH56" s="39">
        <f t="shared" si="33"/>
        <v>0</v>
      </c>
      <c r="AI56" s="39">
        <f t="shared" si="33"/>
        <v>1</v>
      </c>
      <c r="AJ56" s="39">
        <f t="shared" si="33"/>
        <v>3</v>
      </c>
      <c r="AK56" s="39">
        <f t="shared" si="33"/>
        <v>1</v>
      </c>
      <c r="AL56" s="39">
        <f t="shared" si="33"/>
        <v>3</v>
      </c>
      <c r="AM56" s="39">
        <f t="shared" si="33"/>
        <v>3</v>
      </c>
      <c r="AN56" s="83">
        <f t="shared" si="33"/>
        <v>4</v>
      </c>
      <c r="AP56" s="107" t="s">
        <v>46</v>
      </c>
      <c r="AQ56" s="105">
        <f>AQ47-AQ48-AQ50-AQ51-AQ52-AQ53+AQ54+AQ55-AQ49</f>
        <v>-2</v>
      </c>
      <c r="AR56" s="105">
        <f>AR47-AR48-AR50-AR51-AR52-AR53+AR54+AR55-AR49</f>
        <v>0</v>
      </c>
      <c r="AS56" s="6"/>
    </row>
    <row r="57" spans="1:53" ht="18" customHeight="1" thickBot="1">
      <c r="A57" s="80"/>
      <c r="B57" s="80"/>
      <c r="C57" s="80"/>
      <c r="D57" s="80"/>
      <c r="I57" s="80"/>
      <c r="J57" s="103" t="s">
        <v>45</v>
      </c>
      <c r="K57" s="294">
        <f t="shared" ref="K57:AN57" si="34">COUNTIF(K4:K44,"T")</f>
        <v>0</v>
      </c>
      <c r="L57" s="39">
        <f t="shared" si="34"/>
        <v>0</v>
      </c>
      <c r="M57" s="39">
        <f t="shared" si="34"/>
        <v>0</v>
      </c>
      <c r="N57" s="39">
        <f t="shared" si="34"/>
        <v>0</v>
      </c>
      <c r="O57" s="39">
        <f t="shared" si="34"/>
        <v>0</v>
      </c>
      <c r="P57" s="39">
        <f t="shared" si="34"/>
        <v>0</v>
      </c>
      <c r="Q57" s="39">
        <f t="shared" si="34"/>
        <v>0</v>
      </c>
      <c r="R57" s="39">
        <f t="shared" si="34"/>
        <v>0</v>
      </c>
      <c r="S57" s="39">
        <f t="shared" si="34"/>
        <v>0</v>
      </c>
      <c r="T57" s="39">
        <f t="shared" si="34"/>
        <v>0</v>
      </c>
      <c r="U57" s="39">
        <f t="shared" si="34"/>
        <v>0</v>
      </c>
      <c r="V57" s="39">
        <f t="shared" si="34"/>
        <v>0</v>
      </c>
      <c r="W57" s="39">
        <f t="shared" si="34"/>
        <v>0</v>
      </c>
      <c r="X57" s="39">
        <f t="shared" si="34"/>
        <v>0</v>
      </c>
      <c r="Y57" s="39">
        <f t="shared" si="34"/>
        <v>0</v>
      </c>
      <c r="Z57" s="39">
        <f t="shared" si="34"/>
        <v>0</v>
      </c>
      <c r="AA57" s="39">
        <f t="shared" si="34"/>
        <v>0</v>
      </c>
      <c r="AB57" s="39">
        <f t="shared" si="34"/>
        <v>0</v>
      </c>
      <c r="AC57" s="39">
        <f t="shared" si="34"/>
        <v>0</v>
      </c>
      <c r="AD57" s="39">
        <f t="shared" si="34"/>
        <v>0</v>
      </c>
      <c r="AE57" s="39">
        <f t="shared" si="34"/>
        <v>0</v>
      </c>
      <c r="AF57" s="39">
        <f t="shared" si="34"/>
        <v>0</v>
      </c>
      <c r="AG57" s="39">
        <f t="shared" si="34"/>
        <v>0</v>
      </c>
      <c r="AH57" s="39">
        <f t="shared" si="34"/>
        <v>0</v>
      </c>
      <c r="AI57" s="39">
        <f t="shared" si="34"/>
        <v>0</v>
      </c>
      <c r="AJ57" s="39">
        <f t="shared" si="34"/>
        <v>0</v>
      </c>
      <c r="AK57" s="39">
        <f t="shared" si="34"/>
        <v>0</v>
      </c>
      <c r="AL57" s="39">
        <f t="shared" si="34"/>
        <v>0</v>
      </c>
      <c r="AM57" s="39">
        <f t="shared" si="34"/>
        <v>0</v>
      </c>
      <c r="AN57" s="83">
        <f t="shared" si="34"/>
        <v>0</v>
      </c>
      <c r="AO57" s="77"/>
      <c r="AQ57" s="50"/>
      <c r="AR57" s="111"/>
      <c r="AT57" s="77"/>
      <c r="AU57" s="77"/>
      <c r="AV57" s="77"/>
      <c r="AW57" s="77"/>
      <c r="BA57" s="6" t="s">
        <v>160</v>
      </c>
    </row>
    <row r="58" spans="1:53" ht="18" customHeight="1" thickBot="1">
      <c r="A58" s="80"/>
      <c r="B58" s="80"/>
      <c r="C58" s="80"/>
      <c r="D58" s="80"/>
      <c r="I58" s="80"/>
      <c r="J58" s="108" t="s">
        <v>109</v>
      </c>
      <c r="K58" s="298">
        <f>SUM(K45:K57)</f>
        <v>41</v>
      </c>
      <c r="L58" s="109">
        <f t="shared" ref="L58:AN58" si="35">SUM(L45:L57)</f>
        <v>41</v>
      </c>
      <c r="M58" s="109">
        <f t="shared" si="35"/>
        <v>41</v>
      </c>
      <c r="N58" s="109">
        <f t="shared" si="35"/>
        <v>41</v>
      </c>
      <c r="O58" s="109">
        <f t="shared" si="35"/>
        <v>41</v>
      </c>
      <c r="P58" s="109">
        <f t="shared" si="35"/>
        <v>41</v>
      </c>
      <c r="Q58" s="109">
        <f t="shared" si="35"/>
        <v>41</v>
      </c>
      <c r="R58" s="109">
        <f t="shared" si="35"/>
        <v>41</v>
      </c>
      <c r="S58" s="109">
        <f t="shared" si="35"/>
        <v>41</v>
      </c>
      <c r="T58" s="109">
        <f t="shared" si="35"/>
        <v>41</v>
      </c>
      <c r="U58" s="109">
        <f t="shared" si="35"/>
        <v>41</v>
      </c>
      <c r="V58" s="109">
        <f t="shared" si="35"/>
        <v>41</v>
      </c>
      <c r="W58" s="109">
        <f t="shared" si="35"/>
        <v>41</v>
      </c>
      <c r="X58" s="109">
        <f t="shared" si="35"/>
        <v>41</v>
      </c>
      <c r="Y58" s="109">
        <f t="shared" si="35"/>
        <v>41</v>
      </c>
      <c r="Z58" s="109">
        <f t="shared" si="35"/>
        <v>41</v>
      </c>
      <c r="AA58" s="109">
        <f t="shared" si="35"/>
        <v>41</v>
      </c>
      <c r="AB58" s="109">
        <f t="shared" si="35"/>
        <v>41</v>
      </c>
      <c r="AC58" s="109">
        <f t="shared" si="35"/>
        <v>41</v>
      </c>
      <c r="AD58" s="109">
        <f t="shared" si="35"/>
        <v>41</v>
      </c>
      <c r="AE58" s="109">
        <f t="shared" si="35"/>
        <v>41</v>
      </c>
      <c r="AF58" s="109">
        <f t="shared" si="35"/>
        <v>41</v>
      </c>
      <c r="AG58" s="109">
        <f t="shared" si="35"/>
        <v>41</v>
      </c>
      <c r="AH58" s="109">
        <f t="shared" si="35"/>
        <v>41</v>
      </c>
      <c r="AI58" s="109">
        <f t="shared" si="35"/>
        <v>41</v>
      </c>
      <c r="AJ58" s="109">
        <f t="shared" si="35"/>
        <v>41</v>
      </c>
      <c r="AK58" s="109">
        <f t="shared" si="35"/>
        <v>41</v>
      </c>
      <c r="AL58" s="109">
        <f t="shared" si="35"/>
        <v>41</v>
      </c>
      <c r="AM58" s="109">
        <f t="shared" si="35"/>
        <v>41</v>
      </c>
      <c r="AN58" s="110">
        <f t="shared" si="35"/>
        <v>41</v>
      </c>
      <c r="AP58" s="7"/>
      <c r="AQ58" s="6"/>
      <c r="AR58" s="111"/>
      <c r="AT58" s="37"/>
      <c r="AU58" s="77"/>
      <c r="AV58" s="77"/>
      <c r="AW58" s="77"/>
    </row>
    <row r="59" spans="1:53" ht="24.6" customHeight="1">
      <c r="A59" s="80"/>
      <c r="B59" s="80"/>
      <c r="C59" s="80"/>
      <c r="D59" s="80"/>
      <c r="G59" s="80"/>
      <c r="H59" s="112"/>
      <c r="I59" s="113"/>
      <c r="K59" s="113">
        <f>41-K54-K55-K56-23</f>
        <v>-1</v>
      </c>
      <c r="L59" s="113">
        <f t="shared" ref="L59:O59" si="36">41-L54-L55-L56-23</f>
        <v>0</v>
      </c>
      <c r="M59" s="113">
        <f t="shared" si="36"/>
        <v>0</v>
      </c>
      <c r="N59" s="113">
        <f t="shared" si="36"/>
        <v>0</v>
      </c>
      <c r="O59" s="113">
        <f t="shared" si="36"/>
        <v>0</v>
      </c>
      <c r="P59" s="113">
        <f>41-P54-P55-P56-19</f>
        <v>0</v>
      </c>
      <c r="Q59" s="113">
        <f>41-Q54-Q55-Q56-19</f>
        <v>0</v>
      </c>
      <c r="R59" s="113">
        <f>41-R54-R55-R56-23</f>
        <v>0</v>
      </c>
      <c r="S59" s="113">
        <f t="shared" ref="S59:V59" si="37">41-S54-S55-S56-23</f>
        <v>0</v>
      </c>
      <c r="T59" s="113">
        <f t="shared" si="37"/>
        <v>0</v>
      </c>
      <c r="U59" s="113">
        <f t="shared" si="37"/>
        <v>0</v>
      </c>
      <c r="V59" s="113">
        <f t="shared" si="37"/>
        <v>0</v>
      </c>
      <c r="W59" s="113">
        <f>41-W54-W55-W56-19</f>
        <v>0</v>
      </c>
      <c r="X59" s="113">
        <f>41-X54-X55-X56-19</f>
        <v>0</v>
      </c>
      <c r="Y59" s="113">
        <f>41-Y54-Y55-Y56-23</f>
        <v>0</v>
      </c>
      <c r="Z59" s="113">
        <f t="shared" ref="Z59:AB59" si="38">41-Z54-Z55-Z56-23</f>
        <v>0</v>
      </c>
      <c r="AA59" s="113">
        <f t="shared" si="38"/>
        <v>0</v>
      </c>
      <c r="AB59" s="113">
        <f t="shared" si="38"/>
        <v>0</v>
      </c>
      <c r="AC59" s="113">
        <f>41-AC54-AC55-AC56-19</f>
        <v>0</v>
      </c>
      <c r="AD59" s="113">
        <f>41-AD54-AD55-AD56-19</f>
        <v>0</v>
      </c>
      <c r="AE59" s="113">
        <f>41-AE54-AE55-AE56-19</f>
        <v>0</v>
      </c>
      <c r="AF59" s="113">
        <f>41-AF54-AF55-AF56-23</f>
        <v>0</v>
      </c>
      <c r="AG59" s="113">
        <f t="shared" ref="AG59:AJ59" si="39">41-AG54-AG55-AG56-23</f>
        <v>0</v>
      </c>
      <c r="AH59" s="113">
        <f t="shared" si="39"/>
        <v>0</v>
      </c>
      <c r="AI59" s="113">
        <f t="shared" si="39"/>
        <v>0</v>
      </c>
      <c r="AJ59" s="113">
        <f t="shared" si="39"/>
        <v>0</v>
      </c>
      <c r="AK59" s="113">
        <f>41-AK54-AK55-AK56-19</f>
        <v>0</v>
      </c>
      <c r="AL59" s="113">
        <f>41-AL54-AL55-AL56-19</f>
        <v>0</v>
      </c>
      <c r="AM59" s="113">
        <f t="shared" ref="AM59:AN59" si="40">41-AM54-AM55-AM56-23</f>
        <v>0</v>
      </c>
      <c r="AN59" s="113">
        <f t="shared" si="40"/>
        <v>-1</v>
      </c>
    </row>
    <row r="60" spans="1:53" ht="24.6" customHeight="1">
      <c r="A60" s="80"/>
      <c r="B60" s="80"/>
      <c r="C60" s="80"/>
      <c r="D60" s="80"/>
      <c r="I60" s="80"/>
      <c r="J60" s="112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7"/>
    </row>
    <row r="61" spans="1:53" ht="24.6" customHeight="1" thickBot="1">
      <c r="A61" s="80"/>
      <c r="B61" s="80"/>
      <c r="C61" s="80"/>
      <c r="D61" s="80"/>
      <c r="I61" s="80"/>
      <c r="J61" s="112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113"/>
    </row>
    <row r="62" spans="1:53" ht="24.6" customHeight="1" thickBot="1">
      <c r="A62" s="80"/>
      <c r="B62" s="80"/>
      <c r="C62" s="80"/>
      <c r="D62" s="80"/>
      <c r="I62" s="80"/>
      <c r="J62" s="228" t="s">
        <v>47</v>
      </c>
      <c r="K62" s="299" cm="1">
        <f t="array" ref="K62">SUMPRODUCT(COUNTIF(K4:K18,{"1";"M1"}))</f>
        <v>1</v>
      </c>
      <c r="L62" s="230" cm="1">
        <f t="array" ref="L62">SUMPRODUCT(COUNTIF(L4:L18,{"1";"M1"}))</f>
        <v>1</v>
      </c>
      <c r="M62" s="230" cm="1">
        <f t="array" ref="M62">SUMPRODUCT(COUNTIF(M4:M18,{"1";"M1"}))</f>
        <v>1</v>
      </c>
      <c r="N62" s="230" cm="1">
        <f t="array" ref="N62">SUMPRODUCT(COUNTIF(N4:N18,{"1";"M1"}))</f>
        <v>1</v>
      </c>
      <c r="O62" s="230" cm="1">
        <f t="array" ref="O62">SUMPRODUCT(COUNTIF(O4:O18,{"1";"M1"}))</f>
        <v>1</v>
      </c>
      <c r="P62" s="231" cm="1">
        <f t="array" ref="P62">SUMPRODUCT(COUNTIF(P4:P18,{"1";"M1"}))</f>
        <v>1</v>
      </c>
      <c r="Q62" s="231" cm="1">
        <f t="array" ref="Q62">SUMPRODUCT(COUNTIF(Q4:Q18,{"1";"M1"}))</f>
        <v>2</v>
      </c>
      <c r="R62" s="230" cm="1">
        <f t="array" ref="R62">SUMPRODUCT(COUNTIF(R4:R18,{"1";"M1"}))</f>
        <v>1</v>
      </c>
      <c r="S62" s="230" cm="1">
        <f t="array" ref="S62">SUMPRODUCT(COUNTIF(S4:S18,{"1";"M1"}))</f>
        <v>1</v>
      </c>
      <c r="T62" s="230" cm="1">
        <f t="array" ref="T62">SUMPRODUCT(COUNTIF(T4:T18,{"1";"M1"}))</f>
        <v>1</v>
      </c>
      <c r="U62" s="230" cm="1">
        <f t="array" ref="U62">SUMPRODUCT(COUNTIF(U4:U18,{"1";"M1"}))</f>
        <v>1</v>
      </c>
      <c r="V62" s="230" cm="1">
        <f t="array" ref="V62">SUMPRODUCT(COUNTIF(V4:V18,{"1";"M1"}))</f>
        <v>1</v>
      </c>
      <c r="W62" s="231" cm="1">
        <f t="array" ref="W62">SUMPRODUCT(COUNTIF(W4:W18,{"1";"M1"}))</f>
        <v>1</v>
      </c>
      <c r="X62" s="231" cm="1">
        <f t="array" ref="X62">SUMPRODUCT(COUNTIF(X4:X18,{"1";"M1"}))</f>
        <v>1</v>
      </c>
      <c r="Y62" s="230" cm="1">
        <f t="array" ref="Y62">SUMPRODUCT(COUNTIF(Y4:Y18,{"1";"M1"}))</f>
        <v>1</v>
      </c>
      <c r="Z62" s="230" cm="1">
        <f t="array" ref="Z62">SUMPRODUCT(COUNTIF(Z4:Z18,{"1";"M1"}))</f>
        <v>1</v>
      </c>
      <c r="AA62" s="230" cm="1">
        <f t="array" ref="AA62">SUMPRODUCT(COUNTIF(AA4:AA18,{"1";"M1"}))</f>
        <v>1</v>
      </c>
      <c r="AB62" s="230" cm="1">
        <f t="array" ref="AB62">SUMPRODUCT(COUNTIF(AB4:AB18,{"1";"M1"}))</f>
        <v>1</v>
      </c>
      <c r="AC62" s="231" cm="1">
        <f t="array" ref="AC62">SUMPRODUCT(COUNTIF(AC4:AC18,{"1";"M1"}))</f>
        <v>0</v>
      </c>
      <c r="AD62" s="231" cm="1">
        <f t="array" ref="AD62">SUMPRODUCT(COUNTIF(AD4:AD18,{"1";"M1"}))</f>
        <v>1</v>
      </c>
      <c r="AE62" s="231" cm="1">
        <f t="array" ref="AE62">SUMPRODUCT(COUNTIF(AE4:AE18,{"1";"M1"}))</f>
        <v>1</v>
      </c>
      <c r="AF62" s="230" cm="1">
        <f t="array" ref="AF62">SUMPRODUCT(COUNTIF(AF4:AF18,{"1";"M1"}))</f>
        <v>1</v>
      </c>
      <c r="AG62" s="230" cm="1">
        <f t="array" ref="AG62">SUMPRODUCT(COUNTIF(AG4:AG18,{"1";"M1"}))</f>
        <v>1</v>
      </c>
      <c r="AH62" s="230" cm="1">
        <f t="array" ref="AH62">SUMPRODUCT(COUNTIF(AH4:AH18,{"1";"M1"}))</f>
        <v>1</v>
      </c>
      <c r="AI62" s="230" cm="1">
        <f t="array" ref="AI62">SUMPRODUCT(COUNTIF(AI4:AI18,{"1";"M1"}))</f>
        <v>2</v>
      </c>
      <c r="AJ62" s="230" cm="1">
        <f t="array" ref="AJ62">SUMPRODUCT(COUNTIF(AJ4:AJ18,{"1";"M1"}))</f>
        <v>1</v>
      </c>
      <c r="AK62" s="231" cm="1">
        <f t="array" ref="AK62">SUMPRODUCT(COUNTIF(AK4:AK18,{"1";"M1"}))</f>
        <v>0</v>
      </c>
      <c r="AL62" s="231" cm="1">
        <f t="array" ref="AL62">SUMPRODUCT(COUNTIF(AL4:AL18,{"1";"M1"}))</f>
        <v>0</v>
      </c>
      <c r="AM62" s="230" cm="1">
        <f t="array" ref="AM62">SUMPRODUCT(COUNTIF(AM4:AM18,{"1";"M1"}))</f>
        <v>1</v>
      </c>
      <c r="AN62" s="230" cm="1">
        <f t="array" ref="AN62">SUMPRODUCT(COUNTIF(AN4:AN18,{"1";"M1"}))</f>
        <v>2</v>
      </c>
    </row>
    <row r="63" spans="1:53" ht="24.6" customHeight="1">
      <c r="A63" s="80"/>
      <c r="B63" s="80"/>
      <c r="C63" s="80"/>
      <c r="D63" s="80"/>
      <c r="I63" s="80"/>
      <c r="L63" s="116"/>
      <c r="M63" s="116"/>
      <c r="N63" s="116"/>
      <c r="Q63" s="116"/>
    </row>
    <row r="115" spans="10:225" s="77" customFormat="1" ht="13.8"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7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</row>
  </sheetData>
  <autoFilter ref="AS3:AS57" xr:uid="{00000000-0009-0000-0000-000005000000}"/>
  <mergeCells count="11">
    <mergeCell ref="AU2:AW2"/>
    <mergeCell ref="K1:AH1"/>
    <mergeCell ref="AI1:AK1"/>
    <mergeCell ref="AL1:AN1"/>
    <mergeCell ref="I2:I3"/>
    <mergeCell ref="J2:J3"/>
    <mergeCell ref="A2:A3"/>
    <mergeCell ref="B2:B3"/>
    <mergeCell ref="C2:C3"/>
    <mergeCell ref="D2:D3"/>
    <mergeCell ref="E2:E3"/>
  </mergeCells>
  <conditionalFormatting sqref="K38:V38 K4:AN6 K7:AL7 K8:AN35 K36:AO36 K37:AN37 K39:AN44">
    <cfRule type="expression" dxfId="239" priority="17">
      <formula>OR(K4="晚", K4=3, K4="大夜")</formula>
    </cfRule>
  </conditionalFormatting>
  <conditionalFormatting sqref="K4:AN6 K7:AL7 K8:AN35 K36:AO36 K37:AN37 K38 M38:Y38 AB38:AH38 AJ38:AN38 K39:AN44">
    <cfRule type="expression" dxfId="238" priority="32">
      <formula>OR(K4="T中", K4="中", K4=2, K4="小夜")</formula>
    </cfRule>
    <cfRule type="expression" dxfId="237" priority="33">
      <formula>OR(K4="T早", K4="早", K4="M1", K4=1, K4="日")</formula>
    </cfRule>
  </conditionalFormatting>
  <conditionalFormatting sqref="K37:AN44 K4:AN6 K7:AL7 K8:AN35 K36:AO36">
    <cfRule type="expression" dxfId="236" priority="30">
      <formula>OR(     SUM(COUNTIF(K4:Q4, 上班代號)) &gt; 6,     AND(COLUMN()&gt;11, OR(         AND(SUM(COUNTIF(OFFSET(K4,0,-1), 中班組)), SUM(COUNTIF(K4, 早班組), COUNTIF(K4, 晚班組))),         AND(SUM(COUNTIF(OFFSET(K4,0,-1), 早班組)), SUM(COUNTIF(K4, 晚班組)))     )) )</formula>
    </cfRule>
  </conditionalFormatting>
  <conditionalFormatting sqref="K45:AN53">
    <cfRule type="cellIs" dxfId="235" priority="52" operator="equal">
      <formula>5</formula>
    </cfRule>
    <cfRule type="cellIs" dxfId="234" priority="53" operator="equal">
      <formula>4</formula>
    </cfRule>
    <cfRule type="cellIs" dxfId="233" priority="54" operator="equal">
      <formula>3</formula>
    </cfRule>
    <cfRule type="cellIs" dxfId="232" priority="55" operator="equal">
      <formula>2</formula>
    </cfRule>
    <cfRule type="cellIs" dxfId="231" priority="56" operator="equal">
      <formula>1</formula>
    </cfRule>
  </conditionalFormatting>
  <conditionalFormatting sqref="K51:AN53">
    <cfRule type="cellIs" dxfId="230" priority="57" operator="equal">
      <formula>"T中"</formula>
    </cfRule>
  </conditionalFormatting>
  <conditionalFormatting sqref="L38">
    <cfRule type="expression" dxfId="229" priority="15">
      <formula>OR(L38="T中", L38="中", L38=2, L38="小夜")</formula>
    </cfRule>
    <cfRule type="expression" dxfId="228" priority="16">
      <formula>OR(L38="T早", L38="早", L38="M1", L38=1, L38="日")</formula>
    </cfRule>
  </conditionalFormatting>
  <conditionalFormatting sqref="T38">
    <cfRule type="expression" dxfId="227" priority="7">
      <formula>OR(T38="T中", T38="中", T38=2, T38="小夜")</formula>
    </cfRule>
    <cfRule type="expression" dxfId="226" priority="8">
      <formula>OR(T38="T早", T38="早", T38="M1", T38=1, T38="日")</formula>
    </cfRule>
    <cfRule type="expression" dxfId="225" priority="9">
      <formula>OR(T38="晚", T38=3, T38="大夜")</formula>
    </cfRule>
  </conditionalFormatting>
  <conditionalFormatting sqref="V38">
    <cfRule type="expression" dxfId="224" priority="11">
      <formula>OR(V38="T中", V38="中", V38=2, V38="小夜")</formula>
    </cfRule>
    <cfRule type="expression" dxfId="223" priority="12">
      <formula>OR(V38="T早", V38="早", V38="M1", V38=1, V38="日")</formula>
    </cfRule>
    <cfRule type="expression" dxfId="222" priority="13">
      <formula>OR(V38="晚", V38=3, V38="大夜")</formula>
    </cfRule>
  </conditionalFormatting>
  <conditionalFormatting sqref="W38:AA38">
    <cfRule type="expression" dxfId="221" priority="21">
      <formula>OR(W38="晚", W38=3, W38="大夜")</formula>
    </cfRule>
  </conditionalFormatting>
  <conditionalFormatting sqref="Y38">
    <cfRule type="expression" dxfId="220" priority="6">
      <formula>OR(Y38="晚", Y38=3, Y38="大夜")</formula>
    </cfRule>
  </conditionalFormatting>
  <conditionalFormatting sqref="Z38:AA38">
    <cfRule type="expression" dxfId="219" priority="19">
      <formula>OR(Z38="T中", Z38="中", Z38=2, Z38="小夜")</formula>
    </cfRule>
    <cfRule type="expression" dxfId="218" priority="20">
      <formula>OR(Z38="T早", Z38="早", Z38="M1", Z38=1, Z38="日")</formula>
    </cfRule>
  </conditionalFormatting>
  <conditionalFormatting sqref="AB38:AN38">
    <cfRule type="expression" dxfId="217" priority="25">
      <formula>OR(AB38="晚", AB38=3, AB38="大夜")</formula>
    </cfRule>
  </conditionalFormatting>
  <conditionalFormatting sqref="AI38:AJ38">
    <cfRule type="expression" dxfId="216" priority="23">
      <formula>OR(AI38="T中", AI38="中", AI38=2, AI38="小夜")</formula>
    </cfRule>
    <cfRule type="expression" dxfId="215" priority="24">
      <formula>OR(AI38="T早", AI38="早", AI38="M1", AI38=1, AI38="日")</formula>
    </cfRule>
  </conditionalFormatting>
  <conditionalFormatting sqref="AJ38">
    <cfRule type="expression" dxfId="214" priority="1">
      <formula>OR(AJ38="晚", AJ38=3, AJ38="大夜")</formula>
    </cfRule>
  </conditionalFormatting>
  <conditionalFormatting sqref="AO24">
    <cfRule type="cellIs" dxfId="213" priority="60" operator="equal">
      <formula>"大夜"</formula>
    </cfRule>
    <cfRule type="cellIs" dxfId="212" priority="61" operator="equal">
      <formula>"晚"</formula>
    </cfRule>
    <cfRule type="cellIs" dxfId="211" priority="62" operator="equal">
      <formula>3</formula>
    </cfRule>
    <cfRule type="cellIs" dxfId="210" priority="63" operator="equal">
      <formula>"小夜"</formula>
    </cfRule>
    <cfRule type="cellIs" dxfId="209" priority="64" operator="equal">
      <formula>"T中"</formula>
    </cfRule>
    <cfRule type="cellIs" dxfId="208" priority="65" operator="equal">
      <formula>"中"</formula>
    </cfRule>
    <cfRule type="cellIs" dxfId="207" priority="66" operator="equal">
      <formula>"M2"</formula>
    </cfRule>
    <cfRule type="cellIs" dxfId="206" priority="67" operator="equal">
      <formula>2</formula>
    </cfRule>
    <cfRule type="cellIs" dxfId="205" priority="68" operator="equal">
      <formula>"日"</formula>
    </cfRule>
    <cfRule type="cellIs" dxfId="204" priority="69" operator="equal">
      <formula>"T早"</formula>
    </cfRule>
    <cfRule type="cellIs" dxfId="203" priority="70" operator="equal">
      <formula>"早"</formula>
    </cfRule>
    <cfRule type="cellIs" dxfId="202" priority="71" operator="equal">
      <formula>"M1"</formula>
    </cfRule>
    <cfRule type="cellIs" dxfId="201" priority="72" operator="equal">
      <formula>1</formula>
    </cfRule>
  </conditionalFormatting>
  <conditionalFormatting sqref="AR4:AR44">
    <cfRule type="cellIs" dxfId="200" priority="58" operator="equal">
      <formula>-2</formula>
    </cfRule>
    <cfRule type="cellIs" dxfId="199" priority="59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20E85-12E6-4AD0-A15C-4B7B553FF313}">
  <sheetPr>
    <pageSetUpPr fitToPage="1"/>
  </sheetPr>
  <dimension ref="A1:HS115"/>
  <sheetViews>
    <sheetView zoomScale="70" zoomScaleNormal="70" workbookViewId="0">
      <pane xSplit="11" ySplit="3" topLeftCell="L4" activePane="bottomRight" state="frozen"/>
      <selection pane="topRight" activeCell="K1" sqref="K1"/>
      <selection pane="bottomLeft" activeCell="A4" sqref="A4"/>
      <selection pane="bottomRight" activeCell="AM57" sqref="AM57"/>
    </sheetView>
  </sheetViews>
  <sheetFormatPr defaultColWidth="9" defaultRowHeight="24.6" customHeight="1"/>
  <cols>
    <col min="1" max="10" width="4.109375" style="77" customWidth="1"/>
    <col min="11" max="11" width="23.109375" style="6" customWidth="1"/>
    <col min="12" max="39" width="6.109375" style="6" customWidth="1"/>
    <col min="40" max="40" width="6" style="6" customWidth="1"/>
    <col min="41" max="42" width="6.109375" style="6" customWidth="1"/>
    <col min="43" max="44" width="7.88671875" style="6" customWidth="1"/>
    <col min="45" max="45" width="7.88671875" style="7" customWidth="1"/>
    <col min="46" max="46" width="5.88671875" style="6" customWidth="1"/>
    <col min="47" max="234" width="9" style="6" customWidth="1"/>
    <col min="235" max="235" width="7.109375" style="6" customWidth="1"/>
    <col min="236" max="16384" width="9" style="6"/>
  </cols>
  <sheetData>
    <row r="1" spans="1:227" ht="24.6" customHeight="1" thickBot="1">
      <c r="A1" s="1"/>
      <c r="B1" s="2" t="s">
        <v>103</v>
      </c>
      <c r="C1" s="1"/>
      <c r="D1" s="1"/>
      <c r="E1" s="1"/>
      <c r="F1" s="1"/>
      <c r="G1" s="1"/>
      <c r="H1" s="1"/>
      <c r="I1" s="1"/>
      <c r="J1" s="3">
        <v>8</v>
      </c>
      <c r="K1" s="4"/>
      <c r="L1" s="474" t="str">
        <f>"TPKC剩餘人力："&amp;AS56&amp;" / NK剩餘人力："&amp;AT56&amp;" /  N班人力："&amp;AS51</f>
        <v>TPKC剩餘人力：5 / NK剩餘人力：2 /  N班人力：115</v>
      </c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5"/>
      <c r="AJ1" s="476"/>
      <c r="AK1" s="475"/>
      <c r="AL1" s="475"/>
      <c r="AM1" s="477"/>
      <c r="AN1" s="478"/>
      <c r="AO1" s="478"/>
      <c r="AP1" s="5"/>
      <c r="AS1" s="6"/>
      <c r="AT1" s="7"/>
    </row>
    <row r="2" spans="1:227" ht="23.25" customHeight="1" thickBot="1">
      <c r="A2" s="483">
        <v>1</v>
      </c>
      <c r="B2" s="485">
        <v>2</v>
      </c>
      <c r="C2" s="485">
        <v>3</v>
      </c>
      <c r="D2" s="487" t="s">
        <v>104</v>
      </c>
      <c r="E2" s="489" t="s">
        <v>105</v>
      </c>
      <c r="F2" s="489" t="s">
        <v>163</v>
      </c>
      <c r="G2" s="8" t="s">
        <v>106</v>
      </c>
      <c r="H2" s="8" t="s">
        <v>107</v>
      </c>
      <c r="I2" s="8" t="s">
        <v>108</v>
      </c>
      <c r="J2" s="479" t="s">
        <v>109</v>
      </c>
      <c r="K2" s="493" t="s">
        <v>161</v>
      </c>
      <c r="L2" s="12" t="s">
        <v>114</v>
      </c>
      <c r="M2" s="12" t="s">
        <v>115</v>
      </c>
      <c r="N2" s="13" t="s">
        <v>116</v>
      </c>
      <c r="O2" s="14" t="s">
        <v>117</v>
      </c>
      <c r="P2" s="14" t="s">
        <v>111</v>
      </c>
      <c r="Q2" s="9" t="s">
        <v>112</v>
      </c>
      <c r="R2" s="9" t="s">
        <v>113</v>
      </c>
      <c r="S2" s="9" t="s">
        <v>114</v>
      </c>
      <c r="T2" s="9" t="s">
        <v>115</v>
      </c>
      <c r="U2" s="10" t="s">
        <v>116</v>
      </c>
      <c r="V2" s="11" t="s">
        <v>117</v>
      </c>
      <c r="W2" s="11" t="s">
        <v>111</v>
      </c>
      <c r="X2" s="12" t="s">
        <v>112</v>
      </c>
      <c r="Y2" s="12" t="s">
        <v>113</v>
      </c>
      <c r="Z2" s="12" t="s">
        <v>114</v>
      </c>
      <c r="AA2" s="12" t="s">
        <v>115</v>
      </c>
      <c r="AB2" s="13" t="s">
        <v>116</v>
      </c>
      <c r="AC2" s="14" t="s">
        <v>117</v>
      </c>
      <c r="AD2" s="14" t="s">
        <v>111</v>
      </c>
      <c r="AE2" s="9" t="s">
        <v>112</v>
      </c>
      <c r="AF2" s="9" t="s">
        <v>113</v>
      </c>
      <c r="AG2" s="9" t="s">
        <v>114</v>
      </c>
      <c r="AH2" s="9" t="s">
        <v>115</v>
      </c>
      <c r="AI2" s="10" t="s">
        <v>116</v>
      </c>
      <c r="AJ2" s="11" t="s">
        <v>117</v>
      </c>
      <c r="AK2" s="11" t="s">
        <v>111</v>
      </c>
      <c r="AL2" s="12" t="s">
        <v>112</v>
      </c>
      <c r="AM2" s="12" t="s">
        <v>113</v>
      </c>
      <c r="AN2" s="12" t="s">
        <v>114</v>
      </c>
      <c r="AO2" s="12" t="s">
        <v>115</v>
      </c>
      <c r="AP2" s="349" t="s">
        <v>116</v>
      </c>
      <c r="AS2" s="6"/>
      <c r="AW2" s="471" t="s">
        <v>48</v>
      </c>
      <c r="AX2" s="472"/>
      <c r="AY2" s="473"/>
    </row>
    <row r="3" spans="1:227" ht="24.6" customHeight="1" thickBot="1">
      <c r="A3" s="484"/>
      <c r="B3" s="486"/>
      <c r="C3" s="486"/>
      <c r="D3" s="488"/>
      <c r="E3" s="490"/>
      <c r="F3" s="490"/>
      <c r="G3" s="15" t="s">
        <v>118</v>
      </c>
      <c r="H3" s="15" t="s">
        <v>119</v>
      </c>
      <c r="I3" s="16" t="s">
        <v>120</v>
      </c>
      <c r="J3" s="480"/>
      <c r="K3" s="494"/>
      <c r="L3" s="354">
        <v>1</v>
      </c>
      <c r="M3" s="17">
        <v>2</v>
      </c>
      <c r="N3" s="17">
        <v>3</v>
      </c>
      <c r="O3" s="18">
        <v>4</v>
      </c>
      <c r="P3" s="18">
        <v>5</v>
      </c>
      <c r="Q3" s="17">
        <v>6</v>
      </c>
      <c r="R3" s="17">
        <v>7</v>
      </c>
      <c r="S3" s="17">
        <v>8</v>
      </c>
      <c r="T3" s="17">
        <v>9</v>
      </c>
      <c r="U3" s="17">
        <v>10</v>
      </c>
      <c r="V3" s="18">
        <v>11</v>
      </c>
      <c r="W3" s="18">
        <v>12</v>
      </c>
      <c r="X3" s="17">
        <v>13</v>
      </c>
      <c r="Y3" s="17">
        <v>14</v>
      </c>
      <c r="Z3" s="17">
        <v>15</v>
      </c>
      <c r="AA3" s="17">
        <v>16</v>
      </c>
      <c r="AB3" s="17">
        <v>17</v>
      </c>
      <c r="AC3" s="18">
        <v>18</v>
      </c>
      <c r="AD3" s="18">
        <v>19</v>
      </c>
      <c r="AE3" s="17">
        <v>20</v>
      </c>
      <c r="AF3" s="17">
        <v>21</v>
      </c>
      <c r="AG3" s="17">
        <v>22</v>
      </c>
      <c r="AH3" s="17">
        <v>23</v>
      </c>
      <c r="AI3" s="17">
        <v>24</v>
      </c>
      <c r="AJ3" s="18">
        <v>25</v>
      </c>
      <c r="AK3" s="18">
        <v>26</v>
      </c>
      <c r="AL3" s="17">
        <v>27</v>
      </c>
      <c r="AM3" s="17">
        <v>28</v>
      </c>
      <c r="AN3" s="17">
        <v>29</v>
      </c>
      <c r="AO3" s="17">
        <v>30</v>
      </c>
      <c r="AP3" s="355">
        <v>31</v>
      </c>
      <c r="AQ3" s="19" t="s">
        <v>121</v>
      </c>
      <c r="AR3" s="19" t="s">
        <v>122</v>
      </c>
      <c r="AS3" s="20" t="s">
        <v>123</v>
      </c>
      <c r="AT3" s="21" t="s">
        <v>109</v>
      </c>
      <c r="AU3" s="22" t="s">
        <v>124</v>
      </c>
      <c r="AW3" s="117" t="s">
        <v>49</v>
      </c>
      <c r="AX3" s="117" t="s">
        <v>50</v>
      </c>
      <c r="AY3" s="117" t="s">
        <v>51</v>
      </c>
    </row>
    <row r="4" spans="1:227" ht="25.5" customHeight="1">
      <c r="A4" s="23">
        <f t="shared" ref="A4:A10" si="0">COUNTIF(L4:AP4,1)+COUNTIF(L4:AP4,"早")+COUNTIF(L4:AP4,"M1")+COUNTIF(L4:AP4,"T早")+COUNTIF(L4:AP4,"日")</f>
        <v>0</v>
      </c>
      <c r="B4" s="24">
        <f t="shared" ref="B4:B10" si="1">COUNTIF(L4:AP4,2)+COUNTIF(L4:AP4,"中")+COUNTIF(L4:AP4,"M2")+COUNTIF(L4:AP4,"T中")+COUNTIF(L4:AP4,"小夜")</f>
        <v>0</v>
      </c>
      <c r="C4" s="25">
        <f t="shared" ref="C4:C10" si="2">COUNTIF(L4:AP4,3)+COUNTIF(L4:AP4,"晚")+COUNTIF(L4:AP4,"大夜")</f>
        <v>22</v>
      </c>
      <c r="D4" s="24">
        <f t="shared" ref="D4:D10" si="3">COUNTIF(L4:AP4,"N")+COUNTIF(L4:AP4,"N8")</f>
        <v>0</v>
      </c>
      <c r="E4" s="26">
        <f t="shared" ref="E4:E10" si="4">COUNTIF(L4:AP4,"S")</f>
        <v>1</v>
      </c>
      <c r="F4" s="26">
        <f>COUNTIF(L4:AP4,"T")</f>
        <v>0</v>
      </c>
      <c r="G4" s="26">
        <f>COUNTIF(L4:AP4,"X")</f>
        <v>4</v>
      </c>
      <c r="H4" s="26">
        <f>COUNTIF(L4:AP4,"Y")</f>
        <v>4</v>
      </c>
      <c r="I4" s="26">
        <f>COUNTIF(L4:AP4,"Z")</f>
        <v>0</v>
      </c>
      <c r="J4" s="176">
        <f t="shared" ref="J4:J10" si="5">SUM(A4:I4)</f>
        <v>31</v>
      </c>
      <c r="K4" s="361" t="s">
        <v>152</v>
      </c>
      <c r="L4" s="198">
        <v>3</v>
      </c>
      <c r="M4" s="118">
        <v>3</v>
      </c>
      <c r="N4" s="118">
        <v>3</v>
      </c>
      <c r="O4" s="29" t="s">
        <v>52</v>
      </c>
      <c r="P4" s="29" t="s">
        <v>0</v>
      </c>
      <c r="Q4" s="118">
        <v>3</v>
      </c>
      <c r="R4" s="118">
        <v>3</v>
      </c>
      <c r="S4" s="118">
        <v>3</v>
      </c>
      <c r="T4" s="118">
        <v>3</v>
      </c>
      <c r="U4" s="118">
        <v>3</v>
      </c>
      <c r="V4" s="31" t="s">
        <v>52</v>
      </c>
      <c r="W4" s="33" t="s">
        <v>1</v>
      </c>
      <c r="X4" s="31" t="s">
        <v>0</v>
      </c>
      <c r="Y4" s="29" t="s">
        <v>40</v>
      </c>
      <c r="Z4" s="29" t="s">
        <v>40</v>
      </c>
      <c r="AA4" s="29" t="s">
        <v>40</v>
      </c>
      <c r="AB4" s="29" t="s">
        <v>40</v>
      </c>
      <c r="AC4" s="29" t="s">
        <v>52</v>
      </c>
      <c r="AD4" s="29">
        <v>3</v>
      </c>
      <c r="AE4" s="118">
        <v>3</v>
      </c>
      <c r="AF4" s="118">
        <v>3</v>
      </c>
      <c r="AG4" s="118">
        <v>3</v>
      </c>
      <c r="AH4" s="118">
        <v>3</v>
      </c>
      <c r="AI4" s="118">
        <v>3</v>
      </c>
      <c r="AJ4" s="31" t="s">
        <v>52</v>
      </c>
      <c r="AK4" s="31" t="s">
        <v>0</v>
      </c>
      <c r="AL4" s="33" t="s">
        <v>0</v>
      </c>
      <c r="AM4" s="118">
        <v>3</v>
      </c>
      <c r="AN4" s="118">
        <v>3</v>
      </c>
      <c r="AO4" s="118" t="s">
        <v>40</v>
      </c>
      <c r="AP4" s="119">
        <v>3</v>
      </c>
      <c r="AQ4" s="35">
        <v>0</v>
      </c>
      <c r="AR4" s="36">
        <f t="shared" ref="AR4:AR44" si="6">$G4+$H4+I4-$J$1</f>
        <v>0</v>
      </c>
      <c r="AS4" s="36">
        <v>0</v>
      </c>
      <c r="AT4" s="133">
        <f>SUM(AQ4:AS4)</f>
        <v>0</v>
      </c>
      <c r="AU4" s="328" t="s">
        <v>126</v>
      </c>
      <c r="AW4" s="6" cm="2">
        <f t="array" ref="AW4">SUMPRODUCT(COUNTIF(O4:P4,{"X";"Y";"Z";"S"}))+SUMPRODUCT(COUNTIF(V4:W4,{"X";"Y";"Z";"S"}))+SUMPRODUCT(COUNTIF(AC4:AD4,{"X";"Y";"Z";"S"}))+SUMPRODUCT(COUNTIF(AJ4:AK4,{"X";"Y";"Z";"S"}))-5</f>
        <v>2</v>
      </c>
      <c r="AX4" s="6">
        <v>3</v>
      </c>
      <c r="AY4" s="6">
        <f>AW4+AX4</f>
        <v>5</v>
      </c>
    </row>
    <row r="5" spans="1:227" ht="25.5" customHeight="1">
      <c r="A5" s="38">
        <f t="shared" si="0"/>
        <v>4</v>
      </c>
      <c r="B5" s="39">
        <f t="shared" si="1"/>
        <v>5</v>
      </c>
      <c r="C5" s="40">
        <f t="shared" si="2"/>
        <v>8</v>
      </c>
      <c r="D5" s="39">
        <f t="shared" si="3"/>
        <v>3</v>
      </c>
      <c r="E5" s="41">
        <f t="shared" si="4"/>
        <v>3</v>
      </c>
      <c r="F5" s="41">
        <f t="shared" ref="F5:F44" si="7">COUNTIF(L5:AP5,"T")</f>
        <v>0</v>
      </c>
      <c r="G5" s="41">
        <f t="shared" ref="G5:G38" si="8">COUNTIF(L5:AP5,"X")</f>
        <v>4</v>
      </c>
      <c r="H5" s="41">
        <f t="shared" ref="H5:H38" si="9">COUNTIF(L5:AP5,"Y")</f>
        <v>4</v>
      </c>
      <c r="I5" s="41">
        <f t="shared" ref="I5:I38" si="10">COUNTIF(L5:AP5,"Z")</f>
        <v>0</v>
      </c>
      <c r="J5" s="177">
        <f t="shared" si="5"/>
        <v>31</v>
      </c>
      <c r="K5" s="362" t="s">
        <v>2</v>
      </c>
      <c r="L5" s="122" t="s">
        <v>1</v>
      </c>
      <c r="M5" s="32" t="s">
        <v>1</v>
      </c>
      <c r="N5" s="32" t="s">
        <v>52</v>
      </c>
      <c r="O5" s="121">
        <v>2</v>
      </c>
      <c r="P5" s="30">
        <v>2</v>
      </c>
      <c r="Q5" s="30">
        <v>2</v>
      </c>
      <c r="R5" s="30">
        <v>2</v>
      </c>
      <c r="S5" s="30" t="s">
        <v>0</v>
      </c>
      <c r="T5" s="30" t="s">
        <v>36</v>
      </c>
      <c r="U5" s="121">
        <v>2</v>
      </c>
      <c r="V5" s="44" t="s">
        <v>52</v>
      </c>
      <c r="W5" s="44" t="s">
        <v>0</v>
      </c>
      <c r="X5" s="121">
        <v>3</v>
      </c>
      <c r="Y5" s="121">
        <v>3</v>
      </c>
      <c r="Z5" s="121">
        <v>3</v>
      </c>
      <c r="AA5" s="121">
        <v>3</v>
      </c>
      <c r="AB5" s="121">
        <v>3</v>
      </c>
      <c r="AC5" s="44" t="s">
        <v>52</v>
      </c>
      <c r="AD5" s="44" t="s">
        <v>0</v>
      </c>
      <c r="AE5" s="32" t="s">
        <v>1</v>
      </c>
      <c r="AF5" s="30" t="s">
        <v>36</v>
      </c>
      <c r="AG5" s="30" t="s">
        <v>3</v>
      </c>
      <c r="AH5" s="30" t="s">
        <v>36</v>
      </c>
      <c r="AI5" s="30" t="s">
        <v>52</v>
      </c>
      <c r="AJ5" s="121">
        <v>3</v>
      </c>
      <c r="AK5" s="121">
        <v>3</v>
      </c>
      <c r="AL5" s="120">
        <v>3</v>
      </c>
      <c r="AM5" s="30" t="s">
        <v>0</v>
      </c>
      <c r="AN5" s="30" t="s">
        <v>3</v>
      </c>
      <c r="AO5" s="30" t="s">
        <v>3</v>
      </c>
      <c r="AP5" s="48" t="s">
        <v>36</v>
      </c>
      <c r="AQ5" s="45">
        <v>0</v>
      </c>
      <c r="AR5" s="46">
        <f t="shared" si="6"/>
        <v>0</v>
      </c>
      <c r="AS5" s="46">
        <v>0</v>
      </c>
      <c r="AT5" s="134">
        <f t="shared" ref="AT5:AT44" si="11">SUM(AQ5:AS5)</f>
        <v>0</v>
      </c>
      <c r="AU5" s="329" t="s">
        <v>128</v>
      </c>
    </row>
    <row r="6" spans="1:227" ht="25.5" customHeight="1">
      <c r="A6" s="38">
        <f t="shared" si="0"/>
        <v>2</v>
      </c>
      <c r="B6" s="39">
        <f t="shared" si="1"/>
        <v>1</v>
      </c>
      <c r="C6" s="40">
        <f t="shared" si="2"/>
        <v>0</v>
      </c>
      <c r="D6" s="39">
        <f t="shared" si="3"/>
        <v>14</v>
      </c>
      <c r="E6" s="41">
        <f t="shared" si="4"/>
        <v>5</v>
      </c>
      <c r="F6" s="41">
        <f t="shared" si="7"/>
        <v>1</v>
      </c>
      <c r="G6" s="41">
        <f t="shared" si="8"/>
        <v>4</v>
      </c>
      <c r="H6" s="41">
        <f t="shared" si="9"/>
        <v>4</v>
      </c>
      <c r="I6" s="41">
        <f t="shared" si="10"/>
        <v>0</v>
      </c>
      <c r="J6" s="177">
        <f t="shared" si="5"/>
        <v>31</v>
      </c>
      <c r="K6" s="363" t="s">
        <v>129</v>
      </c>
      <c r="L6" s="336" t="s">
        <v>3</v>
      </c>
      <c r="M6" s="32" t="s">
        <v>1</v>
      </c>
      <c r="N6" s="32" t="s">
        <v>1</v>
      </c>
      <c r="O6" s="44" t="s">
        <v>0</v>
      </c>
      <c r="P6" s="44" t="s">
        <v>0</v>
      </c>
      <c r="Q6" s="53" t="s">
        <v>3</v>
      </c>
      <c r="R6" s="53" t="s">
        <v>3</v>
      </c>
      <c r="S6" s="53" t="s">
        <v>3</v>
      </c>
      <c r="T6" s="53" t="s">
        <v>3</v>
      </c>
      <c r="U6" s="30" t="s">
        <v>163</v>
      </c>
      <c r="V6" s="121">
        <v>1</v>
      </c>
      <c r="W6" s="121">
        <v>1</v>
      </c>
      <c r="X6" s="30" t="s">
        <v>52</v>
      </c>
      <c r="Y6" s="53" t="s">
        <v>3</v>
      </c>
      <c r="Z6" s="32" t="s">
        <v>1</v>
      </c>
      <c r="AA6" s="30" t="s">
        <v>3</v>
      </c>
      <c r="AB6" s="53" t="s">
        <v>3</v>
      </c>
      <c r="AC6" s="44" t="s">
        <v>52</v>
      </c>
      <c r="AD6" s="44" t="s">
        <v>0</v>
      </c>
      <c r="AE6" s="32" t="s">
        <v>1</v>
      </c>
      <c r="AF6" s="32" t="s">
        <v>1</v>
      </c>
      <c r="AG6" s="30" t="s">
        <v>3</v>
      </c>
      <c r="AH6" s="30" t="s">
        <v>3</v>
      </c>
      <c r="AI6" s="53" t="s">
        <v>3</v>
      </c>
      <c r="AJ6" s="30" t="s">
        <v>52</v>
      </c>
      <c r="AK6" s="121">
        <v>2</v>
      </c>
      <c r="AL6" s="30" t="s">
        <v>0</v>
      </c>
      <c r="AM6" s="30" t="s">
        <v>3</v>
      </c>
      <c r="AN6" s="30" t="s">
        <v>3</v>
      </c>
      <c r="AO6" s="30" t="s">
        <v>52</v>
      </c>
      <c r="AP6" s="265" t="s">
        <v>3</v>
      </c>
      <c r="AQ6" s="45">
        <v>0</v>
      </c>
      <c r="AR6" s="46">
        <f t="shared" si="6"/>
        <v>0</v>
      </c>
      <c r="AS6" s="46">
        <v>0</v>
      </c>
      <c r="AT6" s="134">
        <f t="shared" si="11"/>
        <v>0</v>
      </c>
      <c r="AU6" s="329" t="s">
        <v>128</v>
      </c>
      <c r="AW6" s="6" cm="2">
        <f t="array" ref="AW6">SUMPRODUCT(COUNTIF(O6:P6,{"X";"Y";"Z";"S"}))+SUMPRODUCT(COUNTIF(V6:W6,{"X";"Y";"Z";"S"}))+SUMPRODUCT(COUNTIF(AC6:AD6,{"X";"Y";"Z";"S"}))+SUMPRODUCT(COUNTIF(AJ6:AK6,{"X";"Y";"Z";"S"}))-5</f>
        <v>0</v>
      </c>
      <c r="AX6" s="6">
        <v>1</v>
      </c>
      <c r="AY6" s="6">
        <f t="shared" ref="AY6:AY7" si="12">AW6+AX6</f>
        <v>1</v>
      </c>
    </row>
    <row r="7" spans="1:227" ht="25.2" customHeight="1">
      <c r="A7" s="38">
        <f t="shared" si="0"/>
        <v>15</v>
      </c>
      <c r="B7" s="39">
        <f t="shared" si="1"/>
        <v>1</v>
      </c>
      <c r="C7" s="40">
        <f t="shared" si="2"/>
        <v>0</v>
      </c>
      <c r="D7" s="39">
        <f t="shared" si="3"/>
        <v>5</v>
      </c>
      <c r="E7" s="41">
        <f t="shared" si="4"/>
        <v>2</v>
      </c>
      <c r="F7" s="41">
        <f t="shared" si="7"/>
        <v>0</v>
      </c>
      <c r="G7" s="41">
        <f t="shared" si="8"/>
        <v>4</v>
      </c>
      <c r="H7" s="41">
        <f t="shared" si="9"/>
        <v>4</v>
      </c>
      <c r="I7" s="41">
        <f t="shared" si="10"/>
        <v>0</v>
      </c>
      <c r="J7" s="177">
        <f t="shared" si="5"/>
        <v>31</v>
      </c>
      <c r="K7" s="363" t="s">
        <v>130</v>
      </c>
      <c r="L7" s="356" t="s">
        <v>41</v>
      </c>
      <c r="M7" s="348" t="s">
        <v>41</v>
      </c>
      <c r="N7" s="348" t="s">
        <v>41</v>
      </c>
      <c r="O7" s="44" t="s">
        <v>52</v>
      </c>
      <c r="P7" s="44" t="s">
        <v>0</v>
      </c>
      <c r="Q7" s="30" t="s">
        <v>0</v>
      </c>
      <c r="R7" s="121" t="s">
        <v>36</v>
      </c>
      <c r="S7" s="121" t="s">
        <v>36</v>
      </c>
      <c r="T7" s="30" t="s">
        <v>36</v>
      </c>
      <c r="U7" s="30" t="s">
        <v>36</v>
      </c>
      <c r="V7" s="30">
        <v>1</v>
      </c>
      <c r="W7" s="30">
        <v>1</v>
      </c>
      <c r="X7" s="30" t="s">
        <v>52</v>
      </c>
      <c r="Y7" s="121">
        <v>1</v>
      </c>
      <c r="Z7" s="30" t="s">
        <v>36</v>
      </c>
      <c r="AA7" s="30" t="s">
        <v>36</v>
      </c>
      <c r="AB7" s="30" t="s">
        <v>36</v>
      </c>
      <c r="AC7" s="44" t="s">
        <v>52</v>
      </c>
      <c r="AD7" s="44" t="s">
        <v>0</v>
      </c>
      <c r="AE7" s="53" t="s">
        <v>3</v>
      </c>
      <c r="AF7" s="121" t="s">
        <v>36</v>
      </c>
      <c r="AG7" s="121" t="s">
        <v>36</v>
      </c>
      <c r="AH7" s="30" t="s">
        <v>52</v>
      </c>
      <c r="AI7" s="121">
        <v>1</v>
      </c>
      <c r="AJ7" s="121">
        <v>2</v>
      </c>
      <c r="AK7" s="41" t="s">
        <v>0</v>
      </c>
      <c r="AL7" s="30" t="s">
        <v>36</v>
      </c>
      <c r="AM7" s="30" t="s">
        <v>3</v>
      </c>
      <c r="AN7" s="121" t="s">
        <v>36</v>
      </c>
      <c r="AO7" s="32" t="s">
        <v>1</v>
      </c>
      <c r="AP7" s="290" t="s">
        <v>1</v>
      </c>
      <c r="AQ7" s="45">
        <v>0</v>
      </c>
      <c r="AR7" s="46">
        <f t="shared" si="6"/>
        <v>0</v>
      </c>
      <c r="AS7" s="46">
        <v>0</v>
      </c>
      <c r="AT7" s="134">
        <f t="shared" si="11"/>
        <v>0</v>
      </c>
      <c r="AU7" s="329" t="s">
        <v>128</v>
      </c>
      <c r="AW7" s="6" cm="2">
        <f t="array" ref="AW7">SUMPRODUCT(COUNTIF(O7:P7,{"X";"Y";"Z";"S"}))+SUMPRODUCT(COUNTIF(V7:W7,{"X";"Y";"Z";"S"}))+SUMPRODUCT(COUNTIF(AC7:AD7,{"X";"Y";"Z";"S"}))+SUMPRODUCT(COUNTIF(AJ7:AK7,{"X";"Y";"Z";"S"}))-5</f>
        <v>0</v>
      </c>
      <c r="AX7" s="6">
        <v>2</v>
      </c>
      <c r="AY7" s="6">
        <f t="shared" si="12"/>
        <v>2</v>
      </c>
    </row>
    <row r="8" spans="1:227" ht="24" customHeight="1">
      <c r="A8" s="38">
        <f t="shared" si="0"/>
        <v>1</v>
      </c>
      <c r="B8" s="39">
        <f t="shared" si="1"/>
        <v>0</v>
      </c>
      <c r="C8" s="40">
        <f t="shared" si="2"/>
        <v>0</v>
      </c>
      <c r="D8" s="39">
        <f t="shared" si="3"/>
        <v>19</v>
      </c>
      <c r="E8" s="41">
        <f t="shared" si="4"/>
        <v>2</v>
      </c>
      <c r="F8" s="41">
        <f t="shared" si="7"/>
        <v>1</v>
      </c>
      <c r="G8" s="41">
        <f t="shared" si="8"/>
        <v>4</v>
      </c>
      <c r="H8" s="41">
        <f t="shared" si="9"/>
        <v>4</v>
      </c>
      <c r="I8" s="41">
        <f t="shared" si="10"/>
        <v>0</v>
      </c>
      <c r="J8" s="177">
        <f t="shared" si="5"/>
        <v>31</v>
      </c>
      <c r="K8" s="363" t="s">
        <v>132</v>
      </c>
      <c r="L8" s="30" t="s">
        <v>3</v>
      </c>
      <c r="M8" s="30" t="s">
        <v>3</v>
      </c>
      <c r="N8" s="30" t="s">
        <v>3</v>
      </c>
      <c r="O8" s="44" t="s">
        <v>52</v>
      </c>
      <c r="P8" s="44" t="s">
        <v>0</v>
      </c>
      <c r="Q8" s="32" t="s">
        <v>1</v>
      </c>
      <c r="R8" s="30" t="s">
        <v>3</v>
      </c>
      <c r="S8" s="121">
        <v>1</v>
      </c>
      <c r="T8" s="30" t="s">
        <v>3</v>
      </c>
      <c r="U8" s="30" t="s">
        <v>163</v>
      </c>
      <c r="V8" s="44" t="s">
        <v>52</v>
      </c>
      <c r="W8" s="44" t="s">
        <v>0</v>
      </c>
      <c r="X8" s="30" t="s">
        <v>3</v>
      </c>
      <c r="Y8" s="30" t="s">
        <v>3</v>
      </c>
      <c r="Z8" s="30" t="s">
        <v>3</v>
      </c>
      <c r="AA8" s="30" t="s">
        <v>3</v>
      </c>
      <c r="AB8" s="30" t="s">
        <v>3</v>
      </c>
      <c r="AC8" s="44" t="s">
        <v>52</v>
      </c>
      <c r="AD8" s="44" t="s">
        <v>0</v>
      </c>
      <c r="AE8" s="30" t="s">
        <v>3</v>
      </c>
      <c r="AF8" s="30" t="s">
        <v>3</v>
      </c>
      <c r="AG8" s="30" t="s">
        <v>3</v>
      </c>
      <c r="AH8" s="30" t="s">
        <v>3</v>
      </c>
      <c r="AI8" s="30" t="s">
        <v>3</v>
      </c>
      <c r="AJ8" s="44" t="s">
        <v>52</v>
      </c>
      <c r="AK8" s="44" t="s">
        <v>0</v>
      </c>
      <c r="AL8" s="30" t="s">
        <v>3</v>
      </c>
      <c r="AM8" s="30" t="s">
        <v>3</v>
      </c>
      <c r="AN8" s="30" t="s">
        <v>3</v>
      </c>
      <c r="AO8" s="30" t="s">
        <v>3</v>
      </c>
      <c r="AP8" s="32" t="s">
        <v>1</v>
      </c>
      <c r="AQ8" s="45">
        <v>0</v>
      </c>
      <c r="AR8" s="46">
        <f t="shared" si="6"/>
        <v>0</v>
      </c>
      <c r="AS8" s="46">
        <v>0</v>
      </c>
      <c r="AT8" s="134">
        <f t="shared" si="11"/>
        <v>0</v>
      </c>
      <c r="AU8" s="329" t="s">
        <v>133</v>
      </c>
    </row>
    <row r="9" spans="1:227" s="50" customFormat="1" ht="24.75" customHeight="1">
      <c r="A9" s="38">
        <f t="shared" si="0"/>
        <v>12</v>
      </c>
      <c r="B9" s="39">
        <f t="shared" si="1"/>
        <v>2</v>
      </c>
      <c r="C9" s="40">
        <f t="shared" si="2"/>
        <v>0</v>
      </c>
      <c r="D9" s="39">
        <f t="shared" si="3"/>
        <v>3</v>
      </c>
      <c r="E9" s="41">
        <f t="shared" si="4"/>
        <v>6</v>
      </c>
      <c r="F9" s="41">
        <f t="shared" si="7"/>
        <v>1</v>
      </c>
      <c r="G9" s="41">
        <f t="shared" si="8"/>
        <v>4</v>
      </c>
      <c r="H9" s="41">
        <f t="shared" si="9"/>
        <v>3</v>
      </c>
      <c r="I9" s="41">
        <f t="shared" si="10"/>
        <v>0</v>
      </c>
      <c r="J9" s="177">
        <f t="shared" si="5"/>
        <v>31</v>
      </c>
      <c r="K9" s="363" t="s">
        <v>4</v>
      </c>
      <c r="L9" s="49" t="s">
        <v>36</v>
      </c>
      <c r="M9" s="30" t="s">
        <v>36</v>
      </c>
      <c r="N9" s="30" t="s">
        <v>36</v>
      </c>
      <c r="O9" s="44" t="s">
        <v>0</v>
      </c>
      <c r="P9" s="32" t="s">
        <v>1</v>
      </c>
      <c r="Q9" s="32" t="s">
        <v>1</v>
      </c>
      <c r="R9" s="32" t="s">
        <v>1</v>
      </c>
      <c r="S9" s="32" t="s">
        <v>1</v>
      </c>
      <c r="T9" s="32" t="s">
        <v>1</v>
      </c>
      <c r="U9" s="44" t="s">
        <v>163</v>
      </c>
      <c r="V9" s="30" t="s">
        <v>38</v>
      </c>
      <c r="W9" s="30" t="s">
        <v>38</v>
      </c>
      <c r="X9" s="30" t="s">
        <v>52</v>
      </c>
      <c r="Y9" s="53" t="s">
        <v>3</v>
      </c>
      <c r="Z9" s="30" t="s">
        <v>36</v>
      </c>
      <c r="AA9" s="30" t="s">
        <v>3</v>
      </c>
      <c r="AB9" s="32" t="s">
        <v>1</v>
      </c>
      <c r="AC9" s="121" t="s">
        <v>36</v>
      </c>
      <c r="AD9" s="30" t="s">
        <v>0</v>
      </c>
      <c r="AE9" s="30" t="s">
        <v>36</v>
      </c>
      <c r="AF9" s="30" t="s">
        <v>3</v>
      </c>
      <c r="AG9" s="121">
        <v>1</v>
      </c>
      <c r="AH9" s="124" t="s">
        <v>5</v>
      </c>
      <c r="AI9" s="32" t="s">
        <v>0</v>
      </c>
      <c r="AJ9" s="44" t="s">
        <v>52</v>
      </c>
      <c r="AK9" s="44" t="s">
        <v>0</v>
      </c>
      <c r="AL9" s="30" t="s">
        <v>52</v>
      </c>
      <c r="AM9" s="30" t="s">
        <v>36</v>
      </c>
      <c r="AN9" s="121">
        <v>1</v>
      </c>
      <c r="AO9" s="30" t="s">
        <v>36</v>
      </c>
      <c r="AP9" s="126">
        <v>1</v>
      </c>
      <c r="AQ9" s="45">
        <v>0</v>
      </c>
      <c r="AR9" s="46">
        <f t="shared" si="6"/>
        <v>-1</v>
      </c>
      <c r="AS9" s="46">
        <v>0</v>
      </c>
      <c r="AT9" s="134">
        <f t="shared" si="11"/>
        <v>-1</v>
      </c>
      <c r="AU9" s="329" t="s">
        <v>126</v>
      </c>
      <c r="AV9" s="6"/>
      <c r="AW9" s="6" cm="2">
        <f t="array" ref="AW9">SUMPRODUCT(COUNTIF(O9:P9,{"X";"Y";"Z";"S"}))+SUMPRODUCT(COUNTIF(V9:W9,{"X";"Y";"Z";"S"}))+SUMPRODUCT(COUNTIF(AC9:AD9,{"X";"Y";"Z";"S"}))+SUMPRODUCT(COUNTIF(AJ9:AK9,{"X";"Y";"Z";"S"}))-5</f>
        <v>0</v>
      </c>
      <c r="AX9" s="6">
        <v>5</v>
      </c>
      <c r="AY9" s="6">
        <f t="shared" ref="AY9:AY13" si="13">AW9+AX9</f>
        <v>5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</row>
    <row r="10" spans="1:227" s="50" customFormat="1" ht="29.25" customHeight="1">
      <c r="A10" s="38">
        <f t="shared" si="0"/>
        <v>15</v>
      </c>
      <c r="B10" s="39">
        <f t="shared" si="1"/>
        <v>1</v>
      </c>
      <c r="C10" s="40">
        <f t="shared" si="2"/>
        <v>0</v>
      </c>
      <c r="D10" s="39">
        <f t="shared" si="3"/>
        <v>4</v>
      </c>
      <c r="E10" s="41">
        <f t="shared" si="4"/>
        <v>3</v>
      </c>
      <c r="F10" s="41">
        <f t="shared" si="7"/>
        <v>1</v>
      </c>
      <c r="G10" s="41">
        <f t="shared" si="8"/>
        <v>4</v>
      </c>
      <c r="H10" s="41">
        <f t="shared" si="9"/>
        <v>3</v>
      </c>
      <c r="I10" s="41">
        <f t="shared" si="10"/>
        <v>0</v>
      </c>
      <c r="J10" s="177">
        <f t="shared" si="5"/>
        <v>31</v>
      </c>
      <c r="K10" s="364" t="s">
        <v>134</v>
      </c>
      <c r="L10" s="356" t="s">
        <v>41</v>
      </c>
      <c r="M10" s="30" t="s">
        <v>0</v>
      </c>
      <c r="N10" s="121">
        <v>1</v>
      </c>
      <c r="O10" s="44" t="s">
        <v>0</v>
      </c>
      <c r="P10" s="44" t="s">
        <v>0</v>
      </c>
      <c r="Q10" s="30" t="s">
        <v>36</v>
      </c>
      <c r="R10" s="30" t="s">
        <v>36</v>
      </c>
      <c r="S10" s="30" t="s">
        <v>36</v>
      </c>
      <c r="T10" s="30" t="s">
        <v>3</v>
      </c>
      <c r="U10" s="32" t="s">
        <v>163</v>
      </c>
      <c r="V10" s="30" t="s">
        <v>36</v>
      </c>
      <c r="W10" s="30" t="s">
        <v>36</v>
      </c>
      <c r="X10" s="121" t="s">
        <v>36</v>
      </c>
      <c r="Y10" s="121" t="s">
        <v>36</v>
      </c>
      <c r="Z10" s="121" t="s">
        <v>36</v>
      </c>
      <c r="AA10" s="348" t="s">
        <v>41</v>
      </c>
      <c r="AB10" s="30" t="s">
        <v>52</v>
      </c>
      <c r="AC10" s="32" t="s">
        <v>1</v>
      </c>
      <c r="AD10" s="44" t="s">
        <v>0</v>
      </c>
      <c r="AE10" s="121" t="s">
        <v>36</v>
      </c>
      <c r="AF10" s="32" t="s">
        <v>1</v>
      </c>
      <c r="AG10" s="32" t="s">
        <v>1</v>
      </c>
      <c r="AH10" s="44" t="s">
        <v>52</v>
      </c>
      <c r="AI10" s="30" t="s">
        <v>3</v>
      </c>
      <c r="AJ10" s="30" t="s">
        <v>36</v>
      </c>
      <c r="AK10" s="30" t="s">
        <v>36</v>
      </c>
      <c r="AL10" s="121">
        <v>2</v>
      </c>
      <c r="AM10" s="136" t="s">
        <v>52</v>
      </c>
      <c r="AN10" s="136">
        <v>1</v>
      </c>
      <c r="AO10" s="30" t="s">
        <v>36</v>
      </c>
      <c r="AP10" s="48" t="s">
        <v>36</v>
      </c>
      <c r="AQ10" s="45">
        <v>0</v>
      </c>
      <c r="AR10" s="46">
        <f t="shared" si="6"/>
        <v>-1</v>
      </c>
      <c r="AS10" s="46">
        <v>0</v>
      </c>
      <c r="AT10" s="134">
        <f t="shared" si="11"/>
        <v>-1</v>
      </c>
      <c r="AU10" s="329" t="s">
        <v>128</v>
      </c>
      <c r="AV10" s="6"/>
      <c r="AW10" s="6" cm="2">
        <f t="array" ref="AW10">SUMPRODUCT(COUNTIF(O10:P10,{"X";"Y";"Z";"S"}))+SUMPRODUCT(COUNTIF(V10:W10,{"X";"Y";"Z";"S"}))+SUMPRODUCT(COUNTIF(AC10:AD10,{"X";"Y";"Z";"S"}))+SUMPRODUCT(COUNTIF(AJ10:AK10,{"X";"Y";"Z";"S"}))-5</f>
        <v>-1</v>
      </c>
      <c r="AX10" s="6">
        <v>2</v>
      </c>
      <c r="AY10" s="6">
        <f t="shared" si="13"/>
        <v>1</v>
      </c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</row>
    <row r="11" spans="1:227" s="50" customFormat="1" ht="25.5" customHeight="1">
      <c r="A11" s="38">
        <f t="shared" ref="A11:A14" si="14">COUNTIF(L11:AP11,1)+COUNTIF(L11:AP11,"早")+COUNTIF(L11:AP11,"M1")+COUNTIF(L11:AP11,"T早")+COUNTIF(L11:AP11,"日")</f>
        <v>16</v>
      </c>
      <c r="B11" s="39">
        <f t="shared" ref="B11:B14" si="15">COUNTIF(L11:AP11,2)+COUNTIF(L11:AP11,"中")+COUNTIF(L11:AP11,"M2")+COUNTIF(L11:AP11,"T中")+COUNTIF(L11:AP11,"小夜")</f>
        <v>3</v>
      </c>
      <c r="C11" s="40">
        <f t="shared" ref="C11:C14" si="16">COUNTIF(L11:AP11,3)+COUNTIF(L11:AP11,"晚")+COUNTIF(L11:AP11,"大夜")</f>
        <v>0</v>
      </c>
      <c r="D11" s="39">
        <f t="shared" ref="D11:D14" si="17">COUNTIF(L11:AP11,"N")+COUNTIF(L11:AP11,"N8")</f>
        <v>2</v>
      </c>
      <c r="E11" s="41">
        <f t="shared" ref="E11:E14" si="18">COUNTIF(L11:AP11,"S")</f>
        <v>2</v>
      </c>
      <c r="F11" s="41">
        <f t="shared" si="7"/>
        <v>1</v>
      </c>
      <c r="G11" s="41">
        <f t="shared" ref="G11:G14" si="19">COUNTIF(L11:AP11,"X")</f>
        <v>4</v>
      </c>
      <c r="H11" s="41">
        <f t="shared" ref="H11:H14" si="20">COUNTIF(L11:AP11,"Y")</f>
        <v>3</v>
      </c>
      <c r="I11" s="41">
        <f t="shared" ref="I11:I14" si="21">COUNTIF(L11:AP11,"Z")</f>
        <v>0</v>
      </c>
      <c r="J11" s="177">
        <f t="shared" ref="J11:J14" si="22">SUM(A11:I11)</f>
        <v>31</v>
      </c>
      <c r="K11" s="363" t="s">
        <v>6</v>
      </c>
      <c r="L11" s="121">
        <v>1</v>
      </c>
      <c r="M11" s="124" t="s">
        <v>5</v>
      </c>
      <c r="N11" s="32" t="s">
        <v>0</v>
      </c>
      <c r="O11" s="121">
        <v>1</v>
      </c>
      <c r="P11" s="121">
        <v>1</v>
      </c>
      <c r="Q11" s="30" t="s">
        <v>36</v>
      </c>
      <c r="R11" s="30">
        <v>1</v>
      </c>
      <c r="S11" s="30">
        <v>1</v>
      </c>
      <c r="T11" s="124" t="s">
        <v>5</v>
      </c>
      <c r="U11" s="44" t="s">
        <v>163</v>
      </c>
      <c r="V11" s="44" t="s">
        <v>52</v>
      </c>
      <c r="W11" s="44" t="s">
        <v>0</v>
      </c>
      <c r="X11" s="30" t="s">
        <v>36</v>
      </c>
      <c r="Y11" s="30" t="s">
        <v>36</v>
      </c>
      <c r="Z11" s="30" t="s">
        <v>36</v>
      </c>
      <c r="AA11" s="124" t="s">
        <v>5</v>
      </c>
      <c r="AB11" s="30" t="s">
        <v>3</v>
      </c>
      <c r="AC11" s="121">
        <v>2</v>
      </c>
      <c r="AD11" s="30" t="s">
        <v>0</v>
      </c>
      <c r="AE11" s="121">
        <v>2</v>
      </c>
      <c r="AF11" s="121">
        <v>2</v>
      </c>
      <c r="AG11" s="30" t="s">
        <v>52</v>
      </c>
      <c r="AH11" s="30" t="s">
        <v>36</v>
      </c>
      <c r="AI11" s="30" t="s">
        <v>36</v>
      </c>
      <c r="AJ11" s="44" t="s">
        <v>52</v>
      </c>
      <c r="AK11" s="32" t="s">
        <v>1</v>
      </c>
      <c r="AL11" s="32" t="s">
        <v>1</v>
      </c>
      <c r="AM11" s="30" t="s">
        <v>36</v>
      </c>
      <c r="AN11" s="30" t="s">
        <v>3</v>
      </c>
      <c r="AO11" s="124" t="s">
        <v>5</v>
      </c>
      <c r="AP11" s="48" t="s">
        <v>0</v>
      </c>
      <c r="AQ11" s="45">
        <v>0</v>
      </c>
      <c r="AR11" s="46">
        <f t="shared" si="6"/>
        <v>-1</v>
      </c>
      <c r="AS11" s="46">
        <v>0</v>
      </c>
      <c r="AT11" s="134">
        <f t="shared" si="11"/>
        <v>-1</v>
      </c>
      <c r="AU11" s="329" t="s">
        <v>126</v>
      </c>
      <c r="AV11" s="6"/>
      <c r="AW11" s="6" cm="2">
        <f t="array" ref="AW11">SUMPRODUCT(COUNTIF(O11:P11,{"X";"Y";"Z";"S"}))+SUMPRODUCT(COUNTIF(V11:W11,{"X";"Y";"Z";"S"}))+SUMPRODUCT(COUNTIF(AC11:AD11,{"X";"Y";"Z";"S"}))+SUMPRODUCT(COUNTIF(AJ11:AK11,{"X";"Y";"Z";"S"}))-5</f>
        <v>0</v>
      </c>
      <c r="AX11" s="6">
        <v>4</v>
      </c>
      <c r="AY11" s="6">
        <f t="shared" si="13"/>
        <v>4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</row>
    <row r="12" spans="1:227" s="50" customFormat="1" ht="25.5" customHeight="1">
      <c r="A12" s="38">
        <f t="shared" si="14"/>
        <v>14</v>
      </c>
      <c r="B12" s="39">
        <f t="shared" si="15"/>
        <v>2</v>
      </c>
      <c r="C12" s="40">
        <f t="shared" si="16"/>
        <v>0</v>
      </c>
      <c r="D12" s="39">
        <f t="shared" si="17"/>
        <v>3</v>
      </c>
      <c r="E12" s="41">
        <f t="shared" si="18"/>
        <v>4</v>
      </c>
      <c r="F12" s="41">
        <f t="shared" si="7"/>
        <v>0</v>
      </c>
      <c r="G12" s="41">
        <f t="shared" si="19"/>
        <v>4</v>
      </c>
      <c r="H12" s="41">
        <f t="shared" si="20"/>
        <v>4</v>
      </c>
      <c r="I12" s="41">
        <f t="shared" si="21"/>
        <v>0</v>
      </c>
      <c r="J12" s="177">
        <f t="shared" si="22"/>
        <v>31</v>
      </c>
      <c r="K12" s="363" t="s">
        <v>135</v>
      </c>
      <c r="L12" s="122" t="s">
        <v>1</v>
      </c>
      <c r="M12" s="32" t="s">
        <v>1</v>
      </c>
      <c r="N12" s="32" t="s">
        <v>1</v>
      </c>
      <c r="O12" s="44" t="s">
        <v>52</v>
      </c>
      <c r="P12" s="44" t="s">
        <v>0</v>
      </c>
      <c r="Q12" s="121">
        <v>1</v>
      </c>
      <c r="R12" s="121">
        <v>1</v>
      </c>
      <c r="S12" s="53" t="s">
        <v>3</v>
      </c>
      <c r="T12" s="30" t="s">
        <v>0</v>
      </c>
      <c r="U12" s="30" t="s">
        <v>36</v>
      </c>
      <c r="V12" s="121">
        <v>2</v>
      </c>
      <c r="W12" s="121">
        <v>2</v>
      </c>
      <c r="X12" s="30" t="s">
        <v>52</v>
      </c>
      <c r="Y12" s="30" t="s">
        <v>36</v>
      </c>
      <c r="Z12" s="121">
        <v>1</v>
      </c>
      <c r="AA12" s="30" t="s">
        <v>36</v>
      </c>
      <c r="AB12" s="121">
        <v>1</v>
      </c>
      <c r="AC12" s="44" t="s">
        <v>52</v>
      </c>
      <c r="AD12" s="44" t="s">
        <v>0</v>
      </c>
      <c r="AE12" s="30" t="s">
        <v>36</v>
      </c>
      <c r="AF12" s="30" t="s">
        <v>36</v>
      </c>
      <c r="AG12" s="30" t="s">
        <v>36</v>
      </c>
      <c r="AH12" s="30" t="s">
        <v>3</v>
      </c>
      <c r="AI12" s="30" t="s">
        <v>0</v>
      </c>
      <c r="AJ12" s="30" t="s">
        <v>36</v>
      </c>
      <c r="AK12" s="30" t="s">
        <v>36</v>
      </c>
      <c r="AL12" s="30" t="s">
        <v>36</v>
      </c>
      <c r="AM12" s="30" t="s">
        <v>3</v>
      </c>
      <c r="AN12" s="30" t="s">
        <v>36</v>
      </c>
      <c r="AO12" s="30" t="s">
        <v>52</v>
      </c>
      <c r="AP12" s="32" t="s">
        <v>1</v>
      </c>
      <c r="AQ12" s="45">
        <v>0</v>
      </c>
      <c r="AR12" s="46">
        <f t="shared" si="6"/>
        <v>0</v>
      </c>
      <c r="AS12" s="46">
        <v>0</v>
      </c>
      <c r="AT12" s="134">
        <f t="shared" si="11"/>
        <v>0</v>
      </c>
      <c r="AU12" s="329" t="s">
        <v>128</v>
      </c>
      <c r="AV12" s="6"/>
      <c r="AW12" s="6" cm="2">
        <f t="array" ref="AW12">SUMPRODUCT(COUNTIF(O12:P12,{"X";"Y";"Z";"S"}))+SUMPRODUCT(COUNTIF(V12:W12,{"X";"Y";"Z";"S"}))+SUMPRODUCT(COUNTIF(AC12:AD12,{"X";"Y";"Z";"S"}))+SUMPRODUCT(COUNTIF(AJ12:AK12,{"X";"Y";"Z";"S"}))-5</f>
        <v>-1</v>
      </c>
      <c r="AX12" s="6">
        <v>2</v>
      </c>
      <c r="AY12" s="6">
        <f t="shared" si="13"/>
        <v>1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</row>
    <row r="13" spans="1:227" s="50" customFormat="1" ht="28.35" customHeight="1">
      <c r="A13" s="38">
        <f t="shared" si="14"/>
        <v>12</v>
      </c>
      <c r="B13" s="39">
        <f t="shared" si="15"/>
        <v>0</v>
      </c>
      <c r="C13" s="40">
        <f t="shared" si="16"/>
        <v>0</v>
      </c>
      <c r="D13" s="39">
        <f t="shared" si="17"/>
        <v>8</v>
      </c>
      <c r="E13" s="41">
        <f t="shared" si="18"/>
        <v>3</v>
      </c>
      <c r="F13" s="41">
        <f t="shared" si="7"/>
        <v>0</v>
      </c>
      <c r="G13" s="41">
        <f t="shared" si="19"/>
        <v>4</v>
      </c>
      <c r="H13" s="41">
        <f t="shared" si="20"/>
        <v>4</v>
      </c>
      <c r="I13" s="41">
        <f t="shared" si="21"/>
        <v>0</v>
      </c>
      <c r="J13" s="177">
        <f t="shared" si="22"/>
        <v>31</v>
      </c>
      <c r="K13" s="364" t="s">
        <v>136</v>
      </c>
      <c r="L13" s="122" t="s">
        <v>1</v>
      </c>
      <c r="M13" s="32" t="s">
        <v>1</v>
      </c>
      <c r="N13" s="32" t="s">
        <v>1</v>
      </c>
      <c r="O13" s="44" t="s">
        <v>52</v>
      </c>
      <c r="P13" s="44" t="s">
        <v>0</v>
      </c>
      <c r="Q13" s="124" t="s">
        <v>162</v>
      </c>
      <c r="R13" s="53" t="s">
        <v>3</v>
      </c>
      <c r="S13" s="30">
        <v>1</v>
      </c>
      <c r="T13" s="30" t="s">
        <v>52</v>
      </c>
      <c r="U13" s="360" t="s">
        <v>36</v>
      </c>
      <c r="V13" s="30" t="s">
        <v>36</v>
      </c>
      <c r="W13" s="30" t="s">
        <v>36</v>
      </c>
      <c r="X13" s="30" t="s">
        <v>36</v>
      </c>
      <c r="Y13" s="30" t="s">
        <v>3</v>
      </c>
      <c r="Z13" s="30" t="s">
        <v>0</v>
      </c>
      <c r="AA13" s="348" t="s">
        <v>41</v>
      </c>
      <c r="AB13" s="124" t="s">
        <v>162</v>
      </c>
      <c r="AC13" s="30" t="s">
        <v>52</v>
      </c>
      <c r="AD13" s="121" t="s">
        <v>36</v>
      </c>
      <c r="AE13" s="30" t="s">
        <v>3</v>
      </c>
      <c r="AF13" s="53" t="s">
        <v>3</v>
      </c>
      <c r="AG13" s="30" t="s">
        <v>3</v>
      </c>
      <c r="AH13" s="30" t="s">
        <v>3</v>
      </c>
      <c r="AI13" s="124" t="s">
        <v>162</v>
      </c>
      <c r="AJ13" s="44" t="s">
        <v>52</v>
      </c>
      <c r="AK13" s="44" t="s">
        <v>0</v>
      </c>
      <c r="AL13" s="121">
        <v>1</v>
      </c>
      <c r="AM13" s="348" t="s">
        <v>41</v>
      </c>
      <c r="AN13" s="30" t="s">
        <v>36</v>
      </c>
      <c r="AO13" s="30" t="s">
        <v>0</v>
      </c>
      <c r="AP13" s="125" t="s">
        <v>162</v>
      </c>
      <c r="AQ13" s="45">
        <v>0</v>
      </c>
      <c r="AR13" s="46">
        <f t="shared" si="6"/>
        <v>0</v>
      </c>
      <c r="AS13" s="46">
        <v>0</v>
      </c>
      <c r="AT13" s="134">
        <f t="shared" si="11"/>
        <v>0</v>
      </c>
      <c r="AU13" s="329" t="s">
        <v>126</v>
      </c>
      <c r="AV13" s="6"/>
      <c r="AW13" s="6" cm="2">
        <f t="array" ref="AW13">SUMPRODUCT(COUNTIF(O13:P13,{"X";"Y";"Z";"S"}))+SUMPRODUCT(COUNTIF(V13:W13,{"X";"Y";"Z";"S"}))+SUMPRODUCT(COUNTIF(AC13:AD13,{"X";"Y";"Z";"S"}))+SUMPRODUCT(COUNTIF(AJ13:AK13,{"X";"Y";"Z";"S"}))-5</f>
        <v>0</v>
      </c>
      <c r="AX13" s="6">
        <v>4</v>
      </c>
      <c r="AY13" s="6">
        <f t="shared" si="13"/>
        <v>4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</row>
    <row r="14" spans="1:227" s="50" customFormat="1" ht="25.2" customHeight="1">
      <c r="A14" s="38">
        <f t="shared" si="14"/>
        <v>0</v>
      </c>
      <c r="B14" s="39">
        <f t="shared" si="15"/>
        <v>9</v>
      </c>
      <c r="C14" s="40">
        <f t="shared" si="16"/>
        <v>8</v>
      </c>
      <c r="D14" s="39">
        <f t="shared" si="17"/>
        <v>3</v>
      </c>
      <c r="E14" s="41">
        <f t="shared" si="18"/>
        <v>3</v>
      </c>
      <c r="F14" s="41">
        <f t="shared" si="7"/>
        <v>1</v>
      </c>
      <c r="G14" s="41">
        <f t="shared" si="19"/>
        <v>4</v>
      </c>
      <c r="H14" s="41">
        <f t="shared" si="20"/>
        <v>3</v>
      </c>
      <c r="I14" s="41">
        <f t="shared" si="21"/>
        <v>0</v>
      </c>
      <c r="J14" s="177">
        <f t="shared" si="22"/>
        <v>31</v>
      </c>
      <c r="K14" s="365" t="s">
        <v>7</v>
      </c>
      <c r="L14" s="122" t="s">
        <v>0</v>
      </c>
      <c r="M14" s="32" t="s">
        <v>1</v>
      </c>
      <c r="N14" s="32" t="s">
        <v>0</v>
      </c>
      <c r="O14" s="121">
        <v>3</v>
      </c>
      <c r="P14" s="121">
        <v>3</v>
      </c>
      <c r="Q14" s="32" t="s">
        <v>1</v>
      </c>
      <c r="R14" s="53" t="s">
        <v>3</v>
      </c>
      <c r="S14" s="53" t="s">
        <v>3</v>
      </c>
      <c r="T14" s="30">
        <v>2</v>
      </c>
      <c r="U14" s="30" t="s">
        <v>163</v>
      </c>
      <c r="V14" s="121">
        <v>3</v>
      </c>
      <c r="W14" s="121">
        <v>3</v>
      </c>
      <c r="X14" s="121">
        <v>2</v>
      </c>
      <c r="Y14" s="121">
        <v>2</v>
      </c>
      <c r="Z14" s="32" t="s">
        <v>52</v>
      </c>
      <c r="AA14" s="121" t="s">
        <v>38</v>
      </c>
      <c r="AB14" s="30" t="s">
        <v>0</v>
      </c>
      <c r="AC14" s="121">
        <v>3</v>
      </c>
      <c r="AD14" s="121">
        <v>3</v>
      </c>
      <c r="AE14" s="32" t="s">
        <v>1</v>
      </c>
      <c r="AF14" s="53" t="s">
        <v>3</v>
      </c>
      <c r="AG14" s="121">
        <v>2</v>
      </c>
      <c r="AH14" s="121">
        <v>2</v>
      </c>
      <c r="AI14" s="30" t="s">
        <v>52</v>
      </c>
      <c r="AJ14" s="30" t="s">
        <v>40</v>
      </c>
      <c r="AK14" s="30" t="s">
        <v>40</v>
      </c>
      <c r="AL14" s="30" t="s">
        <v>0</v>
      </c>
      <c r="AM14" s="121">
        <v>2</v>
      </c>
      <c r="AN14" s="121">
        <v>2</v>
      </c>
      <c r="AO14" s="121">
        <v>2</v>
      </c>
      <c r="AP14" s="48" t="s">
        <v>52</v>
      </c>
      <c r="AQ14" s="45">
        <v>0</v>
      </c>
      <c r="AR14" s="46">
        <f t="shared" si="6"/>
        <v>-1</v>
      </c>
      <c r="AS14" s="46">
        <v>0</v>
      </c>
      <c r="AT14" s="134">
        <f t="shared" si="11"/>
        <v>-1</v>
      </c>
      <c r="AU14" s="329" t="s">
        <v>128</v>
      </c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</row>
    <row r="15" spans="1:227" s="50" customFormat="1" ht="25.5" customHeight="1">
      <c r="A15" s="38">
        <f>COUNTIF(L15:AP15,1)+COUNTIF(L15:AP15,"早")+COUNTIF(L15:AP15,"M1")+COUNTIF(L15:AP15,"T早")+COUNTIF(L15:AP15,"日")</f>
        <v>13</v>
      </c>
      <c r="B15" s="39">
        <f>COUNTIF(L15:AP15,2)+COUNTIF(L15:AP15,"中")+COUNTIF(L15:AP15,"M2")+COUNTIF(L15:AP15,"T中")+COUNTIF(L15:AP15,"小夜")</f>
        <v>2</v>
      </c>
      <c r="C15" s="40">
        <f>COUNTIF(L15:AP15,3)+COUNTIF(L15:AP15,"晚")+COUNTIF(L15:AP15,"大夜")</f>
        <v>0</v>
      </c>
      <c r="D15" s="39">
        <f>COUNTIF(L15:AP15,"N")+COUNTIF(L15:AP15,"N8")</f>
        <v>6</v>
      </c>
      <c r="E15" s="41">
        <f>COUNTIF(L15:AP15,"S")</f>
        <v>2</v>
      </c>
      <c r="F15" s="41">
        <f t="shared" si="7"/>
        <v>0</v>
      </c>
      <c r="G15" s="41">
        <f t="shared" si="8"/>
        <v>4</v>
      </c>
      <c r="H15" s="41">
        <f t="shared" si="9"/>
        <v>4</v>
      </c>
      <c r="I15" s="41">
        <f t="shared" si="10"/>
        <v>0</v>
      </c>
      <c r="J15" s="177">
        <f>SUM(A15:I15)</f>
        <v>31</v>
      </c>
      <c r="K15" s="363" t="s">
        <v>8</v>
      </c>
      <c r="L15" s="122" t="s">
        <v>1</v>
      </c>
      <c r="M15" s="32" t="s">
        <v>0</v>
      </c>
      <c r="N15" s="53" t="s">
        <v>3</v>
      </c>
      <c r="O15" s="30">
        <v>1</v>
      </c>
      <c r="P15" s="121">
        <v>2</v>
      </c>
      <c r="Q15" s="44" t="s">
        <v>0</v>
      </c>
      <c r="R15" s="53" t="s">
        <v>3</v>
      </c>
      <c r="S15" s="53" t="s">
        <v>3</v>
      </c>
      <c r="T15" s="124" t="s">
        <v>58</v>
      </c>
      <c r="U15" s="121">
        <v>1</v>
      </c>
      <c r="V15" s="44" t="s">
        <v>52</v>
      </c>
      <c r="W15" s="44" t="s">
        <v>0</v>
      </c>
      <c r="X15" s="30">
        <v>1</v>
      </c>
      <c r="Y15" s="30">
        <v>1</v>
      </c>
      <c r="Z15" s="53" t="s">
        <v>3</v>
      </c>
      <c r="AA15" s="124" t="s">
        <v>58</v>
      </c>
      <c r="AB15" s="30" t="s">
        <v>36</v>
      </c>
      <c r="AC15" s="30" t="s">
        <v>52</v>
      </c>
      <c r="AD15" s="30" t="s">
        <v>36</v>
      </c>
      <c r="AE15" s="30" t="s">
        <v>36</v>
      </c>
      <c r="AF15" s="53" t="s">
        <v>3</v>
      </c>
      <c r="AG15" s="30" t="s">
        <v>0</v>
      </c>
      <c r="AH15" s="124" t="s">
        <v>58</v>
      </c>
      <c r="AI15" s="121">
        <v>2</v>
      </c>
      <c r="AJ15" s="44" t="s">
        <v>52</v>
      </c>
      <c r="AK15" s="32" t="s">
        <v>1</v>
      </c>
      <c r="AL15" s="30" t="s">
        <v>3</v>
      </c>
      <c r="AM15" s="121">
        <v>1</v>
      </c>
      <c r="AN15" s="30">
        <v>1</v>
      </c>
      <c r="AO15" s="124" t="s">
        <v>58</v>
      </c>
      <c r="AP15" s="48" t="s">
        <v>52</v>
      </c>
      <c r="AQ15" s="45">
        <v>0</v>
      </c>
      <c r="AR15" s="46">
        <f t="shared" si="6"/>
        <v>0</v>
      </c>
      <c r="AS15" s="46">
        <v>0</v>
      </c>
      <c r="AT15" s="134">
        <f t="shared" si="11"/>
        <v>0</v>
      </c>
      <c r="AU15" s="329" t="s">
        <v>126</v>
      </c>
      <c r="AV15" s="6"/>
      <c r="AW15" s="6" cm="2">
        <f t="array" ref="AW15">SUMPRODUCT(COUNTIF(O15:P15,{"X";"Y";"Z";"S"}))+SUMPRODUCT(COUNTIF(V15:W15,{"X";"Y";"Z";"S"}))+SUMPRODUCT(COUNTIF(AC15:AD15,{"X";"Y";"Z";"S"}))+SUMPRODUCT(COUNTIF(AJ15:AK15,{"X";"Y";"Z";"S"}))-5</f>
        <v>0</v>
      </c>
      <c r="AX15" s="6">
        <v>5</v>
      </c>
      <c r="AY15" s="6">
        <f t="shared" ref="AY15:AY18" si="23">AW15+AX15</f>
        <v>5</v>
      </c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</row>
    <row r="16" spans="1:227" s="50" customFormat="1" ht="25.5" customHeight="1">
      <c r="A16" s="38">
        <f t="shared" ref="A16" si="24">COUNTIF(L16:AP16,1)+COUNTIF(L16:AP16,"早")+COUNTIF(L16:AP16,"M1")+COUNTIF(L16:AP16,"T早")+COUNTIF(L16:AP16,"日")</f>
        <v>7</v>
      </c>
      <c r="B16" s="39">
        <f t="shared" ref="B16" si="25">COUNTIF(L16:AP16,2)+COUNTIF(L16:AP16,"中")+COUNTIF(L16:AP16,"M2")+COUNTIF(L16:AP16,"T中")+COUNTIF(L16:AP16,"小夜")</f>
        <v>1</v>
      </c>
      <c r="C16" s="40">
        <f t="shared" ref="C16" si="26">COUNTIF(L16:AP16,3)+COUNTIF(L16:AP16,"晚")+COUNTIF(L16:AP16,"大夜")</f>
        <v>0</v>
      </c>
      <c r="D16" s="39">
        <f t="shared" ref="D16" si="27">COUNTIF(L16:AP16,"N")+COUNTIF(L16:AP16,"N8")</f>
        <v>9</v>
      </c>
      <c r="E16" s="41">
        <f t="shared" ref="E16" si="28">COUNTIF(L16:AP16,"S")</f>
        <v>6</v>
      </c>
      <c r="F16" s="41">
        <f t="shared" si="7"/>
        <v>0</v>
      </c>
      <c r="G16" s="41">
        <f t="shared" ref="G16" si="29">COUNTIF(L16:AP16,"X")</f>
        <v>4</v>
      </c>
      <c r="H16" s="41">
        <f t="shared" ref="H16" si="30">COUNTIF(L16:AP16,"Y")</f>
        <v>4</v>
      </c>
      <c r="I16" s="41">
        <f t="shared" ref="I16" si="31">COUNTIF(L16:AP16,"Z")</f>
        <v>0</v>
      </c>
      <c r="J16" s="177">
        <f t="shared" ref="J16" si="32">SUM(A16:I16)</f>
        <v>31</v>
      </c>
      <c r="K16" s="366" t="s">
        <v>93</v>
      </c>
      <c r="L16" s="356" t="s">
        <v>41</v>
      </c>
      <c r="M16" s="53" t="s">
        <v>3</v>
      </c>
      <c r="N16" s="53" t="s">
        <v>3</v>
      </c>
      <c r="O16" s="44" t="s">
        <v>52</v>
      </c>
      <c r="P16" s="32" t="s">
        <v>1</v>
      </c>
      <c r="Q16" s="32" t="s">
        <v>1</v>
      </c>
      <c r="R16" s="44" t="s">
        <v>0</v>
      </c>
      <c r="S16" s="53" t="s">
        <v>3</v>
      </c>
      <c r="T16" s="53" t="s">
        <v>3</v>
      </c>
      <c r="U16" s="30" t="s">
        <v>36</v>
      </c>
      <c r="V16" s="30" t="s">
        <v>36</v>
      </c>
      <c r="W16" s="30" t="s">
        <v>36</v>
      </c>
      <c r="X16" s="32" t="s">
        <v>52</v>
      </c>
      <c r="Y16" s="32" t="s">
        <v>1</v>
      </c>
      <c r="Z16" s="32" t="s">
        <v>1</v>
      </c>
      <c r="AA16" s="348" t="s">
        <v>41</v>
      </c>
      <c r="AB16" s="348" t="s">
        <v>41</v>
      </c>
      <c r="AC16" s="44" t="s">
        <v>52</v>
      </c>
      <c r="AD16" s="32" t="s">
        <v>1</v>
      </c>
      <c r="AE16" s="44" t="s">
        <v>0</v>
      </c>
      <c r="AF16" s="124" t="s">
        <v>5</v>
      </c>
      <c r="AG16" s="32" t="s">
        <v>1</v>
      </c>
      <c r="AH16" s="53" t="s">
        <v>3</v>
      </c>
      <c r="AI16" s="30" t="s">
        <v>36</v>
      </c>
      <c r="AJ16" s="121">
        <v>1</v>
      </c>
      <c r="AK16" s="120">
        <v>1</v>
      </c>
      <c r="AL16" s="30" t="s">
        <v>0</v>
      </c>
      <c r="AM16" s="30" t="s">
        <v>52</v>
      </c>
      <c r="AN16" s="30" t="s">
        <v>0</v>
      </c>
      <c r="AO16" s="30" t="s">
        <v>3</v>
      </c>
      <c r="AP16" s="126">
        <v>2</v>
      </c>
      <c r="AQ16" s="45">
        <v>0</v>
      </c>
      <c r="AR16" s="46">
        <f t="shared" si="6"/>
        <v>0</v>
      </c>
      <c r="AS16" s="46">
        <v>0</v>
      </c>
      <c r="AT16" s="134">
        <f t="shared" si="11"/>
        <v>0</v>
      </c>
      <c r="AU16" s="329" t="s">
        <v>128</v>
      </c>
      <c r="AV16" s="6"/>
      <c r="AW16" s="6" cm="2">
        <f t="array" ref="AW16">SUMPRODUCT(COUNTIF(O16:P16,{"X";"Y";"Z";"S"}))+SUMPRODUCT(COUNTIF(V16:W16,{"X";"Y";"Z";"S"}))+SUMPRODUCT(COUNTIF(AC16:AD16,{"X";"Y";"Z";"S"}))+SUMPRODUCT(COUNTIF(AJ16:AK16,{"X";"Y";"Z";"S"}))-5</f>
        <v>-1</v>
      </c>
      <c r="AX16" s="6">
        <v>4</v>
      </c>
      <c r="AY16" s="6">
        <f t="shared" si="23"/>
        <v>3</v>
      </c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</row>
    <row r="17" spans="1:227" ht="25.5" customHeight="1">
      <c r="A17" s="38">
        <f>COUNTIF(L17:AP17,1)+COUNTIF(L17:AP17,"早")+COUNTIF(L17:AP17,"M1")+COUNTIF(L17:AP17,"T早")+COUNTIF(L17:AP17,"日")</f>
        <v>8</v>
      </c>
      <c r="B17" s="39">
        <f>COUNTIF(L17:AP17,2)+COUNTIF(L17:AP17,"中")+COUNTIF(L17:AP17,"M2")+COUNTIF(L17:AP17,"T中")+COUNTIF(L17:AP17,"小夜")</f>
        <v>9</v>
      </c>
      <c r="C17" s="40">
        <f>COUNTIF(L17:AP17,3)+COUNTIF(L17:AP17,"晚")+COUNTIF(L17:AP17,"大夜")</f>
        <v>0</v>
      </c>
      <c r="D17" s="39">
        <f>COUNTIF(L17:AP17,"N")+COUNTIF(L17:AP17,"N8")</f>
        <v>3</v>
      </c>
      <c r="E17" s="41">
        <f>COUNTIF(L17:AP17,"S")</f>
        <v>3</v>
      </c>
      <c r="F17" s="41">
        <f t="shared" si="7"/>
        <v>1</v>
      </c>
      <c r="G17" s="41">
        <f>COUNTIF(L17:AP17,"X")</f>
        <v>4</v>
      </c>
      <c r="H17" s="41">
        <f>COUNTIF(L17:AP17,"Y")</f>
        <v>3</v>
      </c>
      <c r="I17" s="41">
        <f>COUNTIF(L17:AP17,"Z")</f>
        <v>0</v>
      </c>
      <c r="J17" s="177">
        <f>SUM(A17:I17)</f>
        <v>31</v>
      </c>
      <c r="K17" s="363" t="s">
        <v>9</v>
      </c>
      <c r="L17" s="200">
        <v>2</v>
      </c>
      <c r="M17" s="121">
        <v>2</v>
      </c>
      <c r="N17" s="121">
        <v>2</v>
      </c>
      <c r="O17" s="30" t="s">
        <v>0</v>
      </c>
      <c r="P17" s="30">
        <v>1</v>
      </c>
      <c r="Q17" s="121" t="s">
        <v>38</v>
      </c>
      <c r="R17" s="121" t="s">
        <v>38</v>
      </c>
      <c r="S17" s="121">
        <v>2</v>
      </c>
      <c r="T17" s="121">
        <v>2</v>
      </c>
      <c r="U17" s="44" t="s">
        <v>163</v>
      </c>
      <c r="V17" s="44" t="s">
        <v>52</v>
      </c>
      <c r="W17" s="44" t="s">
        <v>0</v>
      </c>
      <c r="X17" s="30" t="s">
        <v>36</v>
      </c>
      <c r="Y17" s="53" t="s">
        <v>3</v>
      </c>
      <c r="Z17" s="121">
        <v>2</v>
      </c>
      <c r="AA17" s="30" t="s">
        <v>0</v>
      </c>
      <c r="AB17" s="30" t="s">
        <v>36</v>
      </c>
      <c r="AC17" s="30" t="s">
        <v>36</v>
      </c>
      <c r="AD17" s="121">
        <v>2</v>
      </c>
      <c r="AE17" s="30" t="s">
        <v>52</v>
      </c>
      <c r="AF17" s="30" t="s">
        <v>36</v>
      </c>
      <c r="AG17" s="30" t="s">
        <v>36</v>
      </c>
      <c r="AH17" s="30" t="s">
        <v>3</v>
      </c>
      <c r="AI17" s="32" t="s">
        <v>1</v>
      </c>
      <c r="AJ17" s="32" t="s">
        <v>1</v>
      </c>
      <c r="AK17" s="44" t="s">
        <v>0</v>
      </c>
      <c r="AL17" s="30" t="s">
        <v>36</v>
      </c>
      <c r="AM17" s="32" t="s">
        <v>1</v>
      </c>
      <c r="AN17" s="30" t="s">
        <v>52</v>
      </c>
      <c r="AO17" s="30" t="s">
        <v>36</v>
      </c>
      <c r="AP17" s="48" t="s">
        <v>3</v>
      </c>
      <c r="AQ17" s="45">
        <v>0</v>
      </c>
      <c r="AR17" s="46">
        <f t="shared" si="6"/>
        <v>-1</v>
      </c>
      <c r="AS17" s="46">
        <v>0</v>
      </c>
      <c r="AT17" s="134">
        <f>SUM(AQ17:AS17)</f>
        <v>-1</v>
      </c>
      <c r="AU17" s="329" t="s">
        <v>126</v>
      </c>
      <c r="AW17" s="6" cm="2">
        <f t="array" ref="AW17">SUMPRODUCT(COUNTIF(O17:P17,{"X";"Y";"Z";"S"}))+SUMPRODUCT(COUNTIF(V17:W17,{"X";"Y";"Z";"S"}))+SUMPRODUCT(COUNTIF(AC17:AD17,{"X";"Y";"Z";"S"}))+SUMPRODUCT(COUNTIF(AJ17:AK17,{"X";"Y";"Z";"S"}))-5</f>
        <v>0</v>
      </c>
      <c r="AX17" s="6">
        <v>5</v>
      </c>
      <c r="AY17" s="6">
        <f t="shared" si="23"/>
        <v>5</v>
      </c>
    </row>
    <row r="18" spans="1:227" ht="25.5" customHeight="1" thickBot="1">
      <c r="A18" s="54">
        <f t="shared" ref="A18" si="33">COUNTIF(L18:AP18,1)+COUNTIF(L18:AP18,"早")+COUNTIF(L18:AP18,"M1")+COUNTIF(L18:AP18,"T早")+COUNTIF(L18:AP18,"日")</f>
        <v>19</v>
      </c>
      <c r="B18" s="55">
        <f t="shared" ref="B18" si="34">COUNTIF(L18:AP18,2)+COUNTIF(L18:AP18,"中")+COUNTIF(L18:AP18,"M2")+COUNTIF(L18:AP18,"T中")+COUNTIF(L18:AP18,"小夜")</f>
        <v>1</v>
      </c>
      <c r="C18" s="56">
        <f t="shared" ref="C18" si="35">COUNTIF(L18:AP18,3)+COUNTIF(L18:AP18,"晚")+COUNTIF(L18:AP18,"大夜")</f>
        <v>0</v>
      </c>
      <c r="D18" s="55">
        <f t="shared" ref="D18" si="36">COUNTIF(L18:AP18,"N")+COUNTIF(L18:AP18,"N8")</f>
        <v>2</v>
      </c>
      <c r="E18" s="17">
        <f t="shared" ref="E18" si="37">COUNTIF(L18:AP18,"S")</f>
        <v>1</v>
      </c>
      <c r="F18" s="17">
        <f t="shared" si="7"/>
        <v>1</v>
      </c>
      <c r="G18" s="17">
        <f t="shared" ref="G18" si="38">COUNTIF(L18:AP18,"X")</f>
        <v>4</v>
      </c>
      <c r="H18" s="17">
        <f t="shared" ref="H18" si="39">COUNTIF(L18:AP18,"Y")</f>
        <v>3</v>
      </c>
      <c r="I18" s="17">
        <f t="shared" ref="I18" si="40">COUNTIF(L18:AP18,"Z")</f>
        <v>0</v>
      </c>
      <c r="J18" s="388">
        <f t="shared" ref="J18" si="41">SUM(A18:I18)</f>
        <v>31</v>
      </c>
      <c r="K18" s="367" t="s">
        <v>137</v>
      </c>
      <c r="L18" s="357" t="s">
        <v>36</v>
      </c>
      <c r="M18" s="199" t="s">
        <v>36</v>
      </c>
      <c r="N18" s="199" t="s">
        <v>36</v>
      </c>
      <c r="O18" s="59" t="s">
        <v>52</v>
      </c>
      <c r="P18" s="59" t="s">
        <v>0</v>
      </c>
      <c r="Q18" s="60" t="s">
        <v>36</v>
      </c>
      <c r="R18" s="60" t="s">
        <v>36</v>
      </c>
      <c r="S18" s="60" t="s">
        <v>36</v>
      </c>
      <c r="T18" s="60" t="s">
        <v>36</v>
      </c>
      <c r="U18" s="60" t="s">
        <v>163</v>
      </c>
      <c r="V18" s="60">
        <v>1</v>
      </c>
      <c r="W18" s="60">
        <v>1</v>
      </c>
      <c r="X18" s="199">
        <v>1</v>
      </c>
      <c r="Y18" s="60" t="s">
        <v>36</v>
      </c>
      <c r="Z18" s="60" t="s">
        <v>0</v>
      </c>
      <c r="AA18" s="60" t="s">
        <v>36</v>
      </c>
      <c r="AB18" s="199">
        <v>2</v>
      </c>
      <c r="AC18" s="59" t="s">
        <v>52</v>
      </c>
      <c r="AD18" s="59" t="s">
        <v>0</v>
      </c>
      <c r="AE18" s="199">
        <v>1</v>
      </c>
      <c r="AF18" s="60" t="s">
        <v>3</v>
      </c>
      <c r="AG18" s="60" t="s">
        <v>36</v>
      </c>
      <c r="AH18" s="60" t="s">
        <v>0</v>
      </c>
      <c r="AI18" s="60" t="s">
        <v>3</v>
      </c>
      <c r="AJ18" s="30" t="s">
        <v>36</v>
      </c>
      <c r="AK18" s="30" t="s">
        <v>36</v>
      </c>
      <c r="AL18" s="121" t="s">
        <v>36</v>
      </c>
      <c r="AM18" s="199" t="s">
        <v>36</v>
      </c>
      <c r="AN18" s="52" t="s">
        <v>1</v>
      </c>
      <c r="AO18" s="60" t="s">
        <v>52</v>
      </c>
      <c r="AP18" s="48" t="s">
        <v>36</v>
      </c>
      <c r="AQ18" s="73">
        <v>0</v>
      </c>
      <c r="AR18" s="74">
        <f t="shared" si="6"/>
        <v>-1</v>
      </c>
      <c r="AS18" s="74">
        <v>0</v>
      </c>
      <c r="AT18" s="127">
        <f t="shared" ref="AT18" si="42">SUM(AQ18:AS18)</f>
        <v>-1</v>
      </c>
      <c r="AU18" s="330" t="s">
        <v>128</v>
      </c>
      <c r="AW18" s="6" cm="2">
        <f t="array" ref="AW18">SUMPRODUCT(COUNTIF(O18:P18,{"X";"Y";"Z";"S"}))+SUMPRODUCT(COUNTIF(V18:W18,{"X";"Y";"Z";"S"}))+SUMPRODUCT(COUNTIF(AC18:AD18,{"X";"Y";"Z";"S"}))+SUMPRODUCT(COUNTIF(AJ18:AK18,{"X";"Y";"Z";"S"}))-5</f>
        <v>-1</v>
      </c>
      <c r="AX18" s="6">
        <v>2</v>
      </c>
      <c r="AY18" s="6">
        <f t="shared" si="23"/>
        <v>1</v>
      </c>
    </row>
    <row r="19" spans="1:227" s="50" customFormat="1" ht="25.5" customHeight="1">
      <c r="A19" s="23">
        <f t="shared" ref="A19:A27" si="43">COUNTIF(L19:AP19,1)+COUNTIF(L19:AP19,"早")+COUNTIF(L19:AP19,"M1")+COUNTIF(L19:AP19,"T早")+COUNTIF(L19:AP19,"日")</f>
        <v>0</v>
      </c>
      <c r="B19" s="24">
        <f t="shared" ref="B19:B27" si="44">COUNTIF(L19:AP19,2)+COUNTIF(L19:AP19,"中")+COUNTIF(L19:AP19,"M2")+COUNTIF(L19:AP19,"T中")+COUNTIF(L19:AP19,"小夜")</f>
        <v>11</v>
      </c>
      <c r="C19" s="25">
        <f t="shared" ref="C19:C27" si="45">COUNTIF(L19:AP19,3)+COUNTIF(L19:AP19,"晚")+COUNTIF(L19:AP19,"大夜")</f>
        <v>8</v>
      </c>
      <c r="D19" s="24">
        <f t="shared" ref="D19:D27" si="46">COUNTIF(L19:AP19,"N")+COUNTIF(L19:AP19,"N8")</f>
        <v>0</v>
      </c>
      <c r="E19" s="26">
        <f t="shared" ref="E19:E27" si="47">COUNTIF(L19:AP19,"S")</f>
        <v>4</v>
      </c>
      <c r="F19" s="26">
        <f t="shared" si="7"/>
        <v>0</v>
      </c>
      <c r="G19" s="26">
        <f t="shared" si="8"/>
        <v>4</v>
      </c>
      <c r="H19" s="26">
        <f t="shared" si="9"/>
        <v>4</v>
      </c>
      <c r="I19" s="26">
        <f t="shared" si="10"/>
        <v>0</v>
      </c>
      <c r="J19" s="176">
        <f t="shared" ref="J19:J27" si="48">SUM(A19:I19)</f>
        <v>31</v>
      </c>
      <c r="K19" s="368" t="s">
        <v>10</v>
      </c>
      <c r="L19" s="28">
        <v>2</v>
      </c>
      <c r="M19" s="29" t="s">
        <v>0</v>
      </c>
      <c r="N19" s="29">
        <v>3</v>
      </c>
      <c r="O19" s="29">
        <v>3</v>
      </c>
      <c r="P19" s="29">
        <v>3</v>
      </c>
      <c r="Q19" s="29" t="s">
        <v>52</v>
      </c>
      <c r="R19" s="29" t="s">
        <v>0</v>
      </c>
      <c r="S19" s="29">
        <v>3</v>
      </c>
      <c r="T19" s="29">
        <v>3</v>
      </c>
      <c r="U19" s="29">
        <v>3</v>
      </c>
      <c r="V19" s="29">
        <v>2</v>
      </c>
      <c r="W19" s="29">
        <v>2</v>
      </c>
      <c r="X19" s="33" t="s">
        <v>52</v>
      </c>
      <c r="Y19" s="33" t="s">
        <v>1</v>
      </c>
      <c r="Z19" s="33" t="s">
        <v>1</v>
      </c>
      <c r="AA19" s="33" t="s">
        <v>1</v>
      </c>
      <c r="AB19" s="33" t="s">
        <v>0</v>
      </c>
      <c r="AC19" s="29">
        <v>2</v>
      </c>
      <c r="AD19" s="29">
        <v>2</v>
      </c>
      <c r="AE19" s="29">
        <v>2</v>
      </c>
      <c r="AF19" s="29">
        <v>2</v>
      </c>
      <c r="AG19" s="29">
        <v>2</v>
      </c>
      <c r="AH19" s="29" t="s">
        <v>52</v>
      </c>
      <c r="AI19" s="29">
        <v>2</v>
      </c>
      <c r="AJ19" s="29">
        <v>2</v>
      </c>
      <c r="AK19" s="29">
        <v>2</v>
      </c>
      <c r="AL19" s="33" t="s">
        <v>52</v>
      </c>
      <c r="AM19" s="33" t="s">
        <v>1</v>
      </c>
      <c r="AN19" s="33" t="s">
        <v>0</v>
      </c>
      <c r="AO19" s="29">
        <v>3</v>
      </c>
      <c r="AP19" s="34">
        <v>3</v>
      </c>
      <c r="AQ19" s="166">
        <v>0</v>
      </c>
      <c r="AR19" s="167">
        <f t="shared" si="6"/>
        <v>0</v>
      </c>
      <c r="AS19" s="167">
        <v>0</v>
      </c>
      <c r="AT19" s="168">
        <f t="shared" si="11"/>
        <v>0</v>
      </c>
      <c r="AU19" s="332" t="s">
        <v>128</v>
      </c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</row>
    <row r="20" spans="1:227" s="50" customFormat="1" ht="25.5" customHeight="1">
      <c r="A20" s="38">
        <f t="shared" si="43"/>
        <v>7</v>
      </c>
      <c r="B20" s="39">
        <f t="shared" si="44"/>
        <v>8</v>
      </c>
      <c r="C20" s="40">
        <f t="shared" si="45"/>
        <v>2</v>
      </c>
      <c r="D20" s="39">
        <f t="shared" si="46"/>
        <v>3</v>
      </c>
      <c r="E20" s="41">
        <f t="shared" si="47"/>
        <v>3</v>
      </c>
      <c r="F20" s="41">
        <f t="shared" si="7"/>
        <v>0</v>
      </c>
      <c r="G20" s="41">
        <f t="shared" si="8"/>
        <v>4</v>
      </c>
      <c r="H20" s="41">
        <f t="shared" si="9"/>
        <v>4</v>
      </c>
      <c r="I20" s="41">
        <f t="shared" si="10"/>
        <v>0</v>
      </c>
      <c r="J20" s="177">
        <f t="shared" si="48"/>
        <v>31</v>
      </c>
      <c r="K20" s="369" t="s">
        <v>11</v>
      </c>
      <c r="L20" s="49" t="s">
        <v>36</v>
      </c>
      <c r="M20" s="30" t="s">
        <v>36</v>
      </c>
      <c r="N20" s="30" t="s">
        <v>36</v>
      </c>
      <c r="O20" s="30" t="s">
        <v>36</v>
      </c>
      <c r="P20" s="30" t="s">
        <v>36</v>
      </c>
      <c r="Q20" s="44" t="s">
        <v>52</v>
      </c>
      <c r="R20" s="32" t="s">
        <v>1</v>
      </c>
      <c r="S20" s="30" t="s">
        <v>38</v>
      </c>
      <c r="T20" s="30" t="s">
        <v>38</v>
      </c>
      <c r="U20" s="30" t="s">
        <v>38</v>
      </c>
      <c r="V20" s="44" t="s">
        <v>52</v>
      </c>
      <c r="W20" s="32" t="s">
        <v>1</v>
      </c>
      <c r="X20" s="30" t="s">
        <v>0</v>
      </c>
      <c r="Y20" s="30" t="s">
        <v>0</v>
      </c>
      <c r="Z20" s="30" t="s">
        <v>36</v>
      </c>
      <c r="AA20" s="348" t="s">
        <v>41</v>
      </c>
      <c r="AB20" s="348" t="s">
        <v>41</v>
      </c>
      <c r="AC20" s="44" t="s">
        <v>52</v>
      </c>
      <c r="AD20" s="44" t="s">
        <v>0</v>
      </c>
      <c r="AE20" s="30" t="s">
        <v>40</v>
      </c>
      <c r="AF20" s="30" t="s">
        <v>40</v>
      </c>
      <c r="AG20" s="30" t="s">
        <v>0</v>
      </c>
      <c r="AH20" s="53" t="s">
        <v>3</v>
      </c>
      <c r="AI20" s="30" t="s">
        <v>36</v>
      </c>
      <c r="AJ20" s="30">
        <v>2</v>
      </c>
      <c r="AK20" s="41">
        <v>2</v>
      </c>
      <c r="AL20" s="32" t="s">
        <v>52</v>
      </c>
      <c r="AM20" s="32" t="s">
        <v>1</v>
      </c>
      <c r="AN20" s="30" t="s">
        <v>38</v>
      </c>
      <c r="AO20" s="30" t="s">
        <v>38</v>
      </c>
      <c r="AP20" s="48" t="s">
        <v>38</v>
      </c>
      <c r="AQ20" s="45">
        <v>0</v>
      </c>
      <c r="AR20" s="46">
        <f t="shared" si="6"/>
        <v>0</v>
      </c>
      <c r="AS20" s="46">
        <v>0</v>
      </c>
      <c r="AT20" s="134">
        <f t="shared" si="11"/>
        <v>0</v>
      </c>
      <c r="AU20" s="329" t="s">
        <v>128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</row>
    <row r="21" spans="1:227" ht="25.5" customHeight="1">
      <c r="A21" s="38">
        <f t="shared" si="43"/>
        <v>8</v>
      </c>
      <c r="B21" s="39">
        <f t="shared" si="44"/>
        <v>7</v>
      </c>
      <c r="C21" s="40">
        <f t="shared" si="45"/>
        <v>5</v>
      </c>
      <c r="D21" s="39">
        <f t="shared" si="46"/>
        <v>1</v>
      </c>
      <c r="E21" s="41">
        <f t="shared" si="47"/>
        <v>2</v>
      </c>
      <c r="F21" s="41">
        <f t="shared" si="7"/>
        <v>0</v>
      </c>
      <c r="G21" s="41">
        <f>COUNTIF(L21:AP21,"X")</f>
        <v>4</v>
      </c>
      <c r="H21" s="41">
        <f>COUNTIF(L21:AP21,"Y")</f>
        <v>4</v>
      </c>
      <c r="I21" s="41">
        <f>COUNTIF(L21:AP21,"Z")</f>
        <v>0</v>
      </c>
      <c r="J21" s="177">
        <f t="shared" si="48"/>
        <v>31</v>
      </c>
      <c r="K21" s="370" t="s">
        <v>12</v>
      </c>
      <c r="L21" s="49" t="s">
        <v>38</v>
      </c>
      <c r="M21" s="30" t="s">
        <v>38</v>
      </c>
      <c r="N21" s="30" t="s">
        <v>38</v>
      </c>
      <c r="O21" s="30">
        <v>2</v>
      </c>
      <c r="P21" s="30" t="s">
        <v>0</v>
      </c>
      <c r="Q21" s="30" t="s">
        <v>38</v>
      </c>
      <c r="R21" s="30" t="s">
        <v>38</v>
      </c>
      <c r="S21" s="30" t="s">
        <v>52</v>
      </c>
      <c r="T21" s="53" t="s">
        <v>3</v>
      </c>
      <c r="U21" s="30" t="s">
        <v>38</v>
      </c>
      <c r="V21" s="44" t="s">
        <v>52</v>
      </c>
      <c r="W21" s="44" t="s">
        <v>0</v>
      </c>
      <c r="X21" s="30" t="s">
        <v>40</v>
      </c>
      <c r="Y21" s="30" t="s">
        <v>40</v>
      </c>
      <c r="Z21" s="30" t="s">
        <v>0</v>
      </c>
      <c r="AA21" s="30" t="s">
        <v>36</v>
      </c>
      <c r="AB21" s="30" t="s">
        <v>36</v>
      </c>
      <c r="AC21" s="30" t="s">
        <v>36</v>
      </c>
      <c r="AD21" s="30" t="s">
        <v>36</v>
      </c>
      <c r="AE21" s="30" t="s">
        <v>36</v>
      </c>
      <c r="AF21" s="30" t="s">
        <v>36</v>
      </c>
      <c r="AG21" s="30" t="s">
        <v>52</v>
      </c>
      <c r="AH21" s="30" t="s">
        <v>36</v>
      </c>
      <c r="AI21" s="30" t="s">
        <v>36</v>
      </c>
      <c r="AJ21" s="32" t="s">
        <v>1</v>
      </c>
      <c r="AK21" s="44" t="s">
        <v>0</v>
      </c>
      <c r="AL21" s="30" t="s">
        <v>40</v>
      </c>
      <c r="AM21" s="30" t="s">
        <v>40</v>
      </c>
      <c r="AN21" s="30" t="s">
        <v>40</v>
      </c>
      <c r="AO21" s="32" t="s">
        <v>1</v>
      </c>
      <c r="AP21" s="44" t="s">
        <v>52</v>
      </c>
      <c r="AQ21" s="45">
        <v>0</v>
      </c>
      <c r="AR21" s="46">
        <f t="shared" si="6"/>
        <v>0</v>
      </c>
      <c r="AS21" s="46">
        <v>0</v>
      </c>
      <c r="AT21" s="134">
        <f t="shared" si="11"/>
        <v>0</v>
      </c>
      <c r="AU21" s="329" t="s">
        <v>126</v>
      </c>
    </row>
    <row r="22" spans="1:227" ht="25.5" customHeight="1">
      <c r="A22" s="38">
        <f t="shared" si="43"/>
        <v>0</v>
      </c>
      <c r="B22" s="39">
        <f t="shared" si="44"/>
        <v>0</v>
      </c>
      <c r="C22" s="40">
        <f t="shared" si="45"/>
        <v>22</v>
      </c>
      <c r="D22" s="39">
        <f t="shared" si="46"/>
        <v>0</v>
      </c>
      <c r="E22" s="41">
        <f t="shared" si="47"/>
        <v>1</v>
      </c>
      <c r="F22" s="41">
        <f t="shared" si="7"/>
        <v>0</v>
      </c>
      <c r="G22" s="41">
        <f t="shared" si="8"/>
        <v>4</v>
      </c>
      <c r="H22" s="41">
        <f t="shared" si="9"/>
        <v>4</v>
      </c>
      <c r="I22" s="41">
        <f t="shared" si="10"/>
        <v>0</v>
      </c>
      <c r="J22" s="177">
        <f t="shared" si="48"/>
        <v>31</v>
      </c>
      <c r="K22" s="369" t="s">
        <v>13</v>
      </c>
      <c r="L22" s="49" t="s">
        <v>40</v>
      </c>
      <c r="M22" s="30" t="s">
        <v>40</v>
      </c>
      <c r="N22" s="30" t="s">
        <v>40</v>
      </c>
      <c r="O22" s="44" t="s">
        <v>52</v>
      </c>
      <c r="P22" s="44" t="s">
        <v>0</v>
      </c>
      <c r="Q22" s="30" t="s">
        <v>40</v>
      </c>
      <c r="R22" s="30" t="s">
        <v>40</v>
      </c>
      <c r="S22" s="32" t="s">
        <v>1</v>
      </c>
      <c r="T22" s="30" t="s">
        <v>0</v>
      </c>
      <c r="U22" s="30" t="s">
        <v>40</v>
      </c>
      <c r="V22" s="30" t="s">
        <v>40</v>
      </c>
      <c r="W22" s="30" t="s">
        <v>40</v>
      </c>
      <c r="X22" s="30" t="s">
        <v>40</v>
      </c>
      <c r="Y22" s="30" t="s">
        <v>52</v>
      </c>
      <c r="Z22" s="30">
        <v>3</v>
      </c>
      <c r="AA22" s="30">
        <v>3</v>
      </c>
      <c r="AB22" s="30">
        <v>3</v>
      </c>
      <c r="AC22" s="44" t="s">
        <v>52</v>
      </c>
      <c r="AD22" s="44" t="s">
        <v>0</v>
      </c>
      <c r="AE22" s="30">
        <v>3</v>
      </c>
      <c r="AF22" s="30">
        <v>3</v>
      </c>
      <c r="AG22" s="30">
        <v>3</v>
      </c>
      <c r="AH22" s="30">
        <v>3</v>
      </c>
      <c r="AI22" s="30" t="s">
        <v>52</v>
      </c>
      <c r="AJ22" s="30">
        <v>3</v>
      </c>
      <c r="AK22" s="41">
        <v>3</v>
      </c>
      <c r="AL22" s="41">
        <v>3</v>
      </c>
      <c r="AM22" s="30">
        <v>3</v>
      </c>
      <c r="AN22" s="30">
        <v>3</v>
      </c>
      <c r="AO22" s="30" t="s">
        <v>0</v>
      </c>
      <c r="AP22" s="48" t="s">
        <v>40</v>
      </c>
      <c r="AQ22" s="45">
        <v>0</v>
      </c>
      <c r="AR22" s="46">
        <f t="shared" si="6"/>
        <v>0</v>
      </c>
      <c r="AS22" s="46">
        <v>0</v>
      </c>
      <c r="AT22" s="134">
        <f t="shared" si="11"/>
        <v>0</v>
      </c>
      <c r="AU22" s="329" t="s">
        <v>128</v>
      </c>
    </row>
    <row r="23" spans="1:227" s="50" customFormat="1" ht="25.5" customHeight="1">
      <c r="A23" s="38">
        <f t="shared" si="43"/>
        <v>3</v>
      </c>
      <c r="B23" s="39">
        <f t="shared" si="44"/>
        <v>16</v>
      </c>
      <c r="C23" s="40">
        <f t="shared" si="45"/>
        <v>4</v>
      </c>
      <c r="D23" s="39">
        <f t="shared" si="46"/>
        <v>0</v>
      </c>
      <c r="E23" s="41">
        <f t="shared" si="47"/>
        <v>0</v>
      </c>
      <c r="F23" s="41">
        <f t="shared" si="7"/>
        <v>0</v>
      </c>
      <c r="G23" s="41">
        <f t="shared" si="8"/>
        <v>4</v>
      </c>
      <c r="H23" s="41">
        <f t="shared" si="9"/>
        <v>4</v>
      </c>
      <c r="I23" s="41">
        <f t="shared" si="10"/>
        <v>0</v>
      </c>
      <c r="J23" s="177">
        <f t="shared" si="48"/>
        <v>31</v>
      </c>
      <c r="K23" s="371" t="s">
        <v>138</v>
      </c>
      <c r="L23" s="49" t="s">
        <v>38</v>
      </c>
      <c r="M23" s="30" t="s">
        <v>38</v>
      </c>
      <c r="N23" s="30" t="s">
        <v>52</v>
      </c>
      <c r="O23" s="30" t="s">
        <v>36</v>
      </c>
      <c r="P23" s="30" t="s">
        <v>36</v>
      </c>
      <c r="Q23" s="30" t="s">
        <v>0</v>
      </c>
      <c r="R23" s="30" t="s">
        <v>40</v>
      </c>
      <c r="S23" s="30" t="s">
        <v>40</v>
      </c>
      <c r="T23" s="30" t="s">
        <v>40</v>
      </c>
      <c r="U23" s="30" t="s">
        <v>40</v>
      </c>
      <c r="V23" s="44" t="s">
        <v>52</v>
      </c>
      <c r="W23" s="44" t="s">
        <v>0</v>
      </c>
      <c r="X23" s="30" t="s">
        <v>36</v>
      </c>
      <c r="Y23" s="30" t="s">
        <v>38</v>
      </c>
      <c r="Z23" s="30">
        <v>2</v>
      </c>
      <c r="AA23" s="30">
        <v>2</v>
      </c>
      <c r="AB23" s="30">
        <v>2</v>
      </c>
      <c r="AC23" s="30">
        <v>2</v>
      </c>
      <c r="AD23" s="30" t="s">
        <v>0</v>
      </c>
      <c r="AE23" s="30" t="s">
        <v>38</v>
      </c>
      <c r="AF23" s="30" t="s">
        <v>38</v>
      </c>
      <c r="AG23" s="30" t="s">
        <v>38</v>
      </c>
      <c r="AH23" s="30" t="s">
        <v>38</v>
      </c>
      <c r="AI23" s="30" t="s">
        <v>38</v>
      </c>
      <c r="AJ23" s="44" t="s">
        <v>52</v>
      </c>
      <c r="AK23" s="44" t="s">
        <v>0</v>
      </c>
      <c r="AL23" s="30" t="s">
        <v>38</v>
      </c>
      <c r="AM23" s="30" t="s">
        <v>38</v>
      </c>
      <c r="AN23" s="30" t="s">
        <v>38</v>
      </c>
      <c r="AO23" s="30" t="s">
        <v>52</v>
      </c>
      <c r="AP23" s="48" t="s">
        <v>38</v>
      </c>
      <c r="AQ23" s="45">
        <v>0</v>
      </c>
      <c r="AR23" s="46">
        <f t="shared" si="6"/>
        <v>0</v>
      </c>
      <c r="AS23" s="46">
        <v>0</v>
      </c>
      <c r="AT23" s="134">
        <f t="shared" si="11"/>
        <v>0</v>
      </c>
      <c r="AU23" s="329" t="s">
        <v>126</v>
      </c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</row>
    <row r="24" spans="1:227" s="50" customFormat="1" ht="25.5" customHeight="1">
      <c r="A24" s="38">
        <f t="shared" si="43"/>
        <v>10</v>
      </c>
      <c r="B24" s="39">
        <f t="shared" si="44"/>
        <v>0</v>
      </c>
      <c r="C24" s="40">
        <f t="shared" si="45"/>
        <v>0</v>
      </c>
      <c r="D24" s="39">
        <f t="shared" si="46"/>
        <v>13</v>
      </c>
      <c r="E24" s="41">
        <f t="shared" si="47"/>
        <v>0</v>
      </c>
      <c r="F24" s="41">
        <f t="shared" si="7"/>
        <v>0</v>
      </c>
      <c r="G24" s="41">
        <f t="shared" si="8"/>
        <v>4</v>
      </c>
      <c r="H24" s="41">
        <f t="shared" si="9"/>
        <v>4</v>
      </c>
      <c r="I24" s="41">
        <f t="shared" si="10"/>
        <v>0</v>
      </c>
      <c r="J24" s="177">
        <f t="shared" si="48"/>
        <v>31</v>
      </c>
      <c r="K24" s="372" t="s">
        <v>15</v>
      </c>
      <c r="L24" s="30">
        <v>1</v>
      </c>
      <c r="M24" s="30">
        <v>1</v>
      </c>
      <c r="N24" s="30">
        <v>1</v>
      </c>
      <c r="O24" s="44" t="s">
        <v>52</v>
      </c>
      <c r="P24" s="44" t="s">
        <v>0</v>
      </c>
      <c r="Q24" s="30">
        <v>1</v>
      </c>
      <c r="R24" s="53" t="s">
        <v>3</v>
      </c>
      <c r="S24" s="53" t="s">
        <v>3</v>
      </c>
      <c r="T24" s="30" t="s">
        <v>3</v>
      </c>
      <c r="U24" s="30">
        <v>1</v>
      </c>
      <c r="V24" s="44" t="s">
        <v>52</v>
      </c>
      <c r="W24" s="44" t="s">
        <v>0</v>
      </c>
      <c r="X24" s="30" t="s">
        <v>3</v>
      </c>
      <c r="Y24" s="53" t="s">
        <v>3</v>
      </c>
      <c r="Z24" s="53" t="s">
        <v>3</v>
      </c>
      <c r="AA24" s="30" t="s">
        <v>3</v>
      </c>
      <c r="AB24" s="30">
        <v>1</v>
      </c>
      <c r="AC24" s="44" t="s">
        <v>52</v>
      </c>
      <c r="AD24" s="44" t="s">
        <v>0</v>
      </c>
      <c r="AE24" s="30" t="s">
        <v>3</v>
      </c>
      <c r="AF24" s="53" t="s">
        <v>3</v>
      </c>
      <c r="AG24" s="53" t="s">
        <v>3</v>
      </c>
      <c r="AH24" s="53" t="s">
        <v>3</v>
      </c>
      <c r="AI24" s="30">
        <v>1</v>
      </c>
      <c r="AJ24" s="44" t="s">
        <v>52</v>
      </c>
      <c r="AK24" s="44" t="s">
        <v>0</v>
      </c>
      <c r="AL24" s="30">
        <v>1</v>
      </c>
      <c r="AM24" s="53" t="s">
        <v>3</v>
      </c>
      <c r="AN24" s="53" t="s">
        <v>3</v>
      </c>
      <c r="AO24" s="30">
        <v>1</v>
      </c>
      <c r="AP24" s="48">
        <v>1</v>
      </c>
      <c r="AQ24" s="45">
        <v>0</v>
      </c>
      <c r="AR24" s="46">
        <f t="shared" si="6"/>
        <v>0</v>
      </c>
      <c r="AS24" s="46">
        <v>0</v>
      </c>
      <c r="AT24" s="134">
        <f t="shared" si="11"/>
        <v>0</v>
      </c>
      <c r="AU24" s="329" t="s">
        <v>133</v>
      </c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</row>
    <row r="25" spans="1:227" s="50" customFormat="1" ht="25.5" customHeight="1">
      <c r="A25" s="38">
        <f t="shared" si="43"/>
        <v>8</v>
      </c>
      <c r="B25" s="39">
        <f t="shared" si="44"/>
        <v>8</v>
      </c>
      <c r="C25" s="40">
        <f t="shared" si="45"/>
        <v>7</v>
      </c>
      <c r="D25" s="39">
        <f t="shared" si="46"/>
        <v>0</v>
      </c>
      <c r="E25" s="41">
        <f t="shared" si="47"/>
        <v>0</v>
      </c>
      <c r="F25" s="41">
        <f t="shared" si="7"/>
        <v>0</v>
      </c>
      <c r="G25" s="41">
        <f>COUNTIF(L25:AP25,"X")</f>
        <v>4</v>
      </c>
      <c r="H25" s="41">
        <f>COUNTIF(L25:AP25,"Y")</f>
        <v>4</v>
      </c>
      <c r="I25" s="41">
        <f>COUNTIF(L25:AP25,"Z")</f>
        <v>0</v>
      </c>
      <c r="J25" s="177">
        <f t="shared" si="48"/>
        <v>31</v>
      </c>
      <c r="K25" s="372" t="s">
        <v>16</v>
      </c>
      <c r="L25" s="49" t="s">
        <v>40</v>
      </c>
      <c r="M25" s="30" t="s">
        <v>52</v>
      </c>
      <c r="N25" s="30" t="s">
        <v>38</v>
      </c>
      <c r="O25" s="30" t="s">
        <v>38</v>
      </c>
      <c r="P25" s="30" t="s">
        <v>38</v>
      </c>
      <c r="Q25" s="30" t="s">
        <v>0</v>
      </c>
      <c r="R25" s="30" t="s">
        <v>36</v>
      </c>
      <c r="S25" s="30" t="s">
        <v>36</v>
      </c>
      <c r="T25" s="30" t="s">
        <v>36</v>
      </c>
      <c r="U25" s="30" t="s">
        <v>36</v>
      </c>
      <c r="V25" s="44" t="s">
        <v>52</v>
      </c>
      <c r="W25" s="44" t="s">
        <v>0</v>
      </c>
      <c r="X25" s="46" t="s">
        <v>38</v>
      </c>
      <c r="Y25" s="30" t="s">
        <v>38</v>
      </c>
      <c r="Z25" s="30" t="s">
        <v>38</v>
      </c>
      <c r="AA25" s="30" t="s">
        <v>38</v>
      </c>
      <c r="AB25" s="30" t="s">
        <v>38</v>
      </c>
      <c r="AC25" s="30" t="s">
        <v>52</v>
      </c>
      <c r="AD25" s="30" t="s">
        <v>40</v>
      </c>
      <c r="AE25" s="30" t="s">
        <v>40</v>
      </c>
      <c r="AF25" s="30" t="s">
        <v>40</v>
      </c>
      <c r="AG25" s="30" t="s">
        <v>40</v>
      </c>
      <c r="AH25" s="30" t="s">
        <v>40</v>
      </c>
      <c r="AI25" s="30">
        <v>3</v>
      </c>
      <c r="AJ25" s="44" t="s">
        <v>52</v>
      </c>
      <c r="AK25" s="44" t="s">
        <v>0</v>
      </c>
      <c r="AL25" s="30" t="s">
        <v>36</v>
      </c>
      <c r="AM25" s="30" t="s">
        <v>36</v>
      </c>
      <c r="AN25" s="30" t="s">
        <v>36</v>
      </c>
      <c r="AO25" s="30" t="s">
        <v>36</v>
      </c>
      <c r="AP25" s="48" t="s">
        <v>0</v>
      </c>
      <c r="AQ25" s="45">
        <v>0</v>
      </c>
      <c r="AR25" s="46">
        <f t="shared" si="6"/>
        <v>0</v>
      </c>
      <c r="AS25" s="46">
        <v>0</v>
      </c>
      <c r="AT25" s="134">
        <f t="shared" si="11"/>
        <v>0</v>
      </c>
      <c r="AU25" s="329" t="s">
        <v>126</v>
      </c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</row>
    <row r="26" spans="1:227" s="50" customFormat="1" ht="25.5" customHeight="1">
      <c r="A26" s="38">
        <f t="shared" si="43"/>
        <v>22</v>
      </c>
      <c r="B26" s="39">
        <f t="shared" si="44"/>
        <v>0</v>
      </c>
      <c r="C26" s="40">
        <f t="shared" si="45"/>
        <v>0</v>
      </c>
      <c r="D26" s="39">
        <f t="shared" si="46"/>
        <v>0</v>
      </c>
      <c r="E26" s="41">
        <f t="shared" si="47"/>
        <v>1</v>
      </c>
      <c r="F26" s="41">
        <f t="shared" si="7"/>
        <v>0</v>
      </c>
      <c r="G26" s="41">
        <f t="shared" si="8"/>
        <v>4</v>
      </c>
      <c r="H26" s="41">
        <f t="shared" si="9"/>
        <v>4</v>
      </c>
      <c r="I26" s="41">
        <f t="shared" si="10"/>
        <v>0</v>
      </c>
      <c r="J26" s="177">
        <f t="shared" si="48"/>
        <v>31</v>
      </c>
      <c r="K26" s="371" t="s">
        <v>17</v>
      </c>
      <c r="L26" s="122" t="s">
        <v>52</v>
      </c>
      <c r="M26" s="46">
        <v>1</v>
      </c>
      <c r="N26" s="30">
        <v>1</v>
      </c>
      <c r="O26" s="46">
        <v>1</v>
      </c>
      <c r="P26" s="30">
        <v>1</v>
      </c>
      <c r="Q26" s="46">
        <v>1</v>
      </c>
      <c r="R26" s="30">
        <v>1</v>
      </c>
      <c r="S26" s="32" t="s">
        <v>0</v>
      </c>
      <c r="T26" s="46">
        <v>1</v>
      </c>
      <c r="U26" s="30">
        <v>1</v>
      </c>
      <c r="V26" s="44" t="s">
        <v>52</v>
      </c>
      <c r="W26" s="44" t="s">
        <v>0</v>
      </c>
      <c r="X26" s="46">
        <v>1</v>
      </c>
      <c r="Y26" s="30">
        <v>1</v>
      </c>
      <c r="Z26" s="46">
        <v>1</v>
      </c>
      <c r="AA26" s="30">
        <v>1</v>
      </c>
      <c r="AB26" s="44" t="s">
        <v>52</v>
      </c>
      <c r="AC26" s="32" t="s">
        <v>1</v>
      </c>
      <c r="AD26" s="44" t="s">
        <v>0</v>
      </c>
      <c r="AE26" s="46">
        <v>1</v>
      </c>
      <c r="AF26" s="30">
        <v>1</v>
      </c>
      <c r="AG26" s="32" t="s">
        <v>0</v>
      </c>
      <c r="AH26" s="46">
        <v>1</v>
      </c>
      <c r="AI26" s="30">
        <v>1</v>
      </c>
      <c r="AJ26" s="46">
        <v>1</v>
      </c>
      <c r="AK26" s="46">
        <v>1</v>
      </c>
      <c r="AL26" s="46">
        <v>1</v>
      </c>
      <c r="AM26" s="30">
        <v>1</v>
      </c>
      <c r="AN26" s="32" t="s">
        <v>52</v>
      </c>
      <c r="AO26" s="46">
        <v>1</v>
      </c>
      <c r="AP26" s="48">
        <v>1</v>
      </c>
      <c r="AQ26" s="45">
        <v>0</v>
      </c>
      <c r="AR26" s="46">
        <f t="shared" si="6"/>
        <v>0</v>
      </c>
      <c r="AS26" s="46">
        <v>0</v>
      </c>
      <c r="AT26" s="134">
        <f t="shared" si="11"/>
        <v>0</v>
      </c>
      <c r="AU26" s="329" t="s">
        <v>126</v>
      </c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</row>
    <row r="27" spans="1:227" s="50" customFormat="1" ht="27" customHeight="1">
      <c r="A27" s="38">
        <f t="shared" si="43"/>
        <v>2</v>
      </c>
      <c r="B27" s="39">
        <f t="shared" si="44"/>
        <v>13</v>
      </c>
      <c r="C27" s="40">
        <f t="shared" si="45"/>
        <v>8</v>
      </c>
      <c r="D27" s="39">
        <f t="shared" si="46"/>
        <v>0</v>
      </c>
      <c r="E27" s="41">
        <f t="shared" si="47"/>
        <v>0</v>
      </c>
      <c r="F27" s="41">
        <f t="shared" si="7"/>
        <v>0</v>
      </c>
      <c r="G27" s="41">
        <f t="shared" si="8"/>
        <v>4</v>
      </c>
      <c r="H27" s="41">
        <f t="shared" si="9"/>
        <v>4</v>
      </c>
      <c r="I27" s="41">
        <f t="shared" si="10"/>
        <v>0</v>
      </c>
      <c r="J27" s="177">
        <f t="shared" si="48"/>
        <v>31</v>
      </c>
      <c r="K27" s="372" t="s">
        <v>139</v>
      </c>
      <c r="L27" s="49">
        <v>3</v>
      </c>
      <c r="M27" s="30">
        <v>3</v>
      </c>
      <c r="N27" s="30">
        <v>3</v>
      </c>
      <c r="O27" s="30" t="s">
        <v>52</v>
      </c>
      <c r="P27" s="30" t="s">
        <v>0</v>
      </c>
      <c r="Q27" s="30">
        <v>3</v>
      </c>
      <c r="R27" s="30">
        <v>3</v>
      </c>
      <c r="S27" s="30">
        <v>3</v>
      </c>
      <c r="T27" s="30">
        <v>3</v>
      </c>
      <c r="U27" s="30">
        <v>3</v>
      </c>
      <c r="V27" s="44" t="s">
        <v>52</v>
      </c>
      <c r="W27" s="44" t="s">
        <v>0</v>
      </c>
      <c r="X27" s="30">
        <v>2</v>
      </c>
      <c r="Y27" s="30">
        <v>2</v>
      </c>
      <c r="Z27" s="30">
        <v>2</v>
      </c>
      <c r="AA27" s="30">
        <v>2</v>
      </c>
      <c r="AB27" s="30" t="s">
        <v>52</v>
      </c>
      <c r="AC27" s="30">
        <v>1</v>
      </c>
      <c r="AD27" s="30">
        <v>1</v>
      </c>
      <c r="AE27" s="30">
        <v>2</v>
      </c>
      <c r="AF27" s="30">
        <v>2</v>
      </c>
      <c r="AG27" s="30">
        <v>2</v>
      </c>
      <c r="AH27" s="30">
        <v>2</v>
      </c>
      <c r="AI27" s="30" t="s">
        <v>0</v>
      </c>
      <c r="AJ27" s="44" t="s">
        <v>52</v>
      </c>
      <c r="AK27" s="44" t="s">
        <v>0</v>
      </c>
      <c r="AL27" s="30">
        <v>2</v>
      </c>
      <c r="AM27" s="30">
        <v>2</v>
      </c>
      <c r="AN27" s="30">
        <v>2</v>
      </c>
      <c r="AO27" s="30">
        <v>2</v>
      </c>
      <c r="AP27" s="48">
        <v>2</v>
      </c>
      <c r="AQ27" s="45">
        <v>0</v>
      </c>
      <c r="AR27" s="46">
        <f t="shared" si="6"/>
        <v>0</v>
      </c>
      <c r="AS27" s="46">
        <v>0</v>
      </c>
      <c r="AT27" s="134">
        <f t="shared" si="11"/>
        <v>0</v>
      </c>
      <c r="AU27" s="329" t="s">
        <v>126</v>
      </c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</row>
    <row r="28" spans="1:227" s="50" customFormat="1" ht="25.2" customHeight="1">
      <c r="A28" s="38">
        <f t="shared" ref="A28" si="49">COUNTIF(L28:AP28,1)+COUNTIF(L28:AP28,"早")+COUNTIF(L28:AP28,"M1")+COUNTIF(L28:AP28,"T早")+COUNTIF(L28:AP28,"日")</f>
        <v>9</v>
      </c>
      <c r="B28" s="39">
        <f t="shared" ref="B28" si="50">COUNTIF(L28:AP28,2)+COUNTIF(L28:AP28,"中")+COUNTIF(L28:AP28,"M2")+COUNTIF(L28:AP28,"T中")+COUNTIF(L28:AP28,"小夜")</f>
        <v>0</v>
      </c>
      <c r="C28" s="40">
        <f t="shared" ref="C28" si="51">COUNTIF(L28:AP28,3)+COUNTIF(L28:AP28,"晚")+COUNTIF(L28:AP28,"大夜")</f>
        <v>14</v>
      </c>
      <c r="D28" s="39">
        <f t="shared" ref="D28" si="52">COUNTIF(L28:AP28,"N")+COUNTIF(L28:AP28,"N8")</f>
        <v>0</v>
      </c>
      <c r="E28" s="41">
        <f t="shared" ref="E28" si="53">COUNTIF(L28:AP28,"S")</f>
        <v>0</v>
      </c>
      <c r="F28" s="41">
        <f t="shared" si="7"/>
        <v>0</v>
      </c>
      <c r="G28" s="41">
        <f t="shared" ref="G28" si="54">COUNTIF(L28:AP28,"X")</f>
        <v>4</v>
      </c>
      <c r="H28" s="41">
        <f t="shared" ref="H28" si="55">COUNTIF(L28:AP28,"Y")</f>
        <v>4</v>
      </c>
      <c r="I28" s="41">
        <f t="shared" ref="I28" si="56">COUNTIF(L28:AP28,"Z")</f>
        <v>0</v>
      </c>
      <c r="J28" s="177">
        <f t="shared" ref="J28" si="57">SUM(A28:I28)</f>
        <v>31</v>
      </c>
      <c r="K28" s="372" t="s">
        <v>140</v>
      </c>
      <c r="L28" s="49">
        <v>1</v>
      </c>
      <c r="M28" s="30">
        <v>1</v>
      </c>
      <c r="N28" s="30">
        <v>1</v>
      </c>
      <c r="O28" s="44" t="s">
        <v>52</v>
      </c>
      <c r="P28" s="44" t="s">
        <v>0</v>
      </c>
      <c r="Q28" s="30">
        <v>3</v>
      </c>
      <c r="R28" s="30">
        <v>3</v>
      </c>
      <c r="S28" s="30" t="s">
        <v>52</v>
      </c>
      <c r="T28" s="30">
        <v>1</v>
      </c>
      <c r="U28" s="30">
        <v>1</v>
      </c>
      <c r="V28" s="44" t="s">
        <v>52</v>
      </c>
      <c r="W28" s="44" t="s">
        <v>0</v>
      </c>
      <c r="X28" s="30">
        <v>3</v>
      </c>
      <c r="Y28" s="30">
        <v>3</v>
      </c>
      <c r="Z28" s="30">
        <v>3</v>
      </c>
      <c r="AA28" s="30">
        <v>3</v>
      </c>
      <c r="AB28" s="30">
        <v>3</v>
      </c>
      <c r="AC28" s="30">
        <v>3</v>
      </c>
      <c r="AD28" s="30" t="s">
        <v>0</v>
      </c>
      <c r="AE28" s="30">
        <v>3</v>
      </c>
      <c r="AF28" s="30">
        <v>3</v>
      </c>
      <c r="AG28" s="30">
        <v>3</v>
      </c>
      <c r="AH28" s="30">
        <v>3</v>
      </c>
      <c r="AI28" s="30" t="s">
        <v>0</v>
      </c>
      <c r="AJ28" s="30">
        <v>1</v>
      </c>
      <c r="AK28" s="30">
        <v>1</v>
      </c>
      <c r="AL28" s="30">
        <v>1</v>
      </c>
      <c r="AM28" s="30">
        <v>1</v>
      </c>
      <c r="AN28" s="30" t="s">
        <v>52</v>
      </c>
      <c r="AO28" s="30">
        <v>3</v>
      </c>
      <c r="AP28" s="48">
        <v>3</v>
      </c>
      <c r="AQ28" s="62">
        <v>0</v>
      </c>
      <c r="AR28" s="46">
        <f t="shared" si="6"/>
        <v>0</v>
      </c>
      <c r="AS28" s="46">
        <v>0</v>
      </c>
      <c r="AT28" s="134">
        <f t="shared" si="11"/>
        <v>0</v>
      </c>
      <c r="AU28" s="329" t="s">
        <v>128</v>
      </c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</row>
    <row r="29" spans="1:227" s="50" customFormat="1" ht="25.5" customHeight="1">
      <c r="A29" s="38">
        <f t="shared" ref="A29:A40" si="58">COUNTIF(L29:AP29,1)+COUNTIF(L29:AP29,"早")+COUNTIF(L29:AP29,"M1")+COUNTIF(L29:AP29,"T早")+COUNTIF(L29:AP29,"日")</f>
        <v>5</v>
      </c>
      <c r="B29" s="39">
        <f t="shared" ref="B29:B40" si="59">COUNTIF(L29:AP29,2)+COUNTIF(L29:AP29,"中")+COUNTIF(L29:AP29,"M2")+COUNTIF(L29:AP29,"T中")+COUNTIF(L29:AP29,"小夜")</f>
        <v>15</v>
      </c>
      <c r="C29" s="40">
        <f t="shared" ref="C29:C40" si="60">COUNTIF(L29:AP29,3)+COUNTIF(L29:AP29,"晚")+COUNTIF(L29:AP29,"大夜")</f>
        <v>0</v>
      </c>
      <c r="D29" s="39">
        <f t="shared" ref="D29:D40" si="61">COUNTIF(L29:AP29,"N")+COUNTIF(L29:AP29,"N8")</f>
        <v>3</v>
      </c>
      <c r="E29" s="41">
        <f t="shared" ref="E29:E40" si="62">COUNTIF(L29:AP29,"S")</f>
        <v>0</v>
      </c>
      <c r="F29" s="41">
        <f t="shared" si="7"/>
        <v>1</v>
      </c>
      <c r="G29" s="41">
        <f t="shared" si="8"/>
        <v>4</v>
      </c>
      <c r="H29" s="41">
        <f t="shared" si="9"/>
        <v>3</v>
      </c>
      <c r="I29" s="41">
        <f t="shared" si="10"/>
        <v>0</v>
      </c>
      <c r="J29" s="177">
        <f t="shared" ref="J29:J39" si="63">SUM(A29:I29)</f>
        <v>31</v>
      </c>
      <c r="K29" s="372" t="s">
        <v>19</v>
      </c>
      <c r="L29" s="49">
        <v>1</v>
      </c>
      <c r="M29" s="30">
        <v>2</v>
      </c>
      <c r="N29" s="30">
        <v>2</v>
      </c>
      <c r="O29" s="44" t="s">
        <v>52</v>
      </c>
      <c r="P29" s="44" t="s">
        <v>0</v>
      </c>
      <c r="Q29" s="30">
        <v>2</v>
      </c>
      <c r="R29" s="30">
        <v>2</v>
      </c>
      <c r="S29" s="30">
        <v>2</v>
      </c>
      <c r="T29" s="30" t="s">
        <v>52</v>
      </c>
      <c r="U29" s="30" t="s">
        <v>163</v>
      </c>
      <c r="V29" s="30">
        <v>2</v>
      </c>
      <c r="W29" s="30">
        <v>2</v>
      </c>
      <c r="X29" s="30">
        <v>2</v>
      </c>
      <c r="Y29" s="30">
        <v>2</v>
      </c>
      <c r="Z29" s="30" t="s">
        <v>0</v>
      </c>
      <c r="AA29" s="348" t="s">
        <v>41</v>
      </c>
      <c r="AB29" s="348" t="s">
        <v>41</v>
      </c>
      <c r="AC29" s="46">
        <v>1</v>
      </c>
      <c r="AD29" s="46">
        <v>2</v>
      </c>
      <c r="AE29" s="30" t="s">
        <v>0</v>
      </c>
      <c r="AF29" s="30">
        <v>1</v>
      </c>
      <c r="AG29" s="30">
        <v>1</v>
      </c>
      <c r="AH29" s="30">
        <v>1</v>
      </c>
      <c r="AI29" s="53" t="s">
        <v>3</v>
      </c>
      <c r="AJ29" s="44" t="s">
        <v>52</v>
      </c>
      <c r="AK29" s="44" t="s">
        <v>0</v>
      </c>
      <c r="AL29" s="41">
        <v>2</v>
      </c>
      <c r="AM29" s="46">
        <v>2</v>
      </c>
      <c r="AN29" s="46">
        <v>2</v>
      </c>
      <c r="AO29" s="30">
        <v>2</v>
      </c>
      <c r="AP29" s="48">
        <v>2</v>
      </c>
      <c r="AQ29" s="62">
        <v>0</v>
      </c>
      <c r="AR29" s="46">
        <f t="shared" si="6"/>
        <v>-1</v>
      </c>
      <c r="AS29" s="46">
        <v>0</v>
      </c>
      <c r="AT29" s="134">
        <f t="shared" si="11"/>
        <v>-1</v>
      </c>
      <c r="AU29" s="329" t="s">
        <v>128</v>
      </c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</row>
    <row r="30" spans="1:227" s="50" customFormat="1" ht="25.5" customHeight="1">
      <c r="A30" s="38">
        <f t="shared" si="58"/>
        <v>11</v>
      </c>
      <c r="B30" s="39">
        <f t="shared" si="59"/>
        <v>10</v>
      </c>
      <c r="C30" s="40">
        <f t="shared" si="60"/>
        <v>2</v>
      </c>
      <c r="D30" s="39">
        <f t="shared" si="61"/>
        <v>0</v>
      </c>
      <c r="E30" s="41">
        <f t="shared" si="62"/>
        <v>0</v>
      </c>
      <c r="F30" s="41">
        <f t="shared" si="7"/>
        <v>0</v>
      </c>
      <c r="G30" s="41">
        <f>COUNTIF(L30:AP30,"X")</f>
        <v>4</v>
      </c>
      <c r="H30" s="41">
        <f>COUNTIF(L30:AP30,"Y")</f>
        <v>4</v>
      </c>
      <c r="I30" s="41">
        <f>COUNTIF(L30:AP30,"Z")</f>
        <v>0</v>
      </c>
      <c r="J30" s="177">
        <f t="shared" si="63"/>
        <v>31</v>
      </c>
      <c r="K30" s="372" t="s">
        <v>20</v>
      </c>
      <c r="L30" s="49">
        <v>3</v>
      </c>
      <c r="M30" s="30">
        <v>3</v>
      </c>
      <c r="N30" s="30" t="s">
        <v>0</v>
      </c>
      <c r="O30" s="30" t="s">
        <v>52</v>
      </c>
      <c r="P30" s="30">
        <v>2</v>
      </c>
      <c r="Q30" s="30">
        <v>2</v>
      </c>
      <c r="R30" s="30">
        <v>2</v>
      </c>
      <c r="S30" s="30">
        <v>2</v>
      </c>
      <c r="T30" s="30">
        <v>2</v>
      </c>
      <c r="U30" s="30">
        <v>2</v>
      </c>
      <c r="V30" s="44" t="s">
        <v>52</v>
      </c>
      <c r="W30" s="44" t="s">
        <v>0</v>
      </c>
      <c r="X30" s="30">
        <v>1</v>
      </c>
      <c r="Y30" s="30">
        <v>1</v>
      </c>
      <c r="Z30" s="30">
        <v>1</v>
      </c>
      <c r="AA30" s="30">
        <v>2</v>
      </c>
      <c r="AB30" s="30">
        <v>2</v>
      </c>
      <c r="AC30" s="30" t="s">
        <v>52</v>
      </c>
      <c r="AD30" s="30">
        <v>1</v>
      </c>
      <c r="AE30" s="30">
        <v>1</v>
      </c>
      <c r="AF30" s="30">
        <v>1</v>
      </c>
      <c r="AG30" s="30">
        <v>1</v>
      </c>
      <c r="AH30" s="30">
        <v>2</v>
      </c>
      <c r="AI30" s="30">
        <v>2</v>
      </c>
      <c r="AJ30" s="44" t="s">
        <v>52</v>
      </c>
      <c r="AK30" s="44" t="s">
        <v>0</v>
      </c>
      <c r="AL30" s="30" t="s">
        <v>0</v>
      </c>
      <c r="AM30" s="30">
        <v>1</v>
      </c>
      <c r="AN30" s="30">
        <v>1</v>
      </c>
      <c r="AO30" s="30">
        <v>1</v>
      </c>
      <c r="AP30" s="48">
        <v>1</v>
      </c>
      <c r="AQ30" s="62">
        <v>0</v>
      </c>
      <c r="AR30" s="46">
        <f t="shared" si="6"/>
        <v>0</v>
      </c>
      <c r="AS30" s="46">
        <v>0</v>
      </c>
      <c r="AT30" s="134">
        <f>SUM(AQ30:AS30)</f>
        <v>0</v>
      </c>
      <c r="AU30" s="329" t="s">
        <v>126</v>
      </c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</row>
    <row r="31" spans="1:227" s="50" customFormat="1" ht="25.5" customHeight="1" thickBot="1">
      <c r="A31" s="69">
        <f t="shared" si="58"/>
        <v>12</v>
      </c>
      <c r="B31" s="70">
        <f t="shared" si="59"/>
        <v>5</v>
      </c>
      <c r="C31" s="71">
        <f t="shared" si="60"/>
        <v>6</v>
      </c>
      <c r="D31" s="70">
        <f t="shared" si="61"/>
        <v>0</v>
      </c>
      <c r="E31" s="63">
        <f t="shared" si="62"/>
        <v>0</v>
      </c>
      <c r="F31" s="63">
        <f t="shared" si="7"/>
        <v>0</v>
      </c>
      <c r="G31" s="63">
        <f t="shared" si="8"/>
        <v>4</v>
      </c>
      <c r="H31" s="63">
        <f t="shared" si="9"/>
        <v>4</v>
      </c>
      <c r="I31" s="63">
        <f t="shared" si="10"/>
        <v>0</v>
      </c>
      <c r="J31" s="178">
        <f t="shared" si="63"/>
        <v>31</v>
      </c>
      <c r="K31" s="373" t="s">
        <v>21</v>
      </c>
      <c r="L31" s="58">
        <v>2</v>
      </c>
      <c r="M31" s="60">
        <v>2</v>
      </c>
      <c r="N31" s="60">
        <v>2</v>
      </c>
      <c r="O31" s="60">
        <v>2</v>
      </c>
      <c r="P31" s="60" t="s">
        <v>0</v>
      </c>
      <c r="Q31" s="60">
        <v>1</v>
      </c>
      <c r="R31" s="60">
        <v>1</v>
      </c>
      <c r="S31" s="60">
        <v>1</v>
      </c>
      <c r="T31" s="60">
        <v>1</v>
      </c>
      <c r="U31" s="60">
        <v>2</v>
      </c>
      <c r="V31" s="59" t="s">
        <v>52</v>
      </c>
      <c r="W31" s="59" t="s">
        <v>0</v>
      </c>
      <c r="X31" s="60">
        <v>3</v>
      </c>
      <c r="Y31" s="60">
        <v>3</v>
      </c>
      <c r="Z31" s="60" t="s">
        <v>0</v>
      </c>
      <c r="AA31" s="60">
        <v>1</v>
      </c>
      <c r="AB31" s="60">
        <v>1</v>
      </c>
      <c r="AC31" s="60">
        <v>1</v>
      </c>
      <c r="AD31" s="60">
        <v>1</v>
      </c>
      <c r="AE31" s="60">
        <v>1</v>
      </c>
      <c r="AF31" s="60" t="s">
        <v>52</v>
      </c>
      <c r="AG31" s="60">
        <v>1</v>
      </c>
      <c r="AH31" s="60">
        <v>1</v>
      </c>
      <c r="AI31" s="60">
        <v>1</v>
      </c>
      <c r="AJ31" s="59" t="s">
        <v>52</v>
      </c>
      <c r="AK31" s="59" t="s">
        <v>0</v>
      </c>
      <c r="AL31" s="60">
        <v>3</v>
      </c>
      <c r="AM31" s="60">
        <v>3</v>
      </c>
      <c r="AN31" s="60">
        <v>3</v>
      </c>
      <c r="AO31" s="60">
        <v>3</v>
      </c>
      <c r="AP31" s="359" t="s">
        <v>52</v>
      </c>
      <c r="AQ31" s="142">
        <v>0</v>
      </c>
      <c r="AR31" s="74">
        <f t="shared" si="6"/>
        <v>0</v>
      </c>
      <c r="AS31" s="74">
        <v>0</v>
      </c>
      <c r="AT31" s="127">
        <f t="shared" si="11"/>
        <v>0</v>
      </c>
      <c r="AU31" s="330" t="s">
        <v>126</v>
      </c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</row>
    <row r="32" spans="1:227" s="50" customFormat="1" ht="25.2" customHeight="1">
      <c r="A32" s="381">
        <f t="shared" si="58"/>
        <v>3</v>
      </c>
      <c r="B32" s="382">
        <f t="shared" si="59"/>
        <v>0</v>
      </c>
      <c r="C32" s="383">
        <f t="shared" si="60"/>
        <v>20</v>
      </c>
      <c r="D32" s="382">
        <f t="shared" si="61"/>
        <v>0</v>
      </c>
      <c r="E32" s="331">
        <f t="shared" si="62"/>
        <v>0</v>
      </c>
      <c r="F32" s="331">
        <f t="shared" si="7"/>
        <v>0</v>
      </c>
      <c r="G32" s="331">
        <f t="shared" si="8"/>
        <v>4</v>
      </c>
      <c r="H32" s="331">
        <f t="shared" si="9"/>
        <v>4</v>
      </c>
      <c r="I32" s="331">
        <f t="shared" si="10"/>
        <v>0</v>
      </c>
      <c r="J32" s="384">
        <f t="shared" si="63"/>
        <v>31</v>
      </c>
      <c r="K32" s="374" t="s">
        <v>22</v>
      </c>
      <c r="L32" s="163" t="s">
        <v>0</v>
      </c>
      <c r="M32" s="164" t="s">
        <v>40</v>
      </c>
      <c r="N32" s="164" t="s">
        <v>40</v>
      </c>
      <c r="O32" s="164" t="s">
        <v>40</v>
      </c>
      <c r="P32" s="164" t="s">
        <v>40</v>
      </c>
      <c r="Q32" s="164" t="s">
        <v>40</v>
      </c>
      <c r="R32" s="164" t="s">
        <v>52</v>
      </c>
      <c r="S32" s="164" t="s">
        <v>40</v>
      </c>
      <c r="T32" s="164" t="s">
        <v>40</v>
      </c>
      <c r="U32" s="164" t="s">
        <v>40</v>
      </c>
      <c r="V32" s="164" t="s">
        <v>40</v>
      </c>
      <c r="W32" s="164" t="s">
        <v>40</v>
      </c>
      <c r="X32" s="164" t="s">
        <v>40</v>
      </c>
      <c r="Y32" s="164" t="s">
        <v>0</v>
      </c>
      <c r="Z32" s="164">
        <v>1</v>
      </c>
      <c r="AA32" s="164">
        <v>1</v>
      </c>
      <c r="AB32" s="164">
        <v>1</v>
      </c>
      <c r="AC32" s="165" t="s">
        <v>52</v>
      </c>
      <c r="AD32" s="165" t="s">
        <v>0</v>
      </c>
      <c r="AE32" s="164" t="s">
        <v>40</v>
      </c>
      <c r="AF32" s="164" t="s">
        <v>40</v>
      </c>
      <c r="AG32" s="164" t="s">
        <v>40</v>
      </c>
      <c r="AH32" s="164" t="s">
        <v>40</v>
      </c>
      <c r="AI32" s="164" t="s">
        <v>40</v>
      </c>
      <c r="AJ32" s="165" t="s">
        <v>52</v>
      </c>
      <c r="AK32" s="165" t="s">
        <v>0</v>
      </c>
      <c r="AL32" s="164" t="s">
        <v>40</v>
      </c>
      <c r="AM32" s="164" t="s">
        <v>40</v>
      </c>
      <c r="AN32" s="164" t="s">
        <v>40</v>
      </c>
      <c r="AO32" s="164" t="s">
        <v>40</v>
      </c>
      <c r="AP32" s="358" t="s">
        <v>52</v>
      </c>
      <c r="AQ32" s="65">
        <v>0</v>
      </c>
      <c r="AR32" s="36">
        <f t="shared" si="6"/>
        <v>0</v>
      </c>
      <c r="AS32" s="36">
        <v>0</v>
      </c>
      <c r="AT32" s="133">
        <f t="shared" si="11"/>
        <v>0</v>
      </c>
      <c r="AU32" s="328" t="s">
        <v>128</v>
      </c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</row>
    <row r="33" spans="1:227" s="50" customFormat="1" ht="27.6" customHeight="1">
      <c r="A33" s="38">
        <f t="shared" si="58"/>
        <v>0</v>
      </c>
      <c r="B33" s="39">
        <f t="shared" si="59"/>
        <v>13</v>
      </c>
      <c r="C33" s="40">
        <f t="shared" si="60"/>
        <v>0</v>
      </c>
      <c r="D33" s="39">
        <f t="shared" si="61"/>
        <v>0</v>
      </c>
      <c r="E33" s="41">
        <f t="shared" si="62"/>
        <v>9</v>
      </c>
      <c r="F33" s="41">
        <f t="shared" si="7"/>
        <v>1</v>
      </c>
      <c r="G33" s="41">
        <f>COUNTIF(L33:AP33,"X")</f>
        <v>4</v>
      </c>
      <c r="H33" s="41">
        <f>COUNTIF(L33:AP33,"Y")</f>
        <v>4</v>
      </c>
      <c r="I33" s="41">
        <f>COUNTIF(L33:AP33,"Z")</f>
        <v>0</v>
      </c>
      <c r="J33" s="177">
        <f t="shared" si="63"/>
        <v>31</v>
      </c>
      <c r="K33" s="371" t="s">
        <v>23</v>
      </c>
      <c r="L33" s="122" t="s">
        <v>1</v>
      </c>
      <c r="M33" s="32" t="s">
        <v>1</v>
      </c>
      <c r="N33" s="32" t="s">
        <v>1</v>
      </c>
      <c r="O33" s="44" t="s">
        <v>52</v>
      </c>
      <c r="P33" s="44" t="s">
        <v>0</v>
      </c>
      <c r="Q33" s="32" t="s">
        <v>1</v>
      </c>
      <c r="R33" s="32" t="s">
        <v>1</v>
      </c>
      <c r="S33" s="32" t="s">
        <v>1</v>
      </c>
      <c r="T33" s="32" t="s">
        <v>1</v>
      </c>
      <c r="U33" s="32" t="s">
        <v>163</v>
      </c>
      <c r="V33" s="44" t="s">
        <v>52</v>
      </c>
      <c r="W33" s="32" t="s">
        <v>1</v>
      </c>
      <c r="X33" s="32" t="s">
        <v>1</v>
      </c>
      <c r="Y33" s="44" t="s">
        <v>0</v>
      </c>
      <c r="Z33" s="30" t="s">
        <v>38</v>
      </c>
      <c r="AA33" s="30" t="s">
        <v>38</v>
      </c>
      <c r="AB33" s="30" t="s">
        <v>38</v>
      </c>
      <c r="AC33" s="30" t="s">
        <v>38</v>
      </c>
      <c r="AD33" s="30" t="s">
        <v>38</v>
      </c>
      <c r="AE33" s="30" t="s">
        <v>38</v>
      </c>
      <c r="AF33" s="30" t="s">
        <v>52</v>
      </c>
      <c r="AG33" s="30" t="s">
        <v>38</v>
      </c>
      <c r="AH33" s="30" t="s">
        <v>38</v>
      </c>
      <c r="AI33" s="30" t="s">
        <v>38</v>
      </c>
      <c r="AJ33" s="30" t="s">
        <v>38</v>
      </c>
      <c r="AK33" s="30" t="s">
        <v>38</v>
      </c>
      <c r="AL33" s="30" t="s">
        <v>0</v>
      </c>
      <c r="AM33" s="30" t="s">
        <v>52</v>
      </c>
      <c r="AN33" s="30" t="s">
        <v>0</v>
      </c>
      <c r="AO33" s="30" t="s">
        <v>38</v>
      </c>
      <c r="AP33" s="48" t="s">
        <v>38</v>
      </c>
      <c r="AQ33" s="45">
        <v>0</v>
      </c>
      <c r="AR33" s="46">
        <f t="shared" si="6"/>
        <v>0</v>
      </c>
      <c r="AS33" s="46">
        <v>0</v>
      </c>
      <c r="AT33" s="134">
        <f t="shared" si="11"/>
        <v>0</v>
      </c>
      <c r="AU33" s="329" t="s">
        <v>128</v>
      </c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</row>
    <row r="34" spans="1:227" s="50" customFormat="1" ht="27.6" customHeight="1">
      <c r="A34" s="38">
        <f t="shared" si="58"/>
        <v>0</v>
      </c>
      <c r="B34" s="39">
        <f t="shared" si="59"/>
        <v>22</v>
      </c>
      <c r="C34" s="40">
        <f t="shared" si="60"/>
        <v>0</v>
      </c>
      <c r="D34" s="39">
        <f t="shared" si="61"/>
        <v>0</v>
      </c>
      <c r="E34" s="41">
        <f t="shared" si="62"/>
        <v>1</v>
      </c>
      <c r="F34" s="41">
        <f t="shared" si="7"/>
        <v>0</v>
      </c>
      <c r="G34" s="41">
        <f t="shared" si="8"/>
        <v>4</v>
      </c>
      <c r="H34" s="41">
        <f t="shared" si="9"/>
        <v>4</v>
      </c>
      <c r="I34" s="41">
        <f t="shared" si="10"/>
        <v>0</v>
      </c>
      <c r="J34" s="177">
        <f t="shared" si="63"/>
        <v>31</v>
      </c>
      <c r="K34" s="371" t="s">
        <v>24</v>
      </c>
      <c r="L34" s="49" t="s">
        <v>38</v>
      </c>
      <c r="M34" s="30" t="s">
        <v>38</v>
      </c>
      <c r="N34" s="30" t="s">
        <v>38</v>
      </c>
      <c r="O34" s="30" t="s">
        <v>38</v>
      </c>
      <c r="P34" s="30" t="s">
        <v>38</v>
      </c>
      <c r="Q34" s="30" t="s">
        <v>38</v>
      </c>
      <c r="R34" s="30" t="s">
        <v>52</v>
      </c>
      <c r="S34" s="30" t="s">
        <v>38</v>
      </c>
      <c r="T34" s="30" t="s">
        <v>38</v>
      </c>
      <c r="U34" s="30" t="s">
        <v>38</v>
      </c>
      <c r="V34" s="44" t="s">
        <v>0</v>
      </c>
      <c r="W34" s="32" t="s">
        <v>1</v>
      </c>
      <c r="X34" s="30" t="s">
        <v>38</v>
      </c>
      <c r="Y34" s="30" t="s">
        <v>38</v>
      </c>
      <c r="Z34" s="30" t="s">
        <v>38</v>
      </c>
      <c r="AA34" s="30" t="s">
        <v>52</v>
      </c>
      <c r="AB34" s="30" t="s">
        <v>0</v>
      </c>
      <c r="AC34" s="30" t="s">
        <v>38</v>
      </c>
      <c r="AD34" s="30" t="s">
        <v>38</v>
      </c>
      <c r="AE34" s="44" t="s">
        <v>0</v>
      </c>
      <c r="AF34" s="30" t="s">
        <v>38</v>
      </c>
      <c r="AG34" s="30" t="s">
        <v>38</v>
      </c>
      <c r="AH34" s="30" t="s">
        <v>38</v>
      </c>
      <c r="AI34" s="30" t="s">
        <v>38</v>
      </c>
      <c r="AJ34" s="44" t="s">
        <v>52</v>
      </c>
      <c r="AK34" s="44" t="s">
        <v>0</v>
      </c>
      <c r="AL34" s="30" t="s">
        <v>38</v>
      </c>
      <c r="AM34" s="30" t="s">
        <v>38</v>
      </c>
      <c r="AN34" s="30" t="s">
        <v>38</v>
      </c>
      <c r="AO34" s="30" t="s">
        <v>38</v>
      </c>
      <c r="AP34" s="48" t="s">
        <v>52</v>
      </c>
      <c r="AQ34" s="45">
        <v>0</v>
      </c>
      <c r="AR34" s="46">
        <f t="shared" si="6"/>
        <v>0</v>
      </c>
      <c r="AS34" s="46">
        <v>0</v>
      </c>
      <c r="AT34" s="134">
        <f t="shared" si="11"/>
        <v>0</v>
      </c>
      <c r="AU34" s="329" t="s">
        <v>126</v>
      </c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</row>
    <row r="35" spans="1:227" s="50" customFormat="1" ht="27.6" customHeight="1">
      <c r="A35" s="38">
        <f t="shared" si="58"/>
        <v>3</v>
      </c>
      <c r="B35" s="39">
        <f t="shared" si="59"/>
        <v>17</v>
      </c>
      <c r="C35" s="40">
        <f t="shared" si="60"/>
        <v>2</v>
      </c>
      <c r="D35" s="39">
        <f t="shared" si="61"/>
        <v>0</v>
      </c>
      <c r="E35" s="41">
        <f t="shared" si="62"/>
        <v>1</v>
      </c>
      <c r="F35" s="41">
        <f t="shared" si="7"/>
        <v>1</v>
      </c>
      <c r="G35" s="41">
        <f t="shared" si="8"/>
        <v>4</v>
      </c>
      <c r="H35" s="41">
        <f t="shared" si="9"/>
        <v>3</v>
      </c>
      <c r="I35" s="41">
        <f t="shared" si="10"/>
        <v>0</v>
      </c>
      <c r="J35" s="177">
        <f t="shared" si="63"/>
        <v>31</v>
      </c>
      <c r="K35" s="375" t="s">
        <v>25</v>
      </c>
      <c r="L35" s="49" t="s">
        <v>36</v>
      </c>
      <c r="M35" s="30" t="s">
        <v>36</v>
      </c>
      <c r="N35" s="30" t="s">
        <v>36</v>
      </c>
      <c r="O35" s="30" t="s">
        <v>26</v>
      </c>
      <c r="P35" s="30" t="s">
        <v>38</v>
      </c>
      <c r="Q35" s="30" t="s">
        <v>0</v>
      </c>
      <c r="R35" s="30" t="s">
        <v>38</v>
      </c>
      <c r="S35" s="30" t="s">
        <v>38</v>
      </c>
      <c r="T35" s="30" t="s">
        <v>38</v>
      </c>
      <c r="U35" s="30" t="s">
        <v>163</v>
      </c>
      <c r="V35" s="30" t="s">
        <v>38</v>
      </c>
      <c r="W35" s="30" t="s">
        <v>38</v>
      </c>
      <c r="X35" s="30" t="s">
        <v>38</v>
      </c>
      <c r="Y35" s="32" t="s">
        <v>52</v>
      </c>
      <c r="Z35" s="30" t="s">
        <v>0</v>
      </c>
      <c r="AA35" s="32" t="s">
        <v>1</v>
      </c>
      <c r="AB35" s="30" t="s">
        <v>38</v>
      </c>
      <c r="AC35" s="30" t="s">
        <v>26</v>
      </c>
      <c r="AD35" s="30" t="s">
        <v>38</v>
      </c>
      <c r="AE35" s="30" t="s">
        <v>38</v>
      </c>
      <c r="AF35" s="30" t="s">
        <v>38</v>
      </c>
      <c r="AG35" s="30" t="s">
        <v>52</v>
      </c>
      <c r="AH35" s="30" t="s">
        <v>0</v>
      </c>
      <c r="AI35" s="30">
        <v>3</v>
      </c>
      <c r="AJ35" s="30" t="s">
        <v>26</v>
      </c>
      <c r="AK35" s="30" t="s">
        <v>38</v>
      </c>
      <c r="AL35" s="30" t="s">
        <v>38</v>
      </c>
      <c r="AM35" s="30" t="s">
        <v>38</v>
      </c>
      <c r="AN35" s="30" t="s">
        <v>52</v>
      </c>
      <c r="AO35" s="44" t="s">
        <v>0</v>
      </c>
      <c r="AP35" s="48" t="s">
        <v>40</v>
      </c>
      <c r="AQ35" s="45">
        <v>0</v>
      </c>
      <c r="AR35" s="46">
        <f t="shared" si="6"/>
        <v>-1</v>
      </c>
      <c r="AS35" s="46">
        <v>0</v>
      </c>
      <c r="AT35" s="134">
        <f t="shared" si="11"/>
        <v>-1</v>
      </c>
      <c r="AU35" s="329" t="s">
        <v>128</v>
      </c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</row>
    <row r="36" spans="1:227" s="50" customFormat="1" ht="24" customHeight="1">
      <c r="A36" s="38">
        <f t="shared" si="58"/>
        <v>6</v>
      </c>
      <c r="B36" s="39">
        <f t="shared" si="59"/>
        <v>2</v>
      </c>
      <c r="C36" s="40">
        <f t="shared" si="60"/>
        <v>9</v>
      </c>
      <c r="D36" s="39">
        <f t="shared" si="61"/>
        <v>3</v>
      </c>
      <c r="E36" s="41">
        <f t="shared" si="62"/>
        <v>2</v>
      </c>
      <c r="F36" s="41">
        <f t="shared" si="7"/>
        <v>1</v>
      </c>
      <c r="G36" s="41">
        <f t="shared" si="8"/>
        <v>4</v>
      </c>
      <c r="H36" s="41">
        <f t="shared" si="9"/>
        <v>4</v>
      </c>
      <c r="I36" s="41">
        <f t="shared" si="10"/>
        <v>0</v>
      </c>
      <c r="J36" s="177">
        <f t="shared" si="63"/>
        <v>31</v>
      </c>
      <c r="K36" s="371" t="s">
        <v>27</v>
      </c>
      <c r="L36" s="49" t="s">
        <v>0</v>
      </c>
      <c r="M36" s="30" t="s">
        <v>36</v>
      </c>
      <c r="N36" s="30" t="s">
        <v>36</v>
      </c>
      <c r="O36" s="30" t="s">
        <v>36</v>
      </c>
      <c r="P36" s="30" t="s">
        <v>36</v>
      </c>
      <c r="Q36" s="30" t="s">
        <v>52</v>
      </c>
      <c r="R36" s="53" t="s">
        <v>3</v>
      </c>
      <c r="S36" s="53" t="s">
        <v>3</v>
      </c>
      <c r="T36" s="32" t="s">
        <v>0</v>
      </c>
      <c r="U36" s="32" t="s">
        <v>163</v>
      </c>
      <c r="V36" s="44" t="s">
        <v>52</v>
      </c>
      <c r="W36" s="32" t="s">
        <v>1</v>
      </c>
      <c r="X36" s="32" t="s">
        <v>1</v>
      </c>
      <c r="Y36" s="32" t="s">
        <v>0</v>
      </c>
      <c r="Z36" s="30" t="s">
        <v>40</v>
      </c>
      <c r="AA36" s="30" t="s">
        <v>40</v>
      </c>
      <c r="AB36" s="30" t="s">
        <v>40</v>
      </c>
      <c r="AC36" s="30" t="s">
        <v>40</v>
      </c>
      <c r="AD36" s="30" t="s">
        <v>40</v>
      </c>
      <c r="AE36" s="30" t="s">
        <v>52</v>
      </c>
      <c r="AF36" s="53" t="s">
        <v>3</v>
      </c>
      <c r="AG36" s="30" t="s">
        <v>36</v>
      </c>
      <c r="AH36" s="30" t="s">
        <v>36</v>
      </c>
      <c r="AI36" s="30" t="s">
        <v>0</v>
      </c>
      <c r="AJ36" s="30" t="s">
        <v>38</v>
      </c>
      <c r="AK36" s="30" t="s">
        <v>38</v>
      </c>
      <c r="AL36" s="30" t="s">
        <v>52</v>
      </c>
      <c r="AM36" s="30" t="s">
        <v>40</v>
      </c>
      <c r="AN36" s="30" t="s">
        <v>40</v>
      </c>
      <c r="AO36" s="30" t="s">
        <v>40</v>
      </c>
      <c r="AP36" s="48" t="s">
        <v>40</v>
      </c>
      <c r="AQ36" s="45">
        <v>0</v>
      </c>
      <c r="AR36" s="46">
        <f t="shared" si="6"/>
        <v>0</v>
      </c>
      <c r="AS36" s="46">
        <v>0</v>
      </c>
      <c r="AT36" s="134">
        <f t="shared" si="11"/>
        <v>0</v>
      </c>
      <c r="AU36" s="329" t="s">
        <v>126</v>
      </c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</row>
    <row r="37" spans="1:227" ht="25.2" customHeight="1">
      <c r="A37" s="38">
        <f t="shared" si="58"/>
        <v>2</v>
      </c>
      <c r="B37" s="39">
        <f t="shared" si="59"/>
        <v>0</v>
      </c>
      <c r="C37" s="40">
        <f t="shared" si="60"/>
        <v>16</v>
      </c>
      <c r="D37" s="39">
        <f t="shared" si="61"/>
        <v>2</v>
      </c>
      <c r="E37" s="41">
        <f t="shared" si="62"/>
        <v>3</v>
      </c>
      <c r="F37" s="41">
        <f t="shared" si="7"/>
        <v>1</v>
      </c>
      <c r="G37" s="41">
        <f t="shared" si="8"/>
        <v>4</v>
      </c>
      <c r="H37" s="41">
        <f t="shared" si="9"/>
        <v>3</v>
      </c>
      <c r="I37" s="41">
        <f t="shared" si="10"/>
        <v>0</v>
      </c>
      <c r="J37" s="177">
        <f t="shared" si="63"/>
        <v>31</v>
      </c>
      <c r="K37" s="371" t="s">
        <v>57</v>
      </c>
      <c r="L37" s="49" t="s">
        <v>36</v>
      </c>
      <c r="M37" s="348" t="s">
        <v>41</v>
      </c>
      <c r="N37" s="44" t="s">
        <v>52</v>
      </c>
      <c r="O37" s="30" t="s">
        <v>40</v>
      </c>
      <c r="P37" s="30" t="s">
        <v>40</v>
      </c>
      <c r="Q37" s="30" t="s">
        <v>40</v>
      </c>
      <c r="R37" s="30" t="s">
        <v>40</v>
      </c>
      <c r="S37" s="30" t="s">
        <v>40</v>
      </c>
      <c r="T37" s="30" t="s">
        <v>40</v>
      </c>
      <c r="U37" s="30" t="s">
        <v>163</v>
      </c>
      <c r="V37" s="30">
        <v>3</v>
      </c>
      <c r="W37" s="30">
        <v>3</v>
      </c>
      <c r="X37" s="32" t="s">
        <v>0</v>
      </c>
      <c r="Y37" s="30" t="s">
        <v>40</v>
      </c>
      <c r="Z37" s="30" t="s">
        <v>40</v>
      </c>
      <c r="AA37" s="30" t="s">
        <v>40</v>
      </c>
      <c r="AB37" s="30" t="s">
        <v>40</v>
      </c>
      <c r="AC37" s="30" t="s">
        <v>40</v>
      </c>
      <c r="AD37" s="44" t="s">
        <v>52</v>
      </c>
      <c r="AE37" s="32" t="s">
        <v>1</v>
      </c>
      <c r="AF37" s="30" t="s">
        <v>0</v>
      </c>
      <c r="AG37" s="30" t="s">
        <v>40</v>
      </c>
      <c r="AH37" s="30" t="s">
        <v>40</v>
      </c>
      <c r="AI37" s="30" t="s">
        <v>40</v>
      </c>
      <c r="AJ37" s="44" t="s">
        <v>0</v>
      </c>
      <c r="AK37" s="32" t="s">
        <v>1</v>
      </c>
      <c r="AL37" s="30" t="s">
        <v>3</v>
      </c>
      <c r="AM37" s="30" t="s">
        <v>36</v>
      </c>
      <c r="AN37" s="30" t="s">
        <v>52</v>
      </c>
      <c r="AO37" s="32" t="s">
        <v>1</v>
      </c>
      <c r="AP37" s="123" t="s">
        <v>0</v>
      </c>
      <c r="AQ37" s="45">
        <v>0</v>
      </c>
      <c r="AR37" s="46">
        <f t="shared" si="6"/>
        <v>-1</v>
      </c>
      <c r="AS37" s="46">
        <v>0</v>
      </c>
      <c r="AT37" s="134">
        <f t="shared" si="11"/>
        <v>-1</v>
      </c>
      <c r="AU37" s="329" t="s">
        <v>126</v>
      </c>
    </row>
    <row r="38" spans="1:227" ht="25.2" customHeight="1" thickBot="1">
      <c r="A38" s="69">
        <f t="shared" si="58"/>
        <v>6</v>
      </c>
      <c r="B38" s="70">
        <f t="shared" si="59"/>
        <v>2</v>
      </c>
      <c r="C38" s="71">
        <f t="shared" si="60"/>
        <v>7</v>
      </c>
      <c r="D38" s="70">
        <f t="shared" si="61"/>
        <v>6</v>
      </c>
      <c r="E38" s="63">
        <f t="shared" si="62"/>
        <v>1</v>
      </c>
      <c r="F38" s="63">
        <f t="shared" si="7"/>
        <v>1</v>
      </c>
      <c r="G38" s="63">
        <f t="shared" si="8"/>
        <v>4</v>
      </c>
      <c r="H38" s="63">
        <f t="shared" si="9"/>
        <v>4</v>
      </c>
      <c r="I38" s="63">
        <f t="shared" si="10"/>
        <v>0</v>
      </c>
      <c r="J38" s="178">
        <f t="shared" si="63"/>
        <v>31</v>
      </c>
      <c r="K38" s="376" t="s">
        <v>28</v>
      </c>
      <c r="L38" s="58" t="s">
        <v>40</v>
      </c>
      <c r="M38" s="60" t="s">
        <v>40</v>
      </c>
      <c r="N38" s="60" t="s">
        <v>40</v>
      </c>
      <c r="O38" s="59" t="s">
        <v>52</v>
      </c>
      <c r="P38" s="59" t="s">
        <v>0</v>
      </c>
      <c r="Q38" s="60" t="s">
        <v>36</v>
      </c>
      <c r="R38" s="60" t="s">
        <v>36</v>
      </c>
      <c r="S38" s="60" t="s">
        <v>36</v>
      </c>
      <c r="T38" s="60" t="s">
        <v>0</v>
      </c>
      <c r="U38" s="32" t="s">
        <v>163</v>
      </c>
      <c r="V38" s="60" t="s">
        <v>38</v>
      </c>
      <c r="W38" s="60" t="s">
        <v>38</v>
      </c>
      <c r="X38" s="60" t="s">
        <v>0</v>
      </c>
      <c r="Y38" s="60" t="s">
        <v>36</v>
      </c>
      <c r="Z38" s="182" t="s">
        <v>3</v>
      </c>
      <c r="AA38" s="182" t="s">
        <v>3</v>
      </c>
      <c r="AB38" s="32" t="s">
        <v>1</v>
      </c>
      <c r="AC38" s="59" t="s">
        <v>52</v>
      </c>
      <c r="AD38" s="59" t="s">
        <v>0</v>
      </c>
      <c r="AE38" s="182" t="s">
        <v>3</v>
      </c>
      <c r="AF38" s="182" t="s">
        <v>3</v>
      </c>
      <c r="AG38" s="182" t="s">
        <v>3</v>
      </c>
      <c r="AH38" s="60" t="s">
        <v>52</v>
      </c>
      <c r="AI38" s="60" t="s">
        <v>40</v>
      </c>
      <c r="AJ38" s="60" t="s">
        <v>40</v>
      </c>
      <c r="AK38" s="60" t="s">
        <v>40</v>
      </c>
      <c r="AL38" s="60" t="s">
        <v>40</v>
      </c>
      <c r="AM38" s="60" t="s">
        <v>52</v>
      </c>
      <c r="AN38" s="60" t="s">
        <v>36</v>
      </c>
      <c r="AO38" s="182" t="s">
        <v>3</v>
      </c>
      <c r="AP38" s="61" t="s">
        <v>36</v>
      </c>
      <c r="AQ38" s="73">
        <v>0</v>
      </c>
      <c r="AR38" s="74">
        <f t="shared" si="6"/>
        <v>0</v>
      </c>
      <c r="AS38" s="74">
        <v>0</v>
      </c>
      <c r="AT38" s="127">
        <f t="shared" si="11"/>
        <v>0</v>
      </c>
      <c r="AU38" s="330" t="s">
        <v>126</v>
      </c>
    </row>
    <row r="39" spans="1:227" s="50" customFormat="1" ht="24.75" customHeight="1">
      <c r="A39" s="381">
        <f t="shared" si="58"/>
        <v>4</v>
      </c>
      <c r="B39" s="382">
        <f t="shared" si="59"/>
        <v>0</v>
      </c>
      <c r="C39" s="383">
        <f t="shared" si="60"/>
        <v>8</v>
      </c>
      <c r="D39" s="382">
        <f t="shared" si="61"/>
        <v>3</v>
      </c>
      <c r="E39" s="331">
        <f t="shared" si="62"/>
        <v>8</v>
      </c>
      <c r="F39" s="331">
        <f t="shared" si="7"/>
        <v>1</v>
      </c>
      <c r="G39" s="331">
        <f>COUNTIF(L39:AP39,"X")</f>
        <v>4</v>
      </c>
      <c r="H39" s="331">
        <f>COUNTIF(L39:AP39,"Y")</f>
        <v>3</v>
      </c>
      <c r="I39" s="331">
        <f>COUNTIF(L39:AP39,"Z")</f>
        <v>0</v>
      </c>
      <c r="J39" s="384">
        <f t="shared" si="63"/>
        <v>31</v>
      </c>
      <c r="K39" s="377" t="s">
        <v>142</v>
      </c>
      <c r="L39" s="28" t="s">
        <v>52</v>
      </c>
      <c r="M39" s="29" t="s">
        <v>3</v>
      </c>
      <c r="N39" s="29" t="s">
        <v>3</v>
      </c>
      <c r="O39" s="31" t="s">
        <v>52</v>
      </c>
      <c r="P39" s="31" t="s">
        <v>0</v>
      </c>
      <c r="Q39" s="29" t="s">
        <v>55</v>
      </c>
      <c r="R39" s="29" t="s">
        <v>55</v>
      </c>
      <c r="S39" s="29" t="s">
        <v>55</v>
      </c>
      <c r="T39" s="29" t="s">
        <v>55</v>
      </c>
      <c r="U39" s="29" t="s">
        <v>163</v>
      </c>
      <c r="V39" s="29" t="s">
        <v>54</v>
      </c>
      <c r="W39" s="29" t="s">
        <v>54</v>
      </c>
      <c r="X39" s="29" t="s">
        <v>3</v>
      </c>
      <c r="Y39" s="31" t="s">
        <v>0</v>
      </c>
      <c r="Z39" s="33" t="s">
        <v>1</v>
      </c>
      <c r="AA39" s="33" t="s">
        <v>1</v>
      </c>
      <c r="AB39" s="33" t="s">
        <v>1</v>
      </c>
      <c r="AC39" s="33" t="s">
        <v>1</v>
      </c>
      <c r="AD39" s="31" t="s">
        <v>0</v>
      </c>
      <c r="AE39" s="33" t="s">
        <v>1</v>
      </c>
      <c r="AF39" s="33" t="s">
        <v>1</v>
      </c>
      <c r="AG39" s="33" t="s">
        <v>1</v>
      </c>
      <c r="AH39" s="33" t="s">
        <v>1</v>
      </c>
      <c r="AI39" s="33" t="s">
        <v>52</v>
      </c>
      <c r="AJ39" s="29" t="s">
        <v>54</v>
      </c>
      <c r="AK39" s="29" t="s">
        <v>54</v>
      </c>
      <c r="AL39" s="29" t="s">
        <v>0</v>
      </c>
      <c r="AM39" s="29" t="s">
        <v>55</v>
      </c>
      <c r="AN39" s="29" t="s">
        <v>55</v>
      </c>
      <c r="AO39" s="29" t="s">
        <v>55</v>
      </c>
      <c r="AP39" s="34" t="s">
        <v>55</v>
      </c>
      <c r="AQ39" s="35">
        <v>0</v>
      </c>
      <c r="AR39" s="36">
        <f t="shared" si="6"/>
        <v>-1</v>
      </c>
      <c r="AS39" s="36">
        <v>0</v>
      </c>
      <c r="AT39" s="133">
        <f t="shared" si="11"/>
        <v>-1</v>
      </c>
      <c r="AU39" s="332" t="s">
        <v>128</v>
      </c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</row>
    <row r="40" spans="1:227" s="50" customFormat="1" ht="24.75" customHeight="1">
      <c r="A40" s="38">
        <f t="shared" si="58"/>
        <v>3</v>
      </c>
      <c r="B40" s="39">
        <f t="shared" si="59"/>
        <v>14</v>
      </c>
      <c r="C40" s="40">
        <f t="shared" si="60"/>
        <v>0</v>
      </c>
      <c r="D40" s="39">
        <f t="shared" si="61"/>
        <v>5</v>
      </c>
      <c r="E40" s="41">
        <f t="shared" si="62"/>
        <v>1</v>
      </c>
      <c r="F40" s="41">
        <f t="shared" si="7"/>
        <v>0</v>
      </c>
      <c r="G40" s="41">
        <f>COUNTIF(L40:AP40,"X")</f>
        <v>4</v>
      </c>
      <c r="H40" s="41">
        <f>COUNTIF(L40:AP40,"Y")</f>
        <v>4</v>
      </c>
      <c r="I40" s="41">
        <f>COUNTIF(L40:AP40,"Z")</f>
        <v>0</v>
      </c>
      <c r="J40" s="177">
        <f t="shared" ref="J40" si="64">SUM(A40:I40)</f>
        <v>31</v>
      </c>
      <c r="K40" s="378" t="s">
        <v>29</v>
      </c>
      <c r="L40" s="32" t="s">
        <v>1</v>
      </c>
      <c r="M40" s="30" t="s">
        <v>3</v>
      </c>
      <c r="N40" s="30" t="s">
        <v>54</v>
      </c>
      <c r="O40" s="30" t="s">
        <v>54</v>
      </c>
      <c r="P40" s="30" t="s">
        <v>54</v>
      </c>
      <c r="Q40" s="30" t="s">
        <v>52</v>
      </c>
      <c r="R40" s="30" t="s">
        <v>56</v>
      </c>
      <c r="S40" s="30" t="s">
        <v>56</v>
      </c>
      <c r="T40" s="30" t="s">
        <v>56</v>
      </c>
      <c r="U40" s="30" t="s">
        <v>56</v>
      </c>
      <c r="V40" s="44" t="s">
        <v>52</v>
      </c>
      <c r="W40" s="44" t="s">
        <v>0</v>
      </c>
      <c r="X40" s="30" t="s">
        <v>56</v>
      </c>
      <c r="Y40" s="30" t="s">
        <v>56</v>
      </c>
      <c r="Z40" s="30" t="s">
        <v>0</v>
      </c>
      <c r="AA40" s="30" t="s">
        <v>3</v>
      </c>
      <c r="AB40" s="30" t="s">
        <v>3</v>
      </c>
      <c r="AC40" s="30" t="s">
        <v>56</v>
      </c>
      <c r="AD40" s="30" t="s">
        <v>56</v>
      </c>
      <c r="AE40" s="30" t="s">
        <v>56</v>
      </c>
      <c r="AF40" s="30" t="s">
        <v>52</v>
      </c>
      <c r="AG40" s="30" t="s">
        <v>0</v>
      </c>
      <c r="AH40" s="30" t="s">
        <v>3</v>
      </c>
      <c r="AI40" s="30" t="s">
        <v>3</v>
      </c>
      <c r="AJ40" s="44" t="s">
        <v>52</v>
      </c>
      <c r="AK40" s="44" t="s">
        <v>0</v>
      </c>
      <c r="AL40" s="30" t="s">
        <v>56</v>
      </c>
      <c r="AM40" s="30" t="s">
        <v>56</v>
      </c>
      <c r="AN40" s="30" t="s">
        <v>56</v>
      </c>
      <c r="AO40" s="30" t="s">
        <v>56</v>
      </c>
      <c r="AP40" s="48" t="s">
        <v>56</v>
      </c>
      <c r="AQ40" s="45">
        <v>0</v>
      </c>
      <c r="AR40" s="46">
        <f t="shared" si="6"/>
        <v>0</v>
      </c>
      <c r="AS40" s="46">
        <v>0</v>
      </c>
      <c r="AT40" s="134">
        <f t="shared" si="11"/>
        <v>0</v>
      </c>
      <c r="AU40" s="329" t="s">
        <v>128</v>
      </c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</row>
    <row r="41" spans="1:227" ht="25.5" customHeight="1">
      <c r="A41" s="38">
        <f t="shared" ref="A41:A43" si="65">COUNTIF(L41:AP41,1)+COUNTIF(L41:AP41,"早")+COUNTIF(L41:AP41,"M1")+COUNTIF(L41:AP41,"T早")+COUNTIF(L41:AP41,"日")</f>
        <v>0</v>
      </c>
      <c r="B41" s="39">
        <f t="shared" ref="B41:B43" si="66">COUNTIF(L41:AP41,2)+COUNTIF(L41:AP41,"中")+COUNTIF(L41:AP41,"M2")+COUNTIF(L41:AP41,"T中")+COUNTIF(L41:AP41,"小夜")</f>
        <v>7</v>
      </c>
      <c r="C41" s="40">
        <f t="shared" ref="C41:C43" si="67">COUNTIF(L41:AP41,3)+COUNTIF(L41:AP41,"晚")+COUNTIF(L41:AP41,"大夜")</f>
        <v>7</v>
      </c>
      <c r="D41" s="39">
        <f t="shared" ref="D41:D43" si="68">COUNTIF(L41:AP41,"N")+COUNTIF(L41:AP41,"N8")</f>
        <v>5</v>
      </c>
      <c r="E41" s="41">
        <f t="shared" ref="E41:E43" si="69">COUNTIF(L41:AP41,"S")</f>
        <v>3</v>
      </c>
      <c r="F41" s="41">
        <f t="shared" si="7"/>
        <v>1</v>
      </c>
      <c r="G41" s="41">
        <f t="shared" ref="G41:G43" si="70">COUNTIF(L41:AP41,"X")</f>
        <v>4</v>
      </c>
      <c r="H41" s="41">
        <f t="shared" ref="H41:H43" si="71">COUNTIF(L41:AP41,"Y")</f>
        <v>4</v>
      </c>
      <c r="I41" s="41">
        <f t="shared" ref="I41:I43" si="72">COUNTIF(L41:AP41,"Z")</f>
        <v>0</v>
      </c>
      <c r="J41" s="177">
        <f t="shared" ref="J41:J43" si="73">SUM(A41:I41)</f>
        <v>31</v>
      </c>
      <c r="K41" s="379" t="s">
        <v>30</v>
      </c>
      <c r="L41" s="163" t="s">
        <v>55</v>
      </c>
      <c r="M41" s="164" t="s">
        <v>55</v>
      </c>
      <c r="N41" s="164" t="s">
        <v>55</v>
      </c>
      <c r="O41" s="32" t="s">
        <v>1</v>
      </c>
      <c r="P41" s="32" t="s">
        <v>1</v>
      </c>
      <c r="Q41" s="32" t="s">
        <v>1</v>
      </c>
      <c r="R41" s="44" t="s">
        <v>52</v>
      </c>
      <c r="S41" s="30" t="s">
        <v>3</v>
      </c>
      <c r="T41" s="30" t="s">
        <v>3</v>
      </c>
      <c r="U41" s="30" t="s">
        <v>163</v>
      </c>
      <c r="V41" s="30" t="s">
        <v>56</v>
      </c>
      <c r="W41" s="30" t="s">
        <v>56</v>
      </c>
      <c r="X41" s="44" t="s">
        <v>52</v>
      </c>
      <c r="Y41" s="30" t="s">
        <v>0</v>
      </c>
      <c r="Z41" s="30" t="s">
        <v>56</v>
      </c>
      <c r="AA41" s="30" t="s">
        <v>56</v>
      </c>
      <c r="AB41" s="30" t="s">
        <v>56</v>
      </c>
      <c r="AC41" s="44" t="s">
        <v>52</v>
      </c>
      <c r="AD41" s="44" t="s">
        <v>0</v>
      </c>
      <c r="AE41" s="30" t="s">
        <v>55</v>
      </c>
      <c r="AF41" s="30" t="s">
        <v>55</v>
      </c>
      <c r="AG41" s="30" t="s">
        <v>55</v>
      </c>
      <c r="AH41" s="30" t="s">
        <v>55</v>
      </c>
      <c r="AI41" s="30" t="s">
        <v>0</v>
      </c>
      <c r="AJ41" s="30" t="s">
        <v>56</v>
      </c>
      <c r="AK41" s="30" t="s">
        <v>56</v>
      </c>
      <c r="AL41" s="30" t="s">
        <v>0</v>
      </c>
      <c r="AM41" s="30" t="s">
        <v>52</v>
      </c>
      <c r="AN41" s="30" t="s">
        <v>3</v>
      </c>
      <c r="AO41" s="30" t="s">
        <v>3</v>
      </c>
      <c r="AP41" s="48" t="s">
        <v>3</v>
      </c>
      <c r="AQ41" s="45">
        <v>0</v>
      </c>
      <c r="AR41" s="46">
        <f t="shared" si="6"/>
        <v>0</v>
      </c>
      <c r="AS41" s="46">
        <v>0</v>
      </c>
      <c r="AT41" s="134">
        <f t="shared" si="11"/>
        <v>0</v>
      </c>
      <c r="AU41" s="329" t="s">
        <v>128</v>
      </c>
    </row>
    <row r="42" spans="1:227" s="50" customFormat="1" ht="25.5" customHeight="1">
      <c r="A42" s="38">
        <f t="shared" si="65"/>
        <v>9</v>
      </c>
      <c r="B42" s="39">
        <f t="shared" si="66"/>
        <v>4</v>
      </c>
      <c r="C42" s="40">
        <f t="shared" si="67"/>
        <v>5</v>
      </c>
      <c r="D42" s="39">
        <f t="shared" si="68"/>
        <v>3</v>
      </c>
      <c r="E42" s="41">
        <f t="shared" si="69"/>
        <v>2</v>
      </c>
      <c r="F42" s="41">
        <f t="shared" si="7"/>
        <v>0</v>
      </c>
      <c r="G42" s="41">
        <f t="shared" si="70"/>
        <v>4</v>
      </c>
      <c r="H42" s="41">
        <f t="shared" si="71"/>
        <v>4</v>
      </c>
      <c r="I42" s="41">
        <f t="shared" si="72"/>
        <v>0</v>
      </c>
      <c r="J42" s="177">
        <f t="shared" si="73"/>
        <v>31</v>
      </c>
      <c r="K42" s="379" t="s">
        <v>31</v>
      </c>
      <c r="L42" s="49" t="s">
        <v>54</v>
      </c>
      <c r="M42" s="30" t="s">
        <v>54</v>
      </c>
      <c r="N42" s="30" t="s">
        <v>52</v>
      </c>
      <c r="O42" s="164" t="s">
        <v>55</v>
      </c>
      <c r="P42" s="164" t="s">
        <v>55</v>
      </c>
      <c r="Q42" s="30" t="s">
        <v>0</v>
      </c>
      <c r="R42" s="30" t="s">
        <v>3</v>
      </c>
      <c r="S42" s="30" t="s">
        <v>3</v>
      </c>
      <c r="T42" s="30" t="s">
        <v>54</v>
      </c>
      <c r="U42" s="30" t="s">
        <v>54</v>
      </c>
      <c r="V42" s="44" t="s">
        <v>52</v>
      </c>
      <c r="W42" s="44" t="s">
        <v>0</v>
      </c>
      <c r="X42" s="30" t="s">
        <v>54</v>
      </c>
      <c r="Y42" s="30" t="s">
        <v>54</v>
      </c>
      <c r="Z42" s="30" t="s">
        <v>54</v>
      </c>
      <c r="AA42" s="30" t="s">
        <v>0</v>
      </c>
      <c r="AB42" s="164" t="s">
        <v>55</v>
      </c>
      <c r="AC42" s="164" t="s">
        <v>55</v>
      </c>
      <c r="AD42" s="164" t="s">
        <v>55</v>
      </c>
      <c r="AE42" s="30" t="s">
        <v>52</v>
      </c>
      <c r="AF42" s="30" t="s">
        <v>56</v>
      </c>
      <c r="AG42" s="30" t="s">
        <v>56</v>
      </c>
      <c r="AH42" s="30" t="s">
        <v>56</v>
      </c>
      <c r="AI42" s="30" t="s">
        <v>56</v>
      </c>
      <c r="AJ42" s="44" t="s">
        <v>52</v>
      </c>
      <c r="AK42" s="32" t="s">
        <v>1</v>
      </c>
      <c r="AL42" s="30" t="s">
        <v>54</v>
      </c>
      <c r="AM42" s="30" t="s">
        <v>54</v>
      </c>
      <c r="AN42" s="30" t="s">
        <v>3</v>
      </c>
      <c r="AO42" s="32" t="s">
        <v>1</v>
      </c>
      <c r="AP42" s="44" t="s">
        <v>0</v>
      </c>
      <c r="AQ42" s="45">
        <v>0</v>
      </c>
      <c r="AR42" s="46">
        <f t="shared" si="6"/>
        <v>0</v>
      </c>
      <c r="AS42" s="46">
        <v>0</v>
      </c>
      <c r="AT42" s="134">
        <f t="shared" si="11"/>
        <v>0</v>
      </c>
      <c r="AU42" s="329" t="s">
        <v>126</v>
      </c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</row>
    <row r="43" spans="1:227" s="50" customFormat="1" ht="25.5" customHeight="1">
      <c r="A43" s="38">
        <f t="shared" si="65"/>
        <v>8</v>
      </c>
      <c r="B43" s="39">
        <f t="shared" si="66"/>
        <v>3</v>
      </c>
      <c r="C43" s="40">
        <f t="shared" si="67"/>
        <v>7</v>
      </c>
      <c r="D43" s="39">
        <f t="shared" si="68"/>
        <v>5</v>
      </c>
      <c r="E43" s="41">
        <f t="shared" si="69"/>
        <v>0</v>
      </c>
      <c r="F43" s="41">
        <f t="shared" si="7"/>
        <v>0</v>
      </c>
      <c r="G43" s="41">
        <f t="shared" si="70"/>
        <v>4</v>
      </c>
      <c r="H43" s="41">
        <f t="shared" si="71"/>
        <v>4</v>
      </c>
      <c r="I43" s="41">
        <f t="shared" si="72"/>
        <v>0</v>
      </c>
      <c r="J43" s="177">
        <f t="shared" si="73"/>
        <v>31</v>
      </c>
      <c r="K43" s="379" t="s">
        <v>32</v>
      </c>
      <c r="L43" s="49" t="s">
        <v>56</v>
      </c>
      <c r="M43" s="30" t="s">
        <v>56</v>
      </c>
      <c r="N43" s="30" t="s">
        <v>56</v>
      </c>
      <c r="O43" s="44" t="s">
        <v>52</v>
      </c>
      <c r="P43" s="44" t="s">
        <v>0</v>
      </c>
      <c r="Q43" s="30" t="s">
        <v>54</v>
      </c>
      <c r="R43" s="30" t="s">
        <v>54</v>
      </c>
      <c r="S43" s="30" t="s">
        <v>54</v>
      </c>
      <c r="T43" s="30" t="s">
        <v>0</v>
      </c>
      <c r="U43" s="164" t="s">
        <v>55</v>
      </c>
      <c r="V43" s="30" t="s">
        <v>55</v>
      </c>
      <c r="W43" s="30" t="s">
        <v>55</v>
      </c>
      <c r="X43" s="164" t="s">
        <v>52</v>
      </c>
      <c r="Y43" s="30" t="s">
        <v>3</v>
      </c>
      <c r="Z43" s="30" t="s">
        <v>3</v>
      </c>
      <c r="AA43" s="30" t="s">
        <v>54</v>
      </c>
      <c r="AB43" s="30" t="s">
        <v>54</v>
      </c>
      <c r="AC43" s="44" t="s">
        <v>52</v>
      </c>
      <c r="AD43" s="44" t="s">
        <v>0</v>
      </c>
      <c r="AE43" s="30" t="s">
        <v>54</v>
      </c>
      <c r="AF43" s="30" t="s">
        <v>3</v>
      </c>
      <c r="AG43" s="30" t="s">
        <v>3</v>
      </c>
      <c r="AH43" s="30" t="s">
        <v>0</v>
      </c>
      <c r="AI43" s="164" t="s">
        <v>55</v>
      </c>
      <c r="AJ43" s="30" t="s">
        <v>55</v>
      </c>
      <c r="AK43" s="30" t="s">
        <v>55</v>
      </c>
      <c r="AL43" s="164" t="s">
        <v>55</v>
      </c>
      <c r="AM43" s="30" t="s">
        <v>52</v>
      </c>
      <c r="AN43" s="30" t="s">
        <v>3</v>
      </c>
      <c r="AO43" s="30" t="s">
        <v>54</v>
      </c>
      <c r="AP43" s="48" t="s">
        <v>54</v>
      </c>
      <c r="AQ43" s="45">
        <v>0</v>
      </c>
      <c r="AR43" s="46">
        <f t="shared" si="6"/>
        <v>0</v>
      </c>
      <c r="AS43" s="46">
        <v>0</v>
      </c>
      <c r="AT43" s="134">
        <f t="shared" si="11"/>
        <v>0</v>
      </c>
      <c r="AU43" s="329" t="s">
        <v>126</v>
      </c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</row>
    <row r="44" spans="1:227" s="50" customFormat="1" ht="25.2" customHeight="1" thickBot="1">
      <c r="A44" s="69">
        <f t="shared" ref="A44" si="74">COUNTIF(L44:AP44,1)+COUNTIF(L44:AP44,"早")+COUNTIF(L44:AP44,"M1")+COUNTIF(L44:AP44,"T早")+COUNTIF(L44:AP44,"日")</f>
        <v>7</v>
      </c>
      <c r="B44" s="70">
        <f t="shared" ref="B44" si="75">COUNTIF(L44:AP44,2)+COUNTIF(L44:AP44,"中")+COUNTIF(L44:AP44,"M2")+COUNTIF(L44:AP44,"T中")+COUNTIF(L44:AP44,"小夜")</f>
        <v>3</v>
      </c>
      <c r="C44" s="71">
        <f t="shared" ref="C44" si="76">COUNTIF(L44:AP44,3)+COUNTIF(L44:AP44,"晚")+COUNTIF(L44:AP44,"大夜")</f>
        <v>4</v>
      </c>
      <c r="D44" s="70">
        <f t="shared" ref="D44" si="77">COUNTIF(L44:AP44,"N")+COUNTIF(L44:AP44,"N8")</f>
        <v>4</v>
      </c>
      <c r="E44" s="63">
        <f t="shared" ref="E44" si="78">COUNTIF(L44:AP44,"S")</f>
        <v>4</v>
      </c>
      <c r="F44" s="63">
        <f t="shared" si="7"/>
        <v>1</v>
      </c>
      <c r="G44" s="63">
        <f t="shared" ref="G44" si="79">COUNTIF(L44:AP44,"X")</f>
        <v>4</v>
      </c>
      <c r="H44" s="63">
        <f t="shared" ref="H44" si="80">COUNTIF(L44:AP44,"Y")</f>
        <v>4</v>
      </c>
      <c r="I44" s="63">
        <f t="shared" ref="I44" si="81">COUNTIF(L44:AP44,"Z")</f>
        <v>0</v>
      </c>
      <c r="J44" s="178">
        <f t="shared" ref="J44" si="82">SUM(A44:I44)</f>
        <v>31</v>
      </c>
      <c r="K44" s="380" t="s">
        <v>33</v>
      </c>
      <c r="L44" s="353" t="s">
        <v>52</v>
      </c>
      <c r="M44" s="60" t="s">
        <v>3</v>
      </c>
      <c r="N44" s="60" t="s">
        <v>3</v>
      </c>
      <c r="O44" s="60" t="s">
        <v>56</v>
      </c>
      <c r="P44" s="60" t="s">
        <v>56</v>
      </c>
      <c r="Q44" s="60" t="s">
        <v>56</v>
      </c>
      <c r="R44" s="60" t="s">
        <v>0</v>
      </c>
      <c r="S44" s="60" t="s">
        <v>3</v>
      </c>
      <c r="T44" s="60" t="s">
        <v>3</v>
      </c>
      <c r="U44" s="52" t="s">
        <v>163</v>
      </c>
      <c r="V44" s="59" t="s">
        <v>52</v>
      </c>
      <c r="W44" s="59" t="s">
        <v>0</v>
      </c>
      <c r="X44" s="337" t="s">
        <v>55</v>
      </c>
      <c r="Y44" s="337" t="s">
        <v>55</v>
      </c>
      <c r="Z44" s="337" t="s">
        <v>55</v>
      </c>
      <c r="AA44" s="337" t="s">
        <v>55</v>
      </c>
      <c r="AB44" s="60" t="s">
        <v>0</v>
      </c>
      <c r="AC44" s="60" t="s">
        <v>54</v>
      </c>
      <c r="AD44" s="60" t="s">
        <v>54</v>
      </c>
      <c r="AE44" s="60" t="s">
        <v>0</v>
      </c>
      <c r="AF44" s="60" t="s">
        <v>54</v>
      </c>
      <c r="AG44" s="60" t="s">
        <v>54</v>
      </c>
      <c r="AH44" s="60" t="s">
        <v>54</v>
      </c>
      <c r="AI44" s="60" t="s">
        <v>54</v>
      </c>
      <c r="AJ44" s="59" t="s">
        <v>52</v>
      </c>
      <c r="AK44" s="52" t="s">
        <v>1</v>
      </c>
      <c r="AL44" s="52" t="s">
        <v>1</v>
      </c>
      <c r="AM44" s="52" t="s">
        <v>1</v>
      </c>
      <c r="AN44" s="60" t="s">
        <v>54</v>
      </c>
      <c r="AO44" s="52" t="s">
        <v>1</v>
      </c>
      <c r="AP44" s="188" t="s">
        <v>52</v>
      </c>
      <c r="AQ44" s="73">
        <v>0</v>
      </c>
      <c r="AR44" s="74">
        <f t="shared" si="6"/>
        <v>0</v>
      </c>
      <c r="AS44" s="74">
        <v>0</v>
      </c>
      <c r="AT44" s="127">
        <f t="shared" si="11"/>
        <v>0</v>
      </c>
      <c r="AU44" s="330" t="s">
        <v>126</v>
      </c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</row>
    <row r="45" spans="1:227" s="77" customFormat="1" ht="18" customHeight="1">
      <c r="A45" s="75"/>
      <c r="B45" s="75"/>
      <c r="C45" s="75"/>
      <c r="D45" s="75"/>
      <c r="E45" s="76"/>
      <c r="F45" s="76"/>
      <c r="J45" s="75"/>
      <c r="K45" s="78">
        <v>1</v>
      </c>
      <c r="L45" s="346" cm="2">
        <f t="array" ref="L45">SUMPRODUCT(COUNTIF(L4:L44,{"1";"M1"}))</f>
        <v>4</v>
      </c>
      <c r="M45" s="346" cm="2">
        <f t="array" ref="M45">SUMPRODUCT(COUNTIF(M4:M44,{"1";"M1"}))</f>
        <v>4</v>
      </c>
      <c r="N45" s="346" cm="2">
        <f t="array" ref="N45">SUMPRODUCT(COUNTIF(N4:N44,{"1";"M1"}))</f>
        <v>4</v>
      </c>
      <c r="O45" s="346" cm="2">
        <f t="array" ref="O45">SUMPRODUCT(COUNTIF(O4:O44,{"1";"M1"}))</f>
        <v>3</v>
      </c>
      <c r="P45" s="346" cm="2">
        <f t="array" ref="P45">SUMPRODUCT(COUNTIF(P4:P44,{"1";"M1"}))</f>
        <v>3</v>
      </c>
      <c r="Q45" s="346" cm="2">
        <f t="array" ref="Q45">SUMPRODUCT(COUNTIF(Q4:Q44,{"1";"M1"}))</f>
        <v>4</v>
      </c>
      <c r="R45" s="346" cm="2">
        <f t="array" ref="R45">SUMPRODUCT(COUNTIF(R4:R44,{"1";"M1"}))</f>
        <v>4</v>
      </c>
      <c r="S45" s="346" cm="2">
        <f t="array" ref="S45">SUMPRODUCT(COUNTIF(S4:S44,{"1";"M1"}))</f>
        <v>4</v>
      </c>
      <c r="T45" s="346" cm="2">
        <f t="array" ref="T45">SUMPRODUCT(COUNTIF(T4:T44,{"1";"M1"}))</f>
        <v>4</v>
      </c>
      <c r="U45" s="346" cm="2">
        <f t="array" ref="U45">SUMPRODUCT(COUNTIF(U4:U44,{"1";"M1"}))</f>
        <v>4</v>
      </c>
      <c r="V45" s="346" cm="2">
        <f t="array" ref="V45">SUMPRODUCT(COUNTIF(V4:V44,{"1";"M1"}))</f>
        <v>3</v>
      </c>
      <c r="W45" s="346" cm="2">
        <f t="array" ref="W45">SUMPRODUCT(COUNTIF(W4:W44,{"1";"M1"}))</f>
        <v>3</v>
      </c>
      <c r="X45" s="346" cm="2">
        <f t="array" ref="X45">SUMPRODUCT(COUNTIF(X4:X44,{"1";"M1"}))</f>
        <v>4</v>
      </c>
      <c r="Y45" s="346" cm="2">
        <f t="array" ref="Y45">SUMPRODUCT(COUNTIF(Y4:Y44,{"1";"M1"}))</f>
        <v>4</v>
      </c>
      <c r="Z45" s="346" cm="2">
        <f t="array" ref="Z45">SUMPRODUCT(COUNTIF(Z4:Z44,{"1";"M1"}))</f>
        <v>4</v>
      </c>
      <c r="AA45" s="346" cm="2">
        <f t="array" ref="AA45">SUMPRODUCT(COUNTIF(AA4:AA44,{"1";"M1"}))</f>
        <v>4</v>
      </c>
      <c r="AB45" s="346" cm="2">
        <f t="array" ref="AB45">SUMPRODUCT(COUNTIF(AB4:AB44,{"1";"M1"}))</f>
        <v>4</v>
      </c>
      <c r="AC45" s="346" cm="2">
        <f t="array" ref="AC45">SUMPRODUCT(COUNTIF(AC4:AC44,{"1";"M1"}))</f>
        <v>3</v>
      </c>
      <c r="AD45" s="346" cm="2">
        <f t="array" ref="AD45">SUMPRODUCT(COUNTIF(AD4:AD44,{"1";"M1"}))</f>
        <v>3</v>
      </c>
      <c r="AE45" s="346" cm="2">
        <f t="array" ref="AE45">SUMPRODUCT(COUNTIF(AE4:AE44,{"1";"M1"}))</f>
        <v>4</v>
      </c>
      <c r="AF45" s="346" cm="2">
        <f t="array" ref="AF45">SUMPRODUCT(COUNTIF(AF4:AF44,{"1";"M1"}))</f>
        <v>4</v>
      </c>
      <c r="AG45" s="346" cm="2">
        <f t="array" ref="AG45">SUMPRODUCT(COUNTIF(AG4:AG44,{"1";"M1"}))</f>
        <v>4</v>
      </c>
      <c r="AH45" s="346" cm="2">
        <f t="array" ref="AH45">SUMPRODUCT(COUNTIF(AH4:AH44,{"1";"M1"}))</f>
        <v>4</v>
      </c>
      <c r="AI45" s="346" cm="2">
        <f t="array" ref="AI45">SUMPRODUCT(COUNTIF(AI4:AI44,{"1";"M1"}))</f>
        <v>4</v>
      </c>
      <c r="AJ45" s="346" cm="2">
        <f t="array" ref="AJ45">SUMPRODUCT(COUNTIF(AJ4:AJ44,{"1";"M1"}))</f>
        <v>3</v>
      </c>
      <c r="AK45" s="346" cm="2">
        <f t="array" ref="AK45">SUMPRODUCT(COUNTIF(AK4:AK44,{"1";"M1"}))</f>
        <v>3</v>
      </c>
      <c r="AL45" s="346" cm="2">
        <f t="array" ref="AL45">SUMPRODUCT(COUNTIF(AL4:AL44,{"1";"M1"}))</f>
        <v>4</v>
      </c>
      <c r="AM45" s="346" cm="2">
        <f t="array" ref="AM45">SUMPRODUCT(COUNTIF(AM4:AM44,{"1";"M1"}))</f>
        <v>4</v>
      </c>
      <c r="AN45" s="346" cm="2">
        <f t="array" ref="AN45">SUMPRODUCT(COUNTIF(AN4:AN44,{"1";"M1"}))</f>
        <v>4</v>
      </c>
      <c r="AO45" s="346" cm="2">
        <f t="array" ref="AO45">SUMPRODUCT(COUNTIF(AO4:AO44,{"1";"M1"}))</f>
        <v>4</v>
      </c>
      <c r="AP45" s="346" cm="2">
        <f t="array" ref="AP45">SUMPRODUCT(COUNTIF(AP4:AP44,{"1";"M1"}))</f>
        <v>4</v>
      </c>
      <c r="AR45" s="50"/>
      <c r="AS45" s="6"/>
      <c r="AT45" s="75"/>
      <c r="AU45" s="79"/>
      <c r="AW45" s="6"/>
      <c r="AX45" s="6"/>
      <c r="AY45" s="6"/>
    </row>
    <row r="46" spans="1:227" s="77" customFormat="1" ht="18" customHeight="1">
      <c r="A46" s="80"/>
      <c r="B46" s="80"/>
      <c r="C46" s="81"/>
      <c r="D46" s="81"/>
      <c r="E46" s="75"/>
      <c r="F46" s="75"/>
      <c r="J46" s="81"/>
      <c r="K46" s="82">
        <v>2</v>
      </c>
      <c r="L46" s="129" cm="2">
        <f t="array" ref="L46">SUMPRODUCT(COUNTIF(L4:L44,{"2";"M2"}))</f>
        <v>3</v>
      </c>
      <c r="M46" s="129" cm="2">
        <f t="array" ref="M46">SUMPRODUCT(COUNTIF(M4:M44,{"2";"M2"}))</f>
        <v>3</v>
      </c>
      <c r="N46" s="129" cm="2">
        <f t="array" ref="N46">SUMPRODUCT(COUNTIF(N4:N44,{"2";"M2"}))</f>
        <v>3</v>
      </c>
      <c r="O46" s="129" cm="2">
        <f t="array" ref="O46">SUMPRODUCT(COUNTIF(O4:O44,{"2";"M2"}))</f>
        <v>3</v>
      </c>
      <c r="P46" s="129" cm="2">
        <f t="array" ref="P46">SUMPRODUCT(COUNTIF(P4:P44,{"2";"M2"}))</f>
        <v>3</v>
      </c>
      <c r="Q46" s="129" cm="2">
        <f t="array" ref="Q46">SUMPRODUCT(COUNTIF(Q4:Q44,{"2";"M2"}))</f>
        <v>3</v>
      </c>
      <c r="R46" s="129" cm="2">
        <f t="array" ref="R46">SUMPRODUCT(COUNTIF(R4:R44,{"2";"M2"}))</f>
        <v>3</v>
      </c>
      <c r="S46" s="129" cm="2">
        <f t="array" ref="S46">SUMPRODUCT(COUNTIF(S4:S44,{"2";"M2"}))</f>
        <v>3</v>
      </c>
      <c r="T46" s="129" cm="2">
        <f t="array" ref="T46">SUMPRODUCT(COUNTIF(T4:T44,{"2";"M2"}))</f>
        <v>3</v>
      </c>
      <c r="U46" s="129" cm="2">
        <f t="array" ref="U46">SUMPRODUCT(COUNTIF(U4:U44,{"2";"M2"}))</f>
        <v>3</v>
      </c>
      <c r="V46" s="129" cm="2">
        <f t="array" ref="V46">SUMPRODUCT(COUNTIF(V4:V44,{"2";"M2"}))</f>
        <v>3</v>
      </c>
      <c r="W46" s="129" cm="2">
        <f t="array" ref="W46">SUMPRODUCT(COUNTIF(W4:W44,{"2";"M2"}))</f>
        <v>3</v>
      </c>
      <c r="X46" s="129" cm="2">
        <f t="array" ref="X46">SUMPRODUCT(COUNTIF(X4:X44,{"2";"M2"}))</f>
        <v>3</v>
      </c>
      <c r="Y46" s="129" cm="2">
        <f t="array" ref="Y46">SUMPRODUCT(COUNTIF(Y4:Y44,{"2";"M2"}))</f>
        <v>3</v>
      </c>
      <c r="Z46" s="129" cm="2">
        <f t="array" ref="Z46">SUMPRODUCT(COUNTIF(Z4:Z44,{"2";"M2"}))</f>
        <v>3</v>
      </c>
      <c r="AA46" s="129" cm="2">
        <f t="array" ref="AA46">SUMPRODUCT(COUNTIF(AA4:AA44,{"2";"M2"}))</f>
        <v>3</v>
      </c>
      <c r="AB46" s="129" cm="2">
        <f t="array" ref="AB46">SUMPRODUCT(COUNTIF(AB4:AB44,{"2";"M2"}))</f>
        <v>3</v>
      </c>
      <c r="AC46" s="129" cm="2">
        <f t="array" ref="AC46">SUMPRODUCT(COUNTIF(AC4:AC44,{"2";"M2"}))</f>
        <v>3</v>
      </c>
      <c r="AD46" s="129" cm="2">
        <f t="array" ref="AD46">SUMPRODUCT(COUNTIF(AD4:AD44,{"2";"M2"}))</f>
        <v>3</v>
      </c>
      <c r="AE46" s="129" cm="2">
        <f t="array" ref="AE46">SUMPRODUCT(COUNTIF(AE4:AE44,{"2";"M2"}))</f>
        <v>3</v>
      </c>
      <c r="AF46" s="129" cm="2">
        <f t="array" ref="AF46">SUMPRODUCT(COUNTIF(AF4:AF44,{"2";"M2"}))</f>
        <v>3</v>
      </c>
      <c r="AG46" s="129" cm="2">
        <f t="array" ref="AG46">SUMPRODUCT(COUNTIF(AG4:AG44,{"2";"M2"}))</f>
        <v>3</v>
      </c>
      <c r="AH46" s="129" cm="2">
        <f t="array" ref="AH46">SUMPRODUCT(COUNTIF(AH4:AH44,{"2";"M2"}))</f>
        <v>3</v>
      </c>
      <c r="AI46" s="129" cm="2">
        <f t="array" ref="AI46">SUMPRODUCT(COUNTIF(AI4:AI44,{"2";"M2"}))</f>
        <v>3</v>
      </c>
      <c r="AJ46" s="129" cm="2">
        <f t="array" ref="AJ46">SUMPRODUCT(COUNTIF(AJ4:AJ44,{"2";"M2"}))</f>
        <v>3</v>
      </c>
      <c r="AK46" s="129" cm="2">
        <f t="array" ref="AK46">SUMPRODUCT(COUNTIF(AK4:AK44,{"2";"M2"}))</f>
        <v>3</v>
      </c>
      <c r="AL46" s="129" cm="2">
        <f t="array" ref="AL46">SUMPRODUCT(COUNTIF(AL4:AL44,{"2";"M2"}))</f>
        <v>3</v>
      </c>
      <c r="AM46" s="129" cm="2">
        <f t="array" ref="AM46">SUMPRODUCT(COUNTIF(AM4:AM44,{"2";"M2"}))</f>
        <v>3</v>
      </c>
      <c r="AN46" s="129" cm="2">
        <f t="array" ref="AN46">SUMPRODUCT(COUNTIF(AN4:AN44,{"2";"M2"}))</f>
        <v>3</v>
      </c>
      <c r="AO46" s="129" cm="2">
        <f t="array" ref="AO46">SUMPRODUCT(COUNTIF(AO4:AO44,{"2";"M2"}))</f>
        <v>3</v>
      </c>
      <c r="AP46" s="129" cm="2">
        <f t="array" ref="AP46">SUMPRODUCT(COUNTIF(AP4:AP44,{"2";"M2"}))</f>
        <v>3</v>
      </c>
      <c r="AR46" s="50"/>
      <c r="AS46" s="6" t="s">
        <v>34</v>
      </c>
      <c r="AT46" s="75" t="s">
        <v>35</v>
      </c>
      <c r="AU46" s="84"/>
      <c r="AW46" s="6"/>
      <c r="AX46" s="6"/>
      <c r="AY46" s="6"/>
    </row>
    <row r="47" spans="1:227" s="77" customFormat="1" ht="18" customHeight="1" thickBot="1">
      <c r="A47" s="80"/>
      <c r="B47" s="80"/>
      <c r="C47" s="81"/>
      <c r="D47" s="81"/>
      <c r="E47" s="75"/>
      <c r="F47" s="75"/>
      <c r="J47" s="81"/>
      <c r="K47" s="85">
        <v>3</v>
      </c>
      <c r="L47" s="130">
        <f t="shared" ref="L47:AP47" si="83">COUNTIF(L4:L44,3)</f>
        <v>3</v>
      </c>
      <c r="M47" s="130">
        <f t="shared" si="83"/>
        <v>3</v>
      </c>
      <c r="N47" s="130">
        <f t="shared" si="83"/>
        <v>3</v>
      </c>
      <c r="O47" s="130">
        <f t="shared" si="83"/>
        <v>2</v>
      </c>
      <c r="P47" s="130">
        <f t="shared" si="83"/>
        <v>2</v>
      </c>
      <c r="Q47" s="130">
        <f t="shared" si="83"/>
        <v>3</v>
      </c>
      <c r="R47" s="130">
        <f t="shared" si="83"/>
        <v>3</v>
      </c>
      <c r="S47" s="130">
        <f t="shared" si="83"/>
        <v>3</v>
      </c>
      <c r="T47" s="130">
        <f t="shared" si="83"/>
        <v>3</v>
      </c>
      <c r="U47" s="130">
        <f t="shared" si="83"/>
        <v>3</v>
      </c>
      <c r="V47" s="130">
        <f t="shared" si="83"/>
        <v>2</v>
      </c>
      <c r="W47" s="130">
        <f t="shared" si="83"/>
        <v>2</v>
      </c>
      <c r="X47" s="130">
        <f t="shared" si="83"/>
        <v>3</v>
      </c>
      <c r="Y47" s="130">
        <f t="shared" si="83"/>
        <v>3</v>
      </c>
      <c r="Z47" s="130">
        <f t="shared" si="83"/>
        <v>3</v>
      </c>
      <c r="AA47" s="130">
        <f t="shared" si="83"/>
        <v>3</v>
      </c>
      <c r="AB47" s="130">
        <f t="shared" si="83"/>
        <v>3</v>
      </c>
      <c r="AC47" s="130">
        <f t="shared" si="83"/>
        <v>2</v>
      </c>
      <c r="AD47" s="130">
        <f t="shared" si="83"/>
        <v>2</v>
      </c>
      <c r="AE47" s="130">
        <f t="shared" si="83"/>
        <v>3</v>
      </c>
      <c r="AF47" s="130">
        <f t="shared" si="83"/>
        <v>3</v>
      </c>
      <c r="AG47" s="130">
        <f t="shared" si="83"/>
        <v>3</v>
      </c>
      <c r="AH47" s="130">
        <f t="shared" si="83"/>
        <v>3</v>
      </c>
      <c r="AI47" s="130">
        <f t="shared" si="83"/>
        <v>3</v>
      </c>
      <c r="AJ47" s="130">
        <f t="shared" si="83"/>
        <v>2</v>
      </c>
      <c r="AK47" s="130">
        <f t="shared" si="83"/>
        <v>2</v>
      </c>
      <c r="AL47" s="130">
        <f t="shared" si="83"/>
        <v>3</v>
      </c>
      <c r="AM47" s="130">
        <f t="shared" si="83"/>
        <v>3</v>
      </c>
      <c r="AN47" s="130">
        <f t="shared" si="83"/>
        <v>3</v>
      </c>
      <c r="AO47" s="130">
        <f t="shared" si="83"/>
        <v>3</v>
      </c>
      <c r="AP47" s="130">
        <f t="shared" si="83"/>
        <v>3</v>
      </c>
      <c r="AR47" s="75" t="s">
        <v>109</v>
      </c>
      <c r="AS47" s="75">
        <f>35*31</f>
        <v>1085</v>
      </c>
      <c r="AT47" s="75">
        <f>6*31</f>
        <v>186</v>
      </c>
      <c r="AU47" s="84"/>
    </row>
    <row r="48" spans="1:227" s="77" customFormat="1" ht="18" customHeight="1">
      <c r="A48" s="80"/>
      <c r="B48" s="80"/>
      <c r="C48" s="81"/>
      <c r="D48" s="81"/>
      <c r="E48" s="75"/>
      <c r="F48" s="75"/>
      <c r="J48" s="81"/>
      <c r="K48" s="86" t="s">
        <v>36</v>
      </c>
      <c r="L48" s="128" cm="2">
        <f t="array" ref="L48">SUMPRODUCT(COUNTIF(L4:L44,{"早";"T早"}))</f>
        <v>5</v>
      </c>
      <c r="M48" s="128" cm="2">
        <f t="array" ref="M48">SUMPRODUCT(COUNTIF(M4:M44,{"早";"T早"}))</f>
        <v>5</v>
      </c>
      <c r="N48" s="128" cm="2">
        <f t="array" ref="N48">SUMPRODUCT(COUNTIF(N4:N44,{"早";"T早"}))</f>
        <v>5</v>
      </c>
      <c r="O48" s="128" cm="2">
        <f t="array" ref="O48">SUMPRODUCT(COUNTIF(O4:O44,{"早";"T早"}))</f>
        <v>3</v>
      </c>
      <c r="P48" s="128" cm="2">
        <f t="array" ref="P48">SUMPRODUCT(COUNTIF(P4:P44,{"早";"T早"}))</f>
        <v>3</v>
      </c>
      <c r="Q48" s="128" cm="2">
        <f t="array" ref="Q48">SUMPRODUCT(COUNTIF(Q4:Q44,{"早";"T早"}))</f>
        <v>5</v>
      </c>
      <c r="R48" s="128" cm="2">
        <f t="array" ref="R48">SUMPRODUCT(COUNTIF(R4:R44,{"早";"T早"}))</f>
        <v>5</v>
      </c>
      <c r="S48" s="128" cm="2">
        <f t="array" ref="S48">SUMPRODUCT(COUNTIF(S4:S44,{"早";"T早"}))</f>
        <v>5</v>
      </c>
      <c r="T48" s="128" cm="2">
        <f t="array" ref="T48">SUMPRODUCT(COUNTIF(T4:T44,{"早";"T早"}))</f>
        <v>5</v>
      </c>
      <c r="U48" s="128" cm="2">
        <f t="array" ref="U48">SUMPRODUCT(COUNTIF(U4:U44,{"早";"T早"}))</f>
        <v>5</v>
      </c>
      <c r="V48" s="128" cm="2">
        <f t="array" ref="V48">SUMPRODUCT(COUNTIF(V4:V44,{"早";"T早"}))</f>
        <v>3</v>
      </c>
      <c r="W48" s="128" cm="2">
        <f t="array" ref="W48">SUMPRODUCT(COUNTIF(W4:W44,{"早";"T早"}))</f>
        <v>3</v>
      </c>
      <c r="X48" s="128" cm="2">
        <f t="array" ref="X48">SUMPRODUCT(COUNTIF(X4:X44,{"早";"T早"}))</f>
        <v>5</v>
      </c>
      <c r="Y48" s="128" cm="2">
        <f t="array" ref="Y48">SUMPRODUCT(COUNTIF(Y4:Y44,{"早";"T早"}))</f>
        <v>5</v>
      </c>
      <c r="Z48" s="128" cm="2">
        <f t="array" ref="Z48">SUMPRODUCT(COUNTIF(Z4:Z44,{"早";"T早"}))</f>
        <v>5</v>
      </c>
      <c r="AA48" s="128" cm="2">
        <f t="array" ref="AA48">SUMPRODUCT(COUNTIF(AA4:AA44,{"早";"T早"}))</f>
        <v>5</v>
      </c>
      <c r="AB48" s="128" cm="2">
        <f t="array" ref="AB48">SUMPRODUCT(COUNTIF(AB4:AB44,{"早";"T早"}))</f>
        <v>5</v>
      </c>
      <c r="AC48" s="128" cm="2">
        <f t="array" ref="AC48">SUMPRODUCT(COUNTIF(AC4:AC44,{"早";"T早"}))</f>
        <v>3</v>
      </c>
      <c r="AD48" s="128" cm="2">
        <f t="array" ref="AD48">SUMPRODUCT(COUNTIF(AD4:AD44,{"早";"T早"}))</f>
        <v>3</v>
      </c>
      <c r="AE48" s="128" cm="2">
        <f t="array" ref="AE48">SUMPRODUCT(COUNTIF(AE4:AE44,{"早";"T早"}))</f>
        <v>5</v>
      </c>
      <c r="AF48" s="128" cm="2">
        <f t="array" ref="AF48">SUMPRODUCT(COUNTIF(AF4:AF44,{"早";"T早"}))</f>
        <v>5</v>
      </c>
      <c r="AG48" s="128" cm="2">
        <f t="array" ref="AG48">SUMPRODUCT(COUNTIF(AG4:AG44,{"早";"T早"}))</f>
        <v>5</v>
      </c>
      <c r="AH48" s="128" cm="2">
        <f t="array" ref="AH48">SUMPRODUCT(COUNTIF(AH4:AH44,{"早";"T早"}))</f>
        <v>5</v>
      </c>
      <c r="AI48" s="128" cm="2">
        <f t="array" ref="AI48">SUMPRODUCT(COUNTIF(AI4:AI44,{"早";"T早"}))</f>
        <v>5</v>
      </c>
      <c r="AJ48" s="128" cm="2">
        <f t="array" ref="AJ48">SUMPRODUCT(COUNTIF(AJ4:AJ44,{"早";"T早"}))</f>
        <v>3</v>
      </c>
      <c r="AK48" s="128" cm="2">
        <f t="array" ref="AK48">SUMPRODUCT(COUNTIF(AK4:AK44,{"早";"T早"}))</f>
        <v>3</v>
      </c>
      <c r="AL48" s="128" cm="2">
        <f t="array" ref="AL48">SUMPRODUCT(COUNTIF(AL4:AL44,{"早";"T早"}))</f>
        <v>5</v>
      </c>
      <c r="AM48" s="128" cm="2">
        <f t="array" ref="AM48">SUMPRODUCT(COUNTIF(AM4:AM44,{"早";"T早"}))</f>
        <v>5</v>
      </c>
      <c r="AN48" s="128" cm="2">
        <f t="array" ref="AN48">SUMPRODUCT(COUNTIF(AN4:AN44,{"早";"T早"}))</f>
        <v>5</v>
      </c>
      <c r="AO48" s="128" cm="2">
        <f t="array" ref="AO48">SUMPRODUCT(COUNTIF(AO4:AO44,{"早";"T早"}))</f>
        <v>5</v>
      </c>
      <c r="AP48" s="128" cm="2">
        <f t="array" ref="AP48">SUMPRODUCT(COUNTIF(AP4:AP44,{"早";"T早"}))</f>
        <v>5</v>
      </c>
      <c r="AR48" s="87" t="s">
        <v>37</v>
      </c>
      <c r="AS48" s="75">
        <f>21*(31-J1)</f>
        <v>483</v>
      </c>
      <c r="AT48" s="75">
        <f>3*(31-J1)</f>
        <v>69</v>
      </c>
      <c r="AV48" s="84"/>
    </row>
    <row r="49" spans="1:51" s="77" customFormat="1" ht="18" customHeight="1">
      <c r="A49" s="80"/>
      <c r="B49" s="80"/>
      <c r="C49" s="81"/>
      <c r="D49" s="81"/>
      <c r="E49" s="75"/>
      <c r="F49" s="75"/>
      <c r="J49" s="81"/>
      <c r="K49" s="88" t="s">
        <v>38</v>
      </c>
      <c r="L49" s="129" cm="2">
        <f t="array" ref="L49">SUMPRODUCT(COUNTIF(L4:L44,{"中";"T中"}))</f>
        <v>3</v>
      </c>
      <c r="M49" s="129" cm="2">
        <f t="array" ref="M49">SUMPRODUCT(COUNTIF(M4:M44,{"中";"T中"}))</f>
        <v>3</v>
      </c>
      <c r="N49" s="129" cm="2">
        <f t="array" ref="N49">SUMPRODUCT(COUNTIF(N4:N44,{"中";"T中"}))</f>
        <v>3</v>
      </c>
      <c r="O49" s="129" cm="2">
        <f t="array" ref="O49">SUMPRODUCT(COUNTIF(O4:O44,{"中";"T中"}))</f>
        <v>3</v>
      </c>
      <c r="P49" s="129" cm="2">
        <f t="array" ref="P49">SUMPRODUCT(COUNTIF(P4:P44,{"中";"T中"}))</f>
        <v>3</v>
      </c>
      <c r="Q49" s="129" cm="2">
        <f t="array" ref="Q49">SUMPRODUCT(COUNTIF(Q4:Q44,{"中";"T中"}))</f>
        <v>3</v>
      </c>
      <c r="R49" s="129" cm="2">
        <f t="array" ref="R49">SUMPRODUCT(COUNTIF(R4:R44,{"中";"T中"}))</f>
        <v>3</v>
      </c>
      <c r="S49" s="129" cm="2">
        <f t="array" ref="S49">SUMPRODUCT(COUNTIF(S4:S44,{"中";"T中"}))</f>
        <v>3</v>
      </c>
      <c r="T49" s="129" cm="2">
        <f t="array" ref="T49">SUMPRODUCT(COUNTIF(T4:T44,{"中";"T中"}))</f>
        <v>3</v>
      </c>
      <c r="U49" s="129" cm="2">
        <f t="array" ref="U49">SUMPRODUCT(COUNTIF(U4:U44,{"中";"T中"}))</f>
        <v>3</v>
      </c>
      <c r="V49" s="129" cm="2">
        <f t="array" ref="V49">SUMPRODUCT(COUNTIF(V4:V44,{"中";"T中"}))</f>
        <v>3</v>
      </c>
      <c r="W49" s="129" cm="2">
        <f t="array" ref="W49">SUMPRODUCT(COUNTIF(W4:W44,{"中";"T中"}))</f>
        <v>3</v>
      </c>
      <c r="X49" s="129" cm="2">
        <f t="array" ref="X49">SUMPRODUCT(COUNTIF(X4:X44,{"中";"T中"}))</f>
        <v>3</v>
      </c>
      <c r="Y49" s="129" cm="2">
        <f t="array" ref="Y49">SUMPRODUCT(COUNTIF(Y4:Y44,{"中";"T中"}))</f>
        <v>3</v>
      </c>
      <c r="Z49" s="129" cm="2">
        <f t="array" ref="Z49">SUMPRODUCT(COUNTIF(Z4:Z44,{"中";"T中"}))</f>
        <v>3</v>
      </c>
      <c r="AA49" s="129" cm="2">
        <f t="array" ref="AA49">SUMPRODUCT(COUNTIF(AA4:AA44,{"中";"T中"}))</f>
        <v>3</v>
      </c>
      <c r="AB49" s="129" cm="2">
        <f t="array" ref="AB49">SUMPRODUCT(COUNTIF(AB4:AB44,{"中";"T中"}))</f>
        <v>3</v>
      </c>
      <c r="AC49" s="129" cm="2">
        <f t="array" ref="AC49">SUMPRODUCT(COUNTIF(AC4:AC44,{"中";"T中"}))</f>
        <v>3</v>
      </c>
      <c r="AD49" s="129" cm="2">
        <f t="array" ref="AD49">SUMPRODUCT(COUNTIF(AD4:AD44,{"中";"T中"}))</f>
        <v>3</v>
      </c>
      <c r="AE49" s="129" cm="2">
        <f t="array" ref="AE49">SUMPRODUCT(COUNTIF(AE4:AE44,{"中";"T中"}))</f>
        <v>3</v>
      </c>
      <c r="AF49" s="129" cm="2">
        <f t="array" ref="AF49">SUMPRODUCT(COUNTIF(AF4:AF44,{"中";"T中"}))</f>
        <v>3</v>
      </c>
      <c r="AG49" s="129" cm="2">
        <f t="array" ref="AG49">SUMPRODUCT(COUNTIF(AG4:AG44,{"中";"T中"}))</f>
        <v>3</v>
      </c>
      <c r="AH49" s="129" cm="2">
        <f t="array" ref="AH49">SUMPRODUCT(COUNTIF(AH4:AH44,{"中";"T中"}))</f>
        <v>3</v>
      </c>
      <c r="AI49" s="129" cm="2">
        <f t="array" ref="AI49">SUMPRODUCT(COUNTIF(AI4:AI44,{"中";"T中"}))</f>
        <v>3</v>
      </c>
      <c r="AJ49" s="129" cm="2">
        <f t="array" ref="AJ49">SUMPRODUCT(COUNTIF(AJ4:AJ44,{"中";"T中"}))</f>
        <v>3</v>
      </c>
      <c r="AK49" s="129" cm="2">
        <f t="array" ref="AK49">SUMPRODUCT(COUNTIF(AK4:AK44,{"中";"T中"}))</f>
        <v>3</v>
      </c>
      <c r="AL49" s="129" cm="2">
        <f t="array" ref="AL49">SUMPRODUCT(COUNTIF(AL4:AL44,{"中";"T中"}))</f>
        <v>3</v>
      </c>
      <c r="AM49" s="129" cm="2">
        <f t="array" ref="AM49">SUMPRODUCT(COUNTIF(AM4:AM44,{"中";"T中"}))</f>
        <v>3</v>
      </c>
      <c r="AN49" s="129" cm="2">
        <f t="array" ref="AN49">SUMPRODUCT(COUNTIF(AN4:AN44,{"中";"T中"}))</f>
        <v>3</v>
      </c>
      <c r="AO49" s="129" cm="2">
        <f t="array" ref="AO49">SUMPRODUCT(COUNTIF(AO4:AO44,{"中";"T中"}))</f>
        <v>3</v>
      </c>
      <c r="AP49" s="129" cm="2">
        <f t="array" ref="AP49">SUMPRODUCT(COUNTIF(AP4:AP44,{"中";"T中"}))</f>
        <v>3</v>
      </c>
      <c r="AR49" s="87" t="s">
        <v>39</v>
      </c>
      <c r="AS49" s="75">
        <f>16*J1</f>
        <v>128</v>
      </c>
      <c r="AT49" s="75">
        <f>3*J1</f>
        <v>24</v>
      </c>
      <c r="AV49" s="89"/>
    </row>
    <row r="50" spans="1:51" s="77" customFormat="1" ht="18" customHeight="1" thickBot="1">
      <c r="A50" s="80"/>
      <c r="B50" s="80"/>
      <c r="C50" s="81"/>
      <c r="D50" s="81"/>
      <c r="E50" s="75"/>
      <c r="F50" s="75"/>
      <c r="J50" s="81"/>
      <c r="K50" s="90" t="s">
        <v>40</v>
      </c>
      <c r="L50" s="130">
        <f t="shared" ref="L50:AP50" si="84">COUNTIF(L4:L44,"晚")</f>
        <v>3</v>
      </c>
      <c r="M50" s="130">
        <f t="shared" si="84"/>
        <v>3</v>
      </c>
      <c r="N50" s="130">
        <f t="shared" si="84"/>
        <v>3</v>
      </c>
      <c r="O50" s="130">
        <f t="shared" si="84"/>
        <v>2</v>
      </c>
      <c r="P50" s="130">
        <f t="shared" si="84"/>
        <v>2</v>
      </c>
      <c r="Q50" s="130">
        <f t="shared" si="84"/>
        <v>3</v>
      </c>
      <c r="R50" s="130">
        <f t="shared" si="84"/>
        <v>3</v>
      </c>
      <c r="S50" s="130">
        <f t="shared" si="84"/>
        <v>3</v>
      </c>
      <c r="T50" s="130">
        <f t="shared" si="84"/>
        <v>3</v>
      </c>
      <c r="U50" s="130">
        <f t="shared" si="84"/>
        <v>3</v>
      </c>
      <c r="V50" s="130">
        <f t="shared" si="84"/>
        <v>2</v>
      </c>
      <c r="W50" s="130">
        <f t="shared" si="84"/>
        <v>2</v>
      </c>
      <c r="X50" s="130">
        <f t="shared" si="84"/>
        <v>3</v>
      </c>
      <c r="Y50" s="130">
        <f t="shared" si="84"/>
        <v>3</v>
      </c>
      <c r="Z50" s="130">
        <f t="shared" si="84"/>
        <v>3</v>
      </c>
      <c r="AA50" s="130">
        <f t="shared" si="84"/>
        <v>3</v>
      </c>
      <c r="AB50" s="130">
        <f t="shared" si="84"/>
        <v>3</v>
      </c>
      <c r="AC50" s="130">
        <f t="shared" si="84"/>
        <v>2</v>
      </c>
      <c r="AD50" s="130">
        <f t="shared" si="84"/>
        <v>2</v>
      </c>
      <c r="AE50" s="130">
        <f t="shared" si="84"/>
        <v>3</v>
      </c>
      <c r="AF50" s="130">
        <f t="shared" si="84"/>
        <v>3</v>
      </c>
      <c r="AG50" s="130">
        <f t="shared" si="84"/>
        <v>3</v>
      </c>
      <c r="AH50" s="130">
        <f t="shared" si="84"/>
        <v>3</v>
      </c>
      <c r="AI50" s="130">
        <f t="shared" si="84"/>
        <v>3</v>
      </c>
      <c r="AJ50" s="130">
        <f t="shared" si="84"/>
        <v>2</v>
      </c>
      <c r="AK50" s="130">
        <f t="shared" si="84"/>
        <v>2</v>
      </c>
      <c r="AL50" s="130">
        <f t="shared" si="84"/>
        <v>3</v>
      </c>
      <c r="AM50" s="130">
        <f t="shared" si="84"/>
        <v>3</v>
      </c>
      <c r="AN50" s="130">
        <f t="shared" si="84"/>
        <v>3</v>
      </c>
      <c r="AO50" s="130">
        <f t="shared" si="84"/>
        <v>3</v>
      </c>
      <c r="AP50" s="130">
        <f t="shared" si="84"/>
        <v>3</v>
      </c>
      <c r="AR50" s="75" t="s">
        <v>0</v>
      </c>
      <c r="AS50" s="91">
        <f>35*J1</f>
        <v>280</v>
      </c>
      <c r="AT50" s="75">
        <f>6*J1</f>
        <v>48</v>
      </c>
    </row>
    <row r="51" spans="1:51" s="77" customFormat="1" ht="18" customHeight="1">
      <c r="A51" s="80"/>
      <c r="B51" s="80"/>
      <c r="C51" s="81"/>
      <c r="D51" s="81"/>
      <c r="E51" s="75"/>
      <c r="F51" s="75"/>
      <c r="J51" s="81"/>
      <c r="K51" s="86" t="s">
        <v>111</v>
      </c>
      <c r="L51" s="128">
        <f t="shared" ref="L51:AP51" si="85">COUNTIF(L4:L44,"日")</f>
        <v>1</v>
      </c>
      <c r="M51" s="128">
        <f t="shared" si="85"/>
        <v>1</v>
      </c>
      <c r="N51" s="128">
        <f t="shared" si="85"/>
        <v>1</v>
      </c>
      <c r="O51" s="128">
        <f t="shared" si="85"/>
        <v>1</v>
      </c>
      <c r="P51" s="128">
        <f t="shared" si="85"/>
        <v>1</v>
      </c>
      <c r="Q51" s="128">
        <f t="shared" si="85"/>
        <v>1</v>
      </c>
      <c r="R51" s="128">
        <f t="shared" si="85"/>
        <v>1</v>
      </c>
      <c r="S51" s="128">
        <f t="shared" si="85"/>
        <v>1</v>
      </c>
      <c r="T51" s="128">
        <f t="shared" si="85"/>
        <v>1</v>
      </c>
      <c r="U51" s="128">
        <f t="shared" si="85"/>
        <v>1</v>
      </c>
      <c r="V51" s="128">
        <f t="shared" si="85"/>
        <v>1</v>
      </c>
      <c r="W51" s="128">
        <f t="shared" si="85"/>
        <v>1</v>
      </c>
      <c r="X51" s="128">
        <f t="shared" si="85"/>
        <v>1</v>
      </c>
      <c r="Y51" s="128">
        <f t="shared" si="85"/>
        <v>1</v>
      </c>
      <c r="Z51" s="128">
        <f t="shared" si="85"/>
        <v>1</v>
      </c>
      <c r="AA51" s="128">
        <f t="shared" si="85"/>
        <v>1</v>
      </c>
      <c r="AB51" s="128">
        <f t="shared" si="85"/>
        <v>1</v>
      </c>
      <c r="AC51" s="128">
        <f t="shared" si="85"/>
        <v>1</v>
      </c>
      <c r="AD51" s="128">
        <f t="shared" si="85"/>
        <v>1</v>
      </c>
      <c r="AE51" s="128">
        <f t="shared" si="85"/>
        <v>1</v>
      </c>
      <c r="AF51" s="128">
        <f t="shared" si="85"/>
        <v>1</v>
      </c>
      <c r="AG51" s="128">
        <f t="shared" si="85"/>
        <v>1</v>
      </c>
      <c r="AH51" s="128">
        <f t="shared" si="85"/>
        <v>1</v>
      </c>
      <c r="AI51" s="128">
        <f t="shared" si="85"/>
        <v>1</v>
      </c>
      <c r="AJ51" s="128">
        <f t="shared" si="85"/>
        <v>1</v>
      </c>
      <c r="AK51" s="128">
        <f t="shared" si="85"/>
        <v>1</v>
      </c>
      <c r="AL51" s="128">
        <f t="shared" si="85"/>
        <v>1</v>
      </c>
      <c r="AM51" s="128">
        <f t="shared" si="85"/>
        <v>1</v>
      </c>
      <c r="AN51" s="128">
        <f t="shared" si="85"/>
        <v>1</v>
      </c>
      <c r="AO51" s="128">
        <f t="shared" si="85"/>
        <v>1</v>
      </c>
      <c r="AP51" s="128">
        <f t="shared" si="85"/>
        <v>1</v>
      </c>
      <c r="AR51" s="50" t="s">
        <v>104</v>
      </c>
      <c r="AS51" s="91" cm="1">
        <f t="array" ref="AS51">SUMPRODUCT(COUNTIF(L4:AP38,{"N";"N8"}))</f>
        <v>115</v>
      </c>
      <c r="AT51" s="91" cm="1">
        <f t="array" ref="AT51">SUMPRODUCT(COUNTIF(L39:AP44,{"N";"N8"}))</f>
        <v>25</v>
      </c>
    </row>
    <row r="52" spans="1:51" s="77" customFormat="1" ht="18" customHeight="1">
      <c r="A52" s="80"/>
      <c r="B52" s="80"/>
      <c r="C52" s="81"/>
      <c r="D52" s="81"/>
      <c r="E52" s="75"/>
      <c r="F52" s="75"/>
      <c r="J52" s="81"/>
      <c r="K52" s="88" t="s">
        <v>143</v>
      </c>
      <c r="L52" s="129">
        <f t="shared" ref="L52:AP52" si="86">COUNTIF(L4:L44,"小夜")</f>
        <v>1</v>
      </c>
      <c r="M52" s="129">
        <f t="shared" si="86"/>
        <v>1</v>
      </c>
      <c r="N52" s="129">
        <f t="shared" si="86"/>
        <v>1</v>
      </c>
      <c r="O52" s="129">
        <f t="shared" si="86"/>
        <v>1</v>
      </c>
      <c r="P52" s="129">
        <f t="shared" si="86"/>
        <v>1</v>
      </c>
      <c r="Q52" s="129">
        <f t="shared" si="86"/>
        <v>1</v>
      </c>
      <c r="R52" s="129">
        <f t="shared" si="86"/>
        <v>1</v>
      </c>
      <c r="S52" s="129">
        <f t="shared" si="86"/>
        <v>1</v>
      </c>
      <c r="T52" s="129">
        <f t="shared" si="86"/>
        <v>1</v>
      </c>
      <c r="U52" s="129">
        <f t="shared" si="86"/>
        <v>1</v>
      </c>
      <c r="V52" s="129">
        <f t="shared" si="86"/>
        <v>1</v>
      </c>
      <c r="W52" s="129">
        <f t="shared" si="86"/>
        <v>1</v>
      </c>
      <c r="X52" s="129">
        <f t="shared" si="86"/>
        <v>1</v>
      </c>
      <c r="Y52" s="129">
        <f t="shared" si="86"/>
        <v>1</v>
      </c>
      <c r="Z52" s="129">
        <f t="shared" si="86"/>
        <v>1</v>
      </c>
      <c r="AA52" s="129">
        <f t="shared" si="86"/>
        <v>1</v>
      </c>
      <c r="AB52" s="129">
        <f t="shared" si="86"/>
        <v>1</v>
      </c>
      <c r="AC52" s="129">
        <f t="shared" si="86"/>
        <v>1</v>
      </c>
      <c r="AD52" s="129">
        <f t="shared" si="86"/>
        <v>1</v>
      </c>
      <c r="AE52" s="129">
        <f t="shared" si="86"/>
        <v>1</v>
      </c>
      <c r="AF52" s="129">
        <f t="shared" si="86"/>
        <v>1</v>
      </c>
      <c r="AG52" s="129">
        <f t="shared" si="86"/>
        <v>1</v>
      </c>
      <c r="AH52" s="129">
        <f t="shared" si="86"/>
        <v>1</v>
      </c>
      <c r="AI52" s="129">
        <f t="shared" si="86"/>
        <v>1</v>
      </c>
      <c r="AJ52" s="129">
        <f t="shared" si="86"/>
        <v>1</v>
      </c>
      <c r="AK52" s="129">
        <f t="shared" si="86"/>
        <v>1</v>
      </c>
      <c r="AL52" s="129">
        <f t="shared" si="86"/>
        <v>1</v>
      </c>
      <c r="AM52" s="129">
        <f t="shared" si="86"/>
        <v>1</v>
      </c>
      <c r="AN52" s="129">
        <f t="shared" si="86"/>
        <v>1</v>
      </c>
      <c r="AO52" s="129">
        <f t="shared" si="86"/>
        <v>1</v>
      </c>
      <c r="AP52" s="129">
        <f t="shared" si="86"/>
        <v>1</v>
      </c>
      <c r="AR52" s="50" t="s">
        <v>105</v>
      </c>
      <c r="AS52" s="92">
        <f>SUMPRODUCT(COUNTIF(L4:AP38,{"S"}))</f>
        <v>74</v>
      </c>
      <c r="AT52" s="75">
        <f>SUMPRODUCT(COUNTIF(L39:AP44,{"S"}))</f>
        <v>18</v>
      </c>
    </row>
    <row r="53" spans="1:51" s="77" customFormat="1" ht="18" customHeight="1" thickBot="1">
      <c r="A53" s="80"/>
      <c r="B53" s="80"/>
      <c r="C53" s="81"/>
      <c r="D53" s="81"/>
      <c r="E53" s="75"/>
      <c r="F53" s="75"/>
      <c r="J53" s="81"/>
      <c r="K53" s="90" t="s">
        <v>144</v>
      </c>
      <c r="L53" s="130">
        <f t="shared" ref="L53:AP53" si="87">COUNTIF(L7:L47,"大夜")</f>
        <v>1</v>
      </c>
      <c r="M53" s="130">
        <f t="shared" si="87"/>
        <v>1</v>
      </c>
      <c r="N53" s="130">
        <f t="shared" si="87"/>
        <v>1</v>
      </c>
      <c r="O53" s="130">
        <f t="shared" si="87"/>
        <v>1</v>
      </c>
      <c r="P53" s="130">
        <f t="shared" si="87"/>
        <v>1</v>
      </c>
      <c r="Q53" s="130">
        <f t="shared" si="87"/>
        <v>1</v>
      </c>
      <c r="R53" s="130">
        <f t="shared" si="87"/>
        <v>1</v>
      </c>
      <c r="S53" s="130">
        <f t="shared" si="87"/>
        <v>1</v>
      </c>
      <c r="T53" s="130">
        <f t="shared" si="87"/>
        <v>1</v>
      </c>
      <c r="U53" s="130">
        <f t="shared" si="87"/>
        <v>1</v>
      </c>
      <c r="V53" s="130">
        <f t="shared" si="87"/>
        <v>1</v>
      </c>
      <c r="W53" s="130">
        <f t="shared" si="87"/>
        <v>1</v>
      </c>
      <c r="X53" s="130">
        <f t="shared" si="87"/>
        <v>1</v>
      </c>
      <c r="Y53" s="130">
        <f t="shared" si="87"/>
        <v>1</v>
      </c>
      <c r="Z53" s="130">
        <f t="shared" si="87"/>
        <v>1</v>
      </c>
      <c r="AA53" s="130">
        <f t="shared" si="87"/>
        <v>1</v>
      </c>
      <c r="AB53" s="130">
        <f t="shared" si="87"/>
        <v>1</v>
      </c>
      <c r="AC53" s="130">
        <f t="shared" si="87"/>
        <v>1</v>
      </c>
      <c r="AD53" s="130">
        <f t="shared" si="87"/>
        <v>1</v>
      </c>
      <c r="AE53" s="130">
        <f t="shared" si="87"/>
        <v>1</v>
      </c>
      <c r="AF53" s="130">
        <f t="shared" si="87"/>
        <v>1</v>
      </c>
      <c r="AG53" s="130">
        <f t="shared" si="87"/>
        <v>1</v>
      </c>
      <c r="AH53" s="130">
        <f t="shared" si="87"/>
        <v>1</v>
      </c>
      <c r="AI53" s="130">
        <f t="shared" si="87"/>
        <v>1</v>
      </c>
      <c r="AJ53" s="130">
        <f t="shared" si="87"/>
        <v>1</v>
      </c>
      <c r="AK53" s="130">
        <f t="shared" si="87"/>
        <v>1</v>
      </c>
      <c r="AL53" s="130">
        <f t="shared" si="87"/>
        <v>1</v>
      </c>
      <c r="AM53" s="130">
        <f t="shared" si="87"/>
        <v>1</v>
      </c>
      <c r="AN53" s="130">
        <f t="shared" si="87"/>
        <v>1</v>
      </c>
      <c r="AO53" s="130">
        <f t="shared" si="87"/>
        <v>1</v>
      </c>
      <c r="AP53" s="130">
        <f t="shared" si="87"/>
        <v>1</v>
      </c>
      <c r="AR53" s="93" t="s">
        <v>145</v>
      </c>
      <c r="AS53" s="75">
        <v>0</v>
      </c>
      <c r="AT53" s="75">
        <v>0</v>
      </c>
    </row>
    <row r="54" spans="1:51" s="77" customFormat="1" ht="18" customHeight="1" thickBot="1">
      <c r="A54" s="80"/>
      <c r="B54" s="80"/>
      <c r="C54" s="81"/>
      <c r="D54" s="81"/>
      <c r="E54" s="75"/>
      <c r="F54" s="75"/>
      <c r="J54" s="81"/>
      <c r="K54" s="95" t="s">
        <v>41</v>
      </c>
      <c r="L54" s="96">
        <f t="shared" ref="L54:AP54" si="88">COUNTIF(L4:L44,"N")+COUNTIF(L4:L44,"N8")</f>
        <v>5</v>
      </c>
      <c r="M54" s="96">
        <f t="shared" si="88"/>
        <v>7</v>
      </c>
      <c r="N54" s="96">
        <f t="shared" si="88"/>
        <v>6</v>
      </c>
      <c r="O54" s="96">
        <f t="shared" si="88"/>
        <v>0</v>
      </c>
      <c r="P54" s="96">
        <f t="shared" si="88"/>
        <v>0</v>
      </c>
      <c r="Q54" s="96">
        <f t="shared" si="88"/>
        <v>1</v>
      </c>
      <c r="R54" s="96">
        <f t="shared" si="88"/>
        <v>8</v>
      </c>
      <c r="S54" s="96">
        <f t="shared" si="88"/>
        <v>10</v>
      </c>
      <c r="T54" s="96">
        <f t="shared" si="88"/>
        <v>8</v>
      </c>
      <c r="U54" s="96">
        <f t="shared" si="88"/>
        <v>0</v>
      </c>
      <c r="V54" s="96">
        <f t="shared" si="88"/>
        <v>0</v>
      </c>
      <c r="W54" s="96">
        <f t="shared" si="88"/>
        <v>0</v>
      </c>
      <c r="X54" s="96">
        <f t="shared" si="88"/>
        <v>3</v>
      </c>
      <c r="Y54" s="96">
        <f t="shared" si="88"/>
        <v>7</v>
      </c>
      <c r="Z54" s="96">
        <f t="shared" si="88"/>
        <v>5</v>
      </c>
      <c r="AA54" s="96">
        <f t="shared" si="88"/>
        <v>11</v>
      </c>
      <c r="AB54" s="96">
        <f t="shared" si="88"/>
        <v>7</v>
      </c>
      <c r="AC54" s="96">
        <f t="shared" si="88"/>
        <v>0</v>
      </c>
      <c r="AD54" s="96">
        <f t="shared" si="88"/>
        <v>0</v>
      </c>
      <c r="AE54" s="96">
        <f t="shared" si="88"/>
        <v>5</v>
      </c>
      <c r="AF54" s="96">
        <f t="shared" si="88"/>
        <v>10</v>
      </c>
      <c r="AG54" s="96">
        <f t="shared" si="88"/>
        <v>7</v>
      </c>
      <c r="AH54" s="96">
        <f t="shared" si="88"/>
        <v>9</v>
      </c>
      <c r="AI54" s="96">
        <f t="shared" si="88"/>
        <v>6</v>
      </c>
      <c r="AJ54" s="96">
        <f t="shared" si="88"/>
        <v>0</v>
      </c>
      <c r="AK54" s="96">
        <f t="shared" si="88"/>
        <v>0</v>
      </c>
      <c r="AL54" s="96">
        <f t="shared" si="88"/>
        <v>3</v>
      </c>
      <c r="AM54" s="96">
        <f t="shared" si="88"/>
        <v>6</v>
      </c>
      <c r="AN54" s="97">
        <f t="shared" si="88"/>
        <v>8</v>
      </c>
      <c r="AO54" s="98">
        <f t="shared" si="88"/>
        <v>5</v>
      </c>
      <c r="AP54" s="99">
        <f t="shared" si="88"/>
        <v>3</v>
      </c>
      <c r="AR54" s="100" t="s">
        <v>42</v>
      </c>
      <c r="AS54" s="101">
        <v>0</v>
      </c>
      <c r="AT54" s="75">
        <v>0</v>
      </c>
    </row>
    <row r="55" spans="1:51" s="77" customFormat="1" ht="18" customHeight="1">
      <c r="A55" s="80"/>
      <c r="B55" s="80"/>
      <c r="C55" s="80"/>
      <c r="D55" s="80"/>
      <c r="E55" s="75"/>
      <c r="F55" s="75"/>
      <c r="J55" s="81"/>
      <c r="K55" s="78" t="s">
        <v>43</v>
      </c>
      <c r="L55" s="149">
        <f t="shared" ref="L55:AP55" si="89">COUNTIF(L4:L44,"X")+COUNTIF(L4:L44,"Y")+COUNTIF(L4:L44,"Z")</f>
        <v>6</v>
      </c>
      <c r="M55" s="24">
        <f t="shared" si="89"/>
        <v>4</v>
      </c>
      <c r="N55" s="24">
        <f t="shared" si="89"/>
        <v>7</v>
      </c>
      <c r="O55" s="24">
        <f t="shared" si="89"/>
        <v>21</v>
      </c>
      <c r="P55" s="24">
        <f t="shared" si="89"/>
        <v>19</v>
      </c>
      <c r="Q55" s="24">
        <f t="shared" si="89"/>
        <v>10</v>
      </c>
      <c r="R55" s="24">
        <f t="shared" si="89"/>
        <v>6</v>
      </c>
      <c r="S55" s="24">
        <f t="shared" si="89"/>
        <v>4</v>
      </c>
      <c r="T55" s="24">
        <f t="shared" si="89"/>
        <v>7</v>
      </c>
      <c r="U55" s="24">
        <f>COUNTIF(U4:U44,"X")+COUNTIF(U4:U44,"Y")+COUNTIF(U4:U44,"Z")</f>
        <v>0</v>
      </c>
      <c r="V55" s="24">
        <f t="shared" si="89"/>
        <v>22</v>
      </c>
      <c r="W55" s="24">
        <f t="shared" si="89"/>
        <v>17</v>
      </c>
      <c r="X55" s="24">
        <f t="shared" si="89"/>
        <v>12</v>
      </c>
      <c r="Y55" s="24">
        <f t="shared" si="89"/>
        <v>8</v>
      </c>
      <c r="Z55" s="24">
        <f t="shared" si="89"/>
        <v>8</v>
      </c>
      <c r="AA55" s="24">
        <f t="shared" si="89"/>
        <v>3</v>
      </c>
      <c r="AB55" s="24">
        <f t="shared" si="89"/>
        <v>7</v>
      </c>
      <c r="AC55" s="24">
        <f t="shared" si="89"/>
        <v>19</v>
      </c>
      <c r="AD55" s="24">
        <f t="shared" si="89"/>
        <v>21</v>
      </c>
      <c r="AE55" s="24">
        <f t="shared" si="89"/>
        <v>7</v>
      </c>
      <c r="AF55" s="24">
        <f t="shared" si="89"/>
        <v>4</v>
      </c>
      <c r="AG55" s="24">
        <f t="shared" si="89"/>
        <v>7</v>
      </c>
      <c r="AH55" s="24">
        <f t="shared" si="89"/>
        <v>7</v>
      </c>
      <c r="AI55" s="24">
        <f t="shared" si="89"/>
        <v>10</v>
      </c>
      <c r="AJ55" s="24">
        <f t="shared" si="89"/>
        <v>20</v>
      </c>
      <c r="AK55" s="24">
        <f t="shared" si="89"/>
        <v>17</v>
      </c>
      <c r="AL55" s="24">
        <f t="shared" si="89"/>
        <v>12</v>
      </c>
      <c r="AM55" s="24">
        <f t="shared" si="89"/>
        <v>7</v>
      </c>
      <c r="AN55" s="24">
        <f t="shared" si="89"/>
        <v>8</v>
      </c>
      <c r="AO55" s="24">
        <f t="shared" si="89"/>
        <v>7</v>
      </c>
      <c r="AP55" s="102">
        <f t="shared" si="89"/>
        <v>11</v>
      </c>
      <c r="AR55" s="100" t="s">
        <v>146</v>
      </c>
      <c r="AS55" s="101">
        <v>0</v>
      </c>
      <c r="AT55" s="75">
        <v>0</v>
      </c>
    </row>
    <row r="56" spans="1:51" s="77" customFormat="1" ht="18" customHeight="1">
      <c r="A56" s="80"/>
      <c r="B56" s="80"/>
      <c r="C56" s="80"/>
      <c r="D56" s="80"/>
      <c r="E56" s="75"/>
      <c r="F56" s="75"/>
      <c r="J56" s="81"/>
      <c r="K56" s="103" t="s">
        <v>44</v>
      </c>
      <c r="L56" s="143">
        <f t="shared" ref="L56:AP56" si="90">COUNTIF(L4:L44,"S")</f>
        <v>6</v>
      </c>
      <c r="M56" s="39">
        <f t="shared" si="90"/>
        <v>6</v>
      </c>
      <c r="N56" s="39">
        <f t="shared" si="90"/>
        <v>4</v>
      </c>
      <c r="O56" s="39">
        <f t="shared" si="90"/>
        <v>1</v>
      </c>
      <c r="P56" s="39">
        <f t="shared" si="90"/>
        <v>3</v>
      </c>
      <c r="Q56" s="39">
        <f t="shared" si="90"/>
        <v>6</v>
      </c>
      <c r="R56" s="39">
        <f t="shared" si="90"/>
        <v>3</v>
      </c>
      <c r="S56" s="39">
        <f t="shared" si="90"/>
        <v>3</v>
      </c>
      <c r="T56" s="39">
        <f t="shared" si="90"/>
        <v>2</v>
      </c>
      <c r="U56" s="39">
        <f>COUNTIF(U4:U44,"S")</f>
        <v>0</v>
      </c>
      <c r="V56" s="39">
        <f t="shared" si="90"/>
        <v>0</v>
      </c>
      <c r="W56" s="39">
        <f t="shared" si="90"/>
        <v>5</v>
      </c>
      <c r="X56" s="39">
        <f t="shared" si="90"/>
        <v>2</v>
      </c>
      <c r="Y56" s="39">
        <f t="shared" si="90"/>
        <v>2</v>
      </c>
      <c r="Z56" s="39">
        <f t="shared" si="90"/>
        <v>4</v>
      </c>
      <c r="AA56" s="39">
        <f t="shared" si="90"/>
        <v>3</v>
      </c>
      <c r="AB56" s="39">
        <f t="shared" si="90"/>
        <v>3</v>
      </c>
      <c r="AC56" s="39">
        <f t="shared" si="90"/>
        <v>3</v>
      </c>
      <c r="AD56" s="39">
        <f t="shared" si="90"/>
        <v>1</v>
      </c>
      <c r="AE56" s="39">
        <f t="shared" si="90"/>
        <v>5</v>
      </c>
      <c r="AF56" s="39">
        <f t="shared" si="90"/>
        <v>3</v>
      </c>
      <c r="AG56" s="39">
        <f t="shared" si="90"/>
        <v>3</v>
      </c>
      <c r="AH56" s="39">
        <f t="shared" si="90"/>
        <v>1</v>
      </c>
      <c r="AI56" s="39">
        <f t="shared" si="90"/>
        <v>1</v>
      </c>
      <c r="AJ56" s="39">
        <f t="shared" si="90"/>
        <v>2</v>
      </c>
      <c r="AK56" s="39">
        <f t="shared" si="90"/>
        <v>5</v>
      </c>
      <c r="AL56" s="39">
        <f t="shared" si="90"/>
        <v>2</v>
      </c>
      <c r="AM56" s="39">
        <f t="shared" si="90"/>
        <v>4</v>
      </c>
      <c r="AN56" s="39">
        <f t="shared" si="90"/>
        <v>1</v>
      </c>
      <c r="AO56" s="39">
        <f t="shared" si="90"/>
        <v>5</v>
      </c>
      <c r="AP56" s="83">
        <f t="shared" si="90"/>
        <v>3</v>
      </c>
      <c r="AR56" s="107" t="s">
        <v>46</v>
      </c>
      <c r="AS56" s="105">
        <f>AS47-AS48-AS50-AS51-AS52-AS53+AS54+AS55-AS49</f>
        <v>5</v>
      </c>
      <c r="AT56" s="105">
        <f>AT47-AT48-AT50-AT51-AT52-AT53+AT54+AT55-AT49</f>
        <v>2</v>
      </c>
      <c r="AU56" s="6"/>
    </row>
    <row r="57" spans="1:51" ht="18" customHeight="1" thickBot="1">
      <c r="A57" s="80"/>
      <c r="B57" s="80"/>
      <c r="C57" s="80"/>
      <c r="D57" s="80"/>
      <c r="J57" s="80"/>
      <c r="K57" s="103" t="s">
        <v>45</v>
      </c>
      <c r="L57" s="143">
        <f t="shared" ref="L57:AP57" si="91">COUNTIF(L4:L44,"T")</f>
        <v>0</v>
      </c>
      <c r="M57" s="39">
        <f t="shared" si="91"/>
        <v>0</v>
      </c>
      <c r="N57" s="39">
        <f t="shared" si="91"/>
        <v>0</v>
      </c>
      <c r="O57" s="39">
        <f t="shared" si="91"/>
        <v>0</v>
      </c>
      <c r="P57" s="39">
        <f t="shared" si="91"/>
        <v>0</v>
      </c>
      <c r="Q57" s="39">
        <f t="shared" si="91"/>
        <v>0</v>
      </c>
      <c r="R57" s="39">
        <f t="shared" si="91"/>
        <v>0</v>
      </c>
      <c r="S57" s="39">
        <f t="shared" si="91"/>
        <v>0</v>
      </c>
      <c r="T57" s="39">
        <f t="shared" si="91"/>
        <v>0</v>
      </c>
      <c r="U57" s="39">
        <f t="shared" si="91"/>
        <v>17</v>
      </c>
      <c r="V57" s="39">
        <f t="shared" si="91"/>
        <v>0</v>
      </c>
      <c r="W57" s="39">
        <f t="shared" si="91"/>
        <v>0</v>
      </c>
      <c r="X57" s="39">
        <f t="shared" si="91"/>
        <v>0</v>
      </c>
      <c r="Y57" s="39">
        <f t="shared" si="91"/>
        <v>0</v>
      </c>
      <c r="Z57" s="39">
        <f t="shared" si="91"/>
        <v>0</v>
      </c>
      <c r="AA57" s="39">
        <f t="shared" si="91"/>
        <v>0</v>
      </c>
      <c r="AB57" s="39">
        <f t="shared" si="91"/>
        <v>0</v>
      </c>
      <c r="AC57" s="39">
        <f t="shared" si="91"/>
        <v>0</v>
      </c>
      <c r="AD57" s="39">
        <f t="shared" si="91"/>
        <v>0</v>
      </c>
      <c r="AE57" s="39">
        <f t="shared" si="91"/>
        <v>0</v>
      </c>
      <c r="AF57" s="39">
        <f t="shared" si="91"/>
        <v>0</v>
      </c>
      <c r="AG57" s="39">
        <f t="shared" si="91"/>
        <v>0</v>
      </c>
      <c r="AH57" s="39">
        <f t="shared" si="91"/>
        <v>0</v>
      </c>
      <c r="AI57" s="39">
        <f t="shared" si="91"/>
        <v>0</v>
      </c>
      <c r="AJ57" s="39">
        <f t="shared" si="91"/>
        <v>0</v>
      </c>
      <c r="AK57" s="39">
        <f t="shared" si="91"/>
        <v>0</v>
      </c>
      <c r="AL57" s="39">
        <f t="shared" si="91"/>
        <v>0</v>
      </c>
      <c r="AM57" s="39">
        <f t="shared" si="91"/>
        <v>0</v>
      </c>
      <c r="AN57" s="39">
        <f t="shared" si="91"/>
        <v>0</v>
      </c>
      <c r="AO57" s="39">
        <f t="shared" si="91"/>
        <v>0</v>
      </c>
      <c r="AP57" s="83">
        <f t="shared" si="91"/>
        <v>0</v>
      </c>
      <c r="AQ57" s="77"/>
      <c r="AS57" s="50"/>
      <c r="AT57" s="111"/>
      <c r="AV57" s="77"/>
      <c r="AW57" s="77"/>
      <c r="AX57" s="77"/>
      <c r="AY57" s="77"/>
    </row>
    <row r="58" spans="1:51" ht="18" customHeight="1" thickBot="1">
      <c r="A58" s="80"/>
      <c r="B58" s="80"/>
      <c r="C58" s="80"/>
      <c r="D58" s="80"/>
      <c r="J58" s="80"/>
      <c r="K58" s="108" t="s">
        <v>109</v>
      </c>
      <c r="L58" s="150">
        <f>SUM(L45:L57)</f>
        <v>41</v>
      </c>
      <c r="M58" s="109">
        <f t="shared" ref="M58:AP58" si="92">SUM(M45:M57)</f>
        <v>41</v>
      </c>
      <c r="N58" s="109">
        <f t="shared" si="92"/>
        <v>41</v>
      </c>
      <c r="O58" s="109">
        <f t="shared" si="92"/>
        <v>41</v>
      </c>
      <c r="P58" s="109">
        <f t="shared" si="92"/>
        <v>41</v>
      </c>
      <c r="Q58" s="109">
        <f t="shared" si="92"/>
        <v>41</v>
      </c>
      <c r="R58" s="109">
        <f t="shared" si="92"/>
        <v>41</v>
      </c>
      <c r="S58" s="109">
        <f t="shared" si="92"/>
        <v>41</v>
      </c>
      <c r="T58" s="109">
        <f t="shared" si="92"/>
        <v>41</v>
      </c>
      <c r="U58" s="109">
        <f t="shared" si="92"/>
        <v>41</v>
      </c>
      <c r="V58" s="109">
        <f t="shared" si="92"/>
        <v>41</v>
      </c>
      <c r="W58" s="109">
        <f t="shared" si="92"/>
        <v>41</v>
      </c>
      <c r="X58" s="109">
        <f t="shared" si="92"/>
        <v>41</v>
      </c>
      <c r="Y58" s="109">
        <f t="shared" si="92"/>
        <v>41</v>
      </c>
      <c r="Z58" s="109">
        <f t="shared" si="92"/>
        <v>41</v>
      </c>
      <c r="AA58" s="109">
        <f t="shared" si="92"/>
        <v>41</v>
      </c>
      <c r="AB58" s="109">
        <f t="shared" si="92"/>
        <v>41</v>
      </c>
      <c r="AC58" s="109">
        <f t="shared" si="92"/>
        <v>41</v>
      </c>
      <c r="AD58" s="109">
        <f t="shared" si="92"/>
        <v>41</v>
      </c>
      <c r="AE58" s="109">
        <f t="shared" si="92"/>
        <v>41</v>
      </c>
      <c r="AF58" s="109">
        <f t="shared" si="92"/>
        <v>41</v>
      </c>
      <c r="AG58" s="109">
        <f t="shared" si="92"/>
        <v>41</v>
      </c>
      <c r="AH58" s="109">
        <f t="shared" si="92"/>
        <v>41</v>
      </c>
      <c r="AI58" s="109">
        <f t="shared" si="92"/>
        <v>41</v>
      </c>
      <c r="AJ58" s="109">
        <f t="shared" si="92"/>
        <v>41</v>
      </c>
      <c r="AK58" s="109">
        <f t="shared" si="92"/>
        <v>41</v>
      </c>
      <c r="AL58" s="109">
        <f t="shared" si="92"/>
        <v>41</v>
      </c>
      <c r="AM58" s="109">
        <f t="shared" si="92"/>
        <v>41</v>
      </c>
      <c r="AN58" s="109">
        <f t="shared" si="92"/>
        <v>41</v>
      </c>
      <c r="AO58" s="109">
        <f t="shared" si="92"/>
        <v>41</v>
      </c>
      <c r="AP58" s="110">
        <f t="shared" si="92"/>
        <v>41</v>
      </c>
      <c r="AR58" s="7"/>
      <c r="AS58" s="6"/>
      <c r="AT58" s="111"/>
      <c r="AV58" s="37"/>
      <c r="AW58" s="77"/>
      <c r="AX58" s="77"/>
      <c r="AY58" s="77"/>
    </row>
    <row r="59" spans="1:51" ht="24.6" customHeight="1">
      <c r="A59" s="80"/>
      <c r="B59" s="80"/>
      <c r="C59" s="80"/>
      <c r="D59" s="80"/>
      <c r="H59" s="80"/>
      <c r="I59" s="112"/>
      <c r="J59" s="113"/>
      <c r="L59" s="113">
        <f>41-L54-L55-L56-24</f>
        <v>0</v>
      </c>
      <c r="M59" s="113">
        <f>41-M54-M55-M56-24</f>
        <v>0</v>
      </c>
      <c r="N59" s="113">
        <f>41-N54-N55-N56-24</f>
        <v>0</v>
      </c>
      <c r="O59" s="113">
        <f>41-O54-O55-O56-19</f>
        <v>0</v>
      </c>
      <c r="P59" s="113">
        <f>41-P54-P55-P56-19</f>
        <v>0</v>
      </c>
      <c r="Q59" s="113">
        <f>41-Q54-Q55-Q56-24</f>
        <v>0</v>
      </c>
      <c r="R59" s="113">
        <f t="shared" ref="R59:U59" si="93">41-R54-R55-R56-24</f>
        <v>0</v>
      </c>
      <c r="S59" s="113">
        <f t="shared" si="93"/>
        <v>0</v>
      </c>
      <c r="T59" s="113">
        <f t="shared" si="93"/>
        <v>0</v>
      </c>
      <c r="U59" s="113">
        <f t="shared" si="93"/>
        <v>17</v>
      </c>
      <c r="V59" s="113">
        <f>41-V54-V55-V56-19</f>
        <v>0</v>
      </c>
      <c r="W59" s="113">
        <f>41-W54-W55-W56-19</f>
        <v>0</v>
      </c>
      <c r="X59" s="113">
        <f>41-X54-X55-X56-24</f>
        <v>0</v>
      </c>
      <c r="Y59" s="113">
        <f t="shared" ref="Y59:AB59" si="94">41-Y54-Y55-Y56-24</f>
        <v>0</v>
      </c>
      <c r="Z59" s="113">
        <f t="shared" si="94"/>
        <v>0</v>
      </c>
      <c r="AA59" s="113">
        <f t="shared" si="94"/>
        <v>0</v>
      </c>
      <c r="AB59" s="113">
        <f t="shared" si="94"/>
        <v>0</v>
      </c>
      <c r="AC59" s="113">
        <f>41-AC54-AC55-AC56-19</f>
        <v>0</v>
      </c>
      <c r="AD59" s="113">
        <f>41-AD54-AD55-AD56-19</f>
        <v>0</v>
      </c>
      <c r="AE59" s="113">
        <f>41-AE54-AE55-AE56-24</f>
        <v>0</v>
      </c>
      <c r="AF59" s="113">
        <f t="shared" ref="AF59:AI59" si="95">41-AF54-AF55-AF56-24</f>
        <v>0</v>
      </c>
      <c r="AG59" s="113">
        <f t="shared" si="95"/>
        <v>0</v>
      </c>
      <c r="AH59" s="113">
        <f t="shared" si="95"/>
        <v>0</v>
      </c>
      <c r="AI59" s="113">
        <f t="shared" si="95"/>
        <v>0</v>
      </c>
      <c r="AJ59" s="113">
        <f>41-AJ54-AJ55-AJ56-19</f>
        <v>0</v>
      </c>
      <c r="AK59" s="113">
        <f>41-AK54-AK55-AK56-19</f>
        <v>0</v>
      </c>
      <c r="AL59" s="113">
        <f>41-AL54-AL55-AL56-24</f>
        <v>0</v>
      </c>
      <c r="AM59" s="113">
        <f t="shared" ref="AM59:AP59" si="96">41-AM54-AM55-AM56-24</f>
        <v>0</v>
      </c>
      <c r="AN59" s="113">
        <f t="shared" si="96"/>
        <v>0</v>
      </c>
      <c r="AO59" s="113">
        <f t="shared" si="96"/>
        <v>0</v>
      </c>
      <c r="AP59" s="113">
        <f t="shared" si="96"/>
        <v>0</v>
      </c>
    </row>
    <row r="60" spans="1:51" ht="24.6" customHeight="1">
      <c r="A60" s="80"/>
      <c r="B60" s="80"/>
      <c r="C60" s="80"/>
      <c r="D60" s="80"/>
      <c r="J60" s="80"/>
      <c r="K60" s="112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  <c r="AQ60" s="7"/>
    </row>
    <row r="61" spans="1:51" ht="24.6" customHeight="1" thickBot="1">
      <c r="A61" s="80"/>
      <c r="B61" s="80"/>
      <c r="C61" s="80"/>
      <c r="D61" s="80"/>
      <c r="J61" s="80"/>
      <c r="K61" s="112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113"/>
      <c r="AO61" s="113"/>
      <c r="AP61" s="113"/>
    </row>
    <row r="62" spans="1:51" ht="24.6" customHeight="1" thickBot="1">
      <c r="A62" s="80"/>
      <c r="B62" s="80"/>
      <c r="C62" s="80"/>
      <c r="D62" s="80"/>
      <c r="J62" s="80"/>
      <c r="K62" s="228" t="s">
        <v>47</v>
      </c>
      <c r="L62" s="350" cm="1">
        <f t="array" ref="L62">SUMPRODUCT(COUNTIF(L4:L18,{"1";"M1"}))</f>
        <v>1</v>
      </c>
      <c r="M62" s="351" cm="1">
        <f t="array" ref="M62">SUMPRODUCT(COUNTIF(M4:M18,{"1";"M1"}))</f>
        <v>1</v>
      </c>
      <c r="N62" s="351" cm="1">
        <f t="array" ref="N62">SUMPRODUCT(COUNTIF(N4:N18,{"1";"M1"}))</f>
        <v>1</v>
      </c>
      <c r="O62" s="231" cm="1">
        <f t="array" ref="O62">SUMPRODUCT(COUNTIF(O4:O18,{"1";"M1"}))</f>
        <v>2</v>
      </c>
      <c r="P62" s="231" cm="1">
        <f t="array" ref="P62">SUMPRODUCT(COUNTIF(P4:P18,{"1";"M1"}))</f>
        <v>2</v>
      </c>
      <c r="Q62" s="351" cm="1">
        <f t="array" ref="Q62">SUMPRODUCT(COUNTIF(Q4:Q18,{"1";"M1"}))</f>
        <v>1</v>
      </c>
      <c r="R62" s="351" cm="1">
        <f t="array" ref="R62">SUMPRODUCT(COUNTIF(R4:R18,{"1";"M1"}))</f>
        <v>2</v>
      </c>
      <c r="S62" s="351" cm="1">
        <f t="array" ref="S62">SUMPRODUCT(COUNTIF(S4:S18,{"1";"M1"}))</f>
        <v>3</v>
      </c>
      <c r="T62" s="351" cm="1">
        <f t="array" ref="T62">SUMPRODUCT(COUNTIF(T4:T18,{"1";"M1"}))</f>
        <v>1</v>
      </c>
      <c r="U62" s="351" cm="1">
        <f t="array" ref="U62">SUMPRODUCT(COUNTIF(U4:U18,{"1";"M1"}))</f>
        <v>1</v>
      </c>
      <c r="V62" s="231" cm="1">
        <f t="array" ref="V62">SUMPRODUCT(COUNTIF(V4:V18,{"1";"M1"}))</f>
        <v>3</v>
      </c>
      <c r="W62" s="231" cm="1">
        <f t="array" ref="W62">SUMPRODUCT(COUNTIF(W4:W18,{"1";"M1"}))</f>
        <v>3</v>
      </c>
      <c r="X62" s="351" cm="1">
        <f t="array" ref="X62">SUMPRODUCT(COUNTIF(X4:X18,{"1";"M1"}))</f>
        <v>2</v>
      </c>
      <c r="Y62" s="351" cm="1">
        <f t="array" ref="Y62">SUMPRODUCT(COUNTIF(Y4:Y18,{"1";"M1"}))</f>
        <v>2</v>
      </c>
      <c r="Z62" s="351" cm="1">
        <f t="array" ref="Z62">SUMPRODUCT(COUNTIF(Z4:Z18,{"1";"M1"}))</f>
        <v>1</v>
      </c>
      <c r="AA62" s="351" cm="1">
        <f t="array" ref="AA62">SUMPRODUCT(COUNTIF(AA4:AA18,{"1";"M1"}))</f>
        <v>1</v>
      </c>
      <c r="AB62" s="351" cm="1">
        <f t="array" ref="AB62">SUMPRODUCT(COUNTIF(AB4:AB18,{"1";"M1"}))</f>
        <v>1</v>
      </c>
      <c r="AC62" s="231" cm="1">
        <f t="array" ref="AC62">SUMPRODUCT(COUNTIF(AC4:AC18,{"1";"M1"}))</f>
        <v>0</v>
      </c>
      <c r="AD62" s="231" cm="1">
        <f t="array" ref="AD62">SUMPRODUCT(COUNTIF(AD4:AD18,{"1";"M1"}))</f>
        <v>0</v>
      </c>
      <c r="AE62" s="351" cm="1">
        <f t="array" ref="AE62">SUMPRODUCT(COUNTIF(AE4:AE18,{"1";"M1"}))</f>
        <v>1</v>
      </c>
      <c r="AF62" s="351" cm="1">
        <f t="array" ref="AF62">SUMPRODUCT(COUNTIF(AF4:AF18,{"1";"M1"}))</f>
        <v>1</v>
      </c>
      <c r="AG62" s="351" cm="1">
        <f t="array" ref="AG62">SUMPRODUCT(COUNTIF(AG4:AG18,{"1";"M1"}))</f>
        <v>1</v>
      </c>
      <c r="AH62" s="351" cm="1">
        <f t="array" ref="AH62">SUMPRODUCT(COUNTIF(AH4:AH18,{"1";"M1"}))</f>
        <v>1</v>
      </c>
      <c r="AI62" s="351" cm="1">
        <f t="array" ref="AI62">SUMPRODUCT(COUNTIF(AI4:AI18,{"1";"M1"}))</f>
        <v>1</v>
      </c>
      <c r="AJ62" s="231" cm="1">
        <f t="array" ref="AJ62">SUMPRODUCT(COUNTIF(AJ4:AJ18,{"1";"M1"}))</f>
        <v>1</v>
      </c>
      <c r="AK62" s="231" cm="1">
        <f t="array" ref="AK62">SUMPRODUCT(COUNTIF(AK4:AK18,{"1";"M1"}))</f>
        <v>1</v>
      </c>
      <c r="AL62" s="351" cm="1">
        <f t="array" ref="AL62">SUMPRODUCT(COUNTIF(AL4:AL18,{"1";"M1"}))</f>
        <v>1</v>
      </c>
      <c r="AM62" s="351" cm="1">
        <f t="array" ref="AM62">SUMPRODUCT(COUNTIF(AM4:AM18,{"1";"M1"}))</f>
        <v>1</v>
      </c>
      <c r="AN62" s="351" cm="1">
        <f t="array" ref="AN62">SUMPRODUCT(COUNTIF(AN4:AN18,{"1";"M1"}))</f>
        <v>3</v>
      </c>
      <c r="AO62" s="351" cm="1">
        <f t="array" ref="AO62">SUMPRODUCT(COUNTIF(AO4:AO18,{"1";"M1"}))</f>
        <v>1</v>
      </c>
      <c r="AP62" s="352" cm="1">
        <f t="array" ref="AP62">SUMPRODUCT(COUNTIF(AP4:AP18,{"1";"M1"}))</f>
        <v>1</v>
      </c>
    </row>
    <row r="63" spans="1:51" ht="24.6" customHeight="1">
      <c r="A63" s="80"/>
      <c r="B63" s="80"/>
      <c r="C63" s="80"/>
      <c r="D63" s="80"/>
      <c r="J63" s="80"/>
      <c r="M63" s="116"/>
      <c r="N63" s="116"/>
      <c r="O63" s="116"/>
      <c r="R63" s="116"/>
    </row>
    <row r="115" spans="11:227" s="77" customFormat="1" ht="13.8"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7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</row>
  </sheetData>
  <autoFilter ref="AU3:AU57" xr:uid="{00000000-0009-0000-0000-000006000000}"/>
  <mergeCells count="12">
    <mergeCell ref="A2:A3"/>
    <mergeCell ref="B2:B3"/>
    <mergeCell ref="C2:C3"/>
    <mergeCell ref="D2:D3"/>
    <mergeCell ref="E2:E3"/>
    <mergeCell ref="F2:F3"/>
    <mergeCell ref="AW2:AY2"/>
    <mergeCell ref="L1:AI1"/>
    <mergeCell ref="AJ1:AL1"/>
    <mergeCell ref="AM1:AO1"/>
    <mergeCell ref="J2:J3"/>
    <mergeCell ref="K2:K3"/>
  </mergeCells>
  <conditionalFormatting sqref="L4:T38 V4:AP38 L39:AP40 L41:T41 V41:AP41 L42:AP44">
    <cfRule type="expression" dxfId="198" priority="15">
      <formula>"OR(K4=""T中"", K4=""中"", K4=2, K4=""小夜"")"</formula>
    </cfRule>
    <cfRule type="expression" dxfId="197" priority="16">
      <formula>OR(L4="T早", L4="早", L4="M1", L4=1, L4="日")</formula>
    </cfRule>
    <cfRule type="expression" dxfId="196" priority="13">
      <formula>OR(     SUM(COUNTIF(L4:R4, 上班代號)) &gt; 6,     AND(COLUMN()&gt;11, OR(         AND(SUM(COUNTIF(OFFSET(L4,0,-1), 中班組)), SUM(COUNTIF(L4, 早班組), COUNTIF(L4, 晚班組))),         AND(SUM(COUNTIF(OFFSET(L4,0,-1), 早班組)), SUM(COUNTIF(L4, 晚班組)))     )) )</formula>
    </cfRule>
    <cfRule type="expression" dxfId="195" priority="14">
      <formula>OR(L4="晚", L4=3, L4="大夜")</formula>
    </cfRule>
  </conditionalFormatting>
  <conditionalFormatting sqref="L45:AP53">
    <cfRule type="cellIs" dxfId="194" priority="1246" operator="equal">
      <formula>3</formula>
    </cfRule>
    <cfRule type="cellIs" dxfId="193" priority="1244" operator="equal">
      <formula>5</formula>
    </cfRule>
    <cfRule type="cellIs" dxfId="192" priority="1245" operator="equal">
      <formula>4</formula>
    </cfRule>
    <cfRule type="cellIs" dxfId="191" priority="1248" operator="equal">
      <formula>1</formula>
    </cfRule>
    <cfRule type="cellIs" dxfId="190" priority="1247" operator="equal">
      <formula>2</formula>
    </cfRule>
  </conditionalFormatting>
  <conditionalFormatting sqref="L51:AP53">
    <cfRule type="cellIs" dxfId="189" priority="1249" operator="equal">
      <formula>"T中"</formula>
    </cfRule>
  </conditionalFormatting>
  <conditionalFormatting sqref="U4:U10 U12:U38">
    <cfRule type="expression" dxfId="188" priority="9">
      <formula>OR(     SUM(COUNTIF(U4:Z4, 上班代號)) &gt; 6,     AND(COLUMN()&gt;11, OR(         AND(SUM(COUNTIF(OFFSET(U4,0,-1), 中班組)), SUM(COUNTIF(U4, 早班組), COUNTIF(U4, 晚班組))),         AND(SUM(COUNTIF(OFFSET(U4,0,-1), 早班組)), SUM(COUNTIF(U4, 晚班組)))     )) )</formula>
    </cfRule>
    <cfRule type="expression" dxfId="187" priority="10">
      <formula>OR(U4="晚", U4=3, U4="大夜")</formula>
    </cfRule>
    <cfRule type="expression" dxfId="186" priority="11">
      <formula>"OR(K4=""T中"", K4=""中"", K4=2, K4=""小夜"")"</formula>
    </cfRule>
    <cfRule type="expression" dxfId="185" priority="12">
      <formula>OR(U4="T早", U4="早", U4="M1", U4=1, U4="日")</formula>
    </cfRule>
  </conditionalFormatting>
  <conditionalFormatting sqref="U11">
    <cfRule type="expression" dxfId="184" priority="2">
      <formula>OR(U11="晚", U11=3, U11="大夜")</formula>
    </cfRule>
    <cfRule type="expression" dxfId="183" priority="3">
      <formula>"OR(K4=""T中"", K4=""中"", K4=2, K4=""小夜"")"</formula>
    </cfRule>
    <cfRule type="expression" dxfId="182" priority="4">
      <formula>OR(U11="T早", U11="早", U11="M1", U11=1, U11="日")</formula>
    </cfRule>
    <cfRule type="expression" dxfId="181" priority="1">
      <formula>OR(     SUM(COUNTIF(U11:AA11, 上班代號)) &gt; 6,     AND(COLUMN()&gt;11, OR(         AND(SUM(COUNTIF(OFFSET(U11,0,-1), 中班組)), SUM(COUNTIF(U11, 早班組), COUNTIF(U11, 晚班組))),         AND(SUM(COUNTIF(OFFSET(U11,0,-1), 早班組)), SUM(COUNTIF(U11, 晚班組)))     )) )</formula>
    </cfRule>
  </conditionalFormatting>
  <conditionalFormatting sqref="U41">
    <cfRule type="expression" dxfId="180" priority="5">
      <formula>OR(     SUM(COUNTIF(U41:Z41, 上班代號)) &gt; 6,     AND(COLUMN()&gt;11, OR(         AND(SUM(COUNTIF(OFFSET(U41,0,-1), 中班組)), SUM(COUNTIF(U41, 早班組), COUNTIF(U41, 晚班組))),         AND(SUM(COUNTIF(OFFSET(U41,0,-1), 早班組)), SUM(COUNTIF(U41, 晚班組)))     )) )</formula>
    </cfRule>
    <cfRule type="expression" dxfId="179" priority="8">
      <formula>OR(U41="T早", U41="早", U41="M1", U41=1, U41="日")</formula>
    </cfRule>
    <cfRule type="expression" dxfId="178" priority="7">
      <formula>"OR(K4=""T中"", K4=""中"", K4=2, K4=""小夜"")"</formula>
    </cfRule>
    <cfRule type="expression" dxfId="177" priority="6">
      <formula>OR(U41="晚", U41=3, U41="大夜")</formula>
    </cfRule>
  </conditionalFormatting>
  <conditionalFormatting sqref="AQ24">
    <cfRule type="cellIs" dxfId="176" priority="1252" operator="equal">
      <formula>"大夜"</formula>
    </cfRule>
    <cfRule type="cellIs" dxfId="175" priority="1253" operator="equal">
      <formula>"晚"</formula>
    </cfRule>
    <cfRule type="cellIs" dxfId="174" priority="1254" operator="equal">
      <formula>3</formula>
    </cfRule>
    <cfRule type="cellIs" dxfId="173" priority="1255" operator="equal">
      <formula>"小夜"</formula>
    </cfRule>
    <cfRule type="cellIs" dxfId="172" priority="1256" operator="equal">
      <formula>"T中"</formula>
    </cfRule>
    <cfRule type="cellIs" dxfId="171" priority="1257" operator="equal">
      <formula>"中"</formula>
    </cfRule>
    <cfRule type="cellIs" dxfId="170" priority="1258" operator="equal">
      <formula>"M2"</formula>
    </cfRule>
    <cfRule type="cellIs" dxfId="169" priority="1259" operator="equal">
      <formula>2</formula>
    </cfRule>
    <cfRule type="cellIs" dxfId="168" priority="1260" operator="equal">
      <formula>"日"</formula>
    </cfRule>
    <cfRule type="cellIs" dxfId="167" priority="1261" operator="equal">
      <formula>"T早"</formula>
    </cfRule>
    <cfRule type="cellIs" dxfId="166" priority="1262" operator="equal">
      <formula>"早"</formula>
    </cfRule>
    <cfRule type="cellIs" dxfId="165" priority="1263" operator="equal">
      <formula>"M1"</formula>
    </cfRule>
    <cfRule type="cellIs" dxfId="164" priority="1264" operator="equal">
      <formula>1</formula>
    </cfRule>
  </conditionalFormatting>
  <conditionalFormatting sqref="AT4:AT44">
    <cfRule type="cellIs" dxfId="163" priority="1250" operator="equal">
      <formula>-2</formula>
    </cfRule>
    <cfRule type="cellIs" dxfId="162" priority="1251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0795A-D0C5-4A98-8DDA-7DC23E30EE21}">
  <sheetPr>
    <pageSetUpPr fitToPage="1"/>
  </sheetPr>
  <dimension ref="A1:HR186"/>
  <sheetViews>
    <sheetView zoomScale="70" zoomScaleNormal="7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K31" sqref="K31"/>
    </sheetView>
  </sheetViews>
  <sheetFormatPr defaultColWidth="9" defaultRowHeight="24.6" customHeight="1"/>
  <cols>
    <col min="1" max="9" width="4.109375" style="77" customWidth="1"/>
    <col min="10" max="10" width="23.109375" style="6" customWidth="1"/>
    <col min="11" max="38" width="6.109375" style="6" customWidth="1"/>
    <col min="39" max="39" width="6" style="6" customWidth="1"/>
    <col min="40" max="41" width="6.109375" style="6" customWidth="1"/>
    <col min="42" max="43" width="7.88671875" style="6" customWidth="1"/>
    <col min="44" max="44" width="7.88671875" style="7" customWidth="1"/>
    <col min="45" max="45" width="5.88671875" style="6" customWidth="1"/>
    <col min="46" max="233" width="9" style="6" customWidth="1"/>
    <col min="234" max="234" width="7.109375" style="6" customWidth="1"/>
    <col min="235" max="16384" width="9" style="6"/>
  </cols>
  <sheetData>
    <row r="1" spans="1:226" ht="24.6" customHeight="1" thickBot="1">
      <c r="A1" s="1"/>
      <c r="B1" s="2" t="s">
        <v>103</v>
      </c>
      <c r="C1" s="1"/>
      <c r="D1" s="1"/>
      <c r="E1" s="1"/>
      <c r="F1" s="1"/>
      <c r="G1" s="1"/>
      <c r="H1" s="1"/>
      <c r="I1" s="3">
        <v>10</v>
      </c>
      <c r="J1" s="4"/>
      <c r="K1" s="474" t="str">
        <f>"TPKC剩餘人力："&amp;AR57&amp;" / NK剩餘人力："&amp;AS57&amp;" /  N班人力："&amp;AR52</f>
        <v>TPKC剩餘人力：-1 / NK剩餘人力：0 /  N班人力：62</v>
      </c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6"/>
      <c r="AJ1" s="475"/>
      <c r="AK1" s="475"/>
      <c r="AL1" s="477"/>
      <c r="AM1" s="478"/>
      <c r="AN1" s="478"/>
      <c r="AO1" s="5"/>
      <c r="AR1" s="6"/>
      <c r="AS1" s="7"/>
    </row>
    <row r="2" spans="1:226" ht="23.25" customHeight="1" thickBot="1">
      <c r="A2" s="483">
        <v>1</v>
      </c>
      <c r="B2" s="485">
        <v>2</v>
      </c>
      <c r="C2" s="485">
        <v>3</v>
      </c>
      <c r="D2" s="487" t="s">
        <v>104</v>
      </c>
      <c r="E2" s="489" t="s">
        <v>105</v>
      </c>
      <c r="F2" s="8" t="s">
        <v>106</v>
      </c>
      <c r="G2" s="8" t="s">
        <v>107</v>
      </c>
      <c r="H2" s="8" t="s">
        <v>108</v>
      </c>
      <c r="I2" s="479" t="s">
        <v>109</v>
      </c>
      <c r="J2" s="493" t="s">
        <v>164</v>
      </c>
      <c r="K2" s="219" t="s">
        <v>117</v>
      </c>
      <c r="L2" s="14" t="s">
        <v>111</v>
      </c>
      <c r="M2" s="9" t="s">
        <v>112</v>
      </c>
      <c r="N2" s="9" t="s">
        <v>113</v>
      </c>
      <c r="O2" s="9" t="s">
        <v>114</v>
      </c>
      <c r="P2" s="9" t="s">
        <v>115</v>
      </c>
      <c r="Q2" s="10" t="s">
        <v>116</v>
      </c>
      <c r="R2" s="11" t="s">
        <v>117</v>
      </c>
      <c r="S2" s="11" t="s">
        <v>111</v>
      </c>
      <c r="T2" s="12" t="s">
        <v>112</v>
      </c>
      <c r="U2" s="12" t="s">
        <v>113</v>
      </c>
      <c r="V2" s="12" t="s">
        <v>114</v>
      </c>
      <c r="W2" s="12" t="s">
        <v>115</v>
      </c>
      <c r="X2" s="13" t="s">
        <v>116</v>
      </c>
      <c r="Y2" s="14" t="s">
        <v>117</v>
      </c>
      <c r="Z2" s="14" t="s">
        <v>111</v>
      </c>
      <c r="AA2" s="9" t="s">
        <v>112</v>
      </c>
      <c r="AB2" s="9" t="s">
        <v>113</v>
      </c>
      <c r="AC2" s="9" t="s">
        <v>114</v>
      </c>
      <c r="AD2" s="9" t="s">
        <v>115</v>
      </c>
      <c r="AE2" s="10" t="s">
        <v>116</v>
      </c>
      <c r="AF2" s="11" t="s">
        <v>117</v>
      </c>
      <c r="AG2" s="11" t="s">
        <v>111</v>
      </c>
      <c r="AH2" s="12" t="s">
        <v>112</v>
      </c>
      <c r="AI2" s="12" t="s">
        <v>113</v>
      </c>
      <c r="AJ2" s="12" t="s">
        <v>114</v>
      </c>
      <c r="AK2" s="12" t="s">
        <v>115</v>
      </c>
      <c r="AL2" s="13" t="s">
        <v>116</v>
      </c>
      <c r="AM2" s="14" t="s">
        <v>117</v>
      </c>
      <c r="AN2" s="14" t="s">
        <v>111</v>
      </c>
      <c r="AO2" s="225" t="s">
        <v>112</v>
      </c>
      <c r="AR2" s="6"/>
      <c r="AW2" s="471" t="s">
        <v>48</v>
      </c>
      <c r="AX2" s="472"/>
      <c r="AY2" s="473"/>
    </row>
    <row r="3" spans="1:226" ht="24.6" customHeight="1" thickBot="1">
      <c r="A3" s="484"/>
      <c r="B3" s="486"/>
      <c r="C3" s="486"/>
      <c r="D3" s="488"/>
      <c r="E3" s="490"/>
      <c r="F3" s="15" t="s">
        <v>118</v>
      </c>
      <c r="G3" s="15" t="s">
        <v>119</v>
      </c>
      <c r="H3" s="16" t="s">
        <v>120</v>
      </c>
      <c r="I3" s="480"/>
      <c r="J3" s="494"/>
      <c r="K3" s="220">
        <v>1</v>
      </c>
      <c r="L3" s="221">
        <v>2</v>
      </c>
      <c r="M3" s="60">
        <v>3</v>
      </c>
      <c r="N3" s="63">
        <v>4</v>
      </c>
      <c r="O3" s="63">
        <v>5</v>
      </c>
      <c r="P3" s="63">
        <v>6</v>
      </c>
      <c r="Q3" s="63">
        <v>7</v>
      </c>
      <c r="R3" s="221">
        <v>8</v>
      </c>
      <c r="S3" s="221">
        <v>9</v>
      </c>
      <c r="T3" s="63">
        <v>10</v>
      </c>
      <c r="U3" s="63">
        <v>11</v>
      </c>
      <c r="V3" s="63">
        <v>12</v>
      </c>
      <c r="W3" s="63">
        <v>13</v>
      </c>
      <c r="X3" s="63">
        <v>14</v>
      </c>
      <c r="Y3" s="221">
        <v>15</v>
      </c>
      <c r="Z3" s="221">
        <v>16</v>
      </c>
      <c r="AA3" s="63">
        <v>17</v>
      </c>
      <c r="AB3" s="63">
        <v>18</v>
      </c>
      <c r="AC3" s="63">
        <v>19</v>
      </c>
      <c r="AD3" s="63">
        <v>20</v>
      </c>
      <c r="AE3" s="63">
        <v>21</v>
      </c>
      <c r="AF3" s="221">
        <v>22</v>
      </c>
      <c r="AG3" s="221">
        <v>23</v>
      </c>
      <c r="AH3" s="63">
        <v>24</v>
      </c>
      <c r="AI3" s="63">
        <v>25</v>
      </c>
      <c r="AJ3" s="63">
        <v>26</v>
      </c>
      <c r="AK3" s="63">
        <v>27</v>
      </c>
      <c r="AL3" s="63">
        <v>28</v>
      </c>
      <c r="AM3" s="221">
        <v>29</v>
      </c>
      <c r="AN3" s="221">
        <v>30</v>
      </c>
      <c r="AO3" s="127">
        <v>31</v>
      </c>
      <c r="AP3" s="19" t="s">
        <v>121</v>
      </c>
      <c r="AQ3" s="19" t="s">
        <v>122</v>
      </c>
      <c r="AR3" s="20" t="s">
        <v>123</v>
      </c>
      <c r="AS3" s="21" t="s">
        <v>109</v>
      </c>
      <c r="AT3" s="22" t="s">
        <v>124</v>
      </c>
      <c r="AW3" s="117" t="s">
        <v>49</v>
      </c>
      <c r="AX3" s="117" t="s">
        <v>50</v>
      </c>
      <c r="AY3" s="117" t="s">
        <v>51</v>
      </c>
    </row>
    <row r="4" spans="1:226" ht="25.5" customHeight="1">
      <c r="A4" s="23">
        <f>COUNTIF(K4:AO4,1)+COUNTIF(K4:AO4,"早")+COUNTIF(K4:AO4,"M1")+COUNTIF(K4:AO4,"T早")+COUNTIF(K4:AO4,"日")</f>
        <v>2</v>
      </c>
      <c r="B4" s="24">
        <f>COUNTIF(K4:AO4,2)+COUNTIF(K4:AO4,"中")+COUNTIF(K4:AO4,"M2")+COUNTIF(K4:AO4,"T中")+COUNTIF(K4:AO4,"小夜")</f>
        <v>0</v>
      </c>
      <c r="C4" s="25">
        <f>COUNTIF(K4:AO4,3)+COUNTIF(K4:AO4,"晚")+COUNTIF(K4:AO4,"大夜")</f>
        <v>18</v>
      </c>
      <c r="D4" s="24">
        <f>COUNTIF(K4:AO4,"N")+COUNTIF(K4:AO4,"N8")</f>
        <v>0</v>
      </c>
      <c r="E4" s="26">
        <f>COUNTIF(K4:AO4,"S")</f>
        <v>1</v>
      </c>
      <c r="F4" s="26">
        <f>COUNTIF(K4:AO4,"X")</f>
        <v>5</v>
      </c>
      <c r="G4" s="26">
        <f>COUNTIF(K4:AO4,"Y")</f>
        <v>5</v>
      </c>
      <c r="H4" s="26">
        <f>COUNTIF(K4:AO4,"Z")</f>
        <v>0</v>
      </c>
      <c r="I4" s="27">
        <f t="shared" ref="I4:I45" si="0">SUM(A4:H4)</f>
        <v>31</v>
      </c>
      <c r="J4" s="282" t="s">
        <v>152</v>
      </c>
      <c r="K4" s="389">
        <v>3</v>
      </c>
      <c r="L4" s="235" t="s">
        <v>0</v>
      </c>
      <c r="M4" s="390" t="s">
        <v>40</v>
      </c>
      <c r="N4" s="390" t="s">
        <v>40</v>
      </c>
      <c r="O4" s="390">
        <v>3</v>
      </c>
      <c r="P4" s="390">
        <v>3</v>
      </c>
      <c r="Q4" s="390">
        <v>3</v>
      </c>
      <c r="R4" s="235" t="s">
        <v>52</v>
      </c>
      <c r="S4" s="390">
        <v>3</v>
      </c>
      <c r="T4" s="390">
        <v>3</v>
      </c>
      <c r="U4" s="390">
        <v>3</v>
      </c>
      <c r="V4" s="390">
        <v>3</v>
      </c>
      <c r="W4" s="390">
        <v>3</v>
      </c>
      <c r="X4" s="254" t="s">
        <v>1</v>
      </c>
      <c r="Y4" s="233" t="s">
        <v>52</v>
      </c>
      <c r="Z4" s="233" t="s">
        <v>0</v>
      </c>
      <c r="AA4" s="390">
        <v>3</v>
      </c>
      <c r="AB4" s="390">
        <v>3</v>
      </c>
      <c r="AC4" s="390">
        <v>3</v>
      </c>
      <c r="AD4" s="390">
        <v>3</v>
      </c>
      <c r="AE4" s="235" t="s">
        <v>52</v>
      </c>
      <c r="AF4" s="235">
        <v>1</v>
      </c>
      <c r="AG4" s="235">
        <v>1</v>
      </c>
      <c r="AH4" s="235" t="s">
        <v>0</v>
      </c>
      <c r="AI4" s="390">
        <v>3</v>
      </c>
      <c r="AJ4" s="235" t="s">
        <v>40</v>
      </c>
      <c r="AK4" s="235" t="s">
        <v>52</v>
      </c>
      <c r="AL4" s="235">
        <v>3</v>
      </c>
      <c r="AM4" s="233" t="s">
        <v>52</v>
      </c>
      <c r="AN4" s="233" t="s">
        <v>0</v>
      </c>
      <c r="AO4" s="391" t="s">
        <v>0</v>
      </c>
      <c r="AP4" s="35">
        <v>0</v>
      </c>
      <c r="AQ4" s="36">
        <f t="shared" ref="AQ4:AQ45" si="1">$F4+$G4+H4-$I$1</f>
        <v>0</v>
      </c>
      <c r="AR4" s="36">
        <v>0</v>
      </c>
      <c r="AS4" s="133">
        <f>SUM(AP4:AR4)</f>
        <v>0</v>
      </c>
      <c r="AT4" s="328" t="s">
        <v>126</v>
      </c>
      <c r="AW4" s="6" cm="1">
        <f t="array" ref="AW4">SUMPRODUCT(COUNTIF(K4:L4,{"X";"Y";"Z";"S"}))+SUMPRODUCT(COUNTIF(R4:S4,{"X";"Y";"Z";"S"}))+SUMPRODUCT(COUNTIF(Y4:Z4,{"X";"Y";"Z";"S"}))+SUMPRODUCT(COUNTIF(AF4:AG4,{"X";"Y";"Z";"S"}))+SUMPRODUCT(COUNTIF(AM4:AN4,{"X";"Y";"Z";"S"}))-5</f>
        <v>1</v>
      </c>
      <c r="AX4" s="6">
        <v>5</v>
      </c>
      <c r="AY4" s="6">
        <f>AW4+AX4</f>
        <v>6</v>
      </c>
    </row>
    <row r="5" spans="1:226" ht="25.5" customHeight="1">
      <c r="A5" s="38">
        <f t="shared" ref="A5" si="2">COUNTIF(K5:AO5,1)+COUNTIF(K5:AO5,"早")+COUNTIF(K5:AO5,"M1")+COUNTIF(K5:AO5,"T早")+COUNTIF(K5:AO5,"日")</f>
        <v>2</v>
      </c>
      <c r="B5" s="39">
        <f t="shared" ref="B5" si="3">COUNTIF(K5:AO5,2)+COUNTIF(K5:AO5,"中")+COUNTIF(K5:AO5,"M2")+COUNTIF(K5:AO5,"T中")+COUNTIF(K5:AO5,"小夜")</f>
        <v>9</v>
      </c>
      <c r="C5" s="40">
        <f t="shared" ref="C5" si="4">COUNTIF(K5:AO5,3)+COUNTIF(K5:AO5,"晚")+COUNTIF(K5:AO5,"大夜")</f>
        <v>9</v>
      </c>
      <c r="D5" s="39">
        <f t="shared" ref="D5" si="5">COUNTIF(K5:AO5,"N")+COUNTIF(K5:AO5,"N8")</f>
        <v>0</v>
      </c>
      <c r="E5" s="41">
        <f t="shared" ref="E5" si="6">COUNTIF(K5:AO5,"S")</f>
        <v>1</v>
      </c>
      <c r="F5" s="41">
        <f t="shared" ref="F5" si="7">COUNTIF(K5:AO5,"X")</f>
        <v>5</v>
      </c>
      <c r="G5" s="41">
        <f t="shared" ref="G5" si="8">COUNTIF(K5:AO5,"Y")</f>
        <v>5</v>
      </c>
      <c r="H5" s="41">
        <f t="shared" ref="H5" si="9">COUNTIF(K5:AO5,"Z")</f>
        <v>0</v>
      </c>
      <c r="I5" s="42">
        <f t="shared" si="0"/>
        <v>31</v>
      </c>
      <c r="J5" s="208" t="s">
        <v>2</v>
      </c>
      <c r="K5" s="237" t="s">
        <v>52</v>
      </c>
      <c r="L5" s="239" t="s">
        <v>0</v>
      </c>
      <c r="M5" s="234" t="s">
        <v>0</v>
      </c>
      <c r="N5" s="259">
        <v>2</v>
      </c>
      <c r="O5" s="259">
        <v>2</v>
      </c>
      <c r="P5" s="259">
        <v>2</v>
      </c>
      <c r="Q5" s="259">
        <v>2</v>
      </c>
      <c r="R5" s="259">
        <v>2</v>
      </c>
      <c r="S5" s="259">
        <v>2</v>
      </c>
      <c r="T5" s="238" t="s">
        <v>52</v>
      </c>
      <c r="U5" s="238" t="s">
        <v>38</v>
      </c>
      <c r="V5" s="238" t="s">
        <v>38</v>
      </c>
      <c r="W5" s="238" t="s">
        <v>38</v>
      </c>
      <c r="X5" s="234" t="s">
        <v>0</v>
      </c>
      <c r="Y5" s="239" t="s">
        <v>52</v>
      </c>
      <c r="Z5" s="239" t="s">
        <v>0</v>
      </c>
      <c r="AA5" s="234" t="s">
        <v>1</v>
      </c>
      <c r="AB5" s="238" t="s">
        <v>36</v>
      </c>
      <c r="AC5" s="238" t="s">
        <v>36</v>
      </c>
      <c r="AD5" s="238" t="s">
        <v>52</v>
      </c>
      <c r="AE5" s="259">
        <v>3</v>
      </c>
      <c r="AF5" s="259">
        <v>3</v>
      </c>
      <c r="AG5" s="259">
        <v>3</v>
      </c>
      <c r="AH5" s="259">
        <v>3</v>
      </c>
      <c r="AI5" s="238" t="s">
        <v>52</v>
      </c>
      <c r="AJ5" s="259">
        <v>3</v>
      </c>
      <c r="AK5" s="259">
        <v>3</v>
      </c>
      <c r="AL5" s="392">
        <v>3</v>
      </c>
      <c r="AM5" s="259">
        <v>3</v>
      </c>
      <c r="AN5" s="259">
        <v>3</v>
      </c>
      <c r="AO5" s="261" t="s">
        <v>0</v>
      </c>
      <c r="AP5" s="45">
        <v>0</v>
      </c>
      <c r="AQ5" s="46">
        <f t="shared" si="1"/>
        <v>0</v>
      </c>
      <c r="AR5" s="46">
        <v>0</v>
      </c>
      <c r="AS5" s="134">
        <f t="shared" ref="AS5:AS16" si="10">SUM(AP5:AR5)</f>
        <v>0</v>
      </c>
      <c r="AT5" s="329" t="s">
        <v>128</v>
      </c>
    </row>
    <row r="6" spans="1:226" ht="25.5" customHeight="1">
      <c r="A6" s="38">
        <f t="shared" ref="A6:A16" si="11">COUNTIF(K6:AO6,1)+COUNTIF(K6:AO6,"早")+COUNTIF(K6:AO6,"M1")+COUNTIF(K6:AO6,"T早")+COUNTIF(K6:AO6,"日")</f>
        <v>10</v>
      </c>
      <c r="B6" s="39">
        <f t="shared" ref="B6:B16" si="12">COUNTIF(K6:AO6,2)+COUNTIF(K6:AO6,"中")+COUNTIF(K6:AO6,"M2")+COUNTIF(K6:AO6,"T中")+COUNTIF(K6:AO6,"小夜")</f>
        <v>0</v>
      </c>
      <c r="C6" s="40">
        <f t="shared" ref="C6:C16" si="13">COUNTIF(K6:AO6,3)+COUNTIF(K6:AO6,"晚")+COUNTIF(K6:AO6,"大夜")</f>
        <v>0</v>
      </c>
      <c r="D6" s="39">
        <f t="shared" ref="D6:D16" si="14">COUNTIF(K6:AO6,"N")+COUNTIF(K6:AO6,"N8")</f>
        <v>6</v>
      </c>
      <c r="E6" s="41">
        <f t="shared" ref="E6:E16" si="15">COUNTIF(K6:AO6,"S")</f>
        <v>5</v>
      </c>
      <c r="F6" s="41">
        <f t="shared" ref="F6:F16" si="16">COUNTIF(K6:AO6,"X")</f>
        <v>5</v>
      </c>
      <c r="G6" s="41">
        <f t="shared" ref="G6:G16" si="17">COUNTIF(K6:AO6,"Y")</f>
        <v>5</v>
      </c>
      <c r="H6" s="41">
        <f t="shared" ref="H6:H16" si="18">COUNTIF(K6:AO6,"Z")</f>
        <v>0</v>
      </c>
      <c r="I6" s="42">
        <f t="shared" ref="I6:I16" si="19">SUM(A6:H6)</f>
        <v>31</v>
      </c>
      <c r="J6" s="209" t="s">
        <v>129</v>
      </c>
      <c r="K6" s="237" t="s">
        <v>52</v>
      </c>
      <c r="L6" s="239" t="s">
        <v>0</v>
      </c>
      <c r="M6" s="242" t="s">
        <v>3</v>
      </c>
      <c r="N6" s="242" t="s">
        <v>3</v>
      </c>
      <c r="O6" s="242" t="s">
        <v>3</v>
      </c>
      <c r="P6" s="238" t="s">
        <v>0</v>
      </c>
      <c r="Q6" s="259">
        <v>1</v>
      </c>
      <c r="R6" s="259">
        <v>1</v>
      </c>
      <c r="S6" s="238" t="s">
        <v>52</v>
      </c>
      <c r="T6" s="238" t="s">
        <v>36</v>
      </c>
      <c r="U6" s="238" t="s">
        <v>36</v>
      </c>
      <c r="V6" s="259">
        <v>1</v>
      </c>
      <c r="W6" s="259">
        <v>1</v>
      </c>
      <c r="X6" s="259">
        <v>1</v>
      </c>
      <c r="Y6" s="239" t="s">
        <v>52</v>
      </c>
      <c r="Z6" s="239" t="s">
        <v>0</v>
      </c>
      <c r="AA6" s="242" t="s">
        <v>3</v>
      </c>
      <c r="AB6" s="238" t="s">
        <v>3</v>
      </c>
      <c r="AC6" s="238" t="s">
        <v>36</v>
      </c>
      <c r="AD6" s="238" t="s">
        <v>3</v>
      </c>
      <c r="AE6" s="234" t="s">
        <v>0</v>
      </c>
      <c r="AF6" s="239" t="s">
        <v>52</v>
      </c>
      <c r="AG6" s="234" t="s">
        <v>1</v>
      </c>
      <c r="AH6" s="234" t="s">
        <v>1</v>
      </c>
      <c r="AI6" s="234" t="s">
        <v>1</v>
      </c>
      <c r="AJ6" s="234" t="s">
        <v>1</v>
      </c>
      <c r="AK6" s="234" t="s">
        <v>1</v>
      </c>
      <c r="AL6" s="239" t="s">
        <v>0</v>
      </c>
      <c r="AM6" s="238" t="s">
        <v>52</v>
      </c>
      <c r="AN6" s="238" t="s">
        <v>36</v>
      </c>
      <c r="AO6" s="241" t="s">
        <v>36</v>
      </c>
      <c r="AP6" s="45">
        <v>0</v>
      </c>
      <c r="AQ6" s="46">
        <f t="shared" si="1"/>
        <v>0</v>
      </c>
      <c r="AR6" s="46">
        <v>0</v>
      </c>
      <c r="AS6" s="134">
        <f t="shared" si="10"/>
        <v>0</v>
      </c>
      <c r="AT6" s="329" t="s">
        <v>128</v>
      </c>
      <c r="AW6" s="6" cm="1">
        <f t="array" ref="AW6">SUMPRODUCT(COUNTIF(K6:L6,{"X";"Y";"Z";"S"}))+SUMPRODUCT(COUNTIF(R6:S6,{"X";"Y";"Z";"S"}))+SUMPRODUCT(COUNTIF(Y6:Z6,{"X";"Y";"Z";"S"}))+SUMPRODUCT(COUNTIF(AF6:AG6,{"X";"Y";"Z";"S"}))+SUMPRODUCT(COUNTIF(AM6:AN6,{"X";"Y";"Z";"S"}))-5</f>
        <v>3</v>
      </c>
      <c r="AX6" s="6">
        <v>1</v>
      </c>
      <c r="AY6" s="6">
        <f t="shared" ref="AY6:AY7" si="20">AW6+AX6</f>
        <v>4</v>
      </c>
    </row>
    <row r="7" spans="1:226" ht="25.2" customHeight="1">
      <c r="A7" s="38">
        <f t="shared" si="11"/>
        <v>19</v>
      </c>
      <c r="B7" s="39">
        <f t="shared" si="12"/>
        <v>0</v>
      </c>
      <c r="C7" s="40">
        <f t="shared" si="13"/>
        <v>0</v>
      </c>
      <c r="D7" s="39">
        <f t="shared" si="14"/>
        <v>1</v>
      </c>
      <c r="E7" s="41">
        <f t="shared" si="15"/>
        <v>1</v>
      </c>
      <c r="F7" s="41">
        <f t="shared" si="16"/>
        <v>5</v>
      </c>
      <c r="G7" s="41">
        <f t="shared" si="17"/>
        <v>5</v>
      </c>
      <c r="H7" s="41">
        <f t="shared" si="18"/>
        <v>0</v>
      </c>
      <c r="I7" s="42">
        <f t="shared" si="19"/>
        <v>31</v>
      </c>
      <c r="J7" s="209" t="s">
        <v>130</v>
      </c>
      <c r="K7" s="237" t="s">
        <v>52</v>
      </c>
      <c r="L7" s="239" t="s">
        <v>0</v>
      </c>
      <c r="M7" s="238" t="s">
        <v>36</v>
      </c>
      <c r="N7" s="238" t="s">
        <v>36</v>
      </c>
      <c r="O7" s="238" t="s">
        <v>36</v>
      </c>
      <c r="P7" s="238" t="s">
        <v>0</v>
      </c>
      <c r="Q7" s="259" t="s">
        <v>36</v>
      </c>
      <c r="R7" s="238" t="s">
        <v>36</v>
      </c>
      <c r="S7" s="238" t="s">
        <v>36</v>
      </c>
      <c r="T7" s="238" t="s">
        <v>52</v>
      </c>
      <c r="U7" s="238">
        <v>1</v>
      </c>
      <c r="V7" s="259" t="s">
        <v>36</v>
      </c>
      <c r="W7" s="259" t="s">
        <v>36</v>
      </c>
      <c r="X7" s="238" t="s">
        <v>36</v>
      </c>
      <c r="Y7" s="239" t="s">
        <v>52</v>
      </c>
      <c r="Z7" s="239" t="s">
        <v>0</v>
      </c>
      <c r="AA7" s="259">
        <v>1</v>
      </c>
      <c r="AB7" s="242" t="s">
        <v>3</v>
      </c>
      <c r="AC7" s="238">
        <v>1</v>
      </c>
      <c r="AD7" s="238" t="s">
        <v>0</v>
      </c>
      <c r="AE7" s="259" t="s">
        <v>36</v>
      </c>
      <c r="AF7" s="238" t="s">
        <v>36</v>
      </c>
      <c r="AG7" s="238" t="s">
        <v>36</v>
      </c>
      <c r="AH7" s="234" t="s">
        <v>52</v>
      </c>
      <c r="AI7" s="238" t="s">
        <v>36</v>
      </c>
      <c r="AJ7" s="238" t="s">
        <v>36</v>
      </c>
      <c r="AK7" s="238" t="s">
        <v>36</v>
      </c>
      <c r="AL7" s="259">
        <v>1</v>
      </c>
      <c r="AM7" s="239" t="s">
        <v>52</v>
      </c>
      <c r="AN7" s="234" t="s">
        <v>1</v>
      </c>
      <c r="AO7" s="397" t="s">
        <v>0</v>
      </c>
      <c r="AP7" s="45">
        <v>0</v>
      </c>
      <c r="AQ7" s="46">
        <f t="shared" si="1"/>
        <v>0</v>
      </c>
      <c r="AR7" s="46">
        <v>0</v>
      </c>
      <c r="AS7" s="134">
        <f t="shared" si="10"/>
        <v>0</v>
      </c>
      <c r="AT7" s="329" t="s">
        <v>128</v>
      </c>
      <c r="AW7" s="6" cm="1">
        <f t="array" ref="AW7">SUMPRODUCT(COUNTIF(K7:L7,{"X";"Y";"Z";"S"}))+SUMPRODUCT(COUNTIF(R7:S7,{"X";"Y";"Z";"S"}))+SUMPRODUCT(COUNTIF(Y7:Z7,{"X";"Y";"Z";"S"}))+SUMPRODUCT(COUNTIF(AF7:AG7,{"X";"Y";"Z";"S"}))+SUMPRODUCT(COUNTIF(AM7:AN7,{"X";"Y";"Z";"S"}))-5</f>
        <v>1</v>
      </c>
      <c r="AX7" s="6">
        <v>2</v>
      </c>
      <c r="AY7" s="6">
        <f t="shared" si="20"/>
        <v>3</v>
      </c>
    </row>
    <row r="8" spans="1:226" ht="24" customHeight="1">
      <c r="A8" s="38">
        <f t="shared" si="11"/>
        <v>1</v>
      </c>
      <c r="B8" s="39">
        <f t="shared" si="12"/>
        <v>0</v>
      </c>
      <c r="C8" s="40">
        <f t="shared" si="13"/>
        <v>0</v>
      </c>
      <c r="D8" s="39">
        <f t="shared" si="14"/>
        <v>16</v>
      </c>
      <c r="E8" s="41">
        <f t="shared" si="15"/>
        <v>5</v>
      </c>
      <c r="F8" s="41">
        <f t="shared" si="16"/>
        <v>4</v>
      </c>
      <c r="G8" s="41">
        <f t="shared" si="17"/>
        <v>5</v>
      </c>
      <c r="H8" s="41">
        <f t="shared" si="18"/>
        <v>0</v>
      </c>
      <c r="I8" s="42">
        <f t="shared" si="19"/>
        <v>31</v>
      </c>
      <c r="J8" s="209" t="s">
        <v>132</v>
      </c>
      <c r="K8" s="237" t="s">
        <v>52</v>
      </c>
      <c r="L8" s="239" t="s">
        <v>0</v>
      </c>
      <c r="M8" s="238" t="s">
        <v>3</v>
      </c>
      <c r="N8" s="238" t="s">
        <v>3</v>
      </c>
      <c r="O8" s="238" t="s">
        <v>3</v>
      </c>
      <c r="P8" s="238" t="s">
        <v>3</v>
      </c>
      <c r="Q8" s="238" t="s">
        <v>3</v>
      </c>
      <c r="R8" s="239" t="s">
        <v>52</v>
      </c>
      <c r="S8" s="239" t="s">
        <v>0</v>
      </c>
      <c r="T8" s="234" t="s">
        <v>1</v>
      </c>
      <c r="U8" s="238" t="s">
        <v>3</v>
      </c>
      <c r="V8" s="238" t="s">
        <v>3</v>
      </c>
      <c r="W8" s="238" t="s">
        <v>3</v>
      </c>
      <c r="X8" s="234" t="s">
        <v>1</v>
      </c>
      <c r="Y8" s="239" t="s">
        <v>52</v>
      </c>
      <c r="Z8" s="239" t="s">
        <v>0</v>
      </c>
      <c r="AA8" s="238" t="s">
        <v>3</v>
      </c>
      <c r="AB8" s="238" t="s">
        <v>3</v>
      </c>
      <c r="AC8" s="238" t="s">
        <v>3</v>
      </c>
      <c r="AD8" s="238" t="s">
        <v>3</v>
      </c>
      <c r="AE8" s="259">
        <v>1</v>
      </c>
      <c r="AF8" s="239" t="s">
        <v>52</v>
      </c>
      <c r="AG8" s="239" t="s">
        <v>168</v>
      </c>
      <c r="AH8" s="238" t="s">
        <v>3</v>
      </c>
      <c r="AI8" s="238" t="s">
        <v>3</v>
      </c>
      <c r="AJ8" s="238" t="s">
        <v>3</v>
      </c>
      <c r="AK8" s="234" t="s">
        <v>1</v>
      </c>
      <c r="AL8" s="234" t="s">
        <v>1</v>
      </c>
      <c r="AM8" s="239" t="s">
        <v>52</v>
      </c>
      <c r="AN8" s="239" t="s">
        <v>0</v>
      </c>
      <c r="AO8" s="261" t="s">
        <v>1</v>
      </c>
      <c r="AP8" s="45">
        <v>0</v>
      </c>
      <c r="AQ8" s="46">
        <f t="shared" si="1"/>
        <v>-1</v>
      </c>
      <c r="AR8" s="46">
        <v>0</v>
      </c>
      <c r="AS8" s="134">
        <f t="shared" si="10"/>
        <v>-1</v>
      </c>
      <c r="AT8" s="329" t="s">
        <v>133</v>
      </c>
    </row>
    <row r="9" spans="1:226" s="50" customFormat="1" ht="24.75" customHeight="1">
      <c r="A9" s="38">
        <f t="shared" si="11"/>
        <v>14</v>
      </c>
      <c r="B9" s="39">
        <f t="shared" si="12"/>
        <v>3</v>
      </c>
      <c r="C9" s="40">
        <f t="shared" si="13"/>
        <v>0</v>
      </c>
      <c r="D9" s="39">
        <f t="shared" si="14"/>
        <v>1</v>
      </c>
      <c r="E9" s="41">
        <f t="shared" si="15"/>
        <v>2</v>
      </c>
      <c r="F9" s="41">
        <f t="shared" si="16"/>
        <v>5</v>
      </c>
      <c r="G9" s="41">
        <f t="shared" si="17"/>
        <v>6</v>
      </c>
      <c r="H9" s="41">
        <f t="shared" si="18"/>
        <v>0</v>
      </c>
      <c r="I9" s="42">
        <f t="shared" si="19"/>
        <v>31</v>
      </c>
      <c r="J9" s="209" t="s">
        <v>4</v>
      </c>
      <c r="K9" s="258">
        <v>2</v>
      </c>
      <c r="L9" s="259">
        <v>2</v>
      </c>
      <c r="M9" s="238" t="s">
        <v>52</v>
      </c>
      <c r="N9" s="242" t="s">
        <v>3</v>
      </c>
      <c r="O9" s="259">
        <v>1</v>
      </c>
      <c r="P9" s="238" t="s">
        <v>36</v>
      </c>
      <c r="Q9" s="234" t="s">
        <v>0</v>
      </c>
      <c r="R9" s="239" t="s">
        <v>52</v>
      </c>
      <c r="S9" s="239" t="s">
        <v>0</v>
      </c>
      <c r="T9" s="238" t="s">
        <v>36</v>
      </c>
      <c r="U9" s="238" t="s">
        <v>36</v>
      </c>
      <c r="V9" s="238" t="s">
        <v>36</v>
      </c>
      <c r="W9" s="234" t="s">
        <v>1</v>
      </c>
      <c r="X9" s="234" t="s">
        <v>52</v>
      </c>
      <c r="Y9" s="238">
        <v>2</v>
      </c>
      <c r="Z9" s="238" t="s">
        <v>52</v>
      </c>
      <c r="AA9" s="238" t="s">
        <v>36</v>
      </c>
      <c r="AB9" s="238" t="s">
        <v>36</v>
      </c>
      <c r="AC9" s="238" t="s">
        <v>36</v>
      </c>
      <c r="AD9" s="238" t="s">
        <v>36</v>
      </c>
      <c r="AE9" s="238" t="s">
        <v>36</v>
      </c>
      <c r="AF9" s="239" t="s">
        <v>52</v>
      </c>
      <c r="AG9" s="239" t="s">
        <v>0</v>
      </c>
      <c r="AH9" s="259">
        <v>1</v>
      </c>
      <c r="AI9" s="259">
        <v>1</v>
      </c>
      <c r="AJ9" s="259">
        <v>1</v>
      </c>
      <c r="AK9" s="238" t="s">
        <v>0</v>
      </c>
      <c r="AL9" s="234" t="s">
        <v>154</v>
      </c>
      <c r="AM9" s="239" t="s">
        <v>52</v>
      </c>
      <c r="AN9" s="239" t="s">
        <v>0</v>
      </c>
      <c r="AO9" s="241" t="s">
        <v>36</v>
      </c>
      <c r="AP9" s="45">
        <v>-1</v>
      </c>
      <c r="AQ9" s="46">
        <f t="shared" si="1"/>
        <v>1</v>
      </c>
      <c r="AR9" s="46">
        <v>0</v>
      </c>
      <c r="AS9" s="134">
        <f t="shared" si="10"/>
        <v>0</v>
      </c>
      <c r="AT9" s="329" t="s">
        <v>126</v>
      </c>
      <c r="AU9" s="6"/>
      <c r="AV9" s="6"/>
      <c r="AW9" s="6" cm="1">
        <f t="array" ref="AW9">SUMPRODUCT(COUNTIF(K9:L9,{"X";"Y";"Z";"S"}))+SUMPRODUCT(COUNTIF(R9:S9,{"X";"Y";"Z";"S"}))+SUMPRODUCT(COUNTIF(Y9:Z9,{"X";"Y";"Z";"S"}))+SUMPRODUCT(COUNTIF(AF9:AG9,{"X";"Y";"Z";"S"}))+SUMPRODUCT(COUNTIF(AM9:AN9,{"X";"Y";"Z";"S"}))-5</f>
        <v>2</v>
      </c>
      <c r="AX9" s="6">
        <v>5</v>
      </c>
      <c r="AY9" s="6">
        <f t="shared" ref="AY9:AY13" si="21">AW9+AX9</f>
        <v>7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1:226" s="50" customFormat="1" ht="29.25" customHeight="1">
      <c r="A10" s="38">
        <f t="shared" si="11"/>
        <v>9</v>
      </c>
      <c r="B10" s="39">
        <f t="shared" si="12"/>
        <v>1</v>
      </c>
      <c r="C10" s="40">
        <f t="shared" si="13"/>
        <v>0</v>
      </c>
      <c r="D10" s="39">
        <f t="shared" si="14"/>
        <v>1</v>
      </c>
      <c r="E10" s="41">
        <f t="shared" si="15"/>
        <v>9</v>
      </c>
      <c r="F10" s="41">
        <f t="shared" si="16"/>
        <v>5</v>
      </c>
      <c r="G10" s="41">
        <f t="shared" si="17"/>
        <v>6</v>
      </c>
      <c r="H10" s="41">
        <f t="shared" si="18"/>
        <v>0</v>
      </c>
      <c r="I10" s="42">
        <f t="shared" si="19"/>
        <v>31</v>
      </c>
      <c r="J10" s="210" t="s">
        <v>134</v>
      </c>
      <c r="K10" s="258">
        <v>1</v>
      </c>
      <c r="L10" s="259">
        <v>1</v>
      </c>
      <c r="M10" s="238">
        <v>1</v>
      </c>
      <c r="N10" s="238" t="s">
        <v>0</v>
      </c>
      <c r="O10" s="234" t="s">
        <v>1</v>
      </c>
      <c r="P10" s="234" t="s">
        <v>1</v>
      </c>
      <c r="Q10" s="234" t="s">
        <v>1</v>
      </c>
      <c r="R10" s="239" t="s">
        <v>52</v>
      </c>
      <c r="S10" s="239" t="s">
        <v>0</v>
      </c>
      <c r="T10" s="234" t="s">
        <v>1</v>
      </c>
      <c r="U10" s="234" t="s">
        <v>1</v>
      </c>
      <c r="V10" s="234" t="s">
        <v>1</v>
      </c>
      <c r="W10" s="234" t="s">
        <v>1</v>
      </c>
      <c r="X10" s="234" t="s">
        <v>1</v>
      </c>
      <c r="Y10" s="239" t="s">
        <v>52</v>
      </c>
      <c r="Z10" s="239" t="s">
        <v>0</v>
      </c>
      <c r="AA10" s="242" t="s">
        <v>3</v>
      </c>
      <c r="AB10" s="259" t="s">
        <v>36</v>
      </c>
      <c r="AC10" s="243">
        <v>2</v>
      </c>
      <c r="AD10" s="238" t="s">
        <v>52</v>
      </c>
      <c r="AE10" s="238" t="s">
        <v>36</v>
      </c>
      <c r="AF10" s="238" t="s">
        <v>36</v>
      </c>
      <c r="AG10" s="238" t="s">
        <v>36</v>
      </c>
      <c r="AH10" s="259" t="s">
        <v>36</v>
      </c>
      <c r="AI10" s="243" t="s">
        <v>52</v>
      </c>
      <c r="AJ10" s="234" t="s">
        <v>52</v>
      </c>
      <c r="AK10" s="234" t="s">
        <v>1</v>
      </c>
      <c r="AL10" s="234" t="s">
        <v>0</v>
      </c>
      <c r="AM10" s="239" t="s">
        <v>52</v>
      </c>
      <c r="AN10" s="239" t="s">
        <v>0</v>
      </c>
      <c r="AO10" s="260" t="s">
        <v>36</v>
      </c>
      <c r="AP10" s="45">
        <v>-1</v>
      </c>
      <c r="AQ10" s="46">
        <f t="shared" si="1"/>
        <v>1</v>
      </c>
      <c r="AR10" s="46">
        <v>0</v>
      </c>
      <c r="AS10" s="134">
        <f t="shared" si="10"/>
        <v>0</v>
      </c>
      <c r="AT10" s="329" t="s">
        <v>128</v>
      </c>
      <c r="AU10" s="6"/>
      <c r="AV10" s="6"/>
      <c r="AW10" s="6" cm="1">
        <f t="array" ref="AW10">SUMPRODUCT(COUNTIF(K10:L10,{"X";"Y";"Z";"S"}))+SUMPRODUCT(COUNTIF(R10:S10,{"X";"Y";"Z";"S"}))+SUMPRODUCT(COUNTIF(Y10:Z10,{"X";"Y";"Z";"S"}))+SUMPRODUCT(COUNTIF(AF10:AG10,{"X";"Y";"Z";"S"}))+SUMPRODUCT(COUNTIF(AM10:AN10,{"X";"Y";"Z";"S"}))-5</f>
        <v>1</v>
      </c>
      <c r="AX10" s="6">
        <v>1</v>
      </c>
      <c r="AY10" s="6">
        <f t="shared" si="21"/>
        <v>2</v>
      </c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1:226" s="50" customFormat="1" ht="25.5" customHeight="1">
      <c r="A11" s="38">
        <f t="shared" si="11"/>
        <v>13</v>
      </c>
      <c r="B11" s="39">
        <f t="shared" si="12"/>
        <v>3</v>
      </c>
      <c r="C11" s="40">
        <f t="shared" si="13"/>
        <v>0</v>
      </c>
      <c r="D11" s="39">
        <f t="shared" si="14"/>
        <v>1</v>
      </c>
      <c r="E11" s="41">
        <f t="shared" si="15"/>
        <v>3</v>
      </c>
      <c r="F11" s="41">
        <f t="shared" si="16"/>
        <v>5</v>
      </c>
      <c r="G11" s="41">
        <f t="shared" si="17"/>
        <v>6</v>
      </c>
      <c r="H11" s="41">
        <f t="shared" si="18"/>
        <v>0</v>
      </c>
      <c r="I11" s="42">
        <f t="shared" si="19"/>
        <v>31</v>
      </c>
      <c r="J11" s="209" t="s">
        <v>6</v>
      </c>
      <c r="K11" s="237" t="s">
        <v>52</v>
      </c>
      <c r="L11" s="239" t="s">
        <v>0</v>
      </c>
      <c r="M11" s="238" t="s">
        <v>0</v>
      </c>
      <c r="N11" s="238" t="s">
        <v>36</v>
      </c>
      <c r="O11" s="238" t="s">
        <v>36</v>
      </c>
      <c r="P11" s="256" t="s">
        <v>5</v>
      </c>
      <c r="Q11" s="234" t="s">
        <v>156</v>
      </c>
      <c r="R11" s="238" t="s">
        <v>36</v>
      </c>
      <c r="S11" s="238" t="s">
        <v>36</v>
      </c>
      <c r="T11" s="256" t="s">
        <v>5</v>
      </c>
      <c r="U11" s="234" t="s">
        <v>52</v>
      </c>
      <c r="V11" s="238">
        <v>1</v>
      </c>
      <c r="W11" s="238" t="s">
        <v>36</v>
      </c>
      <c r="X11" s="238" t="s">
        <v>36</v>
      </c>
      <c r="Y11" s="259">
        <v>2</v>
      </c>
      <c r="Z11" s="259">
        <v>2</v>
      </c>
      <c r="AA11" s="238" t="s">
        <v>52</v>
      </c>
      <c r="AB11" s="238" t="s">
        <v>36</v>
      </c>
      <c r="AC11" s="238" t="s">
        <v>36</v>
      </c>
      <c r="AD11" s="238" t="s">
        <v>3</v>
      </c>
      <c r="AE11" s="234" t="s">
        <v>154</v>
      </c>
      <c r="AF11" s="239" t="s">
        <v>52</v>
      </c>
      <c r="AG11" s="239" t="s">
        <v>0</v>
      </c>
      <c r="AH11" s="234" t="s">
        <v>1</v>
      </c>
      <c r="AI11" s="238" t="s">
        <v>52</v>
      </c>
      <c r="AJ11" s="238" t="s">
        <v>36</v>
      </c>
      <c r="AK11" s="256" t="s">
        <v>5</v>
      </c>
      <c r="AL11" s="234" t="s">
        <v>154</v>
      </c>
      <c r="AM11" s="238" t="s">
        <v>52</v>
      </c>
      <c r="AN11" s="259">
        <v>2</v>
      </c>
      <c r="AO11" s="261" t="s">
        <v>0</v>
      </c>
      <c r="AP11" s="45">
        <v>-1</v>
      </c>
      <c r="AQ11" s="46">
        <f t="shared" si="1"/>
        <v>1</v>
      </c>
      <c r="AR11" s="46">
        <v>0</v>
      </c>
      <c r="AS11" s="134">
        <f t="shared" si="10"/>
        <v>0</v>
      </c>
      <c r="AT11" s="329" t="s">
        <v>126</v>
      </c>
      <c r="AU11" s="6"/>
      <c r="AV11" s="6"/>
      <c r="AW11" s="6" cm="1">
        <f t="array" ref="AW11">SUMPRODUCT(COUNTIF(K11:L11,{"X";"Y";"Z";"S"}))+SUMPRODUCT(COUNTIF(R11:S11,{"X";"Y";"Z";"S"}))+SUMPRODUCT(COUNTIF(Y11:Z11,{"X";"Y";"Z";"S"}))+SUMPRODUCT(COUNTIF(AF11:AG11,{"X";"Y";"Z";"S"}))+SUMPRODUCT(COUNTIF(AM11:AN11,{"X";"Y";"Z";"S"}))-5</f>
        <v>0</v>
      </c>
      <c r="AX11" s="6">
        <v>4</v>
      </c>
      <c r="AY11" s="6">
        <f t="shared" si="21"/>
        <v>4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1:226" s="50" customFormat="1" ht="25.5" customHeight="1">
      <c r="A12" s="38">
        <f t="shared" si="11"/>
        <v>19</v>
      </c>
      <c r="B12" s="39">
        <f t="shared" si="12"/>
        <v>2</v>
      </c>
      <c r="C12" s="40">
        <f t="shared" si="13"/>
        <v>0</v>
      </c>
      <c r="D12" s="39">
        <f t="shared" si="14"/>
        <v>0</v>
      </c>
      <c r="E12" s="41">
        <f t="shared" si="15"/>
        <v>0</v>
      </c>
      <c r="F12" s="41">
        <f t="shared" si="16"/>
        <v>5</v>
      </c>
      <c r="G12" s="41">
        <f t="shared" si="17"/>
        <v>5</v>
      </c>
      <c r="H12" s="41">
        <f t="shared" si="18"/>
        <v>0</v>
      </c>
      <c r="I12" s="42">
        <f t="shared" si="19"/>
        <v>31</v>
      </c>
      <c r="J12" s="209" t="s">
        <v>135</v>
      </c>
      <c r="K12" s="237" t="s">
        <v>52</v>
      </c>
      <c r="L12" s="239" t="s">
        <v>0</v>
      </c>
      <c r="M12" s="259">
        <v>1</v>
      </c>
      <c r="N12" s="238" t="s">
        <v>36</v>
      </c>
      <c r="O12" s="238" t="s">
        <v>36</v>
      </c>
      <c r="P12" s="238" t="s">
        <v>52</v>
      </c>
      <c r="Q12" s="238" t="s">
        <v>36</v>
      </c>
      <c r="R12" s="238">
        <v>1</v>
      </c>
      <c r="S12" s="259">
        <v>1</v>
      </c>
      <c r="T12" s="238" t="s">
        <v>0</v>
      </c>
      <c r="U12" s="238" t="s">
        <v>36</v>
      </c>
      <c r="V12" s="238" t="s">
        <v>36</v>
      </c>
      <c r="W12" s="238" t="s">
        <v>36</v>
      </c>
      <c r="X12" s="238" t="s">
        <v>36</v>
      </c>
      <c r="Y12" s="239" t="s">
        <v>52</v>
      </c>
      <c r="Z12" s="239" t="s">
        <v>0</v>
      </c>
      <c r="AA12" s="238" t="s">
        <v>36</v>
      </c>
      <c r="AB12" s="238">
        <v>1</v>
      </c>
      <c r="AC12" s="238" t="s">
        <v>52</v>
      </c>
      <c r="AD12" s="238" t="s">
        <v>36</v>
      </c>
      <c r="AE12" s="238" t="s">
        <v>36</v>
      </c>
      <c r="AF12" s="259">
        <v>2</v>
      </c>
      <c r="AG12" s="259">
        <v>2</v>
      </c>
      <c r="AH12" s="238" t="s">
        <v>0</v>
      </c>
      <c r="AI12" s="238" t="s">
        <v>36</v>
      </c>
      <c r="AJ12" s="238" t="s">
        <v>36</v>
      </c>
      <c r="AK12" s="238" t="s">
        <v>36</v>
      </c>
      <c r="AL12" s="238" t="s">
        <v>36</v>
      </c>
      <c r="AM12" s="239" t="s">
        <v>52</v>
      </c>
      <c r="AN12" s="239" t="s">
        <v>0</v>
      </c>
      <c r="AO12" s="260">
        <v>1</v>
      </c>
      <c r="AP12" s="45">
        <v>0</v>
      </c>
      <c r="AQ12" s="46">
        <f t="shared" si="1"/>
        <v>0</v>
      </c>
      <c r="AR12" s="46">
        <v>0</v>
      </c>
      <c r="AS12" s="134">
        <f t="shared" si="10"/>
        <v>0</v>
      </c>
      <c r="AT12" s="329" t="s">
        <v>128</v>
      </c>
      <c r="AU12" s="6"/>
      <c r="AV12" s="6"/>
      <c r="AW12" s="6" cm="1">
        <f t="array" ref="AW12">SUMPRODUCT(COUNTIF(K12:L12,{"X";"Y";"Z";"S"}))+SUMPRODUCT(COUNTIF(R12:S12,{"X";"Y";"Z";"S"}))+SUMPRODUCT(COUNTIF(Y12:Z12,{"X";"Y";"Z";"S"}))+SUMPRODUCT(COUNTIF(AF12:AG12,{"X";"Y";"Z";"S"}))+SUMPRODUCT(COUNTIF(AM12:AN12,{"X";"Y";"Z";"S"}))-5</f>
        <v>1</v>
      </c>
      <c r="AX12" s="6">
        <v>1</v>
      </c>
      <c r="AY12" s="6">
        <f t="shared" si="21"/>
        <v>2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</row>
    <row r="13" spans="1:226" s="50" customFormat="1" ht="28.35" customHeight="1">
      <c r="A13" s="38">
        <f t="shared" si="11"/>
        <v>15</v>
      </c>
      <c r="B13" s="39">
        <f t="shared" si="12"/>
        <v>1</v>
      </c>
      <c r="C13" s="40">
        <f t="shared" si="13"/>
        <v>0</v>
      </c>
      <c r="D13" s="39">
        <f t="shared" si="14"/>
        <v>3</v>
      </c>
      <c r="E13" s="41">
        <f t="shared" si="15"/>
        <v>2</v>
      </c>
      <c r="F13" s="41">
        <f t="shared" si="16"/>
        <v>5</v>
      </c>
      <c r="G13" s="41">
        <f t="shared" si="17"/>
        <v>5</v>
      </c>
      <c r="H13" s="41">
        <f t="shared" si="18"/>
        <v>0</v>
      </c>
      <c r="I13" s="42">
        <f t="shared" si="19"/>
        <v>31</v>
      </c>
      <c r="J13" s="210" t="s">
        <v>136</v>
      </c>
      <c r="K13" s="237" t="s">
        <v>52</v>
      </c>
      <c r="L13" s="239" t="s">
        <v>0</v>
      </c>
      <c r="M13" s="242" t="s">
        <v>3</v>
      </c>
      <c r="N13" s="256" t="s">
        <v>162</v>
      </c>
      <c r="O13" s="234" t="s">
        <v>1</v>
      </c>
      <c r="P13" s="234" t="s">
        <v>1</v>
      </c>
      <c r="Q13" s="234" t="s">
        <v>52</v>
      </c>
      <c r="R13" s="238" t="s">
        <v>36</v>
      </c>
      <c r="S13" s="238" t="s">
        <v>36</v>
      </c>
      <c r="T13" s="234" t="s">
        <v>0</v>
      </c>
      <c r="U13" s="256" t="s">
        <v>162</v>
      </c>
      <c r="V13" s="238">
        <v>1</v>
      </c>
      <c r="W13" s="238" t="s">
        <v>36</v>
      </c>
      <c r="X13" s="256" t="s">
        <v>162</v>
      </c>
      <c r="Y13" s="238" t="s">
        <v>52</v>
      </c>
      <c r="Z13" s="238">
        <v>1</v>
      </c>
      <c r="AA13" s="242" t="s">
        <v>3</v>
      </c>
      <c r="AB13" s="242" t="s">
        <v>3</v>
      </c>
      <c r="AC13" s="256" t="s">
        <v>162</v>
      </c>
      <c r="AD13" s="238" t="s">
        <v>36</v>
      </c>
      <c r="AE13" s="256">
        <v>2</v>
      </c>
      <c r="AF13" s="239" t="s">
        <v>52</v>
      </c>
      <c r="AG13" s="239" t="s">
        <v>0</v>
      </c>
      <c r="AH13" s="238" t="s">
        <v>36</v>
      </c>
      <c r="AI13" s="238" t="s">
        <v>36</v>
      </c>
      <c r="AJ13" s="238" t="s">
        <v>52</v>
      </c>
      <c r="AK13" s="238" t="s">
        <v>0</v>
      </c>
      <c r="AL13" s="256" t="s">
        <v>162</v>
      </c>
      <c r="AM13" s="244">
        <v>1</v>
      </c>
      <c r="AN13" s="259">
        <v>1</v>
      </c>
      <c r="AO13" s="261" t="s">
        <v>0</v>
      </c>
      <c r="AP13" s="45">
        <v>0</v>
      </c>
      <c r="AQ13" s="46">
        <f t="shared" si="1"/>
        <v>0</v>
      </c>
      <c r="AR13" s="46">
        <v>0</v>
      </c>
      <c r="AS13" s="134">
        <f t="shared" si="10"/>
        <v>0</v>
      </c>
      <c r="AT13" s="329" t="s">
        <v>126</v>
      </c>
      <c r="AU13" s="6"/>
      <c r="AV13" s="6"/>
      <c r="AW13" s="6" cm="1">
        <f t="array" ref="AW13">SUMPRODUCT(COUNTIF(K13:L13,{"X";"Y";"Z";"S"}))+SUMPRODUCT(COUNTIF(R13:S13,{"X";"Y";"Z";"S"}))+SUMPRODUCT(COUNTIF(Y13:Z13,{"X";"Y";"Z";"S"}))+SUMPRODUCT(COUNTIF(AF13:AG13,{"X";"Y";"Z";"S"}))+SUMPRODUCT(COUNTIF(AM13:AN13,{"X";"Y";"Z";"S"}))-5</f>
        <v>0</v>
      </c>
      <c r="AX13" s="6">
        <v>4</v>
      </c>
      <c r="AY13" s="6">
        <f t="shared" si="21"/>
        <v>4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</row>
    <row r="14" spans="1:226" s="50" customFormat="1" ht="25.5" customHeight="1">
      <c r="A14" s="38">
        <f t="shared" si="11"/>
        <v>0</v>
      </c>
      <c r="B14" s="39">
        <f t="shared" si="12"/>
        <v>13</v>
      </c>
      <c r="C14" s="40">
        <f t="shared" si="13"/>
        <v>3</v>
      </c>
      <c r="D14" s="39">
        <f t="shared" si="14"/>
        <v>2</v>
      </c>
      <c r="E14" s="41">
        <f t="shared" si="15"/>
        <v>2</v>
      </c>
      <c r="F14" s="41">
        <f t="shared" si="16"/>
        <v>5</v>
      </c>
      <c r="G14" s="41">
        <f t="shared" si="17"/>
        <v>6</v>
      </c>
      <c r="H14" s="41">
        <f t="shared" si="18"/>
        <v>0</v>
      </c>
      <c r="I14" s="42">
        <f t="shared" si="19"/>
        <v>31</v>
      </c>
      <c r="J14" s="211" t="s">
        <v>7</v>
      </c>
      <c r="K14" s="237" t="s">
        <v>52</v>
      </c>
      <c r="L14" s="259">
        <v>3</v>
      </c>
      <c r="M14" s="259">
        <v>2</v>
      </c>
      <c r="N14" s="238" t="s">
        <v>0</v>
      </c>
      <c r="O14" s="242" t="s">
        <v>3</v>
      </c>
      <c r="P14" s="238">
        <v>2</v>
      </c>
      <c r="Q14" s="238" t="s">
        <v>52</v>
      </c>
      <c r="R14" s="259">
        <v>3</v>
      </c>
      <c r="S14" s="238" t="s">
        <v>52</v>
      </c>
      <c r="T14" s="259">
        <v>2</v>
      </c>
      <c r="U14" s="259">
        <v>2</v>
      </c>
      <c r="V14" s="259">
        <v>2</v>
      </c>
      <c r="W14" s="259">
        <v>2</v>
      </c>
      <c r="X14" s="259">
        <v>2</v>
      </c>
      <c r="Y14" s="239" t="s">
        <v>52</v>
      </c>
      <c r="Z14" s="259">
        <v>3</v>
      </c>
      <c r="AA14" s="238" t="s">
        <v>0</v>
      </c>
      <c r="AB14" s="242" t="s">
        <v>3</v>
      </c>
      <c r="AC14" s="238" t="s">
        <v>0</v>
      </c>
      <c r="AD14" s="234" t="s">
        <v>0</v>
      </c>
      <c r="AE14" s="234" t="s">
        <v>52</v>
      </c>
      <c r="AF14" s="234" t="s">
        <v>1</v>
      </c>
      <c r="AG14" s="234" t="s">
        <v>1</v>
      </c>
      <c r="AH14" s="259">
        <v>2</v>
      </c>
      <c r="AI14" s="259">
        <v>2</v>
      </c>
      <c r="AJ14" s="259">
        <v>2</v>
      </c>
      <c r="AK14" s="234" t="s">
        <v>52</v>
      </c>
      <c r="AL14" s="238">
        <v>2</v>
      </c>
      <c r="AM14" s="259">
        <v>2</v>
      </c>
      <c r="AN14" s="239" t="s">
        <v>0</v>
      </c>
      <c r="AO14" s="260">
        <v>2</v>
      </c>
      <c r="AP14" s="45">
        <v>-1</v>
      </c>
      <c r="AQ14" s="46">
        <f t="shared" si="1"/>
        <v>1</v>
      </c>
      <c r="AR14" s="46">
        <v>0</v>
      </c>
      <c r="AS14" s="134">
        <f t="shared" si="10"/>
        <v>0</v>
      </c>
      <c r="AT14" s="329" t="s">
        <v>128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</row>
    <row r="15" spans="1:226" s="50" customFormat="1" ht="25.5" customHeight="1">
      <c r="A15" s="38">
        <f t="shared" si="11"/>
        <v>12</v>
      </c>
      <c r="B15" s="39">
        <f t="shared" si="12"/>
        <v>2</v>
      </c>
      <c r="C15" s="40">
        <f t="shared" si="13"/>
        <v>0</v>
      </c>
      <c r="D15" s="39">
        <f t="shared" si="14"/>
        <v>5</v>
      </c>
      <c r="E15" s="41">
        <f t="shared" si="15"/>
        <v>2</v>
      </c>
      <c r="F15" s="41">
        <f t="shared" si="16"/>
        <v>5</v>
      </c>
      <c r="G15" s="41">
        <f t="shared" si="17"/>
        <v>5</v>
      </c>
      <c r="H15" s="41">
        <f t="shared" si="18"/>
        <v>0</v>
      </c>
      <c r="I15" s="42">
        <f t="shared" si="19"/>
        <v>31</v>
      </c>
      <c r="J15" s="209" t="s">
        <v>8</v>
      </c>
      <c r="K15" s="245">
        <v>2</v>
      </c>
      <c r="L15" s="238">
        <v>2</v>
      </c>
      <c r="M15" s="238" t="s">
        <v>52</v>
      </c>
      <c r="N15" s="238">
        <v>1</v>
      </c>
      <c r="O15" s="259" t="s">
        <v>36</v>
      </c>
      <c r="P15" s="256" t="s">
        <v>58</v>
      </c>
      <c r="Q15" s="242" t="s">
        <v>3</v>
      </c>
      <c r="R15" s="239" t="s">
        <v>52</v>
      </c>
      <c r="S15" s="239" t="s">
        <v>0</v>
      </c>
      <c r="T15" s="238" t="s">
        <v>36</v>
      </c>
      <c r="U15" s="238" t="s">
        <v>36</v>
      </c>
      <c r="V15" s="238" t="s">
        <v>0</v>
      </c>
      <c r="W15" s="242" t="s">
        <v>3</v>
      </c>
      <c r="X15" s="238" t="s">
        <v>52</v>
      </c>
      <c r="Y15" s="259">
        <v>1</v>
      </c>
      <c r="Z15" s="259">
        <v>1</v>
      </c>
      <c r="AA15" s="242" t="s">
        <v>3</v>
      </c>
      <c r="AB15" s="242" t="s">
        <v>3</v>
      </c>
      <c r="AC15" s="259">
        <v>1</v>
      </c>
      <c r="AD15" s="256" t="s">
        <v>58</v>
      </c>
      <c r="AE15" s="239" t="s">
        <v>52</v>
      </c>
      <c r="AF15" s="234" t="s">
        <v>1</v>
      </c>
      <c r="AG15" s="234" t="s">
        <v>1</v>
      </c>
      <c r="AH15" s="238" t="s">
        <v>0</v>
      </c>
      <c r="AI15" s="238" t="s">
        <v>52</v>
      </c>
      <c r="AJ15" s="238" t="s">
        <v>0</v>
      </c>
      <c r="AK15" s="256" t="s">
        <v>58</v>
      </c>
      <c r="AL15" s="242" t="s">
        <v>3</v>
      </c>
      <c r="AM15" s="238">
        <v>1</v>
      </c>
      <c r="AN15" s="244">
        <v>1</v>
      </c>
      <c r="AO15" s="397" t="s">
        <v>0</v>
      </c>
      <c r="AP15" s="45">
        <v>0</v>
      </c>
      <c r="AQ15" s="46">
        <f t="shared" si="1"/>
        <v>0</v>
      </c>
      <c r="AR15" s="46">
        <v>0</v>
      </c>
      <c r="AS15" s="134">
        <f t="shared" si="10"/>
        <v>0</v>
      </c>
      <c r="AT15" s="329" t="s">
        <v>126</v>
      </c>
      <c r="AU15" s="6"/>
      <c r="AV15" s="6"/>
      <c r="AW15" s="6" cm="1">
        <f t="array" ref="AW15">SUMPRODUCT(COUNTIF(K15:L15,{"X";"Y";"Z";"S"}))+SUMPRODUCT(COUNTIF(R15:S15,{"X";"Y";"Z";"S"}))+SUMPRODUCT(COUNTIF(Y15:Z15,{"X";"Y";"Z";"S"}))+SUMPRODUCT(COUNTIF(AF15:AG15,{"X";"Y";"Z";"S"}))+SUMPRODUCT(COUNTIF(AM15:AN15,{"X";"Y";"Z";"S"}))-5</f>
        <v>-1</v>
      </c>
      <c r="AX15" s="6">
        <v>5</v>
      </c>
      <c r="AY15" s="6">
        <f t="shared" ref="AY15:AY18" si="22">AW15+AX15</f>
        <v>4</v>
      </c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1:226" s="50" customFormat="1" ht="25.5" customHeight="1">
      <c r="A16" s="38">
        <f t="shared" si="11"/>
        <v>15</v>
      </c>
      <c r="B16" s="39">
        <f t="shared" si="12"/>
        <v>2</v>
      </c>
      <c r="C16" s="40">
        <f t="shared" si="13"/>
        <v>0</v>
      </c>
      <c r="D16" s="39">
        <f t="shared" si="14"/>
        <v>4</v>
      </c>
      <c r="E16" s="41">
        <f t="shared" si="15"/>
        <v>0</v>
      </c>
      <c r="F16" s="41">
        <f t="shared" si="16"/>
        <v>5</v>
      </c>
      <c r="G16" s="41">
        <f t="shared" si="17"/>
        <v>5</v>
      </c>
      <c r="H16" s="41">
        <f t="shared" si="18"/>
        <v>0</v>
      </c>
      <c r="I16" s="42">
        <f t="shared" si="19"/>
        <v>31</v>
      </c>
      <c r="J16" s="212" t="s">
        <v>93</v>
      </c>
      <c r="K16" s="237" t="s">
        <v>52</v>
      </c>
      <c r="L16" s="239" t="s">
        <v>0</v>
      </c>
      <c r="M16" s="238" t="s">
        <v>36</v>
      </c>
      <c r="N16" s="259" t="s">
        <v>5</v>
      </c>
      <c r="O16" s="242" t="s">
        <v>3</v>
      </c>
      <c r="P16" s="238" t="s">
        <v>0</v>
      </c>
      <c r="Q16" s="238">
        <v>1</v>
      </c>
      <c r="R16" s="238">
        <v>1</v>
      </c>
      <c r="S16" s="238">
        <v>1</v>
      </c>
      <c r="T16" s="238" t="s">
        <v>52</v>
      </c>
      <c r="U16" s="256" t="s">
        <v>5</v>
      </c>
      <c r="V16" s="242" t="s">
        <v>3</v>
      </c>
      <c r="W16" s="238">
        <v>1</v>
      </c>
      <c r="X16" s="238">
        <v>1</v>
      </c>
      <c r="Y16" s="239" t="s">
        <v>52</v>
      </c>
      <c r="Z16" s="239" t="s">
        <v>0</v>
      </c>
      <c r="AA16" s="238" t="s">
        <v>36</v>
      </c>
      <c r="AB16" s="256" t="s">
        <v>5</v>
      </c>
      <c r="AC16" s="242" t="s">
        <v>3</v>
      </c>
      <c r="AD16" s="256" t="s">
        <v>5</v>
      </c>
      <c r="AE16" s="238" t="s">
        <v>52</v>
      </c>
      <c r="AF16" s="246">
        <v>1</v>
      </c>
      <c r="AG16" s="238">
        <v>1</v>
      </c>
      <c r="AH16" s="238" t="s">
        <v>36</v>
      </c>
      <c r="AI16" s="234" t="s">
        <v>0</v>
      </c>
      <c r="AJ16" s="242" t="s">
        <v>3</v>
      </c>
      <c r="AK16" s="392">
        <v>2</v>
      </c>
      <c r="AL16" s="259" t="s">
        <v>38</v>
      </c>
      <c r="AM16" s="239" t="s">
        <v>52</v>
      </c>
      <c r="AN16" s="239" t="s">
        <v>0</v>
      </c>
      <c r="AO16" s="241" t="s">
        <v>36</v>
      </c>
      <c r="AP16" s="45">
        <v>0</v>
      </c>
      <c r="AQ16" s="46">
        <f t="shared" si="1"/>
        <v>0</v>
      </c>
      <c r="AR16" s="46">
        <v>0</v>
      </c>
      <c r="AS16" s="134">
        <f t="shared" si="10"/>
        <v>0</v>
      </c>
      <c r="AT16" s="329" t="s">
        <v>128</v>
      </c>
      <c r="AU16" s="6"/>
      <c r="AV16" s="6"/>
      <c r="AW16" s="6" cm="1">
        <f t="array" ref="AW16">SUMPRODUCT(COUNTIF(K16:L16,{"X";"Y";"Z";"S"}))+SUMPRODUCT(COUNTIF(R16:S16,{"X";"Y";"Z";"S"}))+SUMPRODUCT(COUNTIF(Y16:Z16,{"X";"Y";"Z";"S"}))+SUMPRODUCT(COUNTIF(AG16:AG16,{"X";"Y";"Z";"S"}))+SUMPRODUCT(COUNTIF(AM16:AN16,{"X";"Y";"Z";"S"}))-5</f>
        <v>1</v>
      </c>
      <c r="AX16" s="6">
        <v>3</v>
      </c>
      <c r="AY16" s="6">
        <f t="shared" si="22"/>
        <v>4</v>
      </c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</row>
    <row r="17" spans="1:226" ht="25.2" customHeight="1">
      <c r="A17" s="54">
        <f>COUNTIF(K17:AO17,1)+COUNTIF(K17:AO17,"早")+COUNTIF(K17:AO17,"M1")+COUNTIF(K17:AO17,"T早")+COUNTIF(K17:AO17,"日")</f>
        <v>9</v>
      </c>
      <c r="B17" s="55">
        <f>COUNTIF(K17:AO17,2)+COUNTIF(K17:AO17,"中")+COUNTIF(K17:AO17,"M2")+COUNTIF(K17:AO17,"T中")+COUNTIF(K17:AO17,"小夜")</f>
        <v>4</v>
      </c>
      <c r="C17" s="56">
        <f>COUNTIF(K17:AO17,3)+COUNTIF(K17:AO17,"晚")+COUNTIF(K17:AO17,"大夜")</f>
        <v>3</v>
      </c>
      <c r="D17" s="55">
        <f>COUNTIF(K17:AO17,"N")+COUNTIF(K17:AO17,"N8")</f>
        <v>2</v>
      </c>
      <c r="E17" s="17">
        <f>COUNTIF(K17:AO17,"S")</f>
        <v>2</v>
      </c>
      <c r="F17" s="17">
        <f>COUNTIF(K17:AO17,"X")</f>
        <v>5</v>
      </c>
      <c r="G17" s="17">
        <f>COUNTIF(K17:AO17,"Y")</f>
        <v>6</v>
      </c>
      <c r="H17" s="17">
        <f>COUNTIF(K17:AO17,"Z")</f>
        <v>0</v>
      </c>
      <c r="I17" s="57">
        <f t="shared" si="0"/>
        <v>31</v>
      </c>
      <c r="J17" s="209" t="s">
        <v>9</v>
      </c>
      <c r="K17" s="245" t="s">
        <v>36</v>
      </c>
      <c r="L17" s="238" t="s">
        <v>36</v>
      </c>
      <c r="M17" s="238" t="s">
        <v>36</v>
      </c>
      <c r="N17" s="242" t="s">
        <v>3</v>
      </c>
      <c r="O17" s="238" t="s">
        <v>52</v>
      </c>
      <c r="P17" s="238" t="s">
        <v>36</v>
      </c>
      <c r="Q17" s="238" t="s">
        <v>36</v>
      </c>
      <c r="R17" s="239" t="s">
        <v>52</v>
      </c>
      <c r="S17" s="239" t="s">
        <v>0</v>
      </c>
      <c r="T17" s="234" t="s">
        <v>1</v>
      </c>
      <c r="U17" s="238" t="s">
        <v>0</v>
      </c>
      <c r="V17" s="238" t="s">
        <v>52</v>
      </c>
      <c r="W17" s="238" t="s">
        <v>52</v>
      </c>
      <c r="X17" s="259">
        <v>3</v>
      </c>
      <c r="Y17" s="259">
        <v>3</v>
      </c>
      <c r="Z17" s="238" t="s">
        <v>0</v>
      </c>
      <c r="AA17" s="259">
        <v>2</v>
      </c>
      <c r="AB17" s="259">
        <v>2</v>
      </c>
      <c r="AC17" s="259">
        <v>2</v>
      </c>
      <c r="AD17" s="259">
        <v>2</v>
      </c>
      <c r="AE17" s="239" t="s">
        <v>52</v>
      </c>
      <c r="AF17" s="234" t="s">
        <v>1</v>
      </c>
      <c r="AG17" s="239" t="s">
        <v>0</v>
      </c>
      <c r="AH17" s="238" t="s">
        <v>0</v>
      </c>
      <c r="AI17" s="393" t="s">
        <v>41</v>
      </c>
      <c r="AJ17" s="238">
        <v>1</v>
      </c>
      <c r="AK17" s="238" t="s">
        <v>36</v>
      </c>
      <c r="AL17" s="238" t="s">
        <v>36</v>
      </c>
      <c r="AM17" s="238" t="s">
        <v>36</v>
      </c>
      <c r="AN17" s="238" t="s">
        <v>52</v>
      </c>
      <c r="AO17" s="260">
        <v>3</v>
      </c>
      <c r="AP17" s="45">
        <v>-1</v>
      </c>
      <c r="AQ17" s="46">
        <f t="shared" si="1"/>
        <v>1</v>
      </c>
      <c r="AR17" s="46">
        <v>0</v>
      </c>
      <c r="AS17" s="134">
        <f>SUM(AP17:AR17)</f>
        <v>0</v>
      </c>
      <c r="AT17" s="329" t="s">
        <v>126</v>
      </c>
      <c r="AW17" s="6" cm="1">
        <f t="array" ref="AW17">SUMPRODUCT(COUNTIF(K17:L17,{"X";"Y";"Z";"S"}))+SUMPRODUCT(COUNTIF(R17:S17,{"X";"Y";"Z";"S"}))+SUMPRODUCT(COUNTIF(Y17:Z17,{"X";"Y";"Z";"S"}))+SUMPRODUCT(COUNTIF(AF17:AG17,{"X";"Y";"Z";"S"}))+SUMPRODUCT(COUNTIF(AM17:AN17,{"X";"Y";"Z";"S"}))-5</f>
        <v>1</v>
      </c>
      <c r="AX17" s="6">
        <v>5</v>
      </c>
      <c r="AY17" s="6">
        <f t="shared" si="22"/>
        <v>6</v>
      </c>
    </row>
    <row r="18" spans="1:226" ht="25.5" customHeight="1" thickBot="1">
      <c r="A18" s="38">
        <f t="shared" ref="A18:A38" si="23">COUNTIF(K18:AO18,1)+COUNTIF(K18:AO18,"早")+COUNTIF(K18:AO18,"M1")+COUNTIF(K18:AO18,"T早")+COUNTIF(K18:AO18,"日")</f>
        <v>14</v>
      </c>
      <c r="B18" s="39">
        <f t="shared" ref="B18:B38" si="24">COUNTIF(K18:AO18,2)+COUNTIF(K18:AO18,"中")+COUNTIF(K18:AO18,"M2")+COUNTIF(K18:AO18,"T中")+COUNTIF(K18:AO18,"小夜")</f>
        <v>0</v>
      </c>
      <c r="C18" s="40">
        <f t="shared" ref="C18:C38" si="25">COUNTIF(K18:AO18,3)+COUNTIF(K18:AO18,"晚")+COUNTIF(K18:AO18,"大夜")</f>
        <v>0</v>
      </c>
      <c r="D18" s="39">
        <f t="shared" ref="D18:D38" si="26">COUNTIF(K18:AO18,"N")+COUNTIF(K18:AO18,"N8")</f>
        <v>2</v>
      </c>
      <c r="E18" s="41">
        <f t="shared" ref="E18:E38" si="27">COUNTIF(K18:AO18,"S")</f>
        <v>4</v>
      </c>
      <c r="F18" s="41">
        <f t="shared" ref="F18:F38" si="28">COUNTIF(K18:AO18,"X")</f>
        <v>5</v>
      </c>
      <c r="G18" s="41">
        <f t="shared" ref="G18:G38" si="29">COUNTIF(K18:AO18,"Y")</f>
        <v>6</v>
      </c>
      <c r="H18" s="41">
        <f t="shared" ref="H18:H38" si="30">COUNTIF(K18:AO18,"Z")</f>
        <v>0</v>
      </c>
      <c r="I18" s="42">
        <f t="shared" si="0"/>
        <v>31</v>
      </c>
      <c r="J18" s="224" t="s">
        <v>137</v>
      </c>
      <c r="K18" s="262" t="s">
        <v>52</v>
      </c>
      <c r="L18" s="249" t="s">
        <v>0</v>
      </c>
      <c r="M18" s="263" t="s">
        <v>36</v>
      </c>
      <c r="N18" s="251" t="s">
        <v>1</v>
      </c>
      <c r="O18" s="248" t="s">
        <v>36</v>
      </c>
      <c r="P18" s="248" t="s">
        <v>36</v>
      </c>
      <c r="Q18" s="394" t="s">
        <v>3</v>
      </c>
      <c r="R18" s="248" t="s">
        <v>52</v>
      </c>
      <c r="S18" s="248">
        <v>1</v>
      </c>
      <c r="T18" s="263" t="s">
        <v>36</v>
      </c>
      <c r="U18" s="248" t="s">
        <v>52</v>
      </c>
      <c r="V18" s="248" t="s">
        <v>36</v>
      </c>
      <c r="W18" s="251" t="s">
        <v>1</v>
      </c>
      <c r="X18" s="248" t="s">
        <v>0</v>
      </c>
      <c r="Y18" s="249" t="s">
        <v>52</v>
      </c>
      <c r="Z18" s="249" t="s">
        <v>0</v>
      </c>
      <c r="AA18" s="263" t="s">
        <v>36</v>
      </c>
      <c r="AB18" s="394" t="s">
        <v>3</v>
      </c>
      <c r="AC18" s="248" t="s">
        <v>52</v>
      </c>
      <c r="AD18" s="248" t="s">
        <v>36</v>
      </c>
      <c r="AE18" s="248" t="s">
        <v>36</v>
      </c>
      <c r="AF18" s="263">
        <v>1</v>
      </c>
      <c r="AG18" s="263">
        <v>1</v>
      </c>
      <c r="AH18" s="248" t="s">
        <v>0</v>
      </c>
      <c r="AI18" s="263" t="s">
        <v>36</v>
      </c>
      <c r="AJ18" s="263" t="s">
        <v>36</v>
      </c>
      <c r="AK18" s="248">
        <v>1</v>
      </c>
      <c r="AL18" s="249" t="s">
        <v>52</v>
      </c>
      <c r="AM18" s="251" t="s">
        <v>1</v>
      </c>
      <c r="AN18" s="251" t="s">
        <v>1</v>
      </c>
      <c r="AO18" s="398" t="s">
        <v>0</v>
      </c>
      <c r="AP18" s="385">
        <v>-1</v>
      </c>
      <c r="AQ18" s="386">
        <f t="shared" si="1"/>
        <v>1</v>
      </c>
      <c r="AR18" s="386">
        <v>0</v>
      </c>
      <c r="AS18" s="355">
        <f t="shared" ref="AS18:AS45" si="31">SUM(AP18:AR18)</f>
        <v>0</v>
      </c>
      <c r="AT18" s="387" t="s">
        <v>128</v>
      </c>
      <c r="AW18" s="6" cm="1">
        <f t="array" ref="AW18">SUMPRODUCT(COUNTIF(K18:L18,{"X";"Y";"Z";"S"}))+SUMPRODUCT(COUNTIF(R18:S18,{"X";"Y";"Z";"S"}))+SUMPRODUCT(COUNTIF(Y18:Z18,{"X";"Y";"Z";"S"}))+SUMPRODUCT(COUNTIF(AF18:AG18,{"X";"Y";"Z";"S"}))+SUMPRODUCT(COUNTIF(AM18:AN18,{"X";"Y";"Z";"S"}))-5</f>
        <v>2</v>
      </c>
      <c r="AX18" s="6">
        <v>1</v>
      </c>
      <c r="AY18" s="6">
        <f t="shared" si="22"/>
        <v>3</v>
      </c>
    </row>
    <row r="19" spans="1:226" s="50" customFormat="1" ht="25.2" customHeight="1">
      <c r="A19" s="23">
        <f t="shared" si="23"/>
        <v>3</v>
      </c>
      <c r="B19" s="24">
        <f t="shared" si="24"/>
        <v>15</v>
      </c>
      <c r="C19" s="25">
        <f t="shared" si="25"/>
        <v>0</v>
      </c>
      <c r="D19" s="24">
        <f t="shared" si="26"/>
        <v>0</v>
      </c>
      <c r="E19" s="26">
        <f t="shared" si="27"/>
        <v>3</v>
      </c>
      <c r="F19" s="26">
        <f t="shared" si="28"/>
        <v>5</v>
      </c>
      <c r="G19" s="26">
        <f t="shared" si="29"/>
        <v>5</v>
      </c>
      <c r="H19" s="26">
        <f t="shared" si="30"/>
        <v>0</v>
      </c>
      <c r="I19" s="27">
        <f t="shared" si="0"/>
        <v>31</v>
      </c>
      <c r="J19" s="189" t="s">
        <v>10</v>
      </c>
      <c r="K19" s="395" t="s">
        <v>52</v>
      </c>
      <c r="L19" s="235">
        <v>2</v>
      </c>
      <c r="M19" s="235">
        <v>2</v>
      </c>
      <c r="N19" s="235">
        <v>2</v>
      </c>
      <c r="O19" s="235">
        <v>2</v>
      </c>
      <c r="P19" s="235" t="s">
        <v>0</v>
      </c>
      <c r="Q19" s="235">
        <v>2</v>
      </c>
      <c r="R19" s="235">
        <v>2</v>
      </c>
      <c r="S19" s="235">
        <v>2</v>
      </c>
      <c r="T19" s="254" t="s">
        <v>52</v>
      </c>
      <c r="U19" s="254" t="s">
        <v>1</v>
      </c>
      <c r="V19" s="254" t="s">
        <v>1</v>
      </c>
      <c r="W19" s="254" t="s">
        <v>0</v>
      </c>
      <c r="X19" s="254" t="s">
        <v>0</v>
      </c>
      <c r="Y19" s="235">
        <v>1</v>
      </c>
      <c r="Z19" s="235">
        <v>2</v>
      </c>
      <c r="AA19" s="235">
        <v>2</v>
      </c>
      <c r="AB19" s="235">
        <v>2</v>
      </c>
      <c r="AC19" s="235">
        <v>2</v>
      </c>
      <c r="AD19" s="235" t="s">
        <v>52</v>
      </c>
      <c r="AE19" s="235">
        <v>1</v>
      </c>
      <c r="AF19" s="235">
        <v>2</v>
      </c>
      <c r="AG19" s="235">
        <v>2</v>
      </c>
      <c r="AH19" s="235">
        <v>2</v>
      </c>
      <c r="AI19" s="235" t="s">
        <v>52</v>
      </c>
      <c r="AJ19" s="235">
        <v>1</v>
      </c>
      <c r="AK19" s="235">
        <v>2</v>
      </c>
      <c r="AL19" s="254" t="s">
        <v>52</v>
      </c>
      <c r="AM19" s="254" t="s">
        <v>1</v>
      </c>
      <c r="AN19" s="254" t="s">
        <v>0</v>
      </c>
      <c r="AO19" s="391" t="s">
        <v>0</v>
      </c>
      <c r="AP19" s="313">
        <v>0</v>
      </c>
      <c r="AQ19" s="36">
        <f t="shared" si="1"/>
        <v>0</v>
      </c>
      <c r="AR19" s="36">
        <v>0</v>
      </c>
      <c r="AS19" s="26">
        <f t="shared" si="31"/>
        <v>0</v>
      </c>
      <c r="AT19" s="328" t="s">
        <v>128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</row>
    <row r="20" spans="1:226" s="50" customFormat="1" ht="25.5" customHeight="1">
      <c r="A20" s="38">
        <f t="shared" si="23"/>
        <v>2</v>
      </c>
      <c r="B20" s="39">
        <f t="shared" si="24"/>
        <v>15</v>
      </c>
      <c r="C20" s="40">
        <f t="shared" si="25"/>
        <v>1</v>
      </c>
      <c r="D20" s="39">
        <f t="shared" si="26"/>
        <v>2</v>
      </c>
      <c r="E20" s="41">
        <f t="shared" si="27"/>
        <v>1</v>
      </c>
      <c r="F20" s="41">
        <f t="shared" si="28"/>
        <v>5</v>
      </c>
      <c r="G20" s="41">
        <f t="shared" si="29"/>
        <v>5</v>
      </c>
      <c r="H20" s="41">
        <f t="shared" si="30"/>
        <v>0</v>
      </c>
      <c r="I20" s="42">
        <f t="shared" si="0"/>
        <v>31</v>
      </c>
      <c r="J20" s="190" t="s">
        <v>11</v>
      </c>
      <c r="K20" s="245" t="s">
        <v>38</v>
      </c>
      <c r="L20" s="238" t="s">
        <v>38</v>
      </c>
      <c r="M20" s="238" t="s">
        <v>52</v>
      </c>
      <c r="N20" s="238" t="s">
        <v>38</v>
      </c>
      <c r="O20" s="238" t="s">
        <v>38</v>
      </c>
      <c r="P20" s="238" t="s">
        <v>38</v>
      </c>
      <c r="Q20" s="238" t="s">
        <v>38</v>
      </c>
      <c r="R20" s="239" t="s">
        <v>52</v>
      </c>
      <c r="S20" s="239" t="s">
        <v>0</v>
      </c>
      <c r="T20" s="271" t="s">
        <v>0</v>
      </c>
      <c r="U20" s="234" t="s">
        <v>1</v>
      </c>
      <c r="V20" s="242" t="s">
        <v>3</v>
      </c>
      <c r="W20" s="238" t="s">
        <v>38</v>
      </c>
      <c r="X20" s="238">
        <v>2</v>
      </c>
      <c r="Y20" s="239" t="s">
        <v>52</v>
      </c>
      <c r="Z20" s="239" t="s">
        <v>0</v>
      </c>
      <c r="AA20" s="238" t="s">
        <v>0</v>
      </c>
      <c r="AB20" s="238" t="s">
        <v>36</v>
      </c>
      <c r="AC20" s="238" t="s">
        <v>38</v>
      </c>
      <c r="AD20" s="238" t="s">
        <v>38</v>
      </c>
      <c r="AE20" s="238" t="s">
        <v>38</v>
      </c>
      <c r="AF20" s="238" t="s">
        <v>38</v>
      </c>
      <c r="AG20" s="238" t="s">
        <v>38</v>
      </c>
      <c r="AH20" s="238" t="s">
        <v>52</v>
      </c>
      <c r="AI20" s="238">
        <v>1</v>
      </c>
      <c r="AJ20" s="242" t="s">
        <v>3</v>
      </c>
      <c r="AK20" s="238" t="s">
        <v>38</v>
      </c>
      <c r="AL20" s="238" t="s">
        <v>38</v>
      </c>
      <c r="AM20" s="239" t="s">
        <v>52</v>
      </c>
      <c r="AN20" s="239" t="s">
        <v>0</v>
      </c>
      <c r="AO20" s="241" t="s">
        <v>40</v>
      </c>
      <c r="AP20" s="45">
        <v>0</v>
      </c>
      <c r="AQ20" s="46">
        <f t="shared" si="1"/>
        <v>0</v>
      </c>
      <c r="AR20" s="46">
        <v>0</v>
      </c>
      <c r="AS20" s="41">
        <f t="shared" si="31"/>
        <v>0</v>
      </c>
      <c r="AT20" s="329" t="s">
        <v>128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</row>
    <row r="21" spans="1:226" ht="25.5" customHeight="1">
      <c r="A21" s="38">
        <f>COUNTIF(K21:AO21,1)+COUNTIF(K21:AO21,"早")+COUNTIF(K21:AO21,"M1")+COUNTIF(K21:AO21,"T早")+COUNTIF(K21:AO21,"日")</f>
        <v>7</v>
      </c>
      <c r="B21" s="39">
        <f>COUNTIF(K21:AO21,2)+COUNTIF(K21:AO21,"中")+COUNTIF(K21:AO21,"M2")+COUNTIF(K21:AO21,"T中")+COUNTIF(K21:AO21,"小夜")</f>
        <v>7</v>
      </c>
      <c r="C21" s="40">
        <f>COUNTIF(K21:AO21,3)+COUNTIF(K21:AO21,"晚")+COUNTIF(K21:AO21,"大夜")</f>
        <v>4</v>
      </c>
      <c r="D21" s="39">
        <f>COUNTIF(K21:AO21,"N")+COUNTIF(K21:AO21,"N8")</f>
        <v>1</v>
      </c>
      <c r="E21" s="41">
        <f>COUNTIF(K21:AO21,"S")</f>
        <v>2</v>
      </c>
      <c r="F21" s="41">
        <f>COUNTIF(K21:AO21,"X")</f>
        <v>5</v>
      </c>
      <c r="G21" s="41">
        <f>COUNTIF(K21:AO21,"Y")</f>
        <v>5</v>
      </c>
      <c r="H21" s="41">
        <f>COUNTIF(K21:AO21,"Z")</f>
        <v>0</v>
      </c>
      <c r="I21" s="42">
        <f t="shared" si="0"/>
        <v>31</v>
      </c>
      <c r="J21" s="192" t="s">
        <v>12</v>
      </c>
      <c r="K21" s="237" t="s">
        <v>52</v>
      </c>
      <c r="L21" s="234" t="s">
        <v>1</v>
      </c>
      <c r="M21" s="239" t="s">
        <v>0</v>
      </c>
      <c r="N21" s="238" t="s">
        <v>52</v>
      </c>
      <c r="O21" s="238" t="s">
        <v>40</v>
      </c>
      <c r="P21" s="238" t="s">
        <v>40</v>
      </c>
      <c r="Q21" s="238" t="s">
        <v>0</v>
      </c>
      <c r="R21" s="238" t="s">
        <v>38</v>
      </c>
      <c r="S21" s="238" t="s">
        <v>38</v>
      </c>
      <c r="T21" s="238" t="s">
        <v>52</v>
      </c>
      <c r="U21" s="238">
        <v>2</v>
      </c>
      <c r="V21" s="238">
        <v>2</v>
      </c>
      <c r="W21" s="238">
        <v>2</v>
      </c>
      <c r="X21" s="238" t="s">
        <v>0</v>
      </c>
      <c r="Y21" s="238" t="s">
        <v>36</v>
      </c>
      <c r="Z21" s="238" t="s">
        <v>36</v>
      </c>
      <c r="AA21" s="238" t="s">
        <v>36</v>
      </c>
      <c r="AB21" s="238" t="s">
        <v>0</v>
      </c>
      <c r="AC21" s="242" t="s">
        <v>3</v>
      </c>
      <c r="AD21" s="238">
        <v>2</v>
      </c>
      <c r="AE21" s="238">
        <v>2</v>
      </c>
      <c r="AF21" s="239" t="s">
        <v>52</v>
      </c>
      <c r="AG21" s="234" t="s">
        <v>1</v>
      </c>
      <c r="AH21" s="238" t="s">
        <v>36</v>
      </c>
      <c r="AI21" s="238" t="s">
        <v>36</v>
      </c>
      <c r="AJ21" s="238" t="s">
        <v>36</v>
      </c>
      <c r="AK21" s="238" t="s">
        <v>36</v>
      </c>
      <c r="AL21" s="238" t="s">
        <v>52</v>
      </c>
      <c r="AM21" s="238">
        <v>3</v>
      </c>
      <c r="AN21" s="238">
        <v>3</v>
      </c>
      <c r="AO21" s="397" t="s">
        <v>0</v>
      </c>
      <c r="AP21" s="45">
        <v>0</v>
      </c>
      <c r="AQ21" s="46">
        <f t="shared" si="1"/>
        <v>0</v>
      </c>
      <c r="AR21" s="46">
        <v>0</v>
      </c>
      <c r="AS21" s="41">
        <f t="shared" si="31"/>
        <v>0</v>
      </c>
      <c r="AT21" s="329" t="s">
        <v>126</v>
      </c>
    </row>
    <row r="22" spans="1:226" ht="25.5" customHeight="1">
      <c r="A22" s="38">
        <f t="shared" si="23"/>
        <v>3</v>
      </c>
      <c r="B22" s="39">
        <f t="shared" si="24"/>
        <v>0</v>
      </c>
      <c r="C22" s="40">
        <f t="shared" si="25"/>
        <v>16</v>
      </c>
      <c r="D22" s="39">
        <f t="shared" si="26"/>
        <v>0</v>
      </c>
      <c r="E22" s="41">
        <f t="shared" si="27"/>
        <v>2</v>
      </c>
      <c r="F22" s="41">
        <f t="shared" si="28"/>
        <v>5</v>
      </c>
      <c r="G22" s="41">
        <f t="shared" si="29"/>
        <v>5</v>
      </c>
      <c r="H22" s="41">
        <f t="shared" si="30"/>
        <v>0</v>
      </c>
      <c r="I22" s="42">
        <f t="shared" si="0"/>
        <v>31</v>
      </c>
      <c r="J22" s="190" t="s">
        <v>13</v>
      </c>
      <c r="K22" s="237" t="s">
        <v>52</v>
      </c>
      <c r="L22" s="239" t="s">
        <v>0</v>
      </c>
      <c r="M22" s="238" t="s">
        <v>40</v>
      </c>
      <c r="N22" s="238" t="s">
        <v>40</v>
      </c>
      <c r="O22" s="238" t="s">
        <v>40</v>
      </c>
      <c r="P22" s="238" t="s">
        <v>52</v>
      </c>
      <c r="Q22" s="238">
        <v>3</v>
      </c>
      <c r="R22" s="238">
        <v>3</v>
      </c>
      <c r="S22" s="238">
        <v>3</v>
      </c>
      <c r="T22" s="238" t="s">
        <v>40</v>
      </c>
      <c r="U22" s="238" t="s">
        <v>40</v>
      </c>
      <c r="V22" s="238" t="s">
        <v>0</v>
      </c>
      <c r="W22" s="238" t="s">
        <v>40</v>
      </c>
      <c r="X22" s="238" t="s">
        <v>40</v>
      </c>
      <c r="Y22" s="239" t="s">
        <v>52</v>
      </c>
      <c r="Z22" s="234" t="s">
        <v>1</v>
      </c>
      <c r="AA22" s="239" t="s">
        <v>0</v>
      </c>
      <c r="AB22" s="238" t="s">
        <v>40</v>
      </c>
      <c r="AC22" s="238" t="s">
        <v>40</v>
      </c>
      <c r="AD22" s="238" t="s">
        <v>40</v>
      </c>
      <c r="AE22" s="238" t="s">
        <v>52</v>
      </c>
      <c r="AF22" s="238" t="s">
        <v>36</v>
      </c>
      <c r="AG22" s="238" t="s">
        <v>36</v>
      </c>
      <c r="AH22" s="238" t="s">
        <v>36</v>
      </c>
      <c r="AI22" s="234" t="s">
        <v>1</v>
      </c>
      <c r="AJ22" s="234" t="s">
        <v>0</v>
      </c>
      <c r="AK22" s="238" t="s">
        <v>40</v>
      </c>
      <c r="AL22" s="238" t="s">
        <v>40</v>
      </c>
      <c r="AM22" s="239" t="s">
        <v>52</v>
      </c>
      <c r="AN22" s="239" t="s">
        <v>0</v>
      </c>
      <c r="AO22" s="241">
        <v>3</v>
      </c>
      <c r="AP22" s="45">
        <v>0</v>
      </c>
      <c r="AQ22" s="46">
        <f t="shared" si="1"/>
        <v>0</v>
      </c>
      <c r="AR22" s="46">
        <v>0</v>
      </c>
      <c r="AS22" s="41">
        <f t="shared" si="31"/>
        <v>0</v>
      </c>
      <c r="AT22" s="329" t="s">
        <v>128</v>
      </c>
    </row>
    <row r="23" spans="1:226" s="50" customFormat="1" ht="25.5" customHeight="1">
      <c r="A23" s="38">
        <f t="shared" si="23"/>
        <v>5</v>
      </c>
      <c r="B23" s="39">
        <f t="shared" si="24"/>
        <v>8</v>
      </c>
      <c r="C23" s="40">
        <f t="shared" si="25"/>
        <v>8</v>
      </c>
      <c r="D23" s="39">
        <f t="shared" si="26"/>
        <v>0</v>
      </c>
      <c r="E23" s="41">
        <f t="shared" si="27"/>
        <v>0</v>
      </c>
      <c r="F23" s="41">
        <f t="shared" si="28"/>
        <v>5</v>
      </c>
      <c r="G23" s="41">
        <f t="shared" si="29"/>
        <v>5</v>
      </c>
      <c r="H23" s="41">
        <f t="shared" si="30"/>
        <v>0</v>
      </c>
      <c r="I23" s="42">
        <f t="shared" si="0"/>
        <v>31</v>
      </c>
      <c r="J23" s="193" t="s">
        <v>138</v>
      </c>
      <c r="K23" s="245" t="s">
        <v>38</v>
      </c>
      <c r="L23" s="238" t="s">
        <v>38</v>
      </c>
      <c r="M23" s="238" t="s">
        <v>38</v>
      </c>
      <c r="N23" s="238" t="s">
        <v>38</v>
      </c>
      <c r="O23" s="238" t="s">
        <v>52</v>
      </c>
      <c r="P23" s="238" t="s">
        <v>40</v>
      </c>
      <c r="Q23" s="238" t="s">
        <v>40</v>
      </c>
      <c r="R23" s="239" t="s">
        <v>52</v>
      </c>
      <c r="S23" s="239" t="s">
        <v>0</v>
      </c>
      <c r="T23" s="238" t="s">
        <v>0</v>
      </c>
      <c r="U23" s="238" t="s">
        <v>40</v>
      </c>
      <c r="V23" s="238" t="s">
        <v>40</v>
      </c>
      <c r="W23" s="238" t="s">
        <v>0</v>
      </c>
      <c r="X23" s="238" t="s">
        <v>52</v>
      </c>
      <c r="Y23" s="238" t="s">
        <v>36</v>
      </c>
      <c r="Z23" s="238" t="s">
        <v>36</v>
      </c>
      <c r="AA23" s="238" t="s">
        <v>0</v>
      </c>
      <c r="AB23" s="238" t="s">
        <v>40</v>
      </c>
      <c r="AC23" s="238" t="s">
        <v>40</v>
      </c>
      <c r="AD23" s="238" t="s">
        <v>40</v>
      </c>
      <c r="AE23" s="238" t="s">
        <v>40</v>
      </c>
      <c r="AF23" s="239" t="s">
        <v>52</v>
      </c>
      <c r="AG23" s="239" t="s">
        <v>0</v>
      </c>
      <c r="AH23" s="238" t="s">
        <v>38</v>
      </c>
      <c r="AI23" s="238" t="s">
        <v>38</v>
      </c>
      <c r="AJ23" s="238" t="s">
        <v>38</v>
      </c>
      <c r="AK23" s="238" t="s">
        <v>52</v>
      </c>
      <c r="AL23" s="238" t="s">
        <v>36</v>
      </c>
      <c r="AM23" s="238" t="s">
        <v>36</v>
      </c>
      <c r="AN23" s="238" t="s">
        <v>36</v>
      </c>
      <c r="AO23" s="241">
        <v>2</v>
      </c>
      <c r="AP23" s="45">
        <v>0</v>
      </c>
      <c r="AQ23" s="46">
        <f t="shared" si="1"/>
        <v>0</v>
      </c>
      <c r="AR23" s="46">
        <v>0</v>
      </c>
      <c r="AS23" s="41">
        <f t="shared" si="31"/>
        <v>0</v>
      </c>
      <c r="AT23" s="329" t="s">
        <v>126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</row>
    <row r="24" spans="1:226" s="50" customFormat="1" ht="25.5" customHeight="1">
      <c r="A24" s="38">
        <f t="shared" si="23"/>
        <v>13</v>
      </c>
      <c r="B24" s="39">
        <f t="shared" si="24"/>
        <v>0</v>
      </c>
      <c r="C24" s="40">
        <f t="shared" si="25"/>
        <v>0</v>
      </c>
      <c r="D24" s="39">
        <f t="shared" si="26"/>
        <v>8</v>
      </c>
      <c r="E24" s="41">
        <f t="shared" si="27"/>
        <v>0</v>
      </c>
      <c r="F24" s="41">
        <f t="shared" si="28"/>
        <v>5</v>
      </c>
      <c r="G24" s="41">
        <f t="shared" si="29"/>
        <v>5</v>
      </c>
      <c r="H24" s="41">
        <f t="shared" si="30"/>
        <v>0</v>
      </c>
      <c r="I24" s="42">
        <f t="shared" si="0"/>
        <v>31</v>
      </c>
      <c r="J24" s="194" t="s">
        <v>165</v>
      </c>
      <c r="K24" s="237" t="s">
        <v>52</v>
      </c>
      <c r="L24" s="239" t="s">
        <v>0</v>
      </c>
      <c r="M24" s="238">
        <v>1</v>
      </c>
      <c r="N24" s="242" t="s">
        <v>3</v>
      </c>
      <c r="O24" s="238">
        <v>1</v>
      </c>
      <c r="P24" s="238">
        <v>1</v>
      </c>
      <c r="Q24" s="238" t="s">
        <v>3</v>
      </c>
      <c r="R24" s="239" t="s">
        <v>52</v>
      </c>
      <c r="S24" s="239" t="s">
        <v>0</v>
      </c>
      <c r="T24" s="238">
        <v>1</v>
      </c>
      <c r="U24" s="242" t="s">
        <v>3</v>
      </c>
      <c r="V24" s="242" t="s">
        <v>3</v>
      </c>
      <c r="W24" s="238">
        <v>1</v>
      </c>
      <c r="X24" s="238">
        <v>1</v>
      </c>
      <c r="Y24" s="239" t="s">
        <v>52</v>
      </c>
      <c r="Z24" s="239" t="s">
        <v>0</v>
      </c>
      <c r="AA24" s="238">
        <v>1</v>
      </c>
      <c r="AB24" s="242" t="s">
        <v>3</v>
      </c>
      <c r="AC24" s="242" t="s">
        <v>3</v>
      </c>
      <c r="AD24" s="238">
        <v>1</v>
      </c>
      <c r="AE24" s="238" t="s">
        <v>3</v>
      </c>
      <c r="AF24" s="239" t="s">
        <v>52</v>
      </c>
      <c r="AG24" s="239" t="s">
        <v>0</v>
      </c>
      <c r="AH24" s="238">
        <v>1</v>
      </c>
      <c r="AI24" s="238">
        <v>1</v>
      </c>
      <c r="AJ24" s="242" t="s">
        <v>3</v>
      </c>
      <c r="AK24" s="238">
        <v>1</v>
      </c>
      <c r="AL24" s="238">
        <v>1</v>
      </c>
      <c r="AM24" s="239" t="s">
        <v>52</v>
      </c>
      <c r="AN24" s="239" t="s">
        <v>0</v>
      </c>
      <c r="AO24" s="241">
        <v>1</v>
      </c>
      <c r="AP24" s="45">
        <v>0</v>
      </c>
      <c r="AQ24" s="46">
        <f t="shared" si="1"/>
        <v>0</v>
      </c>
      <c r="AR24" s="46">
        <v>0</v>
      </c>
      <c r="AS24" s="41">
        <f t="shared" si="31"/>
        <v>0</v>
      </c>
      <c r="AT24" s="329" t="s">
        <v>133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</row>
    <row r="25" spans="1:226" s="50" customFormat="1" ht="25.5" customHeight="1">
      <c r="A25" s="38">
        <f>COUNTIF(K25:AO25,1)+COUNTIF(K25:AO25,"早")+COUNTIF(K25:AO25,"M1")+COUNTIF(K25:AO25,"T早")+COUNTIF(K25:AO25,"日")</f>
        <v>9</v>
      </c>
      <c r="B25" s="39">
        <f>COUNTIF(K25:AO25,2)+COUNTIF(K25:AO25,"中")+COUNTIF(K25:AO25,"M2")+COUNTIF(K25:AO25,"T中")+COUNTIF(K25:AO25,"小夜")</f>
        <v>7</v>
      </c>
      <c r="C25" s="40">
        <f>COUNTIF(K25:AO25,3)+COUNTIF(K25:AO25,"晚")+COUNTIF(K25:AO25,"大夜")</f>
        <v>5</v>
      </c>
      <c r="D25" s="39">
        <f>COUNTIF(K25:AO25,"N")+COUNTIF(K25:AO25,"N8")</f>
        <v>0</v>
      </c>
      <c r="E25" s="41">
        <f>COUNTIF(K25:AO25,"S")</f>
        <v>0</v>
      </c>
      <c r="F25" s="41">
        <f>COUNTIF(K25:AO25,"X")</f>
        <v>5</v>
      </c>
      <c r="G25" s="41">
        <f>COUNTIF(K25:AO25,"Y")</f>
        <v>5</v>
      </c>
      <c r="H25" s="41">
        <f>COUNTIF(K25:AO25,"Z")</f>
        <v>0</v>
      </c>
      <c r="I25" s="42">
        <f t="shared" si="0"/>
        <v>31</v>
      </c>
      <c r="J25" s="194" t="s">
        <v>16</v>
      </c>
      <c r="K25" s="245" t="s">
        <v>36</v>
      </c>
      <c r="L25" s="238" t="s">
        <v>36</v>
      </c>
      <c r="M25" s="238" t="s">
        <v>36</v>
      </c>
      <c r="N25" s="238">
        <v>2</v>
      </c>
      <c r="O25" s="238" t="s">
        <v>0</v>
      </c>
      <c r="P25" s="238" t="s">
        <v>36</v>
      </c>
      <c r="Q25" s="238" t="s">
        <v>36</v>
      </c>
      <c r="R25" s="239" t="s">
        <v>52</v>
      </c>
      <c r="S25" s="239" t="s">
        <v>0</v>
      </c>
      <c r="T25" s="234" t="s">
        <v>0</v>
      </c>
      <c r="U25" s="238" t="s">
        <v>40</v>
      </c>
      <c r="V25" s="238" t="s">
        <v>40</v>
      </c>
      <c r="W25" s="238" t="s">
        <v>40</v>
      </c>
      <c r="X25" s="238" t="s">
        <v>52</v>
      </c>
      <c r="Y25" s="238" t="s">
        <v>38</v>
      </c>
      <c r="Z25" s="238" t="s">
        <v>38</v>
      </c>
      <c r="AA25" s="238" t="s">
        <v>38</v>
      </c>
      <c r="AB25" s="238" t="s">
        <v>38</v>
      </c>
      <c r="AC25" s="238" t="s">
        <v>52</v>
      </c>
      <c r="AD25" s="238" t="s">
        <v>38</v>
      </c>
      <c r="AE25" s="238" t="s">
        <v>38</v>
      </c>
      <c r="AF25" s="239" t="s">
        <v>52</v>
      </c>
      <c r="AG25" s="239" t="s">
        <v>0</v>
      </c>
      <c r="AH25" s="238" t="s">
        <v>40</v>
      </c>
      <c r="AI25" s="238" t="s">
        <v>40</v>
      </c>
      <c r="AJ25" s="238" t="s">
        <v>52</v>
      </c>
      <c r="AK25" s="238" t="s">
        <v>0</v>
      </c>
      <c r="AL25" s="238" t="s">
        <v>36</v>
      </c>
      <c r="AM25" s="238" t="s">
        <v>36</v>
      </c>
      <c r="AN25" s="238" t="s">
        <v>36</v>
      </c>
      <c r="AO25" s="241" t="s">
        <v>36</v>
      </c>
      <c r="AP25" s="45">
        <v>0</v>
      </c>
      <c r="AQ25" s="46">
        <f t="shared" si="1"/>
        <v>0</v>
      </c>
      <c r="AR25" s="46">
        <v>0</v>
      </c>
      <c r="AS25" s="41">
        <f t="shared" si="31"/>
        <v>0</v>
      </c>
      <c r="AT25" s="329" t="s">
        <v>126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</row>
    <row r="26" spans="1:226" s="50" customFormat="1" ht="27" customHeight="1">
      <c r="A26" s="38">
        <f t="shared" ref="A26:A28" si="32">COUNTIF(K26:AO26,1)+COUNTIF(K26:AO26,"早")+COUNTIF(K26:AO26,"M1")+COUNTIF(K26:AO26,"T早")+COUNTIF(K26:AO26,"日")</f>
        <v>4</v>
      </c>
      <c r="B26" s="39">
        <f t="shared" ref="B26:B28" si="33">COUNTIF(K26:AO26,2)+COUNTIF(K26:AO26,"中")+COUNTIF(K26:AO26,"M2")+COUNTIF(K26:AO26,"T中")+COUNTIF(K26:AO26,"小夜")</f>
        <v>1</v>
      </c>
      <c r="C26" s="40">
        <f t="shared" ref="C26:C28" si="34">COUNTIF(K26:AO26,3)+COUNTIF(K26:AO26,"晚")+COUNTIF(K26:AO26,"大夜")</f>
        <v>14</v>
      </c>
      <c r="D26" s="39">
        <f t="shared" ref="D26:D28" si="35">COUNTIF(K26:AO26,"N")+COUNTIF(K26:AO26,"N8")</f>
        <v>2</v>
      </c>
      <c r="E26" s="41">
        <f t="shared" ref="E26:E28" si="36">COUNTIF(K26:AO26,"S")</f>
        <v>0</v>
      </c>
      <c r="F26" s="41">
        <f t="shared" ref="F26:F28" si="37">COUNTIF(K26:AO26,"X")</f>
        <v>5</v>
      </c>
      <c r="G26" s="41">
        <f t="shared" ref="G26:G28" si="38">COUNTIF(K26:AO26,"Y")</f>
        <v>5</v>
      </c>
      <c r="H26" s="41">
        <f t="shared" ref="H26:H28" si="39">COUNTIF(K26:AO26,"Z")</f>
        <v>0</v>
      </c>
      <c r="I26" s="42">
        <f t="shared" si="0"/>
        <v>31</v>
      </c>
      <c r="J26" s="194" t="s">
        <v>139</v>
      </c>
      <c r="K26" s="245">
        <v>2</v>
      </c>
      <c r="L26" s="238" t="s">
        <v>52</v>
      </c>
      <c r="M26" s="238">
        <v>3</v>
      </c>
      <c r="N26" s="238">
        <v>3</v>
      </c>
      <c r="O26" s="238">
        <v>3</v>
      </c>
      <c r="P26" s="238">
        <v>3</v>
      </c>
      <c r="Q26" s="234" t="s">
        <v>0</v>
      </c>
      <c r="R26" s="239" t="s">
        <v>52</v>
      </c>
      <c r="S26" s="239" t="s">
        <v>0</v>
      </c>
      <c r="T26" s="238">
        <v>1</v>
      </c>
      <c r="U26" s="238">
        <v>1</v>
      </c>
      <c r="V26" s="242" t="s">
        <v>3</v>
      </c>
      <c r="W26" s="242" t="s">
        <v>3</v>
      </c>
      <c r="X26" s="238" t="s">
        <v>52</v>
      </c>
      <c r="Y26" s="238">
        <v>3</v>
      </c>
      <c r="Z26" s="238">
        <v>3</v>
      </c>
      <c r="AA26" s="238">
        <v>3</v>
      </c>
      <c r="AB26" s="238">
        <v>3</v>
      </c>
      <c r="AC26" s="238">
        <v>3</v>
      </c>
      <c r="AD26" s="238">
        <v>3</v>
      </c>
      <c r="AE26" s="234" t="s">
        <v>0</v>
      </c>
      <c r="AF26" s="239" t="s">
        <v>52</v>
      </c>
      <c r="AG26" s="239" t="s">
        <v>0</v>
      </c>
      <c r="AH26" s="238">
        <v>3</v>
      </c>
      <c r="AI26" s="238">
        <v>3</v>
      </c>
      <c r="AJ26" s="238">
        <v>3</v>
      </c>
      <c r="AK26" s="238">
        <v>3</v>
      </c>
      <c r="AL26" s="238" t="s">
        <v>52</v>
      </c>
      <c r="AM26" s="238">
        <v>1</v>
      </c>
      <c r="AN26" s="238">
        <v>1</v>
      </c>
      <c r="AO26" s="241" t="s">
        <v>0</v>
      </c>
      <c r="AP26" s="45">
        <v>0</v>
      </c>
      <c r="AQ26" s="46">
        <f t="shared" si="1"/>
        <v>0</v>
      </c>
      <c r="AR26" s="46">
        <v>0</v>
      </c>
      <c r="AS26" s="41">
        <f t="shared" si="31"/>
        <v>0</v>
      </c>
      <c r="AT26" s="329" t="s">
        <v>126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</row>
    <row r="27" spans="1:226" s="50" customFormat="1" ht="25.5" customHeight="1">
      <c r="A27" s="38">
        <f t="shared" si="32"/>
        <v>0</v>
      </c>
      <c r="B27" s="39">
        <f t="shared" si="33"/>
        <v>3</v>
      </c>
      <c r="C27" s="40">
        <f t="shared" si="34"/>
        <v>18</v>
      </c>
      <c r="D27" s="39">
        <f t="shared" si="35"/>
        <v>0</v>
      </c>
      <c r="E27" s="41">
        <f t="shared" si="36"/>
        <v>0</v>
      </c>
      <c r="F27" s="41">
        <f t="shared" si="37"/>
        <v>5</v>
      </c>
      <c r="G27" s="41">
        <f t="shared" si="38"/>
        <v>5</v>
      </c>
      <c r="H27" s="41">
        <f t="shared" si="39"/>
        <v>0</v>
      </c>
      <c r="I27" s="42">
        <f t="shared" si="0"/>
        <v>31</v>
      </c>
      <c r="J27" s="194" t="s">
        <v>140</v>
      </c>
      <c r="K27" s="245">
        <v>3</v>
      </c>
      <c r="L27" s="238">
        <v>3</v>
      </c>
      <c r="M27" s="238">
        <v>3</v>
      </c>
      <c r="N27" s="238">
        <v>3</v>
      </c>
      <c r="O27" s="238" t="s">
        <v>0</v>
      </c>
      <c r="P27" s="238">
        <v>3</v>
      </c>
      <c r="Q27" s="238">
        <v>3</v>
      </c>
      <c r="R27" s="239" t="s">
        <v>52</v>
      </c>
      <c r="S27" s="239" t="s">
        <v>0</v>
      </c>
      <c r="T27" s="238">
        <v>3</v>
      </c>
      <c r="U27" s="238">
        <v>3</v>
      </c>
      <c r="V27" s="238">
        <v>3</v>
      </c>
      <c r="W27" s="238">
        <v>3</v>
      </c>
      <c r="X27" s="238">
        <v>3</v>
      </c>
      <c r="Y27" s="239" t="s">
        <v>52</v>
      </c>
      <c r="Z27" s="239" t="s">
        <v>0</v>
      </c>
      <c r="AA27" s="238">
        <v>3</v>
      </c>
      <c r="AB27" s="238">
        <v>3</v>
      </c>
      <c r="AC27" s="238" t="s">
        <v>0</v>
      </c>
      <c r="AD27" s="238" t="s">
        <v>52</v>
      </c>
      <c r="AE27" s="238">
        <v>3</v>
      </c>
      <c r="AF27" s="238">
        <v>3</v>
      </c>
      <c r="AG27" s="238">
        <v>3</v>
      </c>
      <c r="AH27" s="238">
        <v>3</v>
      </c>
      <c r="AI27" s="238" t="s">
        <v>52</v>
      </c>
      <c r="AJ27" s="238">
        <v>2</v>
      </c>
      <c r="AK27" s="240">
        <v>2</v>
      </c>
      <c r="AL27" s="238">
        <v>2</v>
      </c>
      <c r="AM27" s="239" t="s">
        <v>52</v>
      </c>
      <c r="AN27" s="239" t="s">
        <v>0</v>
      </c>
      <c r="AO27" s="241">
        <v>3</v>
      </c>
      <c r="AP27" s="62">
        <v>0</v>
      </c>
      <c r="AQ27" s="46">
        <f t="shared" si="1"/>
        <v>0</v>
      </c>
      <c r="AR27" s="46">
        <v>0</v>
      </c>
      <c r="AS27" s="41">
        <f t="shared" si="31"/>
        <v>0</v>
      </c>
      <c r="AT27" s="329" t="s">
        <v>128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</row>
    <row r="28" spans="1:226" s="50" customFormat="1" ht="25.5" customHeight="1">
      <c r="A28" s="38">
        <f t="shared" si="32"/>
        <v>3</v>
      </c>
      <c r="B28" s="39">
        <f t="shared" si="33"/>
        <v>10</v>
      </c>
      <c r="C28" s="40">
        <f t="shared" si="34"/>
        <v>7</v>
      </c>
      <c r="D28" s="39">
        <f t="shared" si="35"/>
        <v>0</v>
      </c>
      <c r="E28" s="41">
        <f t="shared" si="36"/>
        <v>0</v>
      </c>
      <c r="F28" s="41">
        <f t="shared" si="37"/>
        <v>5</v>
      </c>
      <c r="G28" s="41">
        <f t="shared" si="38"/>
        <v>6</v>
      </c>
      <c r="H28" s="41">
        <f t="shared" si="39"/>
        <v>0</v>
      </c>
      <c r="I28" s="42">
        <f t="shared" si="0"/>
        <v>31</v>
      </c>
      <c r="J28" s="194" t="s">
        <v>19</v>
      </c>
      <c r="K28" s="237" t="s">
        <v>52</v>
      </c>
      <c r="L28" s="239" t="s">
        <v>0</v>
      </c>
      <c r="M28" s="238">
        <v>3</v>
      </c>
      <c r="N28" s="238">
        <v>3</v>
      </c>
      <c r="O28" s="238">
        <v>3</v>
      </c>
      <c r="P28" s="238" t="s">
        <v>52</v>
      </c>
      <c r="Q28" s="234" t="s">
        <v>52</v>
      </c>
      <c r="R28" s="238">
        <v>2</v>
      </c>
      <c r="S28" s="238">
        <v>2</v>
      </c>
      <c r="T28" s="238">
        <v>2</v>
      </c>
      <c r="U28" s="238" t="s">
        <v>0</v>
      </c>
      <c r="V28" s="238">
        <v>2</v>
      </c>
      <c r="W28" s="238">
        <v>2</v>
      </c>
      <c r="X28" s="238">
        <v>2</v>
      </c>
      <c r="Y28" s="239" t="s">
        <v>52</v>
      </c>
      <c r="Z28" s="239" t="s">
        <v>0</v>
      </c>
      <c r="AA28" s="238" t="s">
        <v>0</v>
      </c>
      <c r="AB28" s="238">
        <v>1</v>
      </c>
      <c r="AC28" s="238">
        <v>1</v>
      </c>
      <c r="AD28" s="238">
        <v>2</v>
      </c>
      <c r="AE28" s="238">
        <v>2</v>
      </c>
      <c r="AF28" s="238">
        <v>2</v>
      </c>
      <c r="AG28" s="238">
        <v>2</v>
      </c>
      <c r="AH28" s="238" t="s">
        <v>52</v>
      </c>
      <c r="AI28" s="238">
        <v>3</v>
      </c>
      <c r="AJ28" s="238">
        <v>3</v>
      </c>
      <c r="AK28" s="238">
        <v>3</v>
      </c>
      <c r="AL28" s="238">
        <v>3</v>
      </c>
      <c r="AM28" s="239" t="s">
        <v>52</v>
      </c>
      <c r="AN28" s="239" t="s">
        <v>0</v>
      </c>
      <c r="AO28" s="241">
        <v>1</v>
      </c>
      <c r="AP28" s="62">
        <v>-1</v>
      </c>
      <c r="AQ28" s="46">
        <f t="shared" si="1"/>
        <v>1</v>
      </c>
      <c r="AR28" s="46">
        <v>0</v>
      </c>
      <c r="AS28" s="41">
        <f t="shared" si="31"/>
        <v>0</v>
      </c>
      <c r="AT28" s="329" t="s">
        <v>128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</row>
    <row r="29" spans="1:226" s="50" customFormat="1" ht="25.5" customHeight="1">
      <c r="A29" s="38">
        <f>COUNTIF(K29:AO29,1)+COUNTIF(K29:AO29,"早")+COUNTIF(K29:AO29,"M1")+COUNTIF(K29:AO29,"T早")+COUNTIF(K29:AO29,"日")</f>
        <v>9</v>
      </c>
      <c r="B29" s="39">
        <f>COUNTIF(K29:AO29,2)+COUNTIF(K29:AO29,"中")+COUNTIF(K29:AO29,"M2")+COUNTIF(K29:AO29,"T中")+COUNTIF(K29:AO29,"小夜")</f>
        <v>6</v>
      </c>
      <c r="C29" s="40">
        <f>COUNTIF(K29:AO29,3)+COUNTIF(K29:AO29,"晚")+COUNTIF(K29:AO29,"大夜")</f>
        <v>6</v>
      </c>
      <c r="D29" s="39">
        <f>COUNTIF(K29:AO29,"N")+COUNTIF(K29:AO29,"N8")</f>
        <v>0</v>
      </c>
      <c r="E29" s="41">
        <f>COUNTIF(K29:AO29,"S")</f>
        <v>0</v>
      </c>
      <c r="F29" s="41">
        <f>COUNTIF(K29:AO29,"X")</f>
        <v>5</v>
      </c>
      <c r="G29" s="41">
        <f>COUNTIF(K29:AO29,"Y")</f>
        <v>5</v>
      </c>
      <c r="H29" s="41">
        <f>COUNTIF(K29:AO29,"Z")</f>
        <v>0</v>
      </c>
      <c r="I29" s="42">
        <f t="shared" si="0"/>
        <v>31</v>
      </c>
      <c r="J29" s="194" t="s">
        <v>20</v>
      </c>
      <c r="K29" s="245">
        <v>1</v>
      </c>
      <c r="L29" s="238">
        <v>1</v>
      </c>
      <c r="M29" s="238" t="s">
        <v>0</v>
      </c>
      <c r="N29" s="238">
        <v>1</v>
      </c>
      <c r="O29" s="238">
        <v>1</v>
      </c>
      <c r="P29" s="238">
        <v>1</v>
      </c>
      <c r="Q29" s="238">
        <v>1</v>
      </c>
      <c r="R29" s="239" t="s">
        <v>52</v>
      </c>
      <c r="S29" s="239" t="s">
        <v>0</v>
      </c>
      <c r="T29" s="238">
        <v>3</v>
      </c>
      <c r="U29" s="238">
        <v>3</v>
      </c>
      <c r="V29" s="238">
        <v>3</v>
      </c>
      <c r="W29" s="238">
        <v>3</v>
      </c>
      <c r="X29" s="238" t="s">
        <v>52</v>
      </c>
      <c r="Y29" s="238">
        <v>1</v>
      </c>
      <c r="Z29" s="238">
        <v>1</v>
      </c>
      <c r="AA29" s="238">
        <v>1</v>
      </c>
      <c r="AB29" s="238" t="s">
        <v>0</v>
      </c>
      <c r="AC29" s="238" t="s">
        <v>0</v>
      </c>
      <c r="AD29" s="238">
        <v>3</v>
      </c>
      <c r="AE29" s="238">
        <v>3</v>
      </c>
      <c r="AF29" s="239" t="s">
        <v>52</v>
      </c>
      <c r="AG29" s="239" t="s">
        <v>0</v>
      </c>
      <c r="AH29" s="238">
        <v>2</v>
      </c>
      <c r="AI29" s="238">
        <v>2</v>
      </c>
      <c r="AJ29" s="238">
        <v>2</v>
      </c>
      <c r="AK29" s="238" t="s">
        <v>52</v>
      </c>
      <c r="AL29" s="238">
        <v>2</v>
      </c>
      <c r="AM29" s="238">
        <v>2</v>
      </c>
      <c r="AN29" s="238">
        <v>2</v>
      </c>
      <c r="AO29" s="241" t="s">
        <v>52</v>
      </c>
      <c r="AP29" s="62">
        <v>0</v>
      </c>
      <c r="AQ29" s="46">
        <f t="shared" si="1"/>
        <v>0</v>
      </c>
      <c r="AR29" s="46">
        <v>0</v>
      </c>
      <c r="AS29" s="41">
        <f>SUM(AP29:AR29)</f>
        <v>0</v>
      </c>
      <c r="AT29" s="329" t="s">
        <v>126</v>
      </c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</row>
    <row r="30" spans="1:226" s="50" customFormat="1" ht="25.5" customHeight="1">
      <c r="A30" s="54">
        <f t="shared" ref="A30:A32" si="40">COUNTIF(K30:AO30,1)+COUNTIF(K30:AO30,"早")+COUNTIF(K30:AO30,"M1")+COUNTIF(K30:AO30,"T早")+COUNTIF(K30:AO30,"日")</f>
        <v>6</v>
      </c>
      <c r="B30" s="55">
        <f t="shared" ref="B30:B32" si="41">COUNTIF(K30:AO30,2)+COUNTIF(K30:AO30,"中")+COUNTIF(K30:AO30,"M2")+COUNTIF(K30:AO30,"T中")+COUNTIF(K30:AO30,"小夜")</f>
        <v>14</v>
      </c>
      <c r="C30" s="56">
        <f t="shared" ref="C30:C32" si="42">COUNTIF(K30:AO30,3)+COUNTIF(K30:AO30,"晚")+COUNTIF(K30:AO30,"大夜")</f>
        <v>1</v>
      </c>
      <c r="D30" s="55">
        <f t="shared" ref="D30:D32" si="43">COUNTIF(K30:AO30,"N")+COUNTIF(K30:AO30,"N8")</f>
        <v>0</v>
      </c>
      <c r="E30" s="17">
        <f t="shared" ref="E30:E32" si="44">COUNTIF(K30:AO30,"S")</f>
        <v>0</v>
      </c>
      <c r="F30" s="17">
        <f t="shared" ref="F30:F32" si="45">COUNTIF(K30:AO30,"X")</f>
        <v>5</v>
      </c>
      <c r="G30" s="17">
        <f t="shared" ref="G30:G32" si="46">COUNTIF(K30:AO30,"Y")</f>
        <v>5</v>
      </c>
      <c r="H30" s="17">
        <f t="shared" ref="H30:H32" si="47">COUNTIF(K30:AO30,"Z")</f>
        <v>0</v>
      </c>
      <c r="I30" s="57">
        <f t="shared" si="0"/>
        <v>31</v>
      </c>
      <c r="J30" s="194" t="s">
        <v>21</v>
      </c>
      <c r="K30" s="245">
        <v>1</v>
      </c>
      <c r="L30" s="238">
        <v>1</v>
      </c>
      <c r="M30" s="238">
        <v>2</v>
      </c>
      <c r="N30" s="238" t="s">
        <v>52</v>
      </c>
      <c r="O30" s="238">
        <v>2</v>
      </c>
      <c r="P30" s="238">
        <v>2</v>
      </c>
      <c r="Q30" s="238">
        <v>2</v>
      </c>
      <c r="R30" s="239" t="s">
        <v>52</v>
      </c>
      <c r="S30" s="239" t="s">
        <v>0</v>
      </c>
      <c r="T30" s="238">
        <v>2</v>
      </c>
      <c r="U30" s="238">
        <v>2</v>
      </c>
      <c r="V30" s="238" t="s">
        <v>0</v>
      </c>
      <c r="W30" s="238" t="s">
        <v>52</v>
      </c>
      <c r="X30" s="238">
        <v>3</v>
      </c>
      <c r="Y30" s="238">
        <v>2</v>
      </c>
      <c r="Z30" s="238">
        <v>2</v>
      </c>
      <c r="AA30" s="238">
        <v>2</v>
      </c>
      <c r="AB30" s="238">
        <v>2</v>
      </c>
      <c r="AC30" s="238" t="s">
        <v>0</v>
      </c>
      <c r="AD30" s="238">
        <v>1</v>
      </c>
      <c r="AE30" s="238">
        <v>1</v>
      </c>
      <c r="AF30" s="239" t="s">
        <v>52</v>
      </c>
      <c r="AG30" s="239" t="s">
        <v>0</v>
      </c>
      <c r="AH30" s="238">
        <v>1</v>
      </c>
      <c r="AI30" s="238">
        <v>2</v>
      </c>
      <c r="AJ30" s="238" t="s">
        <v>0</v>
      </c>
      <c r="AK30" s="238" t="s">
        <v>52</v>
      </c>
      <c r="AL30" s="238">
        <v>1</v>
      </c>
      <c r="AM30" s="238">
        <v>2</v>
      </c>
      <c r="AN30" s="238">
        <v>2</v>
      </c>
      <c r="AO30" s="241">
        <v>2</v>
      </c>
      <c r="AP30" s="62">
        <v>0</v>
      </c>
      <c r="AQ30" s="46">
        <f t="shared" si="1"/>
        <v>0</v>
      </c>
      <c r="AR30" s="46">
        <v>0</v>
      </c>
      <c r="AS30" s="41">
        <f t="shared" ref="AS30:AS32" si="48">SUM(AP30:AR30)</f>
        <v>0</v>
      </c>
      <c r="AT30" s="329" t="s">
        <v>126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</row>
    <row r="31" spans="1:226" s="50" customFormat="1" ht="25.5" customHeight="1">
      <c r="A31" s="54">
        <f t="shared" si="40"/>
        <v>21</v>
      </c>
      <c r="B31" s="55">
        <f t="shared" si="41"/>
        <v>0</v>
      </c>
      <c r="C31" s="56">
        <f t="shared" si="42"/>
        <v>0</v>
      </c>
      <c r="D31" s="55">
        <f t="shared" si="43"/>
        <v>0</v>
      </c>
      <c r="E31" s="17">
        <f t="shared" si="44"/>
        <v>0</v>
      </c>
      <c r="F31" s="17">
        <f t="shared" si="45"/>
        <v>5</v>
      </c>
      <c r="G31" s="17">
        <f t="shared" si="46"/>
        <v>5</v>
      </c>
      <c r="H31" s="17">
        <f t="shared" si="47"/>
        <v>0</v>
      </c>
      <c r="I31" s="57">
        <f t="shared" si="0"/>
        <v>31</v>
      </c>
      <c r="J31" s="194" t="s">
        <v>166</v>
      </c>
      <c r="K31" s="237" t="s">
        <v>52</v>
      </c>
      <c r="L31" s="239" t="s">
        <v>0</v>
      </c>
      <c r="M31" s="238">
        <v>1</v>
      </c>
      <c r="N31" s="238">
        <v>1</v>
      </c>
      <c r="O31" s="238">
        <v>1</v>
      </c>
      <c r="P31" s="238">
        <v>1</v>
      </c>
      <c r="Q31" s="238">
        <v>1</v>
      </c>
      <c r="R31" s="239" t="s">
        <v>52</v>
      </c>
      <c r="S31" s="239" t="s">
        <v>0</v>
      </c>
      <c r="T31" s="238">
        <v>1</v>
      </c>
      <c r="U31" s="238">
        <v>1</v>
      </c>
      <c r="V31" s="238">
        <v>1</v>
      </c>
      <c r="W31" s="238">
        <v>1</v>
      </c>
      <c r="X31" s="238">
        <v>1</v>
      </c>
      <c r="Y31" s="239" t="s">
        <v>52</v>
      </c>
      <c r="Z31" s="239" t="s">
        <v>0</v>
      </c>
      <c r="AA31" s="238">
        <v>1</v>
      </c>
      <c r="AB31" s="238">
        <v>1</v>
      </c>
      <c r="AC31" s="238">
        <v>1</v>
      </c>
      <c r="AD31" s="238">
        <v>1</v>
      </c>
      <c r="AE31" s="238">
        <v>1</v>
      </c>
      <c r="AF31" s="239" t="s">
        <v>52</v>
      </c>
      <c r="AG31" s="239" t="s">
        <v>0</v>
      </c>
      <c r="AH31" s="238">
        <v>1</v>
      </c>
      <c r="AI31" s="238">
        <v>1</v>
      </c>
      <c r="AJ31" s="238">
        <v>1</v>
      </c>
      <c r="AK31" s="238">
        <v>1</v>
      </c>
      <c r="AL31" s="238">
        <v>1</v>
      </c>
      <c r="AM31" s="239" t="s">
        <v>52</v>
      </c>
      <c r="AN31" s="239" t="s">
        <v>0</v>
      </c>
      <c r="AO31" s="241">
        <v>1</v>
      </c>
      <c r="AP31" s="45">
        <v>0</v>
      </c>
      <c r="AQ31" s="46">
        <f t="shared" si="1"/>
        <v>0</v>
      </c>
      <c r="AR31" s="46">
        <v>0</v>
      </c>
      <c r="AS31" s="41">
        <f t="shared" si="48"/>
        <v>0</v>
      </c>
      <c r="AT31" s="329" t="s">
        <v>133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</row>
    <row r="32" spans="1:226" s="50" customFormat="1" ht="25.5" customHeight="1" thickBot="1">
      <c r="A32" s="54">
        <f t="shared" si="40"/>
        <v>21</v>
      </c>
      <c r="B32" s="55">
        <f t="shared" si="41"/>
        <v>0</v>
      </c>
      <c r="C32" s="56">
        <f t="shared" si="42"/>
        <v>0</v>
      </c>
      <c r="D32" s="55">
        <f t="shared" si="43"/>
        <v>0</v>
      </c>
      <c r="E32" s="17">
        <f t="shared" si="44"/>
        <v>0</v>
      </c>
      <c r="F32" s="17">
        <f t="shared" si="45"/>
        <v>5</v>
      </c>
      <c r="G32" s="17">
        <f t="shared" si="46"/>
        <v>5</v>
      </c>
      <c r="H32" s="17">
        <f t="shared" si="47"/>
        <v>0</v>
      </c>
      <c r="I32" s="57">
        <f t="shared" si="0"/>
        <v>31</v>
      </c>
      <c r="J32" s="195" t="s">
        <v>167</v>
      </c>
      <c r="K32" s="262" t="s">
        <v>52</v>
      </c>
      <c r="L32" s="249" t="s">
        <v>0</v>
      </c>
      <c r="M32" s="248">
        <v>1</v>
      </c>
      <c r="N32" s="248">
        <v>1</v>
      </c>
      <c r="O32" s="248">
        <v>1</v>
      </c>
      <c r="P32" s="248">
        <v>1</v>
      </c>
      <c r="Q32" s="248">
        <v>1</v>
      </c>
      <c r="R32" s="249" t="s">
        <v>52</v>
      </c>
      <c r="S32" s="249" t="s">
        <v>0</v>
      </c>
      <c r="T32" s="248">
        <v>1</v>
      </c>
      <c r="U32" s="248">
        <v>1</v>
      </c>
      <c r="V32" s="248">
        <v>1</v>
      </c>
      <c r="W32" s="248">
        <v>1</v>
      </c>
      <c r="X32" s="248">
        <v>1</v>
      </c>
      <c r="Y32" s="249" t="s">
        <v>52</v>
      </c>
      <c r="Z32" s="249" t="s">
        <v>0</v>
      </c>
      <c r="AA32" s="248">
        <v>1</v>
      </c>
      <c r="AB32" s="248">
        <v>1</v>
      </c>
      <c r="AC32" s="248">
        <v>1</v>
      </c>
      <c r="AD32" s="248">
        <v>1</v>
      </c>
      <c r="AE32" s="248">
        <v>1</v>
      </c>
      <c r="AF32" s="249" t="s">
        <v>52</v>
      </c>
      <c r="AG32" s="249" t="s">
        <v>0</v>
      </c>
      <c r="AH32" s="248">
        <v>1</v>
      </c>
      <c r="AI32" s="248">
        <v>1</v>
      </c>
      <c r="AJ32" s="248">
        <v>1</v>
      </c>
      <c r="AK32" s="248">
        <v>1</v>
      </c>
      <c r="AL32" s="248">
        <v>1</v>
      </c>
      <c r="AM32" s="249" t="s">
        <v>52</v>
      </c>
      <c r="AN32" s="249" t="s">
        <v>0</v>
      </c>
      <c r="AO32" s="252">
        <v>1</v>
      </c>
      <c r="AP32" s="73">
        <v>0</v>
      </c>
      <c r="AQ32" s="74">
        <f t="shared" si="1"/>
        <v>0</v>
      </c>
      <c r="AR32" s="74">
        <v>0</v>
      </c>
      <c r="AS32" s="63">
        <f t="shared" si="48"/>
        <v>0</v>
      </c>
      <c r="AT32" s="330" t="s">
        <v>133</v>
      </c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</row>
    <row r="33" spans="1:226" s="50" customFormat="1" ht="25.5" customHeight="1">
      <c r="A33" s="23">
        <f t="shared" si="23"/>
        <v>3</v>
      </c>
      <c r="B33" s="24">
        <f t="shared" si="24"/>
        <v>0</v>
      </c>
      <c r="C33" s="25">
        <f t="shared" si="25"/>
        <v>12</v>
      </c>
      <c r="D33" s="24">
        <f t="shared" si="26"/>
        <v>0</v>
      </c>
      <c r="E33" s="26">
        <f t="shared" si="27"/>
        <v>6</v>
      </c>
      <c r="F33" s="26">
        <f t="shared" si="28"/>
        <v>5</v>
      </c>
      <c r="G33" s="26">
        <f t="shared" si="29"/>
        <v>5</v>
      </c>
      <c r="H33" s="26">
        <f t="shared" si="30"/>
        <v>0</v>
      </c>
      <c r="I33" s="27">
        <f t="shared" si="0"/>
        <v>31</v>
      </c>
      <c r="J33" s="301" t="s">
        <v>22</v>
      </c>
      <c r="K33" s="253" t="s">
        <v>52</v>
      </c>
      <c r="L33" s="233" t="s">
        <v>0</v>
      </c>
      <c r="M33" s="254" t="s">
        <v>1</v>
      </c>
      <c r="N33" s="254" t="s">
        <v>1</v>
      </c>
      <c r="O33" s="254" t="s">
        <v>1</v>
      </c>
      <c r="P33" s="254" t="s">
        <v>1</v>
      </c>
      <c r="Q33" s="235" t="s">
        <v>0</v>
      </c>
      <c r="R33" s="235" t="s">
        <v>40</v>
      </c>
      <c r="S33" s="235" t="s">
        <v>40</v>
      </c>
      <c r="T33" s="235" t="s">
        <v>40</v>
      </c>
      <c r="U33" s="235" t="s">
        <v>52</v>
      </c>
      <c r="V33" s="235" t="s">
        <v>36</v>
      </c>
      <c r="W33" s="235" t="s">
        <v>36</v>
      </c>
      <c r="X33" s="235" t="s">
        <v>36</v>
      </c>
      <c r="Y33" s="233" t="s">
        <v>52</v>
      </c>
      <c r="Z33" s="233" t="s">
        <v>0</v>
      </c>
      <c r="AA33" s="235" t="s">
        <v>40</v>
      </c>
      <c r="AB33" s="235" t="s">
        <v>40</v>
      </c>
      <c r="AC33" s="235">
        <v>3</v>
      </c>
      <c r="AD33" s="235" t="s">
        <v>52</v>
      </c>
      <c r="AE33" s="235" t="s">
        <v>40</v>
      </c>
      <c r="AF33" s="235" t="s">
        <v>40</v>
      </c>
      <c r="AG33" s="235" t="s">
        <v>40</v>
      </c>
      <c r="AH33" s="235" t="s">
        <v>40</v>
      </c>
      <c r="AI33" s="254" t="s">
        <v>0</v>
      </c>
      <c r="AJ33" s="235" t="s">
        <v>40</v>
      </c>
      <c r="AK33" s="235" t="s">
        <v>40</v>
      </c>
      <c r="AL33" s="233" t="s">
        <v>52</v>
      </c>
      <c r="AM33" s="254" t="s">
        <v>1</v>
      </c>
      <c r="AN33" s="254" t="s">
        <v>1</v>
      </c>
      <c r="AO33" s="399" t="s">
        <v>0</v>
      </c>
      <c r="AP33" s="338">
        <v>0</v>
      </c>
      <c r="AQ33" s="167">
        <f t="shared" si="1"/>
        <v>0</v>
      </c>
      <c r="AR33" s="167">
        <v>0</v>
      </c>
      <c r="AS33" s="168">
        <f t="shared" si="31"/>
        <v>0</v>
      </c>
      <c r="AT33" s="332" t="s">
        <v>128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</row>
    <row r="34" spans="1:226" s="50" customFormat="1" ht="27.75" customHeight="1">
      <c r="A34" s="38">
        <f>COUNTIF(K34:AO34,1)+COUNTIF(K34:AO34,"早")+COUNTIF(K34:AO34,"M1")+COUNTIF(K34:AO34,"T早")+COUNTIF(K34:AO34,"日")</f>
        <v>1</v>
      </c>
      <c r="B34" s="39">
        <f>COUNTIF(K34:AO34,2)+COUNTIF(K34:AO34,"中")+COUNTIF(K34:AO34,"M2")+COUNTIF(K34:AO34,"T中")+COUNTIF(K34:AO34,"小夜")</f>
        <v>13</v>
      </c>
      <c r="C34" s="40">
        <f>COUNTIF(K34:AO34,3)+COUNTIF(K34:AO34,"晚")+COUNTIF(K34:AO34,"大夜")</f>
        <v>6</v>
      </c>
      <c r="D34" s="39">
        <f>COUNTIF(K34:AO34,"N")+COUNTIF(K34:AO34,"N8")</f>
        <v>0</v>
      </c>
      <c r="E34" s="41">
        <f>COUNTIF(K34:AO34,"S")</f>
        <v>1</v>
      </c>
      <c r="F34" s="41">
        <f>COUNTIF(K34:AO34,"X")</f>
        <v>5</v>
      </c>
      <c r="G34" s="41">
        <f>COUNTIF(K34:AO34,"Y")</f>
        <v>5</v>
      </c>
      <c r="H34" s="41">
        <f>COUNTIF(K34:AO34,"Z")</f>
        <v>0</v>
      </c>
      <c r="I34" s="42">
        <f t="shared" si="0"/>
        <v>31</v>
      </c>
      <c r="J34" s="193" t="s">
        <v>23</v>
      </c>
      <c r="K34" s="237" t="s">
        <v>52</v>
      </c>
      <c r="L34" s="239" t="s">
        <v>0</v>
      </c>
      <c r="M34" s="238" t="s">
        <v>38</v>
      </c>
      <c r="N34" s="238" t="s">
        <v>38</v>
      </c>
      <c r="O34" s="238" t="s">
        <v>38</v>
      </c>
      <c r="P34" s="238" t="s">
        <v>0</v>
      </c>
      <c r="Q34" s="238" t="s">
        <v>36</v>
      </c>
      <c r="R34" s="238" t="s">
        <v>38</v>
      </c>
      <c r="S34" s="238" t="s">
        <v>38</v>
      </c>
      <c r="T34" s="238" t="s">
        <v>38</v>
      </c>
      <c r="U34" s="238" t="s">
        <v>52</v>
      </c>
      <c r="V34" s="238" t="s">
        <v>38</v>
      </c>
      <c r="W34" s="238" t="s">
        <v>38</v>
      </c>
      <c r="X34" s="238" t="s">
        <v>38</v>
      </c>
      <c r="Y34" s="239" t="s">
        <v>52</v>
      </c>
      <c r="Z34" s="239" t="s">
        <v>0</v>
      </c>
      <c r="AA34" s="238" t="s">
        <v>38</v>
      </c>
      <c r="AB34" s="238" t="s">
        <v>38</v>
      </c>
      <c r="AC34" s="238" t="s">
        <v>38</v>
      </c>
      <c r="AD34" s="238" t="s">
        <v>52</v>
      </c>
      <c r="AE34" s="238" t="s">
        <v>40</v>
      </c>
      <c r="AF34" s="238" t="s">
        <v>40</v>
      </c>
      <c r="AG34" s="238" t="s">
        <v>40</v>
      </c>
      <c r="AH34" s="238" t="s">
        <v>0</v>
      </c>
      <c r="AI34" s="238" t="s">
        <v>40</v>
      </c>
      <c r="AJ34" s="238" t="s">
        <v>40</v>
      </c>
      <c r="AK34" s="238" t="s">
        <v>40</v>
      </c>
      <c r="AL34" s="271" t="s">
        <v>1</v>
      </c>
      <c r="AM34" s="239" t="s">
        <v>52</v>
      </c>
      <c r="AN34" s="239" t="s">
        <v>0</v>
      </c>
      <c r="AO34" s="241" t="s">
        <v>38</v>
      </c>
      <c r="AP34" s="45">
        <v>0</v>
      </c>
      <c r="AQ34" s="46">
        <f t="shared" si="1"/>
        <v>0</v>
      </c>
      <c r="AR34" s="46">
        <v>0</v>
      </c>
      <c r="AS34" s="134">
        <f t="shared" si="31"/>
        <v>0</v>
      </c>
      <c r="AT34" s="329" t="s">
        <v>128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</row>
    <row r="35" spans="1:226" s="50" customFormat="1" ht="27.75" customHeight="1">
      <c r="A35" s="38">
        <f t="shared" si="23"/>
        <v>0</v>
      </c>
      <c r="B35" s="39">
        <f t="shared" si="24"/>
        <v>21</v>
      </c>
      <c r="C35" s="40">
        <f t="shared" si="25"/>
        <v>0</v>
      </c>
      <c r="D35" s="39">
        <f t="shared" si="26"/>
        <v>0</v>
      </c>
      <c r="E35" s="41">
        <f t="shared" si="27"/>
        <v>0</v>
      </c>
      <c r="F35" s="41">
        <f t="shared" si="28"/>
        <v>5</v>
      </c>
      <c r="G35" s="41">
        <f t="shared" si="29"/>
        <v>5</v>
      </c>
      <c r="H35" s="41">
        <f t="shared" si="30"/>
        <v>0</v>
      </c>
      <c r="I35" s="42">
        <f t="shared" si="0"/>
        <v>31</v>
      </c>
      <c r="J35" s="193" t="s">
        <v>24</v>
      </c>
      <c r="K35" s="245" t="s">
        <v>38</v>
      </c>
      <c r="L35" s="238" t="s">
        <v>38</v>
      </c>
      <c r="M35" s="238" t="s">
        <v>38</v>
      </c>
      <c r="N35" s="238" t="s">
        <v>52</v>
      </c>
      <c r="O35" s="238" t="s">
        <v>38</v>
      </c>
      <c r="P35" s="238" t="s">
        <v>38</v>
      </c>
      <c r="Q35" s="238" t="s">
        <v>38</v>
      </c>
      <c r="R35" s="239" t="s">
        <v>52</v>
      </c>
      <c r="S35" s="239" t="s">
        <v>0</v>
      </c>
      <c r="T35" s="238" t="s">
        <v>38</v>
      </c>
      <c r="U35" s="238" t="s">
        <v>38</v>
      </c>
      <c r="V35" s="238" t="s">
        <v>38</v>
      </c>
      <c r="W35" s="238" t="s">
        <v>0</v>
      </c>
      <c r="X35" s="238" t="s">
        <v>38</v>
      </c>
      <c r="Y35" s="238" t="s">
        <v>38</v>
      </c>
      <c r="Z35" s="238" t="s">
        <v>38</v>
      </c>
      <c r="AA35" s="238" t="s">
        <v>38</v>
      </c>
      <c r="AB35" s="238" t="s">
        <v>38</v>
      </c>
      <c r="AC35" s="238" t="s">
        <v>52</v>
      </c>
      <c r="AD35" s="238" t="s">
        <v>0</v>
      </c>
      <c r="AE35" s="238" t="s">
        <v>0</v>
      </c>
      <c r="AF35" s="239" t="s">
        <v>52</v>
      </c>
      <c r="AG35" s="239" t="s">
        <v>0</v>
      </c>
      <c r="AH35" s="238" t="s">
        <v>38</v>
      </c>
      <c r="AI35" s="238" t="s">
        <v>38</v>
      </c>
      <c r="AJ35" s="238" t="s">
        <v>38</v>
      </c>
      <c r="AK35" s="238" t="s">
        <v>38</v>
      </c>
      <c r="AL35" s="240" t="s">
        <v>52</v>
      </c>
      <c r="AM35" s="238" t="s">
        <v>38</v>
      </c>
      <c r="AN35" s="238" t="s">
        <v>38</v>
      </c>
      <c r="AO35" s="241" t="s">
        <v>38</v>
      </c>
      <c r="AP35" s="45">
        <v>0</v>
      </c>
      <c r="AQ35" s="46">
        <f t="shared" si="1"/>
        <v>0</v>
      </c>
      <c r="AR35" s="46">
        <v>0</v>
      </c>
      <c r="AS35" s="134">
        <f t="shared" si="31"/>
        <v>0</v>
      </c>
      <c r="AT35" s="329" t="s">
        <v>126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</row>
    <row r="36" spans="1:226" s="50" customFormat="1" ht="27.6" customHeight="1">
      <c r="A36" s="38">
        <f t="shared" si="23"/>
        <v>0</v>
      </c>
      <c r="B36" s="39">
        <f t="shared" si="24"/>
        <v>15</v>
      </c>
      <c r="C36" s="40">
        <f t="shared" si="25"/>
        <v>3</v>
      </c>
      <c r="D36" s="39">
        <f t="shared" si="26"/>
        <v>0</v>
      </c>
      <c r="E36" s="41">
        <f t="shared" si="27"/>
        <v>2</v>
      </c>
      <c r="F36" s="41">
        <f t="shared" si="28"/>
        <v>5</v>
      </c>
      <c r="G36" s="41">
        <f t="shared" si="29"/>
        <v>6</v>
      </c>
      <c r="H36" s="41">
        <f t="shared" si="30"/>
        <v>0</v>
      </c>
      <c r="I36" s="42">
        <f t="shared" si="0"/>
        <v>31</v>
      </c>
      <c r="J36" s="214" t="s">
        <v>25</v>
      </c>
      <c r="K36" s="245" t="s">
        <v>40</v>
      </c>
      <c r="L36" s="238" t="s">
        <v>40</v>
      </c>
      <c r="M36" s="238" t="s">
        <v>40</v>
      </c>
      <c r="N36" s="238" t="s">
        <v>52</v>
      </c>
      <c r="O36" s="238" t="s">
        <v>0</v>
      </c>
      <c r="P36" s="238" t="s">
        <v>38</v>
      </c>
      <c r="Q36" s="238" t="s">
        <v>38</v>
      </c>
      <c r="R36" s="238" t="s">
        <v>26</v>
      </c>
      <c r="S36" s="238" t="s">
        <v>38</v>
      </c>
      <c r="T36" s="238" t="s">
        <v>38</v>
      </c>
      <c r="U36" s="238" t="s">
        <v>0</v>
      </c>
      <c r="V36" s="238" t="s">
        <v>52</v>
      </c>
      <c r="W36" s="238" t="s">
        <v>52</v>
      </c>
      <c r="X36" s="238" t="s">
        <v>38</v>
      </c>
      <c r="Y36" s="238" t="s">
        <v>26</v>
      </c>
      <c r="Z36" s="238" t="s">
        <v>38</v>
      </c>
      <c r="AA36" s="238" t="s">
        <v>0</v>
      </c>
      <c r="AB36" s="238" t="s">
        <v>52</v>
      </c>
      <c r="AC36" s="238" t="s">
        <v>0</v>
      </c>
      <c r="AD36" s="234" t="s">
        <v>1</v>
      </c>
      <c r="AE36" s="238" t="s">
        <v>52</v>
      </c>
      <c r="AF36" s="238" t="s">
        <v>38</v>
      </c>
      <c r="AG36" s="238" t="s">
        <v>38</v>
      </c>
      <c r="AH36" s="238" t="s">
        <v>38</v>
      </c>
      <c r="AI36" s="238" t="s">
        <v>38</v>
      </c>
      <c r="AJ36" s="240" t="s">
        <v>0</v>
      </c>
      <c r="AK36" s="234" t="s">
        <v>1</v>
      </c>
      <c r="AL36" s="234" t="s">
        <v>52</v>
      </c>
      <c r="AM36" s="238" t="s">
        <v>26</v>
      </c>
      <c r="AN36" s="238" t="s">
        <v>38</v>
      </c>
      <c r="AO36" s="241" t="s">
        <v>38</v>
      </c>
      <c r="AP36" s="45">
        <v>-1</v>
      </c>
      <c r="AQ36" s="46">
        <f t="shared" si="1"/>
        <v>1</v>
      </c>
      <c r="AR36" s="46">
        <v>0</v>
      </c>
      <c r="AS36" s="134">
        <f t="shared" si="31"/>
        <v>0</v>
      </c>
      <c r="AT36" s="329" t="s">
        <v>128</v>
      </c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</row>
    <row r="37" spans="1:226" s="50" customFormat="1" ht="24" customHeight="1">
      <c r="A37" s="38">
        <f t="shared" si="23"/>
        <v>3</v>
      </c>
      <c r="B37" s="39">
        <f t="shared" si="24"/>
        <v>10</v>
      </c>
      <c r="C37" s="40">
        <f t="shared" si="25"/>
        <v>2</v>
      </c>
      <c r="D37" s="39">
        <f t="shared" si="26"/>
        <v>2</v>
      </c>
      <c r="E37" s="41">
        <f t="shared" si="27"/>
        <v>4</v>
      </c>
      <c r="F37" s="41">
        <f t="shared" si="28"/>
        <v>5</v>
      </c>
      <c r="G37" s="41">
        <f t="shared" si="29"/>
        <v>5</v>
      </c>
      <c r="H37" s="41">
        <f t="shared" si="30"/>
        <v>0</v>
      </c>
      <c r="I37" s="42">
        <f t="shared" si="0"/>
        <v>31</v>
      </c>
      <c r="J37" s="193" t="s">
        <v>27</v>
      </c>
      <c r="K37" s="245" t="s">
        <v>40</v>
      </c>
      <c r="L37" s="238" t="s">
        <v>40</v>
      </c>
      <c r="M37" s="238" t="s">
        <v>52</v>
      </c>
      <c r="N37" s="238" t="s">
        <v>36</v>
      </c>
      <c r="O37" s="242" t="s">
        <v>3</v>
      </c>
      <c r="P37" s="234" t="s">
        <v>1</v>
      </c>
      <c r="Q37" s="234" t="s">
        <v>1</v>
      </c>
      <c r="R37" s="239" t="s">
        <v>52</v>
      </c>
      <c r="S37" s="239" t="s">
        <v>0</v>
      </c>
      <c r="T37" s="234" t="s">
        <v>1</v>
      </c>
      <c r="U37" s="234" t="s">
        <v>1</v>
      </c>
      <c r="V37" s="234" t="s">
        <v>0</v>
      </c>
      <c r="W37" s="234" t="s">
        <v>52</v>
      </c>
      <c r="X37" s="238" t="s">
        <v>0</v>
      </c>
      <c r="Y37" s="238" t="s">
        <v>36</v>
      </c>
      <c r="Z37" s="238" t="s">
        <v>36</v>
      </c>
      <c r="AA37" s="238" t="s">
        <v>52</v>
      </c>
      <c r="AB37" s="242" t="s">
        <v>3</v>
      </c>
      <c r="AC37" s="238" t="s">
        <v>38</v>
      </c>
      <c r="AD37" s="238" t="s">
        <v>38</v>
      </c>
      <c r="AE37" s="238" t="s">
        <v>38</v>
      </c>
      <c r="AF37" s="238" t="s">
        <v>38</v>
      </c>
      <c r="AG37" s="238" t="s">
        <v>38</v>
      </c>
      <c r="AH37" s="238" t="s">
        <v>0</v>
      </c>
      <c r="AI37" s="238" t="s">
        <v>52</v>
      </c>
      <c r="AJ37" s="238" t="s">
        <v>38</v>
      </c>
      <c r="AK37" s="238" t="s">
        <v>38</v>
      </c>
      <c r="AL37" s="238" t="s">
        <v>38</v>
      </c>
      <c r="AM37" s="238" t="s">
        <v>38</v>
      </c>
      <c r="AN37" s="238" t="s">
        <v>38</v>
      </c>
      <c r="AO37" s="241" t="s">
        <v>0</v>
      </c>
      <c r="AP37" s="45">
        <v>0</v>
      </c>
      <c r="AQ37" s="46">
        <f t="shared" si="1"/>
        <v>0</v>
      </c>
      <c r="AR37" s="46">
        <v>0</v>
      </c>
      <c r="AS37" s="134">
        <f t="shared" si="31"/>
        <v>0</v>
      </c>
      <c r="AT37" s="329" t="s">
        <v>126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</row>
    <row r="38" spans="1:226" ht="25.2" customHeight="1">
      <c r="A38" s="38">
        <f t="shared" si="23"/>
        <v>0</v>
      </c>
      <c r="B38" s="39">
        <f t="shared" si="24"/>
        <v>0</v>
      </c>
      <c r="C38" s="40">
        <f t="shared" si="25"/>
        <v>16</v>
      </c>
      <c r="D38" s="39">
        <f t="shared" si="26"/>
        <v>0</v>
      </c>
      <c r="E38" s="41">
        <f t="shared" si="27"/>
        <v>4</v>
      </c>
      <c r="F38" s="41">
        <f t="shared" si="28"/>
        <v>5</v>
      </c>
      <c r="G38" s="41">
        <f t="shared" si="29"/>
        <v>6</v>
      </c>
      <c r="H38" s="41">
        <f t="shared" si="30"/>
        <v>0</v>
      </c>
      <c r="I38" s="42">
        <f t="shared" si="0"/>
        <v>31</v>
      </c>
      <c r="J38" s="193" t="s">
        <v>57</v>
      </c>
      <c r="K38" s="237" t="s">
        <v>52</v>
      </c>
      <c r="L38" s="234" t="s">
        <v>1</v>
      </c>
      <c r="M38" s="234" t="s">
        <v>1</v>
      </c>
      <c r="N38" s="234" t="s">
        <v>1</v>
      </c>
      <c r="O38" s="234" t="s">
        <v>1</v>
      </c>
      <c r="P38" s="239" t="s">
        <v>52</v>
      </c>
      <c r="Q38" s="238" t="s">
        <v>40</v>
      </c>
      <c r="R38" s="238" t="s">
        <v>40</v>
      </c>
      <c r="S38" s="238" t="s">
        <v>40</v>
      </c>
      <c r="T38" s="238" t="s">
        <v>40</v>
      </c>
      <c r="U38" s="238" t="s">
        <v>52</v>
      </c>
      <c r="V38" s="238" t="s">
        <v>40</v>
      </c>
      <c r="W38" s="238" t="s">
        <v>40</v>
      </c>
      <c r="X38" s="238" t="s">
        <v>40</v>
      </c>
      <c r="Y38" s="238" t="s">
        <v>40</v>
      </c>
      <c r="Z38" s="238" t="s">
        <v>40</v>
      </c>
      <c r="AA38" s="238" t="s">
        <v>40</v>
      </c>
      <c r="AB38" s="238" t="s">
        <v>52</v>
      </c>
      <c r="AC38" s="238" t="s">
        <v>0</v>
      </c>
      <c r="AD38" s="234" t="s">
        <v>0</v>
      </c>
      <c r="AE38" s="234" t="s">
        <v>52</v>
      </c>
      <c r="AF38" s="239" t="s">
        <v>0</v>
      </c>
      <c r="AG38" s="239" t="s">
        <v>0</v>
      </c>
      <c r="AH38" s="238" t="s">
        <v>40</v>
      </c>
      <c r="AI38" s="238" t="s">
        <v>40</v>
      </c>
      <c r="AJ38" s="238" t="s">
        <v>52</v>
      </c>
      <c r="AK38" s="238" t="s">
        <v>0</v>
      </c>
      <c r="AL38" s="238" t="s">
        <v>40</v>
      </c>
      <c r="AM38" s="238" t="s">
        <v>40</v>
      </c>
      <c r="AN38" s="238" t="s">
        <v>40</v>
      </c>
      <c r="AO38" s="241" t="s">
        <v>40</v>
      </c>
      <c r="AP38" s="45">
        <v>-1</v>
      </c>
      <c r="AQ38" s="46">
        <f t="shared" si="1"/>
        <v>1</v>
      </c>
      <c r="AR38" s="46">
        <v>0</v>
      </c>
      <c r="AS38" s="134">
        <f t="shared" si="31"/>
        <v>0</v>
      </c>
      <c r="AT38" s="329" t="s">
        <v>126</v>
      </c>
    </row>
    <row r="39" spans="1:226" ht="25.5" customHeight="1" thickBot="1">
      <c r="A39" s="54">
        <f>COUNTIF(K39:AO39,1)+COUNTIF(K39:AO39,"早")+COUNTIF(K39:AO39,"M1")+COUNTIF(K39:AO39,"T早")+COUNTIF(K39:AO39,"日")</f>
        <v>3</v>
      </c>
      <c r="B39" s="55">
        <f>COUNTIF(K39:AO39,2)+COUNTIF(K39:AO39,"中")+COUNTIF(K39:AO39,"M2")+COUNTIF(K39:AO39,"T中")+COUNTIF(K39:AO39,"小夜")</f>
        <v>1</v>
      </c>
      <c r="C39" s="56">
        <f>COUNTIF(K39:AO39,3)+COUNTIF(K39:AO39,"晚")+COUNTIF(K39:AO39,"大夜")</f>
        <v>14</v>
      </c>
      <c r="D39" s="55">
        <f>COUNTIF(K39:AO39,"N")+COUNTIF(K39:AO39,"N8")</f>
        <v>3</v>
      </c>
      <c r="E39" s="17">
        <f>COUNTIF(K39:AO39,"S")</f>
        <v>0</v>
      </c>
      <c r="F39" s="17">
        <f>COUNTIF(K39:AO39,"X")</f>
        <v>5</v>
      </c>
      <c r="G39" s="17">
        <f>COUNTIF(K39:AO39,"Y")</f>
        <v>5</v>
      </c>
      <c r="H39" s="17">
        <f>COUNTIF(K39:AO39,"Z")</f>
        <v>0</v>
      </c>
      <c r="I39" s="57">
        <f t="shared" si="0"/>
        <v>31</v>
      </c>
      <c r="J39" s="215" t="s">
        <v>28</v>
      </c>
      <c r="K39" s="247" t="s">
        <v>36</v>
      </c>
      <c r="L39" s="248" t="s">
        <v>36</v>
      </c>
      <c r="M39" s="248" t="s">
        <v>0</v>
      </c>
      <c r="N39" s="248" t="s">
        <v>40</v>
      </c>
      <c r="O39" s="248" t="s">
        <v>40</v>
      </c>
      <c r="P39" s="248" t="s">
        <v>40</v>
      </c>
      <c r="Q39" s="248" t="s">
        <v>40</v>
      </c>
      <c r="R39" s="249" t="s">
        <v>52</v>
      </c>
      <c r="S39" s="249" t="s">
        <v>0</v>
      </c>
      <c r="T39" s="248" t="s">
        <v>36</v>
      </c>
      <c r="U39" s="248" t="s">
        <v>38</v>
      </c>
      <c r="V39" s="248" t="s">
        <v>52</v>
      </c>
      <c r="W39" s="248" t="s">
        <v>0</v>
      </c>
      <c r="X39" s="248" t="s">
        <v>40</v>
      </c>
      <c r="Y39" s="248" t="s">
        <v>40</v>
      </c>
      <c r="Z39" s="248" t="s">
        <v>40</v>
      </c>
      <c r="AA39" s="248" t="s">
        <v>40</v>
      </c>
      <c r="AB39" s="248" t="s">
        <v>52</v>
      </c>
      <c r="AC39" s="248" t="s">
        <v>40</v>
      </c>
      <c r="AD39" s="248" t="s">
        <v>40</v>
      </c>
      <c r="AE39" s="251" t="s">
        <v>0</v>
      </c>
      <c r="AF39" s="249" t="s">
        <v>52</v>
      </c>
      <c r="AG39" s="249" t="s">
        <v>0</v>
      </c>
      <c r="AH39" s="394" t="s">
        <v>3</v>
      </c>
      <c r="AI39" s="394" t="s">
        <v>3</v>
      </c>
      <c r="AJ39" s="394" t="s">
        <v>3</v>
      </c>
      <c r="AK39" s="248" t="s">
        <v>52</v>
      </c>
      <c r="AL39" s="248" t="s">
        <v>40</v>
      </c>
      <c r="AM39" s="248" t="s">
        <v>40</v>
      </c>
      <c r="AN39" s="248" t="s">
        <v>40</v>
      </c>
      <c r="AO39" s="252" t="s">
        <v>40</v>
      </c>
      <c r="AP39" s="73">
        <v>0</v>
      </c>
      <c r="AQ39" s="74">
        <f t="shared" si="1"/>
        <v>0</v>
      </c>
      <c r="AR39" s="74">
        <v>0</v>
      </c>
      <c r="AS39" s="127">
        <f t="shared" si="31"/>
        <v>0</v>
      </c>
      <c r="AT39" s="330" t="s">
        <v>126</v>
      </c>
    </row>
    <row r="40" spans="1:226" s="50" customFormat="1" ht="24.75" customHeight="1">
      <c r="A40" s="23">
        <f>COUNTIF(K40:AO40,1)+COUNTIF(K40:AO40,"早")+COUNTIF(K40:AO40,"M1")+COUNTIF(K40:AO40,"T早")+COUNTIF(K40:AO40,"日")</f>
        <v>8</v>
      </c>
      <c r="B40" s="24">
        <f>COUNTIF(K40:AO40,2)+COUNTIF(K40:AO40,"中")+COUNTIF(K40:AO40,"M2")+COUNTIF(K40:AO40,"T中")+COUNTIF(K40:AO40,"小夜")</f>
        <v>0</v>
      </c>
      <c r="C40" s="25">
        <f>COUNTIF(K40:AO40,3)+COUNTIF(K40:AO40,"晚")+COUNTIF(K40:AO40,"大夜")</f>
        <v>9</v>
      </c>
      <c r="D40" s="24">
        <f>COUNTIF(K40:AO40,"N")+COUNTIF(K40:AO40,"N8")</f>
        <v>3</v>
      </c>
      <c r="E40" s="26">
        <f>COUNTIF(K40:AO40,"S")</f>
        <v>0</v>
      </c>
      <c r="F40" s="26">
        <f>COUNTIF(K40:AO40,"X")</f>
        <v>5</v>
      </c>
      <c r="G40" s="26">
        <f>COUNTIF(K40:AO40,"Y")</f>
        <v>6</v>
      </c>
      <c r="H40" s="26">
        <f>COUNTIF(K40:AO40,"Z")</f>
        <v>0</v>
      </c>
      <c r="I40" s="176">
        <f t="shared" si="0"/>
        <v>31</v>
      </c>
      <c r="J40" s="66" t="s">
        <v>142</v>
      </c>
      <c r="K40" s="395" t="s">
        <v>55</v>
      </c>
      <c r="L40" s="235" t="s">
        <v>55</v>
      </c>
      <c r="M40" s="235" t="s">
        <v>52</v>
      </c>
      <c r="N40" s="235" t="s">
        <v>3</v>
      </c>
      <c r="O40" s="235" t="s">
        <v>54</v>
      </c>
      <c r="P40" s="235" t="s">
        <v>54</v>
      </c>
      <c r="Q40" s="235" t="s">
        <v>54</v>
      </c>
      <c r="R40" s="233" t="s">
        <v>52</v>
      </c>
      <c r="S40" s="233" t="s">
        <v>0</v>
      </c>
      <c r="T40" s="235" t="s">
        <v>55</v>
      </c>
      <c r="U40" s="235" t="s">
        <v>55</v>
      </c>
      <c r="V40" s="235" t="s">
        <v>55</v>
      </c>
      <c r="W40" s="235" t="s">
        <v>55</v>
      </c>
      <c r="X40" s="235" t="s">
        <v>55</v>
      </c>
      <c r="Y40" s="233" t="s">
        <v>52</v>
      </c>
      <c r="Z40" s="233" t="s">
        <v>0</v>
      </c>
      <c r="AA40" s="235" t="s">
        <v>54</v>
      </c>
      <c r="AB40" s="235" t="s">
        <v>3</v>
      </c>
      <c r="AC40" s="235" t="s">
        <v>0</v>
      </c>
      <c r="AD40" s="235" t="s">
        <v>52</v>
      </c>
      <c r="AE40" s="235" t="s">
        <v>0</v>
      </c>
      <c r="AF40" s="235" t="s">
        <v>55</v>
      </c>
      <c r="AG40" s="235" t="s">
        <v>55</v>
      </c>
      <c r="AH40" s="235" t="s">
        <v>52</v>
      </c>
      <c r="AI40" s="396" t="s">
        <v>3</v>
      </c>
      <c r="AJ40" s="235" t="s">
        <v>54</v>
      </c>
      <c r="AK40" s="235" t="s">
        <v>54</v>
      </c>
      <c r="AL40" s="235" t="s">
        <v>54</v>
      </c>
      <c r="AM40" s="233" t="s">
        <v>52</v>
      </c>
      <c r="AN40" s="233" t="s">
        <v>0</v>
      </c>
      <c r="AO40" s="236" t="s">
        <v>54</v>
      </c>
      <c r="AP40" s="35">
        <v>-1</v>
      </c>
      <c r="AQ40" s="36">
        <f t="shared" si="1"/>
        <v>1</v>
      </c>
      <c r="AR40" s="36">
        <v>0</v>
      </c>
      <c r="AS40" s="133">
        <f t="shared" si="31"/>
        <v>0</v>
      </c>
      <c r="AT40" s="332" t="s">
        <v>128</v>
      </c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</row>
    <row r="41" spans="1:226" s="50" customFormat="1" ht="24.75" customHeight="1">
      <c r="A41" s="38">
        <f>COUNTIF(K41:AO41,1)+COUNTIF(K41:AO41,"早")+COUNTIF(K41:AO41,"M1")+COUNTIF(K41:AO41,"T早")+COUNTIF(K41:AO41,"日")</f>
        <v>5</v>
      </c>
      <c r="B41" s="39">
        <f>COUNTIF(K41:AO41,2)+COUNTIF(K41:AO41,"中")+COUNTIF(K41:AO41,"M2")+COUNTIF(K41:AO41,"T中")+COUNTIF(K41:AO41,"小夜")</f>
        <v>11</v>
      </c>
      <c r="C41" s="40">
        <f>COUNTIF(K41:AO41,3)+COUNTIF(K41:AO41,"晚")+COUNTIF(K41:AO41,"大夜")</f>
        <v>0</v>
      </c>
      <c r="D41" s="39">
        <f>COUNTIF(K41:AO41,"N")+COUNTIF(K41:AO41,"N8")</f>
        <v>4</v>
      </c>
      <c r="E41" s="41">
        <f>COUNTIF(K41:AO41,"S")</f>
        <v>1</v>
      </c>
      <c r="F41" s="41">
        <f>COUNTIF(K41:AO41,"X")</f>
        <v>5</v>
      </c>
      <c r="G41" s="41">
        <f>COUNTIF(K41:AO41,"Y")</f>
        <v>5</v>
      </c>
      <c r="H41" s="41">
        <f>COUNTIF(K41:AO41,"Z")</f>
        <v>0</v>
      </c>
      <c r="I41" s="177">
        <f t="shared" si="0"/>
        <v>31</v>
      </c>
      <c r="J41" s="67" t="s">
        <v>29</v>
      </c>
      <c r="K41" s="237" t="s">
        <v>52</v>
      </c>
      <c r="L41" s="239" t="s">
        <v>0</v>
      </c>
      <c r="M41" s="234" t="s">
        <v>1</v>
      </c>
      <c r="N41" s="238" t="s">
        <v>56</v>
      </c>
      <c r="O41" s="238" t="s">
        <v>56</v>
      </c>
      <c r="P41" s="238" t="s">
        <v>56</v>
      </c>
      <c r="Q41" s="238" t="s">
        <v>52</v>
      </c>
      <c r="R41" s="238" t="s">
        <v>54</v>
      </c>
      <c r="S41" s="238" t="s">
        <v>54</v>
      </c>
      <c r="T41" s="238" t="s">
        <v>56</v>
      </c>
      <c r="U41" s="238" t="s">
        <v>0</v>
      </c>
      <c r="V41" s="238" t="s">
        <v>3</v>
      </c>
      <c r="W41" s="238" t="s">
        <v>3</v>
      </c>
      <c r="X41" s="238" t="s">
        <v>54</v>
      </c>
      <c r="Y41" s="239" t="s">
        <v>52</v>
      </c>
      <c r="Z41" s="239" t="s">
        <v>0</v>
      </c>
      <c r="AA41" s="238" t="s">
        <v>56</v>
      </c>
      <c r="AB41" s="238" t="s">
        <v>56</v>
      </c>
      <c r="AC41" s="238" t="s">
        <v>56</v>
      </c>
      <c r="AD41" s="238" t="s">
        <v>56</v>
      </c>
      <c r="AE41" s="238" t="s">
        <v>52</v>
      </c>
      <c r="AF41" s="238" t="s">
        <v>54</v>
      </c>
      <c r="AG41" s="238" t="s">
        <v>54</v>
      </c>
      <c r="AH41" s="238" t="s">
        <v>56</v>
      </c>
      <c r="AI41" s="238" t="s">
        <v>56</v>
      </c>
      <c r="AJ41" s="238" t="s">
        <v>0</v>
      </c>
      <c r="AK41" s="238" t="s">
        <v>3</v>
      </c>
      <c r="AL41" s="238" t="s">
        <v>56</v>
      </c>
      <c r="AM41" s="239" t="s">
        <v>52</v>
      </c>
      <c r="AN41" s="239" t="s">
        <v>0</v>
      </c>
      <c r="AO41" s="241" t="s">
        <v>3</v>
      </c>
      <c r="AP41" s="45">
        <v>0</v>
      </c>
      <c r="AQ41" s="46">
        <f t="shared" si="1"/>
        <v>0</v>
      </c>
      <c r="AR41" s="46">
        <v>0</v>
      </c>
      <c r="AS41" s="134">
        <f t="shared" si="31"/>
        <v>0</v>
      </c>
      <c r="AT41" s="329" t="s">
        <v>128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</row>
    <row r="42" spans="1:226" ht="25.2" customHeight="1">
      <c r="A42" s="38">
        <f t="shared" ref="A42:A44" si="49">COUNTIF(K42:AO42,1)+COUNTIF(K42:AO42,"早")+COUNTIF(K42:AO42,"M1")+COUNTIF(K42:AO42,"T早")+COUNTIF(K42:AO42,"日")</f>
        <v>1</v>
      </c>
      <c r="B42" s="39">
        <f t="shared" ref="B42:B44" si="50">COUNTIF(K42:AO42,2)+COUNTIF(K42:AO42,"中")+COUNTIF(K42:AO42,"M2")+COUNTIF(K42:AO42,"T中")+COUNTIF(K42:AO42,"小夜")</f>
        <v>8</v>
      </c>
      <c r="C42" s="40">
        <f t="shared" ref="C42:C44" si="51">COUNTIF(K42:AO42,3)+COUNTIF(K42:AO42,"晚")+COUNTIF(K42:AO42,"大夜")</f>
        <v>5</v>
      </c>
      <c r="D42" s="39">
        <f t="shared" ref="D42:D44" si="52">COUNTIF(K42:AO42,"N")+COUNTIF(K42:AO42,"N8")</f>
        <v>5</v>
      </c>
      <c r="E42" s="41">
        <f t="shared" ref="E42:E44" si="53">COUNTIF(K42:AO42,"S")</f>
        <v>2</v>
      </c>
      <c r="F42" s="41">
        <f>COUNTIF(K42:AO42,"X")</f>
        <v>5</v>
      </c>
      <c r="G42" s="41">
        <f t="shared" ref="G42:G44" si="54">COUNTIF(K42:AO42,"Y")</f>
        <v>5</v>
      </c>
      <c r="H42" s="41">
        <f t="shared" ref="H42:H44" si="55">COUNTIF(K42:AO42,"Z")</f>
        <v>0</v>
      </c>
      <c r="I42" s="177">
        <f t="shared" si="0"/>
        <v>31</v>
      </c>
      <c r="J42" s="68" t="s">
        <v>30</v>
      </c>
      <c r="K42" s="237" t="s">
        <v>52</v>
      </c>
      <c r="L42" s="239" t="s">
        <v>0</v>
      </c>
      <c r="M42" s="238" t="s">
        <v>55</v>
      </c>
      <c r="N42" s="238" t="s">
        <v>55</v>
      </c>
      <c r="O42" s="238" t="s">
        <v>55</v>
      </c>
      <c r="P42" s="238" t="s">
        <v>0</v>
      </c>
      <c r="Q42" s="238" t="s">
        <v>0</v>
      </c>
      <c r="R42" s="238" t="s">
        <v>55</v>
      </c>
      <c r="S42" s="238" t="s">
        <v>55</v>
      </c>
      <c r="T42" s="238" t="s">
        <v>52</v>
      </c>
      <c r="U42" s="238" t="s">
        <v>56</v>
      </c>
      <c r="V42" s="238" t="s">
        <v>56</v>
      </c>
      <c r="W42" s="238" t="s">
        <v>56</v>
      </c>
      <c r="X42" s="238" t="s">
        <v>56</v>
      </c>
      <c r="Y42" s="239" t="s">
        <v>52</v>
      </c>
      <c r="Z42" s="234" t="s">
        <v>1</v>
      </c>
      <c r="AA42" s="234" t="s">
        <v>1</v>
      </c>
      <c r="AB42" s="239" t="s">
        <v>0</v>
      </c>
      <c r="AC42" s="238" t="s">
        <v>54</v>
      </c>
      <c r="AD42" s="238" t="s">
        <v>3</v>
      </c>
      <c r="AE42" s="238" t="s">
        <v>56</v>
      </c>
      <c r="AF42" s="238" t="s">
        <v>56</v>
      </c>
      <c r="AG42" s="238" t="s">
        <v>56</v>
      </c>
      <c r="AH42" s="238" t="s">
        <v>52</v>
      </c>
      <c r="AI42" s="393" t="s">
        <v>3</v>
      </c>
      <c r="AJ42" s="238" t="s">
        <v>3</v>
      </c>
      <c r="AK42" s="238" t="s">
        <v>3</v>
      </c>
      <c r="AL42" s="238" t="s">
        <v>3</v>
      </c>
      <c r="AM42" s="239" t="s">
        <v>52</v>
      </c>
      <c r="AN42" s="239" t="s">
        <v>0</v>
      </c>
      <c r="AO42" s="241" t="s">
        <v>56</v>
      </c>
      <c r="AP42" s="45">
        <v>0</v>
      </c>
      <c r="AQ42" s="46">
        <f t="shared" si="1"/>
        <v>0</v>
      </c>
      <c r="AR42" s="46">
        <v>0</v>
      </c>
      <c r="AS42" s="134">
        <f t="shared" si="31"/>
        <v>0</v>
      </c>
      <c r="AT42" s="329" t="s">
        <v>128</v>
      </c>
    </row>
    <row r="43" spans="1:226" s="50" customFormat="1" ht="25.5" customHeight="1">
      <c r="A43" s="38">
        <f t="shared" si="49"/>
        <v>7</v>
      </c>
      <c r="B43" s="39">
        <f t="shared" si="50"/>
        <v>5</v>
      </c>
      <c r="C43" s="40">
        <f t="shared" si="51"/>
        <v>4</v>
      </c>
      <c r="D43" s="39">
        <f t="shared" si="52"/>
        <v>2</v>
      </c>
      <c r="E43" s="41">
        <f t="shared" si="53"/>
        <v>3</v>
      </c>
      <c r="F43" s="41">
        <f t="shared" ref="F43:F44" si="56">COUNTIF(K43:AO43,"X")</f>
        <v>5</v>
      </c>
      <c r="G43" s="41">
        <f t="shared" si="54"/>
        <v>5</v>
      </c>
      <c r="H43" s="41">
        <f t="shared" si="55"/>
        <v>0</v>
      </c>
      <c r="I43" s="177">
        <f t="shared" si="0"/>
        <v>31</v>
      </c>
      <c r="J43" s="68" t="s">
        <v>31</v>
      </c>
      <c r="K43" s="245" t="s">
        <v>56</v>
      </c>
      <c r="L43" s="238" t="s">
        <v>56</v>
      </c>
      <c r="M43" s="238" t="s">
        <v>56</v>
      </c>
      <c r="N43" s="238" t="s">
        <v>52</v>
      </c>
      <c r="O43" s="234" t="s">
        <v>1</v>
      </c>
      <c r="P43" s="234" t="s">
        <v>1</v>
      </c>
      <c r="Q43" s="234" t="s">
        <v>1</v>
      </c>
      <c r="R43" s="239" t="s">
        <v>52</v>
      </c>
      <c r="S43" s="239" t="s">
        <v>0</v>
      </c>
      <c r="T43" s="238" t="s">
        <v>3</v>
      </c>
      <c r="U43" s="238" t="s">
        <v>3</v>
      </c>
      <c r="V43" s="238" t="s">
        <v>54</v>
      </c>
      <c r="W43" s="238" t="s">
        <v>0</v>
      </c>
      <c r="X43" s="238" t="s">
        <v>52</v>
      </c>
      <c r="Y43" s="238" t="s">
        <v>54</v>
      </c>
      <c r="Z43" s="238" t="s">
        <v>54</v>
      </c>
      <c r="AA43" s="238" t="s">
        <v>0</v>
      </c>
      <c r="AB43" s="238" t="s">
        <v>55</v>
      </c>
      <c r="AC43" s="238" t="s">
        <v>55</v>
      </c>
      <c r="AD43" s="238" t="s">
        <v>55</v>
      </c>
      <c r="AE43" s="238" t="s">
        <v>55</v>
      </c>
      <c r="AF43" s="239" t="s">
        <v>52</v>
      </c>
      <c r="AG43" s="239" t="s">
        <v>0</v>
      </c>
      <c r="AH43" s="238" t="s">
        <v>54</v>
      </c>
      <c r="AI43" s="238" t="s">
        <v>54</v>
      </c>
      <c r="AJ43" s="238" t="s">
        <v>56</v>
      </c>
      <c r="AK43" s="238" t="s">
        <v>56</v>
      </c>
      <c r="AL43" s="238" t="s">
        <v>0</v>
      </c>
      <c r="AM43" s="238" t="s">
        <v>54</v>
      </c>
      <c r="AN43" s="238" t="s">
        <v>54</v>
      </c>
      <c r="AO43" s="241" t="s">
        <v>52</v>
      </c>
      <c r="AP43" s="45">
        <v>0</v>
      </c>
      <c r="AQ43" s="46">
        <f t="shared" si="1"/>
        <v>0</v>
      </c>
      <c r="AR43" s="46">
        <v>0</v>
      </c>
      <c r="AS43" s="134">
        <f t="shared" si="31"/>
        <v>0</v>
      </c>
      <c r="AT43" s="329" t="s">
        <v>126</v>
      </c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</row>
    <row r="44" spans="1:226" s="50" customFormat="1" ht="25.5" customHeight="1">
      <c r="A44" s="38">
        <f t="shared" si="49"/>
        <v>7</v>
      </c>
      <c r="B44" s="39">
        <f t="shared" si="50"/>
        <v>0</v>
      </c>
      <c r="C44" s="40">
        <f t="shared" si="51"/>
        <v>9</v>
      </c>
      <c r="D44" s="39">
        <f t="shared" si="52"/>
        <v>5</v>
      </c>
      <c r="E44" s="41">
        <f t="shared" si="53"/>
        <v>0</v>
      </c>
      <c r="F44" s="41">
        <f t="shared" si="56"/>
        <v>5</v>
      </c>
      <c r="G44" s="41">
        <f t="shared" si="54"/>
        <v>5</v>
      </c>
      <c r="H44" s="41">
        <f t="shared" si="55"/>
        <v>0</v>
      </c>
      <c r="I44" s="177">
        <f t="shared" si="0"/>
        <v>31</v>
      </c>
      <c r="J44" s="68" t="s">
        <v>32</v>
      </c>
      <c r="K44" s="245" t="s">
        <v>54</v>
      </c>
      <c r="L44" s="238" t="s">
        <v>54</v>
      </c>
      <c r="M44" s="234" t="s">
        <v>52</v>
      </c>
      <c r="N44" s="234" t="s">
        <v>0</v>
      </c>
      <c r="O44" s="238" t="s">
        <v>0</v>
      </c>
      <c r="P44" s="238" t="s">
        <v>55</v>
      </c>
      <c r="Q44" s="238" t="s">
        <v>55</v>
      </c>
      <c r="R44" s="239" t="s">
        <v>52</v>
      </c>
      <c r="S44" s="239" t="s">
        <v>0</v>
      </c>
      <c r="T44" s="238" t="s">
        <v>54</v>
      </c>
      <c r="U44" s="238" t="s">
        <v>54</v>
      </c>
      <c r="V44" s="238" t="s">
        <v>3</v>
      </c>
      <c r="W44" s="238" t="s">
        <v>54</v>
      </c>
      <c r="X44" s="238" t="s">
        <v>52</v>
      </c>
      <c r="Y44" s="238" t="s">
        <v>55</v>
      </c>
      <c r="Z44" s="238" t="s">
        <v>55</v>
      </c>
      <c r="AA44" s="238" t="s">
        <v>55</v>
      </c>
      <c r="AB44" s="238" t="s">
        <v>0</v>
      </c>
      <c r="AC44" s="238" t="s">
        <v>3</v>
      </c>
      <c r="AD44" s="238" t="s">
        <v>54</v>
      </c>
      <c r="AE44" s="238" t="s">
        <v>54</v>
      </c>
      <c r="AF44" s="239" t="s">
        <v>52</v>
      </c>
      <c r="AG44" s="239" t="s">
        <v>0</v>
      </c>
      <c r="AH44" s="238" t="s">
        <v>3</v>
      </c>
      <c r="AI44" s="393" t="s">
        <v>3</v>
      </c>
      <c r="AJ44" s="238" t="s">
        <v>3</v>
      </c>
      <c r="AK44" s="238" t="s">
        <v>52</v>
      </c>
      <c r="AL44" s="238" t="s">
        <v>55</v>
      </c>
      <c r="AM44" s="238" t="s">
        <v>55</v>
      </c>
      <c r="AN44" s="238" t="s">
        <v>55</v>
      </c>
      <c r="AO44" s="241" t="s">
        <v>55</v>
      </c>
      <c r="AP44" s="45">
        <v>0</v>
      </c>
      <c r="AQ44" s="46">
        <f t="shared" si="1"/>
        <v>0</v>
      </c>
      <c r="AR44" s="46">
        <v>0</v>
      </c>
      <c r="AS44" s="134">
        <f t="shared" si="31"/>
        <v>0</v>
      </c>
      <c r="AT44" s="329" t="s">
        <v>126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</row>
    <row r="45" spans="1:226" s="50" customFormat="1" ht="25.5" customHeight="1" thickBot="1">
      <c r="A45" s="69">
        <f t="shared" ref="A45" si="57">COUNTIF(K45:AO45,1)+COUNTIF(K45:AO45,"早")+COUNTIF(K45:AO45,"M1")+COUNTIF(K45:AO45,"T早")+COUNTIF(K45:AO45,"日")</f>
        <v>3</v>
      </c>
      <c r="B45" s="70">
        <f t="shared" ref="B45" si="58">COUNTIF(K45:AO45,2)+COUNTIF(K45:AO45,"中")+COUNTIF(K45:AO45,"M2")+COUNTIF(K45:AO45,"T中")+COUNTIF(K45:AO45,"小夜")</f>
        <v>7</v>
      </c>
      <c r="C45" s="71">
        <f t="shared" ref="C45" si="59">COUNTIF(K45:AO45,3)+COUNTIF(K45:AO45,"晚")+COUNTIF(K45:AO45,"大夜")</f>
        <v>4</v>
      </c>
      <c r="D45" s="70">
        <f t="shared" ref="D45" si="60">COUNTIF(K45:AO45,"N")+COUNTIF(K45:AO45,"N8")</f>
        <v>5</v>
      </c>
      <c r="E45" s="63">
        <f t="shared" ref="E45" si="61">COUNTIF(K45:AO45,"S")</f>
        <v>2</v>
      </c>
      <c r="F45" s="63">
        <f t="shared" ref="F45" si="62">COUNTIF(K45:AO45,"X")</f>
        <v>5</v>
      </c>
      <c r="G45" s="63">
        <f t="shared" ref="G45" si="63">COUNTIF(K45:AO45,"Y")</f>
        <v>5</v>
      </c>
      <c r="H45" s="63">
        <f t="shared" ref="H45" si="64">COUNTIF(K45:AO45,"Z")</f>
        <v>0</v>
      </c>
      <c r="I45" s="178">
        <f t="shared" si="0"/>
        <v>31</v>
      </c>
      <c r="J45" s="72" t="s">
        <v>33</v>
      </c>
      <c r="K45" s="262" t="s">
        <v>0</v>
      </c>
      <c r="L45" s="249" t="s">
        <v>0</v>
      </c>
      <c r="M45" s="248" t="s">
        <v>54</v>
      </c>
      <c r="N45" s="248" t="s">
        <v>54</v>
      </c>
      <c r="O45" s="251" t="s">
        <v>1</v>
      </c>
      <c r="P45" s="248" t="s">
        <v>52</v>
      </c>
      <c r="Q45" s="248" t="s">
        <v>56</v>
      </c>
      <c r="R45" s="248" t="s">
        <v>56</v>
      </c>
      <c r="S45" s="248" t="s">
        <v>56</v>
      </c>
      <c r="T45" s="248" t="s">
        <v>0</v>
      </c>
      <c r="U45" s="251" t="s">
        <v>1</v>
      </c>
      <c r="V45" s="248" t="s">
        <v>52</v>
      </c>
      <c r="W45" s="248" t="s">
        <v>3</v>
      </c>
      <c r="X45" s="248" t="s">
        <v>3</v>
      </c>
      <c r="Y45" s="248" t="s">
        <v>56</v>
      </c>
      <c r="Z45" s="248" t="s">
        <v>56</v>
      </c>
      <c r="AA45" s="248" t="s">
        <v>52</v>
      </c>
      <c r="AB45" s="248" t="s">
        <v>54</v>
      </c>
      <c r="AC45" s="248" t="s">
        <v>3</v>
      </c>
      <c r="AD45" s="248" t="s">
        <v>3</v>
      </c>
      <c r="AE45" s="248" t="s">
        <v>3</v>
      </c>
      <c r="AF45" s="249" t="s">
        <v>52</v>
      </c>
      <c r="AG45" s="249" t="s">
        <v>0</v>
      </c>
      <c r="AH45" s="248" t="s">
        <v>55</v>
      </c>
      <c r="AI45" s="248" t="s">
        <v>55</v>
      </c>
      <c r="AJ45" s="248" t="s">
        <v>55</v>
      </c>
      <c r="AK45" s="248" t="s">
        <v>55</v>
      </c>
      <c r="AL45" s="248" t="s">
        <v>52</v>
      </c>
      <c r="AM45" s="248" t="s">
        <v>56</v>
      </c>
      <c r="AN45" s="248" t="s">
        <v>56</v>
      </c>
      <c r="AO45" s="252" t="s">
        <v>0</v>
      </c>
      <c r="AP45" s="73">
        <v>0</v>
      </c>
      <c r="AQ45" s="74">
        <f t="shared" si="1"/>
        <v>0</v>
      </c>
      <c r="AR45" s="74">
        <v>0</v>
      </c>
      <c r="AS45" s="127">
        <f t="shared" si="31"/>
        <v>0</v>
      </c>
      <c r="AT45" s="330" t="s">
        <v>126</v>
      </c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</row>
    <row r="46" spans="1:226" s="77" customFormat="1" ht="18" customHeight="1" thickBot="1">
      <c r="A46" s="75"/>
      <c r="B46" s="75"/>
      <c r="C46" s="75"/>
      <c r="D46" s="75"/>
      <c r="E46" s="76"/>
      <c r="I46" s="75"/>
      <c r="J46" s="78">
        <v>1</v>
      </c>
      <c r="K46" s="400" cm="2">
        <f t="array" ref="K46">SUMPRODUCT(COUNTIF(K4:K45,{"1";"M1"}))</f>
        <v>3</v>
      </c>
      <c r="L46" s="401" cm="2">
        <f t="array" ref="L46">SUMPRODUCT(COUNTIF(L4:L45,{"1";"M1"}))</f>
        <v>3</v>
      </c>
      <c r="M46" s="401" cm="2">
        <f t="array" ref="M46">SUMPRODUCT(COUNTIF(M4:M45,{"1";"M1"}))</f>
        <v>5</v>
      </c>
      <c r="N46" s="401" cm="2">
        <f t="array" ref="N46">SUMPRODUCT(COUNTIF(N4:N45,{"1";"M1"}))</f>
        <v>5</v>
      </c>
      <c r="O46" s="401" cm="2">
        <f t="array" ref="O46">SUMPRODUCT(COUNTIF(O4:O45,{"1";"M1"}))</f>
        <v>5</v>
      </c>
      <c r="P46" s="401" cm="2">
        <f t="array" ref="P46">SUMPRODUCT(COUNTIF(P4:P45,{"1";"M1"}))</f>
        <v>5</v>
      </c>
      <c r="Q46" s="401" cm="2">
        <f t="array" ref="Q46">SUMPRODUCT(COUNTIF(Q4:Q45,{"1";"M1"}))</f>
        <v>5</v>
      </c>
      <c r="R46" s="401" cm="2">
        <f t="array" ref="R46">SUMPRODUCT(COUNTIF(R4:R45,{"1";"M1"}))</f>
        <v>3</v>
      </c>
      <c r="S46" s="401" cm="2">
        <f t="array" ref="S46">SUMPRODUCT(COUNTIF(S4:S45,{"1";"M1"}))</f>
        <v>3</v>
      </c>
      <c r="T46" s="401" cm="2">
        <f t="array" ref="T46">SUMPRODUCT(COUNTIF(T4:T45,{"1";"M1"}))</f>
        <v>5</v>
      </c>
      <c r="U46" s="401" cm="2">
        <f t="array" ref="U46">SUMPRODUCT(COUNTIF(U4:U45,{"1";"M1"}))</f>
        <v>5</v>
      </c>
      <c r="V46" s="401" cm="2">
        <f t="array" ref="V46">SUMPRODUCT(COUNTIF(V4:V45,{"1";"M1"}))</f>
        <v>5</v>
      </c>
      <c r="W46" s="401" cm="2">
        <f t="array" ref="W46">SUMPRODUCT(COUNTIF(W4:W45,{"1";"M1"}))</f>
        <v>5</v>
      </c>
      <c r="X46" s="401" cm="2">
        <f t="array" ref="X46">SUMPRODUCT(COUNTIF(X4:X45,{"1";"M1"}))</f>
        <v>5</v>
      </c>
      <c r="Y46" s="401" cm="2">
        <f t="array" ref="Y46">SUMPRODUCT(COUNTIF(Y4:Y45,{"1";"M1"}))</f>
        <v>3</v>
      </c>
      <c r="Z46" s="401" cm="2">
        <f t="array" ref="Z46">SUMPRODUCT(COUNTIF(Z4:Z45,{"1";"M1"}))</f>
        <v>3</v>
      </c>
      <c r="AA46" s="401" cm="2">
        <f t="array" ref="AA46">SUMPRODUCT(COUNTIF(AA4:AA45,{"1";"M1"}))</f>
        <v>5</v>
      </c>
      <c r="AB46" s="401" cm="2">
        <f t="array" ref="AB46">SUMPRODUCT(COUNTIF(AB4:AB45,{"1";"M1"}))</f>
        <v>5</v>
      </c>
      <c r="AC46" s="401" cm="2">
        <f t="array" ref="AC46">SUMPRODUCT(COUNTIF(AC4:AC45,{"1";"M1"}))</f>
        <v>5</v>
      </c>
      <c r="AD46" s="401" cm="2">
        <f t="array" ref="AD46">SUMPRODUCT(COUNTIF(AD4:AD45,{"1";"M1"}))</f>
        <v>5</v>
      </c>
      <c r="AE46" s="401" cm="2">
        <f t="array" ref="AE46">SUMPRODUCT(COUNTIF(AE4:AE45,{"1";"M1"}))</f>
        <v>5</v>
      </c>
      <c r="AF46" s="401" cm="2">
        <f t="array" ref="AF46">SUMPRODUCT(COUNTIF(AF4:AF45,{"1";"M1"}))</f>
        <v>3</v>
      </c>
      <c r="AG46" s="401" cm="2">
        <f t="array" ref="AG46">SUMPRODUCT(COUNTIF(AG4:AG45,{"1";"M1"}))</f>
        <v>3</v>
      </c>
      <c r="AH46" s="401" cm="2">
        <f t="array" ref="AH46">SUMPRODUCT(COUNTIF(AH4:AH45,{"1";"M1"}))</f>
        <v>5</v>
      </c>
      <c r="AI46" s="401" cm="2">
        <f t="array" ref="AI46">SUMPRODUCT(COUNTIF(AI4:AI45,{"1";"M1"}))</f>
        <v>5</v>
      </c>
      <c r="AJ46" s="401" cm="2">
        <f t="array" ref="AJ46">SUMPRODUCT(COUNTIF(AJ4:AJ45,{"1";"M1"}))</f>
        <v>5</v>
      </c>
      <c r="AK46" s="401" cm="2">
        <f t="array" ref="AK46">SUMPRODUCT(COUNTIF(AK4:AK45,{"1";"M1"}))</f>
        <v>5</v>
      </c>
      <c r="AL46" s="401" cm="2">
        <f t="array" ref="AL46">SUMPRODUCT(COUNTIF(AL4:AL45,{"1";"M1"}))</f>
        <v>5</v>
      </c>
      <c r="AM46" s="401" cm="2">
        <f t="array" ref="AM46">SUMPRODUCT(COUNTIF(AM4:AM45,{"1";"M1"}))</f>
        <v>3</v>
      </c>
      <c r="AN46" s="401" cm="2">
        <f t="array" ref="AN46">SUMPRODUCT(COUNTIF(AN4:AN45,{"1";"M1"}))</f>
        <v>3</v>
      </c>
      <c r="AO46" s="402" cm="2">
        <f t="array" ref="AO46">SUMPRODUCT(COUNTIF(AO4:AO45,{"1";"M1"}))</f>
        <v>5</v>
      </c>
      <c r="AQ46" s="50"/>
      <c r="AR46" s="6"/>
      <c r="AS46" s="75"/>
      <c r="AT46" s="79"/>
      <c r="AW46" s="6"/>
      <c r="AX46" s="6"/>
      <c r="AY46" s="6"/>
    </row>
    <row r="47" spans="1:226" s="77" customFormat="1" ht="18" customHeight="1">
      <c r="A47" s="80"/>
      <c r="B47" s="80"/>
      <c r="C47" s="81"/>
      <c r="D47" s="81"/>
      <c r="E47" s="75"/>
      <c r="I47" s="81"/>
      <c r="J47" s="82">
        <v>2</v>
      </c>
      <c r="K47" s="403" cm="2">
        <f t="array" ref="K47">SUMPRODUCT(COUNTIF(K4:K45,{"2";"M2"}))</f>
        <v>3</v>
      </c>
      <c r="L47" s="404" cm="2">
        <f t="array" ref="L47">SUMPRODUCT(COUNTIF(L4:L45,{"2";"M2"}))</f>
        <v>3</v>
      </c>
      <c r="M47" s="404" cm="2">
        <f t="array" ref="M47">SUMPRODUCT(COUNTIF(M4:M45,{"2";"M2"}))</f>
        <v>3</v>
      </c>
      <c r="N47" s="404" cm="2">
        <f t="array" ref="N47">SUMPRODUCT(COUNTIF(N4:N45,{"2";"M2"}))</f>
        <v>3</v>
      </c>
      <c r="O47" s="404" cm="2">
        <f t="array" ref="O47">SUMPRODUCT(COUNTIF(O4:O45,{"2";"M2"}))</f>
        <v>3</v>
      </c>
      <c r="P47" s="404" cm="2">
        <f t="array" ref="P47">SUMPRODUCT(COUNTIF(P4:P45,{"2";"M2"}))</f>
        <v>3</v>
      </c>
      <c r="Q47" s="404" cm="2">
        <f t="array" ref="Q47">SUMPRODUCT(COUNTIF(Q4:Q45,{"2";"M2"}))</f>
        <v>3</v>
      </c>
      <c r="R47" s="404" cm="2">
        <f t="array" ref="R47">SUMPRODUCT(COUNTIF(R4:R45,{"2";"M2"}))</f>
        <v>3</v>
      </c>
      <c r="S47" s="404" cm="2">
        <f t="array" ref="S47">SUMPRODUCT(COUNTIF(S4:S45,{"2";"M2"}))</f>
        <v>3</v>
      </c>
      <c r="T47" s="404" cm="2">
        <f t="array" ref="T47">SUMPRODUCT(COUNTIF(T4:T45,{"2";"M2"}))</f>
        <v>3</v>
      </c>
      <c r="U47" s="404" cm="2">
        <f t="array" ref="U47">SUMPRODUCT(COUNTIF(U4:U45,{"2";"M2"}))</f>
        <v>3</v>
      </c>
      <c r="V47" s="404" cm="2">
        <f t="array" ref="V47">SUMPRODUCT(COUNTIF(V4:V45,{"2";"M2"}))</f>
        <v>3</v>
      </c>
      <c r="W47" s="404" cm="2">
        <f t="array" ref="W47">SUMPRODUCT(COUNTIF(W4:W45,{"2";"M2"}))</f>
        <v>3</v>
      </c>
      <c r="X47" s="404" cm="2">
        <f t="array" ref="X47">SUMPRODUCT(COUNTIF(X4:X45,{"2";"M2"}))</f>
        <v>3</v>
      </c>
      <c r="Y47" s="404" cm="2">
        <f t="array" ref="Y47">SUMPRODUCT(COUNTIF(Y4:Y45,{"2";"M2"}))</f>
        <v>3</v>
      </c>
      <c r="Z47" s="404" cm="2">
        <f t="array" ref="Z47">SUMPRODUCT(COUNTIF(Z4:Z45,{"2";"M2"}))</f>
        <v>3</v>
      </c>
      <c r="AA47" s="404" cm="2">
        <f t="array" ref="AA47">SUMPRODUCT(COUNTIF(AA4:AA45,{"2";"M2"}))</f>
        <v>3</v>
      </c>
      <c r="AB47" s="404" cm="2">
        <f t="array" ref="AB47">SUMPRODUCT(COUNTIF(AB4:AB45,{"2";"M2"}))</f>
        <v>3</v>
      </c>
      <c r="AC47" s="404" cm="2">
        <f t="array" ref="AC47">SUMPRODUCT(COUNTIF(AC4:AC45,{"2";"M2"}))</f>
        <v>3</v>
      </c>
      <c r="AD47" s="404" cm="2">
        <f t="array" ref="AD47">SUMPRODUCT(COUNTIF(AD4:AD45,{"2";"M2"}))</f>
        <v>3</v>
      </c>
      <c r="AE47" s="404" cm="2">
        <f t="array" ref="AE47">SUMPRODUCT(COUNTIF(AE4:AE45,{"2";"M2"}))</f>
        <v>3</v>
      </c>
      <c r="AF47" s="404" cm="2">
        <f t="array" ref="AF47">SUMPRODUCT(COUNTIF(AF4:AF45,{"2";"M2"}))</f>
        <v>3</v>
      </c>
      <c r="AG47" s="404" cm="2">
        <f t="array" ref="AG47">SUMPRODUCT(COUNTIF(AG4:AG45,{"2";"M2"}))</f>
        <v>3</v>
      </c>
      <c r="AH47" s="404" cm="2">
        <f t="array" ref="AH47">SUMPRODUCT(COUNTIF(AH4:AH45,{"2";"M2"}))</f>
        <v>3</v>
      </c>
      <c r="AI47" s="404" cm="2">
        <f t="array" ref="AI47">SUMPRODUCT(COUNTIF(AI4:AI45,{"2";"M2"}))</f>
        <v>3</v>
      </c>
      <c r="AJ47" s="404" cm="2">
        <f t="array" ref="AJ47">SUMPRODUCT(COUNTIF(AJ4:AJ45,{"2";"M2"}))</f>
        <v>3</v>
      </c>
      <c r="AK47" s="404" cm="2">
        <f t="array" ref="AK47">SUMPRODUCT(COUNTIF(AK4:AK45,{"2";"M2"}))</f>
        <v>3</v>
      </c>
      <c r="AL47" s="404" cm="2">
        <f t="array" ref="AL47">SUMPRODUCT(COUNTIF(AL4:AL45,{"2";"M2"}))</f>
        <v>3</v>
      </c>
      <c r="AM47" s="404" cm="2">
        <f t="array" ref="AM47">SUMPRODUCT(COUNTIF(AM4:AM45,{"2";"M2"}))</f>
        <v>3</v>
      </c>
      <c r="AN47" s="404" cm="2">
        <f t="array" ref="AN47">SUMPRODUCT(COUNTIF(AN4:AN45,{"2";"M2"}))</f>
        <v>3</v>
      </c>
      <c r="AO47" s="405" cm="2">
        <f t="array" ref="AO47">SUMPRODUCT(COUNTIF(AO4:AO45,{"2";"M2"}))</f>
        <v>3</v>
      </c>
      <c r="AQ47" s="50"/>
      <c r="AR47" s="6" t="s">
        <v>34</v>
      </c>
      <c r="AS47" s="75" t="s">
        <v>35</v>
      </c>
      <c r="AT47" s="84"/>
    </row>
    <row r="48" spans="1:226" s="77" customFormat="1" ht="18" customHeight="1" thickBot="1">
      <c r="A48" s="80"/>
      <c r="B48" s="80"/>
      <c r="C48" s="81"/>
      <c r="D48" s="81"/>
      <c r="E48" s="75"/>
      <c r="I48" s="81"/>
      <c r="J48" s="85">
        <v>3</v>
      </c>
      <c r="K48" s="406">
        <f t="shared" ref="K48:AO48" si="65">COUNTIF(K4:K45,3)</f>
        <v>2</v>
      </c>
      <c r="L48" s="407">
        <f t="shared" si="65"/>
        <v>2</v>
      </c>
      <c r="M48" s="407">
        <f t="shared" si="65"/>
        <v>3</v>
      </c>
      <c r="N48" s="407">
        <f t="shared" si="65"/>
        <v>3</v>
      </c>
      <c r="O48" s="407">
        <f t="shared" si="65"/>
        <v>3</v>
      </c>
      <c r="P48" s="407">
        <f t="shared" si="65"/>
        <v>3</v>
      </c>
      <c r="Q48" s="407">
        <f t="shared" si="65"/>
        <v>3</v>
      </c>
      <c r="R48" s="407">
        <f t="shared" si="65"/>
        <v>2</v>
      </c>
      <c r="S48" s="407">
        <f t="shared" si="65"/>
        <v>2</v>
      </c>
      <c r="T48" s="407">
        <f t="shared" si="65"/>
        <v>3</v>
      </c>
      <c r="U48" s="407">
        <f t="shared" si="65"/>
        <v>3</v>
      </c>
      <c r="V48" s="407">
        <f t="shared" si="65"/>
        <v>3</v>
      </c>
      <c r="W48" s="407">
        <f t="shared" si="65"/>
        <v>3</v>
      </c>
      <c r="X48" s="407">
        <f t="shared" si="65"/>
        <v>3</v>
      </c>
      <c r="Y48" s="407">
        <f t="shared" si="65"/>
        <v>2</v>
      </c>
      <c r="Z48" s="407">
        <f t="shared" si="65"/>
        <v>2</v>
      </c>
      <c r="AA48" s="407">
        <f t="shared" si="65"/>
        <v>3</v>
      </c>
      <c r="AB48" s="407">
        <f t="shared" si="65"/>
        <v>3</v>
      </c>
      <c r="AC48" s="407">
        <f t="shared" si="65"/>
        <v>3</v>
      </c>
      <c r="AD48" s="407">
        <f t="shared" si="65"/>
        <v>3</v>
      </c>
      <c r="AE48" s="407">
        <f t="shared" si="65"/>
        <v>3</v>
      </c>
      <c r="AF48" s="407">
        <f t="shared" si="65"/>
        <v>2</v>
      </c>
      <c r="AG48" s="407">
        <f t="shared" si="65"/>
        <v>2</v>
      </c>
      <c r="AH48" s="407">
        <f t="shared" si="65"/>
        <v>3</v>
      </c>
      <c r="AI48" s="407">
        <f t="shared" si="65"/>
        <v>3</v>
      </c>
      <c r="AJ48" s="407">
        <f t="shared" si="65"/>
        <v>3</v>
      </c>
      <c r="AK48" s="407">
        <f t="shared" si="65"/>
        <v>3</v>
      </c>
      <c r="AL48" s="407">
        <f t="shared" si="65"/>
        <v>3</v>
      </c>
      <c r="AM48" s="407">
        <f t="shared" si="65"/>
        <v>2</v>
      </c>
      <c r="AN48" s="407">
        <f t="shared" si="65"/>
        <v>2</v>
      </c>
      <c r="AO48" s="408">
        <f t="shared" si="65"/>
        <v>3</v>
      </c>
      <c r="AQ48" s="75" t="s">
        <v>109</v>
      </c>
      <c r="AR48" s="75">
        <f>36*31</f>
        <v>1116</v>
      </c>
      <c r="AS48" s="75">
        <f>6*31</f>
        <v>186</v>
      </c>
      <c r="AT48" s="84"/>
    </row>
    <row r="49" spans="1:51" s="77" customFormat="1" ht="18" customHeight="1">
      <c r="A49" s="80"/>
      <c r="B49" s="80"/>
      <c r="C49" s="81"/>
      <c r="D49" s="81"/>
      <c r="E49" s="75"/>
      <c r="I49" s="81"/>
      <c r="J49" s="86" t="s">
        <v>36</v>
      </c>
      <c r="K49" s="409" cm="2">
        <f t="array" ref="K49">SUMPRODUCT(COUNTIF(K4:K45,{"早";"T早"}))</f>
        <v>3</v>
      </c>
      <c r="L49" s="410" cm="2">
        <f t="array" ref="L49">SUMPRODUCT(COUNTIF(L4:L45,{"早";"T早"}))</f>
        <v>3</v>
      </c>
      <c r="M49" s="410" cm="2">
        <f t="array" ref="M49">SUMPRODUCT(COUNTIF(M4:M45,{"早";"T早"}))</f>
        <v>5</v>
      </c>
      <c r="N49" s="410" cm="2">
        <f t="array" ref="N49">SUMPRODUCT(COUNTIF(N4:N45,{"早";"T早"}))</f>
        <v>5</v>
      </c>
      <c r="O49" s="410" cm="2">
        <f t="array" ref="O49">SUMPRODUCT(COUNTIF(O4:O45,{"早";"T早"}))</f>
        <v>5</v>
      </c>
      <c r="P49" s="410" cm="2">
        <f t="array" ref="P49">SUMPRODUCT(COUNTIF(P4:P45,{"早";"T早"}))</f>
        <v>5</v>
      </c>
      <c r="Q49" s="410" cm="2">
        <f t="array" ref="Q49">SUMPRODUCT(COUNTIF(Q4:Q45,{"早";"T早"}))</f>
        <v>5</v>
      </c>
      <c r="R49" s="410" cm="2">
        <f t="array" ref="R49">SUMPRODUCT(COUNTIF(R4:R45,{"早";"T早"}))</f>
        <v>3</v>
      </c>
      <c r="S49" s="410" cm="2">
        <f t="array" ref="S49">SUMPRODUCT(COUNTIF(S4:S45,{"早";"T早"}))</f>
        <v>3</v>
      </c>
      <c r="T49" s="410" cm="2">
        <f t="array" ref="T49">SUMPRODUCT(COUNTIF(T4:T45,{"早";"T早"}))</f>
        <v>5</v>
      </c>
      <c r="U49" s="410" cm="2">
        <f t="array" ref="U49">SUMPRODUCT(COUNTIF(U4:U45,{"早";"T早"}))</f>
        <v>5</v>
      </c>
      <c r="V49" s="410" cm="2">
        <f t="array" ref="V49">SUMPRODUCT(COUNTIF(V4:V45,{"早";"T早"}))</f>
        <v>5</v>
      </c>
      <c r="W49" s="410" cm="2">
        <f t="array" ref="W49">SUMPRODUCT(COUNTIF(W4:W45,{"早";"T早"}))</f>
        <v>5</v>
      </c>
      <c r="X49" s="410" cm="2">
        <f t="array" ref="X49">SUMPRODUCT(COUNTIF(X4:X45,{"早";"T早"}))</f>
        <v>5</v>
      </c>
      <c r="Y49" s="410" cm="2">
        <f t="array" ref="Y49">SUMPRODUCT(COUNTIF(Y4:Y45,{"早";"T早"}))</f>
        <v>3</v>
      </c>
      <c r="Z49" s="410" cm="2">
        <f t="array" ref="Z49">SUMPRODUCT(COUNTIF(Z4:Z45,{"早";"T早"}))</f>
        <v>3</v>
      </c>
      <c r="AA49" s="410" cm="2">
        <f t="array" ref="AA49">SUMPRODUCT(COUNTIF(AA4:AA45,{"早";"T早"}))</f>
        <v>5</v>
      </c>
      <c r="AB49" s="410" cm="2">
        <f t="array" ref="AB49">SUMPRODUCT(COUNTIF(AB4:AB45,{"早";"T早"}))</f>
        <v>5</v>
      </c>
      <c r="AC49" s="410" cm="2">
        <f t="array" ref="AC49">SUMPRODUCT(COUNTIF(AC4:AC45,{"早";"T早"}))</f>
        <v>5</v>
      </c>
      <c r="AD49" s="410" cm="2">
        <f t="array" ref="AD49">SUMPRODUCT(COUNTIF(AD4:AD45,{"早";"T早"}))</f>
        <v>5</v>
      </c>
      <c r="AE49" s="410" cm="2">
        <f t="array" ref="AE49">SUMPRODUCT(COUNTIF(AE4:AE45,{"早";"T早"}))</f>
        <v>5</v>
      </c>
      <c r="AF49" s="410" cm="2">
        <f t="array" ref="AF49">SUMPRODUCT(COUNTIF(AF4:AF45,{"早";"T早"}))</f>
        <v>3</v>
      </c>
      <c r="AG49" s="410" cm="2">
        <f t="array" ref="AG49">SUMPRODUCT(COUNTIF(AG4:AG45,{"早";"T早"}))</f>
        <v>3</v>
      </c>
      <c r="AH49" s="410" cm="2">
        <f t="array" ref="AH49">SUMPRODUCT(COUNTIF(AH4:AH45,{"早";"T早"}))</f>
        <v>5</v>
      </c>
      <c r="AI49" s="410" cm="2">
        <f t="array" ref="AI49">SUMPRODUCT(COUNTIF(AI4:AI45,{"早";"T早"}))</f>
        <v>5</v>
      </c>
      <c r="AJ49" s="410" cm="2">
        <f t="array" ref="AJ49">SUMPRODUCT(COUNTIF(AJ4:AJ45,{"早";"T早"}))</f>
        <v>5</v>
      </c>
      <c r="AK49" s="410" cm="2">
        <f t="array" ref="AK49">SUMPRODUCT(COUNTIF(AK4:AK45,{"早";"T早"}))</f>
        <v>5</v>
      </c>
      <c r="AL49" s="410" cm="2">
        <f t="array" ref="AL49">SUMPRODUCT(COUNTIF(AL4:AL45,{"早";"T早"}))</f>
        <v>5</v>
      </c>
      <c r="AM49" s="410" cm="2">
        <f t="array" ref="AM49">SUMPRODUCT(COUNTIF(AM4:AM45,{"早";"T早"}))</f>
        <v>3</v>
      </c>
      <c r="AN49" s="410" cm="2">
        <f t="array" ref="AN49">SUMPRODUCT(COUNTIF(AN4:AN45,{"早";"T早"}))</f>
        <v>3</v>
      </c>
      <c r="AO49" s="411" cm="2">
        <f t="array" ref="AO49">SUMPRODUCT(COUNTIF(AO4:AO45,{"早";"T早"}))</f>
        <v>5</v>
      </c>
      <c r="AQ49" s="87" t="s">
        <v>37</v>
      </c>
      <c r="AR49" s="75">
        <f>22*(31-I1)</f>
        <v>462</v>
      </c>
      <c r="AS49" s="75">
        <f>3*(31-I1)</f>
        <v>63</v>
      </c>
      <c r="AU49" s="84"/>
    </row>
    <row r="50" spans="1:51" s="77" customFormat="1" ht="18" customHeight="1">
      <c r="A50" s="80"/>
      <c r="B50" s="80"/>
      <c r="C50" s="81"/>
      <c r="D50" s="81"/>
      <c r="E50" s="75"/>
      <c r="I50" s="81"/>
      <c r="J50" s="88" t="s">
        <v>38</v>
      </c>
      <c r="K50" s="412" cm="2">
        <f t="array" ref="K50">SUMPRODUCT(COUNTIF(K4:K45,{"中";"T中"}))</f>
        <v>3</v>
      </c>
      <c r="L50" s="413" cm="2">
        <f t="array" ref="L50">SUMPRODUCT(COUNTIF(L4:L45,{"中";"T中"}))</f>
        <v>3</v>
      </c>
      <c r="M50" s="413" cm="2">
        <f t="array" ref="M50">SUMPRODUCT(COUNTIF(M4:M45,{"中";"T中"}))</f>
        <v>3</v>
      </c>
      <c r="N50" s="413" cm="2">
        <f t="array" ref="N50">SUMPRODUCT(COUNTIF(N4:N45,{"中";"T中"}))</f>
        <v>3</v>
      </c>
      <c r="O50" s="413" cm="2">
        <f t="array" ref="O50">SUMPRODUCT(COUNTIF(O4:O45,{"中";"T中"}))</f>
        <v>3</v>
      </c>
      <c r="P50" s="413" cm="2">
        <f t="array" ref="P50">SUMPRODUCT(COUNTIF(P4:P45,{"中";"T中"}))</f>
        <v>3</v>
      </c>
      <c r="Q50" s="413" cm="2">
        <f t="array" ref="Q50">SUMPRODUCT(COUNTIF(Q4:Q45,{"中";"T中"}))</f>
        <v>3</v>
      </c>
      <c r="R50" s="413" cm="2">
        <f t="array" ref="R50">SUMPRODUCT(COUNTIF(R4:R45,{"中";"T中"}))</f>
        <v>3</v>
      </c>
      <c r="S50" s="413" cm="2">
        <f t="array" ref="S50">SUMPRODUCT(COUNTIF(S4:S45,{"中";"T中"}))</f>
        <v>3</v>
      </c>
      <c r="T50" s="413" cm="2">
        <f t="array" ref="T50">SUMPRODUCT(COUNTIF(T4:T45,{"中";"T中"}))</f>
        <v>3</v>
      </c>
      <c r="U50" s="413" cm="2">
        <f t="array" ref="U50">SUMPRODUCT(COUNTIF(U4:U45,{"中";"T中"}))</f>
        <v>3</v>
      </c>
      <c r="V50" s="413" cm="2">
        <f t="array" ref="V50">SUMPRODUCT(COUNTIF(V4:V45,{"中";"T中"}))</f>
        <v>3</v>
      </c>
      <c r="W50" s="413" cm="2">
        <f t="array" ref="W50">SUMPRODUCT(COUNTIF(W4:W45,{"中";"T中"}))</f>
        <v>3</v>
      </c>
      <c r="X50" s="413" cm="2">
        <f t="array" ref="X50">SUMPRODUCT(COUNTIF(X4:X45,{"中";"T中"}))</f>
        <v>3</v>
      </c>
      <c r="Y50" s="413" cm="2">
        <f t="array" ref="Y50">SUMPRODUCT(COUNTIF(Y4:Y45,{"中";"T中"}))</f>
        <v>3</v>
      </c>
      <c r="Z50" s="413" cm="2">
        <f t="array" ref="Z50">SUMPRODUCT(COUNTIF(Z4:Z45,{"中";"T中"}))</f>
        <v>3</v>
      </c>
      <c r="AA50" s="413" cm="2">
        <f t="array" ref="AA50">SUMPRODUCT(COUNTIF(AA4:AA45,{"中";"T中"}))</f>
        <v>3</v>
      </c>
      <c r="AB50" s="413" cm="2">
        <f t="array" ref="AB50">SUMPRODUCT(COUNTIF(AB4:AB45,{"中";"T中"}))</f>
        <v>3</v>
      </c>
      <c r="AC50" s="413" cm="2">
        <f t="array" ref="AC50">SUMPRODUCT(COUNTIF(AC4:AC45,{"中";"T中"}))</f>
        <v>3</v>
      </c>
      <c r="AD50" s="413" cm="2">
        <f t="array" ref="AD50">SUMPRODUCT(COUNTIF(AD4:AD45,{"中";"T中"}))</f>
        <v>3</v>
      </c>
      <c r="AE50" s="413" cm="2">
        <f t="array" ref="AE50">SUMPRODUCT(COUNTIF(AE4:AE45,{"中";"T中"}))</f>
        <v>3</v>
      </c>
      <c r="AF50" s="413" cm="2">
        <f t="array" ref="AF50">SUMPRODUCT(COUNTIF(AF4:AF45,{"中";"T中"}))</f>
        <v>3</v>
      </c>
      <c r="AG50" s="413" cm="2">
        <f t="array" ref="AG50">SUMPRODUCT(COUNTIF(AG4:AG45,{"中";"T中"}))</f>
        <v>3</v>
      </c>
      <c r="AH50" s="413" cm="2">
        <f t="array" ref="AH50">SUMPRODUCT(COUNTIF(AH4:AH45,{"中";"T中"}))</f>
        <v>3</v>
      </c>
      <c r="AI50" s="413" cm="2">
        <f t="array" ref="AI50">SUMPRODUCT(COUNTIF(AI4:AI45,{"中";"T中"}))</f>
        <v>3</v>
      </c>
      <c r="AJ50" s="413" cm="2">
        <f t="array" ref="AJ50">SUMPRODUCT(COUNTIF(AJ4:AJ45,{"中";"T中"}))</f>
        <v>3</v>
      </c>
      <c r="AK50" s="413" cm="2">
        <f t="array" ref="AK50">SUMPRODUCT(COUNTIF(AK4:AK45,{"中";"T中"}))</f>
        <v>3</v>
      </c>
      <c r="AL50" s="413" cm="2">
        <f t="array" ref="AL50">SUMPRODUCT(COUNTIF(AL4:AL45,{"中";"T中"}))</f>
        <v>3</v>
      </c>
      <c r="AM50" s="413" cm="2">
        <f t="array" ref="AM50">SUMPRODUCT(COUNTIF(AM4:AM45,{"中";"T中"}))</f>
        <v>3</v>
      </c>
      <c r="AN50" s="413" cm="2">
        <f t="array" ref="AN50">SUMPRODUCT(COUNTIF(AN4:AN45,{"中";"T中"}))</f>
        <v>3</v>
      </c>
      <c r="AO50" s="414" cm="2">
        <f t="array" ref="AO50">SUMPRODUCT(COUNTIF(AO4:AO45,{"中";"T中"}))</f>
        <v>3</v>
      </c>
      <c r="AQ50" s="87" t="s">
        <v>39</v>
      </c>
      <c r="AR50" s="75">
        <f>16*I1</f>
        <v>160</v>
      </c>
      <c r="AS50" s="75">
        <f>3*I1</f>
        <v>30</v>
      </c>
      <c r="AU50" s="89"/>
    </row>
    <row r="51" spans="1:51" s="77" customFormat="1" ht="18" customHeight="1" thickBot="1">
      <c r="A51" s="80"/>
      <c r="B51" s="80"/>
      <c r="C51" s="81"/>
      <c r="D51" s="81"/>
      <c r="E51" s="75"/>
      <c r="I51" s="81"/>
      <c r="J51" s="90" t="s">
        <v>40</v>
      </c>
      <c r="K51" s="406">
        <f t="shared" ref="K51:AO51" si="66">COUNTIF(K4:K45,"晚")</f>
        <v>2</v>
      </c>
      <c r="L51" s="407">
        <f t="shared" si="66"/>
        <v>2</v>
      </c>
      <c r="M51" s="407">
        <f t="shared" si="66"/>
        <v>3</v>
      </c>
      <c r="N51" s="407">
        <f t="shared" si="66"/>
        <v>3</v>
      </c>
      <c r="O51" s="407">
        <f t="shared" si="66"/>
        <v>3</v>
      </c>
      <c r="P51" s="407">
        <f t="shared" si="66"/>
        <v>3</v>
      </c>
      <c r="Q51" s="407">
        <f t="shared" si="66"/>
        <v>3</v>
      </c>
      <c r="R51" s="407">
        <f t="shared" si="66"/>
        <v>2</v>
      </c>
      <c r="S51" s="407">
        <f t="shared" si="66"/>
        <v>2</v>
      </c>
      <c r="T51" s="407">
        <f t="shared" si="66"/>
        <v>3</v>
      </c>
      <c r="U51" s="407">
        <f t="shared" si="66"/>
        <v>3</v>
      </c>
      <c r="V51" s="407">
        <f t="shared" si="66"/>
        <v>3</v>
      </c>
      <c r="W51" s="407">
        <f t="shared" si="66"/>
        <v>3</v>
      </c>
      <c r="X51" s="407">
        <f t="shared" si="66"/>
        <v>3</v>
      </c>
      <c r="Y51" s="407">
        <f t="shared" si="66"/>
        <v>2</v>
      </c>
      <c r="Z51" s="407">
        <f t="shared" si="66"/>
        <v>2</v>
      </c>
      <c r="AA51" s="407">
        <f t="shared" si="66"/>
        <v>3</v>
      </c>
      <c r="AB51" s="407">
        <f t="shared" si="66"/>
        <v>3</v>
      </c>
      <c r="AC51" s="407">
        <f t="shared" si="66"/>
        <v>3</v>
      </c>
      <c r="AD51" s="407">
        <f t="shared" si="66"/>
        <v>3</v>
      </c>
      <c r="AE51" s="407">
        <f t="shared" si="66"/>
        <v>3</v>
      </c>
      <c r="AF51" s="407">
        <f t="shared" si="66"/>
        <v>2</v>
      </c>
      <c r="AG51" s="407">
        <f t="shared" si="66"/>
        <v>2</v>
      </c>
      <c r="AH51" s="407">
        <f t="shared" si="66"/>
        <v>3</v>
      </c>
      <c r="AI51" s="407">
        <f t="shared" si="66"/>
        <v>3</v>
      </c>
      <c r="AJ51" s="407">
        <f t="shared" si="66"/>
        <v>3</v>
      </c>
      <c r="AK51" s="407">
        <f t="shared" si="66"/>
        <v>3</v>
      </c>
      <c r="AL51" s="407">
        <f t="shared" si="66"/>
        <v>3</v>
      </c>
      <c r="AM51" s="407">
        <f t="shared" si="66"/>
        <v>2</v>
      </c>
      <c r="AN51" s="407">
        <f t="shared" si="66"/>
        <v>2</v>
      </c>
      <c r="AO51" s="408">
        <f t="shared" si="66"/>
        <v>3</v>
      </c>
      <c r="AQ51" s="75" t="s">
        <v>0</v>
      </c>
      <c r="AR51" s="91">
        <f>36*I1</f>
        <v>360</v>
      </c>
      <c r="AS51" s="75">
        <f>6*I1</f>
        <v>60</v>
      </c>
    </row>
    <row r="52" spans="1:51" s="77" customFormat="1" ht="18" customHeight="1">
      <c r="A52" s="80"/>
      <c r="B52" s="80"/>
      <c r="C52" s="81"/>
      <c r="D52" s="81"/>
      <c r="E52" s="75"/>
      <c r="I52" s="81"/>
      <c r="J52" s="86" t="s">
        <v>111</v>
      </c>
      <c r="K52" s="409">
        <f t="shared" ref="K52:AO52" si="67">COUNTIF(K4:K45,"日")</f>
        <v>1</v>
      </c>
      <c r="L52" s="410">
        <f t="shared" si="67"/>
        <v>1</v>
      </c>
      <c r="M52" s="410">
        <f t="shared" si="67"/>
        <v>1</v>
      </c>
      <c r="N52" s="410">
        <f t="shared" si="67"/>
        <v>1</v>
      </c>
      <c r="O52" s="410">
        <f t="shared" si="67"/>
        <v>1</v>
      </c>
      <c r="P52" s="410">
        <f t="shared" si="67"/>
        <v>1</v>
      </c>
      <c r="Q52" s="410">
        <f t="shared" si="67"/>
        <v>1</v>
      </c>
      <c r="R52" s="410">
        <f t="shared" si="67"/>
        <v>1</v>
      </c>
      <c r="S52" s="410">
        <f t="shared" si="67"/>
        <v>1</v>
      </c>
      <c r="T52" s="410">
        <f t="shared" si="67"/>
        <v>1</v>
      </c>
      <c r="U52" s="410">
        <f t="shared" si="67"/>
        <v>1</v>
      </c>
      <c r="V52" s="410">
        <f t="shared" si="67"/>
        <v>1</v>
      </c>
      <c r="W52" s="410">
        <f t="shared" si="67"/>
        <v>1</v>
      </c>
      <c r="X52" s="410">
        <f t="shared" si="67"/>
        <v>1</v>
      </c>
      <c r="Y52" s="410">
        <f t="shared" si="67"/>
        <v>1</v>
      </c>
      <c r="Z52" s="410">
        <f t="shared" si="67"/>
        <v>1</v>
      </c>
      <c r="AA52" s="410">
        <f t="shared" si="67"/>
        <v>1</v>
      </c>
      <c r="AB52" s="410">
        <f t="shared" si="67"/>
        <v>1</v>
      </c>
      <c r="AC52" s="410">
        <f t="shared" si="67"/>
        <v>1</v>
      </c>
      <c r="AD52" s="410">
        <f t="shared" si="67"/>
        <v>1</v>
      </c>
      <c r="AE52" s="410">
        <f t="shared" si="67"/>
        <v>1</v>
      </c>
      <c r="AF52" s="410">
        <f t="shared" si="67"/>
        <v>1</v>
      </c>
      <c r="AG52" s="410">
        <f t="shared" si="67"/>
        <v>1</v>
      </c>
      <c r="AH52" s="410">
        <f t="shared" si="67"/>
        <v>1</v>
      </c>
      <c r="AI52" s="410">
        <f t="shared" si="67"/>
        <v>1</v>
      </c>
      <c r="AJ52" s="410">
        <f t="shared" si="67"/>
        <v>1</v>
      </c>
      <c r="AK52" s="410">
        <f t="shared" si="67"/>
        <v>1</v>
      </c>
      <c r="AL52" s="410">
        <f t="shared" si="67"/>
        <v>1</v>
      </c>
      <c r="AM52" s="410">
        <f t="shared" si="67"/>
        <v>1</v>
      </c>
      <c r="AN52" s="410">
        <f t="shared" si="67"/>
        <v>1</v>
      </c>
      <c r="AO52" s="411">
        <f t="shared" si="67"/>
        <v>1</v>
      </c>
      <c r="AQ52" s="50" t="s">
        <v>104</v>
      </c>
      <c r="AR52" s="91" cm="2">
        <f t="array" ref="AR52">SUMPRODUCT(COUNTIF(K4:AO39,{"N";"N8"}))</f>
        <v>62</v>
      </c>
      <c r="AS52" s="91" cm="2">
        <f t="array" ref="AS52">SUMPRODUCT(COUNTIF(K40:AO45,{"N";"N8"}))</f>
        <v>24</v>
      </c>
    </row>
    <row r="53" spans="1:51" s="77" customFormat="1" ht="18" customHeight="1">
      <c r="A53" s="80"/>
      <c r="B53" s="80"/>
      <c r="C53" s="81"/>
      <c r="D53" s="81"/>
      <c r="E53" s="75"/>
      <c r="I53" s="81"/>
      <c r="J53" s="88" t="s">
        <v>143</v>
      </c>
      <c r="K53" s="412">
        <f t="shared" ref="K53:AO53" si="68">COUNTIF(K4:K45,"小夜")</f>
        <v>1</v>
      </c>
      <c r="L53" s="413">
        <f t="shared" si="68"/>
        <v>1</v>
      </c>
      <c r="M53" s="413">
        <f t="shared" si="68"/>
        <v>1</v>
      </c>
      <c r="N53" s="413">
        <f t="shared" si="68"/>
        <v>1</v>
      </c>
      <c r="O53" s="413">
        <f t="shared" si="68"/>
        <v>1</v>
      </c>
      <c r="P53" s="413">
        <f t="shared" si="68"/>
        <v>1</v>
      </c>
      <c r="Q53" s="413">
        <f t="shared" si="68"/>
        <v>1</v>
      </c>
      <c r="R53" s="413">
        <f t="shared" si="68"/>
        <v>1</v>
      </c>
      <c r="S53" s="413">
        <f t="shared" si="68"/>
        <v>1</v>
      </c>
      <c r="T53" s="413">
        <f t="shared" si="68"/>
        <v>1</v>
      </c>
      <c r="U53" s="413">
        <f t="shared" si="68"/>
        <v>1</v>
      </c>
      <c r="V53" s="413">
        <f t="shared" si="68"/>
        <v>1</v>
      </c>
      <c r="W53" s="413">
        <f t="shared" si="68"/>
        <v>1</v>
      </c>
      <c r="X53" s="413">
        <f t="shared" si="68"/>
        <v>1</v>
      </c>
      <c r="Y53" s="413">
        <f t="shared" si="68"/>
        <v>1</v>
      </c>
      <c r="Z53" s="413">
        <f t="shared" si="68"/>
        <v>1</v>
      </c>
      <c r="AA53" s="413">
        <f t="shared" si="68"/>
        <v>1</v>
      </c>
      <c r="AB53" s="413">
        <f t="shared" si="68"/>
        <v>1</v>
      </c>
      <c r="AC53" s="413">
        <f t="shared" si="68"/>
        <v>1</v>
      </c>
      <c r="AD53" s="413">
        <f t="shared" si="68"/>
        <v>1</v>
      </c>
      <c r="AE53" s="413">
        <f t="shared" si="68"/>
        <v>1</v>
      </c>
      <c r="AF53" s="413">
        <f t="shared" si="68"/>
        <v>1</v>
      </c>
      <c r="AG53" s="413">
        <f t="shared" si="68"/>
        <v>1</v>
      </c>
      <c r="AH53" s="413">
        <f t="shared" si="68"/>
        <v>1</v>
      </c>
      <c r="AI53" s="413">
        <f t="shared" si="68"/>
        <v>1</v>
      </c>
      <c r="AJ53" s="413">
        <f t="shared" si="68"/>
        <v>1</v>
      </c>
      <c r="AK53" s="413">
        <f t="shared" si="68"/>
        <v>1</v>
      </c>
      <c r="AL53" s="413">
        <f t="shared" si="68"/>
        <v>1</v>
      </c>
      <c r="AM53" s="413">
        <f t="shared" si="68"/>
        <v>1</v>
      </c>
      <c r="AN53" s="413">
        <f t="shared" si="68"/>
        <v>1</v>
      </c>
      <c r="AO53" s="414">
        <f t="shared" si="68"/>
        <v>1</v>
      </c>
      <c r="AQ53" s="50" t="s">
        <v>105</v>
      </c>
      <c r="AR53" s="92" cm="2">
        <f t="array" ref="AR53">SUMPRODUCT(COUNTIF(K4:AO39,{"S"}))</f>
        <v>64</v>
      </c>
      <c r="AS53" s="75" cm="2">
        <f t="array" ref="AS53">SUMPRODUCT(COUNTIF(K40:AO45,{"S"}))</f>
        <v>8</v>
      </c>
    </row>
    <row r="54" spans="1:51" s="77" customFormat="1" ht="18" customHeight="1" thickBot="1">
      <c r="A54" s="80"/>
      <c r="B54" s="80"/>
      <c r="C54" s="81"/>
      <c r="D54" s="81"/>
      <c r="E54" s="75"/>
      <c r="I54" s="81"/>
      <c r="J54" s="90" t="s">
        <v>144</v>
      </c>
      <c r="K54" s="406">
        <f t="shared" ref="K54:AO54" si="69">COUNTIF(K7:K48,"大夜")</f>
        <v>1</v>
      </c>
      <c r="L54" s="407">
        <f t="shared" si="69"/>
        <v>1</v>
      </c>
      <c r="M54" s="407">
        <f t="shared" si="69"/>
        <v>1</v>
      </c>
      <c r="N54" s="407">
        <f t="shared" si="69"/>
        <v>1</v>
      </c>
      <c r="O54" s="407">
        <f t="shared" si="69"/>
        <v>1</v>
      </c>
      <c r="P54" s="407">
        <f t="shared" si="69"/>
        <v>1</v>
      </c>
      <c r="Q54" s="407">
        <f t="shared" si="69"/>
        <v>1</v>
      </c>
      <c r="R54" s="407">
        <f t="shared" si="69"/>
        <v>1</v>
      </c>
      <c r="S54" s="407">
        <f t="shared" si="69"/>
        <v>1</v>
      </c>
      <c r="T54" s="407">
        <f t="shared" si="69"/>
        <v>1</v>
      </c>
      <c r="U54" s="407">
        <f t="shared" si="69"/>
        <v>1</v>
      </c>
      <c r="V54" s="407">
        <f t="shared" si="69"/>
        <v>1</v>
      </c>
      <c r="W54" s="407">
        <f t="shared" si="69"/>
        <v>1</v>
      </c>
      <c r="X54" s="407">
        <f t="shared" si="69"/>
        <v>1</v>
      </c>
      <c r="Y54" s="407">
        <f t="shared" si="69"/>
        <v>1</v>
      </c>
      <c r="Z54" s="407">
        <f t="shared" si="69"/>
        <v>1</v>
      </c>
      <c r="AA54" s="407">
        <f t="shared" si="69"/>
        <v>1</v>
      </c>
      <c r="AB54" s="407">
        <f t="shared" si="69"/>
        <v>1</v>
      </c>
      <c r="AC54" s="407">
        <f t="shared" si="69"/>
        <v>1</v>
      </c>
      <c r="AD54" s="407">
        <f t="shared" si="69"/>
        <v>1</v>
      </c>
      <c r="AE54" s="407">
        <f t="shared" si="69"/>
        <v>1</v>
      </c>
      <c r="AF54" s="407">
        <f t="shared" si="69"/>
        <v>1</v>
      </c>
      <c r="AG54" s="407">
        <f t="shared" si="69"/>
        <v>1</v>
      </c>
      <c r="AH54" s="407">
        <f t="shared" si="69"/>
        <v>1</v>
      </c>
      <c r="AI54" s="407">
        <f t="shared" si="69"/>
        <v>1</v>
      </c>
      <c r="AJ54" s="407">
        <f t="shared" si="69"/>
        <v>1</v>
      </c>
      <c r="AK54" s="407">
        <f t="shared" si="69"/>
        <v>1</v>
      </c>
      <c r="AL54" s="407">
        <f t="shared" si="69"/>
        <v>1</v>
      </c>
      <c r="AM54" s="407">
        <f t="shared" si="69"/>
        <v>1</v>
      </c>
      <c r="AN54" s="407">
        <f t="shared" si="69"/>
        <v>1</v>
      </c>
      <c r="AO54" s="408">
        <f t="shared" si="69"/>
        <v>1</v>
      </c>
      <c r="AQ54" s="93" t="s">
        <v>145</v>
      </c>
      <c r="AR54" s="75">
        <v>0</v>
      </c>
      <c r="AS54" s="75">
        <v>0</v>
      </c>
    </row>
    <row r="55" spans="1:51" s="77" customFormat="1" ht="18" customHeight="1" thickBot="1">
      <c r="A55" s="80"/>
      <c r="B55" s="80"/>
      <c r="C55" s="81"/>
      <c r="D55" s="81"/>
      <c r="E55" s="75"/>
      <c r="I55" s="81"/>
      <c r="J55" s="95" t="s">
        <v>41</v>
      </c>
      <c r="K55" s="347">
        <f t="shared" ref="K55:AO55" si="70">COUNTIF(K4:K45,"N")+COUNTIF(K4:K45,"N8")</f>
        <v>0</v>
      </c>
      <c r="L55" s="415">
        <f t="shared" si="70"/>
        <v>0</v>
      </c>
      <c r="M55" s="415">
        <f t="shared" si="70"/>
        <v>3</v>
      </c>
      <c r="N55" s="415">
        <f t="shared" si="70"/>
        <v>6</v>
      </c>
      <c r="O55" s="415">
        <f t="shared" si="70"/>
        <v>5</v>
      </c>
      <c r="P55" s="415">
        <f t="shared" si="70"/>
        <v>1</v>
      </c>
      <c r="Q55" s="415">
        <f t="shared" si="70"/>
        <v>4</v>
      </c>
      <c r="R55" s="415">
        <f t="shared" si="70"/>
        <v>0</v>
      </c>
      <c r="S55" s="415">
        <f t="shared" si="70"/>
        <v>0</v>
      </c>
      <c r="T55" s="415">
        <f t="shared" si="70"/>
        <v>1</v>
      </c>
      <c r="U55" s="415">
        <f t="shared" si="70"/>
        <v>3</v>
      </c>
      <c r="V55" s="415">
        <f t="shared" si="70"/>
        <v>7</v>
      </c>
      <c r="W55" s="415">
        <f t="shared" si="70"/>
        <v>5</v>
      </c>
      <c r="X55" s="415">
        <f t="shared" si="70"/>
        <v>1</v>
      </c>
      <c r="Y55" s="415">
        <f t="shared" si="70"/>
        <v>0</v>
      </c>
      <c r="Z55" s="415">
        <f t="shared" si="70"/>
        <v>0</v>
      </c>
      <c r="AA55" s="415">
        <f t="shared" si="70"/>
        <v>5</v>
      </c>
      <c r="AB55" s="415">
        <f t="shared" si="70"/>
        <v>10</v>
      </c>
      <c r="AC55" s="415">
        <f t="shared" si="70"/>
        <v>6</v>
      </c>
      <c r="AD55" s="415">
        <f t="shared" si="70"/>
        <v>5</v>
      </c>
      <c r="AE55" s="415">
        <f t="shared" si="70"/>
        <v>2</v>
      </c>
      <c r="AF55" s="415">
        <f t="shared" si="70"/>
        <v>0</v>
      </c>
      <c r="AG55" s="415">
        <f t="shared" si="70"/>
        <v>1</v>
      </c>
      <c r="AH55" s="415">
        <f t="shared" si="70"/>
        <v>3</v>
      </c>
      <c r="AI55" s="415">
        <f t="shared" si="70"/>
        <v>6</v>
      </c>
      <c r="AJ55" s="415">
        <f t="shared" si="70"/>
        <v>7</v>
      </c>
      <c r="AK55" s="415">
        <f t="shared" si="70"/>
        <v>2</v>
      </c>
      <c r="AL55" s="415">
        <f t="shared" si="70"/>
        <v>2</v>
      </c>
      <c r="AM55" s="415">
        <f t="shared" si="70"/>
        <v>0</v>
      </c>
      <c r="AN55" s="415">
        <f t="shared" si="70"/>
        <v>0</v>
      </c>
      <c r="AO55" s="416">
        <f t="shared" si="70"/>
        <v>1</v>
      </c>
      <c r="AQ55" s="100" t="s">
        <v>42</v>
      </c>
      <c r="AR55" s="101">
        <v>-9</v>
      </c>
      <c r="AS55" s="75">
        <v>-1</v>
      </c>
    </row>
    <row r="56" spans="1:51" s="77" customFormat="1" ht="18" customHeight="1">
      <c r="A56" s="80"/>
      <c r="B56" s="80"/>
      <c r="C56" s="80"/>
      <c r="D56" s="80"/>
      <c r="E56" s="75"/>
      <c r="I56" s="81"/>
      <c r="J56" s="78" t="s">
        <v>43</v>
      </c>
      <c r="K56" s="297">
        <f t="shared" ref="K56:AO56" si="71">COUNTIF(K4:K45,"X")+COUNTIF(K4:K45,"Y")+COUNTIF(K4:K45,"Z")</f>
        <v>23</v>
      </c>
      <c r="L56" s="24">
        <f t="shared" si="71"/>
        <v>21</v>
      </c>
      <c r="M56" s="24">
        <f t="shared" si="71"/>
        <v>11</v>
      </c>
      <c r="N56" s="24">
        <f t="shared" si="71"/>
        <v>8</v>
      </c>
      <c r="O56" s="24">
        <f t="shared" si="71"/>
        <v>6</v>
      </c>
      <c r="P56" s="24">
        <f t="shared" si="71"/>
        <v>11</v>
      </c>
      <c r="Q56" s="24">
        <f t="shared" si="71"/>
        <v>10</v>
      </c>
      <c r="R56" s="24">
        <f t="shared" si="71"/>
        <v>23</v>
      </c>
      <c r="S56" s="24">
        <f t="shared" si="71"/>
        <v>23</v>
      </c>
      <c r="T56" s="24">
        <f t="shared" si="71"/>
        <v>12</v>
      </c>
      <c r="U56" s="24">
        <f t="shared" si="71"/>
        <v>9</v>
      </c>
      <c r="V56" s="24">
        <f t="shared" si="71"/>
        <v>8</v>
      </c>
      <c r="W56" s="24">
        <f t="shared" si="71"/>
        <v>9</v>
      </c>
      <c r="X56" s="24">
        <f t="shared" si="71"/>
        <v>13</v>
      </c>
      <c r="Y56" s="24">
        <f t="shared" si="71"/>
        <v>23</v>
      </c>
      <c r="Z56" s="24">
        <f t="shared" si="71"/>
        <v>21</v>
      </c>
      <c r="AA56" s="24">
        <f t="shared" si="71"/>
        <v>10</v>
      </c>
      <c r="AB56" s="24">
        <f t="shared" si="71"/>
        <v>7</v>
      </c>
      <c r="AC56" s="24">
        <f t="shared" si="71"/>
        <v>11</v>
      </c>
      <c r="AD56" s="24">
        <f t="shared" si="71"/>
        <v>11</v>
      </c>
      <c r="AE56" s="24">
        <f t="shared" si="71"/>
        <v>14</v>
      </c>
      <c r="AF56" s="24">
        <f t="shared" si="71"/>
        <v>20</v>
      </c>
      <c r="AG56" s="24">
        <f t="shared" si="71"/>
        <v>18</v>
      </c>
      <c r="AH56" s="24">
        <f t="shared" si="71"/>
        <v>12</v>
      </c>
      <c r="AI56" s="24">
        <f t="shared" si="71"/>
        <v>9</v>
      </c>
      <c r="AJ56" s="24">
        <f t="shared" si="71"/>
        <v>9</v>
      </c>
      <c r="AK56" s="24">
        <f t="shared" si="71"/>
        <v>11</v>
      </c>
      <c r="AL56" s="24">
        <f t="shared" si="71"/>
        <v>11</v>
      </c>
      <c r="AM56" s="24">
        <f t="shared" si="71"/>
        <v>20</v>
      </c>
      <c r="AN56" s="24">
        <f t="shared" si="71"/>
        <v>20</v>
      </c>
      <c r="AO56" s="102">
        <f t="shared" si="71"/>
        <v>15</v>
      </c>
      <c r="AQ56" s="100" t="s">
        <v>146</v>
      </c>
      <c r="AR56" s="101">
        <v>0</v>
      </c>
      <c r="AS56" s="75">
        <v>0</v>
      </c>
    </row>
    <row r="57" spans="1:51" s="77" customFormat="1" ht="18" customHeight="1">
      <c r="A57" s="80"/>
      <c r="B57" s="80"/>
      <c r="C57" s="80"/>
      <c r="D57" s="80"/>
      <c r="E57" s="75"/>
      <c r="I57" s="81"/>
      <c r="J57" s="103" t="s">
        <v>44</v>
      </c>
      <c r="K57" s="294">
        <f t="shared" ref="K57:AO57" si="72">COUNTIF(K4:K45,"S")</f>
        <v>0</v>
      </c>
      <c r="L57" s="39">
        <f t="shared" si="72"/>
        <v>2</v>
      </c>
      <c r="M57" s="39">
        <f t="shared" si="72"/>
        <v>3</v>
      </c>
      <c r="N57" s="39">
        <f t="shared" si="72"/>
        <v>3</v>
      </c>
      <c r="O57" s="39">
        <f t="shared" si="72"/>
        <v>6</v>
      </c>
      <c r="P57" s="39">
        <f t="shared" si="72"/>
        <v>5</v>
      </c>
      <c r="Q57" s="39">
        <f t="shared" si="72"/>
        <v>3</v>
      </c>
      <c r="R57" s="39">
        <f t="shared" si="72"/>
        <v>0</v>
      </c>
      <c r="S57" s="39">
        <f t="shared" si="72"/>
        <v>0</v>
      </c>
      <c r="T57" s="39">
        <f t="shared" si="72"/>
        <v>4</v>
      </c>
      <c r="U57" s="39">
        <f t="shared" si="72"/>
        <v>5</v>
      </c>
      <c r="V57" s="39">
        <f t="shared" si="72"/>
        <v>2</v>
      </c>
      <c r="W57" s="39">
        <f t="shared" si="72"/>
        <v>3</v>
      </c>
      <c r="X57" s="39">
        <f t="shared" si="72"/>
        <v>3</v>
      </c>
      <c r="Y57" s="39">
        <f t="shared" si="72"/>
        <v>0</v>
      </c>
      <c r="Z57" s="39">
        <f t="shared" si="72"/>
        <v>2</v>
      </c>
      <c r="AA57" s="39">
        <f t="shared" si="72"/>
        <v>2</v>
      </c>
      <c r="AB57" s="39">
        <f t="shared" si="72"/>
        <v>0</v>
      </c>
      <c r="AC57" s="39">
        <f t="shared" si="72"/>
        <v>0</v>
      </c>
      <c r="AD57" s="39">
        <f t="shared" si="72"/>
        <v>1</v>
      </c>
      <c r="AE57" s="39">
        <f t="shared" si="72"/>
        <v>1</v>
      </c>
      <c r="AF57" s="39">
        <f t="shared" si="72"/>
        <v>3</v>
      </c>
      <c r="AG57" s="39">
        <f t="shared" si="72"/>
        <v>4</v>
      </c>
      <c r="AH57" s="39">
        <f t="shared" si="72"/>
        <v>2</v>
      </c>
      <c r="AI57" s="39">
        <f t="shared" si="72"/>
        <v>2</v>
      </c>
      <c r="AJ57" s="39">
        <f t="shared" si="72"/>
        <v>1</v>
      </c>
      <c r="AK57" s="39">
        <f t="shared" si="72"/>
        <v>4</v>
      </c>
      <c r="AL57" s="39">
        <f t="shared" si="72"/>
        <v>4</v>
      </c>
      <c r="AM57" s="39">
        <f t="shared" si="72"/>
        <v>3</v>
      </c>
      <c r="AN57" s="39">
        <f t="shared" si="72"/>
        <v>3</v>
      </c>
      <c r="AO57" s="83">
        <f t="shared" si="72"/>
        <v>1</v>
      </c>
      <c r="AQ57" s="107" t="s">
        <v>46</v>
      </c>
      <c r="AR57" s="105">
        <f>AR48-AR49-AR51-AR52-AR53-AR54+AR55+AR56-AR50</f>
        <v>-1</v>
      </c>
      <c r="AS57" s="105">
        <f>AS48-AS49-AS51-AS52-AS53-AS54+AS55+AS56-AS50</f>
        <v>0</v>
      </c>
      <c r="AT57" s="6"/>
    </row>
    <row r="58" spans="1:51" ht="18" customHeight="1" thickBot="1">
      <c r="A58" s="80"/>
      <c r="B58" s="80"/>
      <c r="C58" s="80"/>
      <c r="D58" s="80"/>
      <c r="I58" s="80"/>
      <c r="J58" s="103" t="s">
        <v>45</v>
      </c>
      <c r="K58" s="294">
        <f t="shared" ref="K58:AO58" si="73">COUNTIF(K4:K45,"T")</f>
        <v>0</v>
      </c>
      <c r="L58" s="39">
        <f t="shared" si="73"/>
        <v>0</v>
      </c>
      <c r="M58" s="39">
        <f t="shared" si="73"/>
        <v>0</v>
      </c>
      <c r="N58" s="39">
        <f t="shared" si="73"/>
        <v>0</v>
      </c>
      <c r="O58" s="39">
        <f t="shared" si="73"/>
        <v>0</v>
      </c>
      <c r="P58" s="39">
        <f t="shared" si="73"/>
        <v>0</v>
      </c>
      <c r="Q58" s="39">
        <f t="shared" si="73"/>
        <v>0</v>
      </c>
      <c r="R58" s="39">
        <f t="shared" si="73"/>
        <v>0</v>
      </c>
      <c r="S58" s="39">
        <f t="shared" si="73"/>
        <v>0</v>
      </c>
      <c r="T58" s="39">
        <f t="shared" si="73"/>
        <v>0</v>
      </c>
      <c r="U58" s="39">
        <f t="shared" si="73"/>
        <v>0</v>
      </c>
      <c r="V58" s="39">
        <f t="shared" si="73"/>
        <v>0</v>
      </c>
      <c r="W58" s="39">
        <f t="shared" si="73"/>
        <v>0</v>
      </c>
      <c r="X58" s="39">
        <f t="shared" si="73"/>
        <v>0</v>
      </c>
      <c r="Y58" s="39">
        <f t="shared" si="73"/>
        <v>0</v>
      </c>
      <c r="Z58" s="39">
        <f t="shared" si="73"/>
        <v>0</v>
      </c>
      <c r="AA58" s="39">
        <f t="shared" si="73"/>
        <v>0</v>
      </c>
      <c r="AB58" s="39">
        <f t="shared" si="73"/>
        <v>0</v>
      </c>
      <c r="AC58" s="39">
        <f t="shared" si="73"/>
        <v>0</v>
      </c>
      <c r="AD58" s="39">
        <f t="shared" si="73"/>
        <v>0</v>
      </c>
      <c r="AE58" s="39">
        <f t="shared" si="73"/>
        <v>0</v>
      </c>
      <c r="AF58" s="39">
        <f t="shared" si="73"/>
        <v>0</v>
      </c>
      <c r="AG58" s="39">
        <f t="shared" si="73"/>
        <v>0</v>
      </c>
      <c r="AH58" s="39">
        <f t="shared" si="73"/>
        <v>0</v>
      </c>
      <c r="AI58" s="39">
        <f t="shared" si="73"/>
        <v>0</v>
      </c>
      <c r="AJ58" s="39">
        <f t="shared" si="73"/>
        <v>0</v>
      </c>
      <c r="AK58" s="39">
        <f t="shared" si="73"/>
        <v>0</v>
      </c>
      <c r="AL58" s="39">
        <f t="shared" si="73"/>
        <v>0</v>
      </c>
      <c r="AM58" s="39">
        <f t="shared" si="73"/>
        <v>0</v>
      </c>
      <c r="AN58" s="39">
        <f t="shared" si="73"/>
        <v>0</v>
      </c>
      <c r="AO58" s="83">
        <f t="shared" si="73"/>
        <v>0</v>
      </c>
      <c r="AP58" s="77"/>
      <c r="AR58" s="50"/>
      <c r="AS58" s="111"/>
      <c r="AU58" s="77"/>
      <c r="AW58" s="77"/>
      <c r="AX58" s="77"/>
      <c r="AY58" s="77"/>
    </row>
    <row r="59" spans="1:51" ht="18" customHeight="1" thickBot="1">
      <c r="A59" s="80"/>
      <c r="B59" s="80"/>
      <c r="C59" s="80"/>
      <c r="D59" s="80"/>
      <c r="I59" s="80"/>
      <c r="J59" s="108" t="s">
        <v>109</v>
      </c>
      <c r="K59" s="298">
        <f>SUM(K46:K58)</f>
        <v>42</v>
      </c>
      <c r="L59" s="109">
        <f t="shared" ref="L59:AO59" si="74">SUM(L46:L58)</f>
        <v>42</v>
      </c>
      <c r="M59" s="109">
        <f t="shared" si="74"/>
        <v>42</v>
      </c>
      <c r="N59" s="109">
        <f t="shared" si="74"/>
        <v>42</v>
      </c>
      <c r="O59" s="109">
        <f t="shared" si="74"/>
        <v>42</v>
      </c>
      <c r="P59" s="109">
        <f t="shared" si="74"/>
        <v>42</v>
      </c>
      <c r="Q59" s="109">
        <f t="shared" si="74"/>
        <v>42</v>
      </c>
      <c r="R59" s="109">
        <f t="shared" si="74"/>
        <v>42</v>
      </c>
      <c r="S59" s="109">
        <f t="shared" si="74"/>
        <v>42</v>
      </c>
      <c r="T59" s="109">
        <f t="shared" si="74"/>
        <v>42</v>
      </c>
      <c r="U59" s="109">
        <f t="shared" si="74"/>
        <v>42</v>
      </c>
      <c r="V59" s="109">
        <f t="shared" si="74"/>
        <v>42</v>
      </c>
      <c r="W59" s="109">
        <f t="shared" si="74"/>
        <v>42</v>
      </c>
      <c r="X59" s="109">
        <f t="shared" si="74"/>
        <v>42</v>
      </c>
      <c r="Y59" s="109">
        <f t="shared" si="74"/>
        <v>42</v>
      </c>
      <c r="Z59" s="109">
        <f t="shared" si="74"/>
        <v>42</v>
      </c>
      <c r="AA59" s="109">
        <f t="shared" si="74"/>
        <v>42</v>
      </c>
      <c r="AB59" s="109">
        <f t="shared" si="74"/>
        <v>42</v>
      </c>
      <c r="AC59" s="109">
        <f t="shared" si="74"/>
        <v>42</v>
      </c>
      <c r="AD59" s="109">
        <f t="shared" si="74"/>
        <v>42</v>
      </c>
      <c r="AE59" s="109">
        <f t="shared" si="74"/>
        <v>42</v>
      </c>
      <c r="AF59" s="109">
        <f t="shared" si="74"/>
        <v>42</v>
      </c>
      <c r="AG59" s="109">
        <f t="shared" si="74"/>
        <v>42</v>
      </c>
      <c r="AH59" s="109">
        <f t="shared" si="74"/>
        <v>42</v>
      </c>
      <c r="AI59" s="109">
        <f t="shared" si="74"/>
        <v>42</v>
      </c>
      <c r="AJ59" s="109">
        <f t="shared" si="74"/>
        <v>42</v>
      </c>
      <c r="AK59" s="109">
        <f t="shared" si="74"/>
        <v>42</v>
      </c>
      <c r="AL59" s="109">
        <f t="shared" si="74"/>
        <v>42</v>
      </c>
      <c r="AM59" s="109">
        <f t="shared" si="74"/>
        <v>42</v>
      </c>
      <c r="AN59" s="109">
        <f t="shared" si="74"/>
        <v>42</v>
      </c>
      <c r="AO59" s="110">
        <f t="shared" si="74"/>
        <v>42</v>
      </c>
      <c r="AQ59" s="7"/>
      <c r="AR59" s="6"/>
      <c r="AS59" s="111"/>
      <c r="AU59" s="37"/>
    </row>
    <row r="60" spans="1:51" ht="24.6" customHeight="1">
      <c r="A60" s="80"/>
      <c r="B60" s="80"/>
      <c r="C60" s="80"/>
      <c r="D60" s="80"/>
      <c r="G60" s="80"/>
      <c r="H60" s="112"/>
      <c r="I60" s="113"/>
      <c r="K60" s="113">
        <f>42-K55-K56-K57-19</f>
        <v>0</v>
      </c>
      <c r="L60" s="113">
        <f>42-L55-L56-L57-19</f>
        <v>0</v>
      </c>
      <c r="M60" s="113">
        <f>42-M55-M56-M57-25</f>
        <v>0</v>
      </c>
      <c r="N60" s="113">
        <f t="shared" ref="N60:Q60" si="75">42-N55-N56-N57-25</f>
        <v>0</v>
      </c>
      <c r="O60" s="113">
        <f t="shared" si="75"/>
        <v>0</v>
      </c>
      <c r="P60" s="113">
        <f t="shared" si="75"/>
        <v>0</v>
      </c>
      <c r="Q60" s="113">
        <f t="shared" si="75"/>
        <v>0</v>
      </c>
      <c r="R60" s="113">
        <f>42-R55-R56-R57-19</f>
        <v>0</v>
      </c>
      <c r="S60" s="113">
        <f>42-S55-S56-S57-19</f>
        <v>0</v>
      </c>
      <c r="T60" s="113">
        <f>42-T55-T56-T57-25</f>
        <v>0</v>
      </c>
      <c r="U60" s="113">
        <f t="shared" ref="U60:X60" si="76">42-U55-U56-U57-25</f>
        <v>0</v>
      </c>
      <c r="V60" s="113">
        <f t="shared" si="76"/>
        <v>0</v>
      </c>
      <c r="W60" s="113">
        <f t="shared" si="76"/>
        <v>0</v>
      </c>
      <c r="X60" s="113">
        <f t="shared" si="76"/>
        <v>0</v>
      </c>
      <c r="Y60" s="113">
        <f>42-Y55-Y56-Y57-19</f>
        <v>0</v>
      </c>
      <c r="Z60" s="113">
        <f>42-Z55-Z56-Z57-19</f>
        <v>0</v>
      </c>
      <c r="AA60" s="113">
        <f>42-AA55-AA56-AA57-25</f>
        <v>0</v>
      </c>
      <c r="AB60" s="113">
        <f t="shared" ref="AB60:AE60" si="77">42-AB55-AB56-AB57-25</f>
        <v>0</v>
      </c>
      <c r="AC60" s="113">
        <f t="shared" si="77"/>
        <v>0</v>
      </c>
      <c r="AD60" s="113">
        <f t="shared" si="77"/>
        <v>0</v>
      </c>
      <c r="AE60" s="113">
        <f t="shared" si="77"/>
        <v>0</v>
      </c>
      <c r="AF60" s="113">
        <f>42-AF55-AF56-AF57-19</f>
        <v>0</v>
      </c>
      <c r="AG60" s="113">
        <f>42-AG55-AG56-AG57-19</f>
        <v>0</v>
      </c>
      <c r="AH60" s="113">
        <f>42-AH55-AH56-AH57-25</f>
        <v>0</v>
      </c>
      <c r="AI60" s="113">
        <f t="shared" ref="AI60:AL60" si="78">42-AI55-AI56-AI57-25</f>
        <v>0</v>
      </c>
      <c r="AJ60" s="113">
        <f t="shared" si="78"/>
        <v>0</v>
      </c>
      <c r="AK60" s="113">
        <f t="shared" si="78"/>
        <v>0</v>
      </c>
      <c r="AL60" s="113">
        <f t="shared" si="78"/>
        <v>0</v>
      </c>
      <c r="AM60" s="113">
        <f>42-AM55-AM56-AM57-19</f>
        <v>0</v>
      </c>
      <c r="AN60" s="113">
        <f>42-AN55-AN56-AN57-19</f>
        <v>0</v>
      </c>
      <c r="AO60" s="113">
        <f>42-AO55-AO56-AO57-25</f>
        <v>0</v>
      </c>
    </row>
    <row r="61" spans="1:51" ht="24.6" customHeight="1">
      <c r="A61" s="80"/>
      <c r="B61" s="80"/>
      <c r="C61" s="80"/>
      <c r="D61" s="80"/>
      <c r="I61" s="80"/>
      <c r="J61" s="112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113"/>
      <c r="AO61" s="113"/>
      <c r="AP61" s="7"/>
    </row>
    <row r="62" spans="1:51" ht="24.6" customHeight="1" thickBot="1">
      <c r="A62" s="80"/>
      <c r="B62" s="80"/>
      <c r="C62" s="80"/>
      <c r="D62" s="80"/>
      <c r="I62" s="80"/>
      <c r="J62" s="112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</row>
    <row r="63" spans="1:51" ht="24.6" customHeight="1" thickBot="1">
      <c r="A63" s="80"/>
      <c r="B63" s="80"/>
      <c r="C63" s="80"/>
      <c r="D63" s="80"/>
      <c r="I63" s="80"/>
      <c r="J63" s="228" t="s">
        <v>47</v>
      </c>
      <c r="K63" s="229" cm="1">
        <f t="array" ref="K63">SUMPRODUCT(COUNTIF(K4:K18,{"1";"M1"}))</f>
        <v>1</v>
      </c>
      <c r="L63" s="231" cm="1">
        <f t="array" ref="L63">SUMPRODUCT(COUNTIF(L4:L18,{"1";"M1"}))</f>
        <v>1</v>
      </c>
      <c r="M63" s="230" cm="1">
        <f t="array" ref="M63">SUMPRODUCT(COUNTIF(M4:M18,{"1";"M1"}))</f>
        <v>2</v>
      </c>
      <c r="N63" s="230" cm="1">
        <f t="array" ref="N63">SUMPRODUCT(COUNTIF(N4:N18,{"1";"M1"}))</f>
        <v>2</v>
      </c>
      <c r="O63" s="230" cm="1">
        <f t="array" ref="O63">SUMPRODUCT(COUNTIF(O4:O18,{"1";"M1"}))</f>
        <v>1</v>
      </c>
      <c r="P63" s="230" cm="1">
        <f t="array" ref="P63">SUMPRODUCT(COUNTIF(P4:P18,{"1";"M1"}))</f>
        <v>1</v>
      </c>
      <c r="Q63" s="230" cm="1">
        <f t="array" ref="Q63">SUMPRODUCT(COUNTIF(Q4:Q18,{"1";"M1"}))</f>
        <v>2</v>
      </c>
      <c r="R63" s="231" cm="1">
        <f t="array" ref="R63">SUMPRODUCT(COUNTIF(R4:R18,{"1";"M1"}))</f>
        <v>3</v>
      </c>
      <c r="S63" s="231" cm="1">
        <f t="array" ref="S63">SUMPRODUCT(COUNTIF(S4:S18,{"1";"M1"}))</f>
        <v>3</v>
      </c>
      <c r="T63" s="230" cm="1">
        <f t="array" ref="T63">SUMPRODUCT(COUNTIF(T4:T18,{"1";"M1"}))</f>
        <v>1</v>
      </c>
      <c r="U63" s="230" cm="1">
        <f t="array" ref="U63">SUMPRODUCT(COUNTIF(U4:U18,{"1";"M1"}))</f>
        <v>2</v>
      </c>
      <c r="V63" s="230" cm="1">
        <f t="array" ref="V63">SUMPRODUCT(COUNTIF(V4:V18,{"1";"M1"}))</f>
        <v>3</v>
      </c>
      <c r="W63" s="230" cm="1">
        <f t="array" ref="W63">SUMPRODUCT(COUNTIF(W4:W18,{"1";"M1"}))</f>
        <v>2</v>
      </c>
      <c r="X63" s="230" cm="1">
        <f t="array" ref="X63">SUMPRODUCT(COUNTIF(X4:X18,{"1";"M1"}))</f>
        <v>2</v>
      </c>
      <c r="Y63" s="231" cm="1">
        <f t="array" ref="Y63">SUMPRODUCT(COUNTIF(Y4:Y18,{"1";"M1"}))</f>
        <v>1</v>
      </c>
      <c r="Z63" s="231" cm="1">
        <f t="array" ref="Z63">SUMPRODUCT(COUNTIF(Z4:Z18,{"1";"M1"}))</f>
        <v>2</v>
      </c>
      <c r="AA63" s="230" cm="1">
        <f t="array" ref="AA63">SUMPRODUCT(COUNTIF(AA4:AA18,{"1";"M1"}))</f>
        <v>1</v>
      </c>
      <c r="AB63" s="230" cm="1">
        <f t="array" ref="AB63">SUMPRODUCT(COUNTIF(AB4:AB18,{"1";"M1"}))</f>
        <v>2</v>
      </c>
      <c r="AC63" s="230" cm="1">
        <f t="array" ref="AC63">SUMPRODUCT(COUNTIF(AC4:AC18,{"1";"M1"}))</f>
        <v>2</v>
      </c>
      <c r="AD63" s="230" cm="1">
        <f t="array" ref="AD63">SUMPRODUCT(COUNTIF(AD4:AD18,{"1";"M1"}))</f>
        <v>1</v>
      </c>
      <c r="AE63" s="230" cm="1">
        <f t="array" ref="AE63">SUMPRODUCT(COUNTIF(AE4:AE18,{"1";"M1"}))</f>
        <v>1</v>
      </c>
      <c r="AF63" s="231" cm="1">
        <f t="array" ref="AF63">SUMPRODUCT(COUNTIF(AF4:AF18,{"1";"M1"}))</f>
        <v>3</v>
      </c>
      <c r="AG63" s="231" cm="1">
        <f t="array" ref="AG63">SUMPRODUCT(COUNTIF(AG4:AG18,{"1";"M1"}))</f>
        <v>3</v>
      </c>
      <c r="AH63" s="230" cm="1">
        <f t="array" ref="AH63">SUMPRODUCT(COUNTIF(AH4:AH18,{"1";"M1"}))</f>
        <v>1</v>
      </c>
      <c r="AI63" s="230" cm="1">
        <f t="array" ref="AI63">SUMPRODUCT(COUNTIF(AI4:AI18,{"1";"M1"}))</f>
        <v>1</v>
      </c>
      <c r="AJ63" s="230" cm="1">
        <f t="array" ref="AJ63">SUMPRODUCT(COUNTIF(AJ4:AJ18,{"1";"M1"}))</f>
        <v>2</v>
      </c>
      <c r="AK63" s="230" cm="1">
        <f t="array" ref="AK63">SUMPRODUCT(COUNTIF(AK4:AK18,{"1";"M1"}))</f>
        <v>2</v>
      </c>
      <c r="AL63" s="230" cm="1">
        <f t="array" ref="AL63">SUMPRODUCT(COUNTIF(AL4:AL18,{"1";"M1"}))</f>
        <v>1</v>
      </c>
      <c r="AM63" s="231" cm="1">
        <f t="array" ref="AM63">SUMPRODUCT(COUNTIF(AM4:AM18,{"1";"M1"}))</f>
        <v>2</v>
      </c>
      <c r="AN63" s="231" cm="1">
        <f t="array" ref="AN63">SUMPRODUCT(COUNTIF(AN4:AN18,{"1";"M1"}))</f>
        <v>2</v>
      </c>
      <c r="AO63" s="232" cm="1">
        <f t="array" ref="AO63">SUMPRODUCT(COUNTIF(AO4:AO18,{"1";"M1"}))</f>
        <v>1</v>
      </c>
    </row>
    <row r="64" spans="1:51" ht="24.6" customHeight="1">
      <c r="A64" s="80"/>
      <c r="B64" s="80"/>
      <c r="C64" s="80"/>
      <c r="D64" s="80"/>
      <c r="I64" s="80"/>
      <c r="L64" s="116"/>
      <c r="M64" s="116"/>
      <c r="N64" s="116"/>
      <c r="Q64" s="116"/>
    </row>
    <row r="116" spans="10:226" s="77" customFormat="1" ht="13.8"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7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</row>
    <row r="186" spans="15:15" ht="24.6" customHeight="1">
      <c r="O186" s="6" t="s">
        <v>168</v>
      </c>
    </row>
  </sheetData>
  <autoFilter ref="AT3:AT58" xr:uid="{00000000-0009-0000-0000-000007000000}"/>
  <mergeCells count="11">
    <mergeCell ref="AW2:AY2"/>
    <mergeCell ref="K1:AH1"/>
    <mergeCell ref="AI1:AK1"/>
    <mergeCell ref="AL1:AN1"/>
    <mergeCell ref="I2:I3"/>
    <mergeCell ref="J2:J3"/>
    <mergeCell ref="A2:A3"/>
    <mergeCell ref="B2:B3"/>
    <mergeCell ref="C2:C3"/>
    <mergeCell ref="D2:D3"/>
    <mergeCell ref="E2:E3"/>
  </mergeCells>
  <conditionalFormatting sqref="K4:AO45">
    <cfRule type="expression" dxfId="161" priority="1">
      <formula>OR(K4="晚", K4=3, K4="大夜")</formula>
    </cfRule>
    <cfRule type="expression" dxfId="160" priority="2">
      <formula>OR(K4="T中", K4="中", K4=2, K4="小夜")</formula>
    </cfRule>
    <cfRule type="expression" dxfId="159" priority="3">
      <formula>OR(K4="T早", K4="早", K4="M1", K4=1, K4="日")</formula>
    </cfRule>
    <cfRule type="expression" dxfId="158" priority="13">
      <formula>OR(     SUM(COUNTIF(K4:Q4, 上班代號)) &gt; 6,     AND(COLUMN()&gt;11, OR(         AND(SUM(COUNTIF(OFFSET(K4,0,-1), 中班組)), SUM(COUNTIF(K4, 早班組), COUNTIF(K4, 晚班組))),         AND(SUM(COUNTIF(OFFSET(K4,0,-1), 早班組)), SUM(COUNTIF(K4, 晚班組)))     )) )</formula>
    </cfRule>
  </conditionalFormatting>
  <conditionalFormatting sqref="K46:AO46">
    <cfRule type="cellIs" dxfId="157" priority="12" operator="greaterThan">
      <formula>5</formula>
    </cfRule>
  </conditionalFormatting>
  <conditionalFormatting sqref="K46:AO54">
    <cfRule type="cellIs" dxfId="156" priority="1110" operator="equal">
      <formula>5</formula>
    </cfRule>
    <cfRule type="cellIs" dxfId="155" priority="1111" operator="equal">
      <formula>4</formula>
    </cfRule>
    <cfRule type="cellIs" dxfId="154" priority="1112" operator="equal">
      <formula>3</formula>
    </cfRule>
    <cfRule type="cellIs" dxfId="153" priority="1113" operator="equal">
      <formula>2</formula>
    </cfRule>
    <cfRule type="cellIs" dxfId="152" priority="1114" operator="equal">
      <formula>1</formula>
    </cfRule>
  </conditionalFormatting>
  <conditionalFormatting sqref="K52:AO54">
    <cfRule type="cellIs" dxfId="151" priority="1115" operator="equal">
      <formula>"T中"</formula>
    </cfRule>
  </conditionalFormatting>
  <conditionalFormatting sqref="AP24">
    <cfRule type="cellIs" dxfId="150" priority="1157" operator="equal">
      <formula>"T中"</formula>
    </cfRule>
    <cfRule type="cellIs" dxfId="149" priority="1158" operator="equal">
      <formula>"中"</formula>
    </cfRule>
    <cfRule type="cellIs" dxfId="148" priority="1159" operator="equal">
      <formula>"M2"</formula>
    </cfRule>
    <cfRule type="cellIs" dxfId="147" priority="1160" operator="equal">
      <formula>2</formula>
    </cfRule>
    <cfRule type="cellIs" dxfId="146" priority="1161" operator="equal">
      <formula>"日"</formula>
    </cfRule>
    <cfRule type="cellIs" dxfId="145" priority="1162" operator="equal">
      <formula>"T早"</formula>
    </cfRule>
    <cfRule type="cellIs" dxfId="144" priority="1163" operator="equal">
      <formula>"早"</formula>
    </cfRule>
    <cfRule type="cellIs" dxfId="143" priority="1164" operator="equal">
      <formula>"M1"</formula>
    </cfRule>
    <cfRule type="cellIs" dxfId="142" priority="1165" operator="equal">
      <formula>1</formula>
    </cfRule>
    <cfRule type="cellIs" dxfId="141" priority="1153" operator="equal">
      <formula>"大夜"</formula>
    </cfRule>
    <cfRule type="cellIs" dxfId="140" priority="1154" operator="equal">
      <formula>"晚"</formula>
    </cfRule>
    <cfRule type="cellIs" dxfId="139" priority="1155" operator="equal">
      <formula>3</formula>
    </cfRule>
    <cfRule type="cellIs" dxfId="138" priority="1156" operator="equal">
      <formula>"小夜"</formula>
    </cfRule>
  </conditionalFormatting>
  <conditionalFormatting sqref="AP31:AP32">
    <cfRule type="cellIs" dxfId="137" priority="1138" operator="equal">
      <formula>"大夜"</formula>
    </cfRule>
    <cfRule type="cellIs" dxfId="136" priority="1139" operator="equal">
      <formula>"晚"</formula>
    </cfRule>
    <cfRule type="cellIs" dxfId="135" priority="1140" operator="equal">
      <formula>3</formula>
    </cfRule>
    <cfRule type="cellIs" dxfId="134" priority="1141" operator="equal">
      <formula>"小夜"</formula>
    </cfRule>
    <cfRule type="cellIs" dxfId="133" priority="1142" operator="equal">
      <formula>"T中"</formula>
    </cfRule>
    <cfRule type="cellIs" dxfId="132" priority="1143" operator="equal">
      <formula>"中"</formula>
    </cfRule>
    <cfRule type="cellIs" dxfId="131" priority="1144" operator="equal">
      <formula>"M2"</formula>
    </cfRule>
    <cfRule type="cellIs" dxfId="130" priority="1145" operator="equal">
      <formula>2</formula>
    </cfRule>
    <cfRule type="cellIs" dxfId="129" priority="1147" operator="equal">
      <formula>"T早"</formula>
    </cfRule>
    <cfRule type="cellIs" dxfId="128" priority="1148" operator="equal">
      <formula>"早"</formula>
    </cfRule>
    <cfRule type="cellIs" dxfId="127" priority="1149" operator="equal">
      <formula>"M1"</formula>
    </cfRule>
    <cfRule type="cellIs" dxfId="126" priority="1150" operator="equal">
      <formula>1</formula>
    </cfRule>
    <cfRule type="cellIs" dxfId="125" priority="1146" operator="equal">
      <formula>"日"</formula>
    </cfRule>
  </conditionalFormatting>
  <conditionalFormatting sqref="AS4:AS45">
    <cfRule type="cellIs" dxfId="124" priority="1151" operator="equal">
      <formula>-2</formula>
    </cfRule>
    <cfRule type="cellIs" dxfId="123" priority="1152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5F565-E5B2-4901-8F14-7B2FB2D5712B}">
  <sheetPr>
    <pageSetUpPr fitToPage="1"/>
  </sheetPr>
  <dimension ref="A1:HR117"/>
  <sheetViews>
    <sheetView zoomScale="70" zoomScaleNormal="7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N10" sqref="N10"/>
    </sheetView>
  </sheetViews>
  <sheetFormatPr defaultColWidth="9" defaultRowHeight="24.6" customHeight="1"/>
  <cols>
    <col min="1" max="9" width="4.109375" style="77" customWidth="1"/>
    <col min="10" max="10" width="23.109375" style="6" customWidth="1"/>
    <col min="11" max="38" width="6.109375" style="6" customWidth="1"/>
    <col min="39" max="39" width="6" style="6" customWidth="1"/>
    <col min="40" max="40" width="6.109375" style="6" customWidth="1"/>
    <col min="41" max="42" width="7.88671875" style="6" customWidth="1"/>
    <col min="43" max="43" width="7.88671875" style="7" customWidth="1"/>
    <col min="44" max="44" width="5.88671875" style="6" customWidth="1"/>
    <col min="45" max="233" width="9" style="6" customWidth="1"/>
    <col min="234" max="234" width="7.109375" style="6" customWidth="1"/>
    <col min="235" max="16384" width="9" style="6"/>
  </cols>
  <sheetData>
    <row r="1" spans="1:225" ht="24.6" customHeight="1" thickBot="1">
      <c r="A1" s="1"/>
      <c r="B1" s="2" t="s">
        <v>103</v>
      </c>
      <c r="C1" s="1"/>
      <c r="D1" s="1"/>
      <c r="E1" s="1"/>
      <c r="F1" s="1"/>
      <c r="G1" s="1"/>
      <c r="H1" s="1"/>
      <c r="I1" s="3">
        <v>10</v>
      </c>
      <c r="J1" s="4"/>
      <c r="K1" s="500" t="str">
        <f>"TPKC剩餘人力："&amp;AQ58&amp;" / NK剩餘人力："&amp;AR58&amp;" /  N班人力："&amp;AQ53</f>
        <v>TPKC剩餘人力：-1 / NK剩餘人力：0 /  N班人力：71</v>
      </c>
      <c r="L1" s="501"/>
      <c r="M1" s="501"/>
      <c r="N1" s="501"/>
      <c r="O1" s="501"/>
      <c r="P1" s="501"/>
      <c r="Q1" s="501"/>
      <c r="R1" s="501"/>
      <c r="S1" s="501"/>
      <c r="T1" s="501"/>
      <c r="U1" s="501"/>
      <c r="V1" s="501"/>
      <c r="W1" s="501"/>
      <c r="X1" s="501"/>
      <c r="Y1" s="501"/>
      <c r="Z1" s="501"/>
      <c r="AA1" s="501"/>
      <c r="AB1" s="501"/>
      <c r="AC1" s="501"/>
      <c r="AD1" s="501"/>
      <c r="AE1" s="501"/>
      <c r="AF1" s="501"/>
      <c r="AG1" s="501"/>
      <c r="AH1" s="501"/>
      <c r="AI1" s="502"/>
      <c r="AJ1" s="502"/>
      <c r="AK1" s="502"/>
      <c r="AL1" s="503"/>
      <c r="AM1" s="503"/>
      <c r="AN1" s="503"/>
      <c r="AQ1" s="6"/>
      <c r="AR1" s="7"/>
    </row>
    <row r="2" spans="1:225" ht="23.25" customHeight="1" thickBot="1">
      <c r="A2" s="507">
        <v>1</v>
      </c>
      <c r="B2" s="509">
        <v>2</v>
      </c>
      <c r="C2" s="509">
        <v>3</v>
      </c>
      <c r="D2" s="511" t="s">
        <v>104</v>
      </c>
      <c r="E2" s="513" t="s">
        <v>105</v>
      </c>
      <c r="F2" s="8" t="s">
        <v>106</v>
      </c>
      <c r="G2" s="8" t="s">
        <v>107</v>
      </c>
      <c r="H2" s="8" t="s">
        <v>108</v>
      </c>
      <c r="I2" s="504" t="s">
        <v>109</v>
      </c>
      <c r="J2" s="493" t="s">
        <v>169</v>
      </c>
      <c r="K2" s="281" t="s">
        <v>113</v>
      </c>
      <c r="L2" s="9" t="s">
        <v>114</v>
      </c>
      <c r="M2" s="9" t="s">
        <v>115</v>
      </c>
      <c r="N2" s="10" t="s">
        <v>116</v>
      </c>
      <c r="O2" s="11" t="s">
        <v>117</v>
      </c>
      <c r="P2" s="11" t="s">
        <v>111</v>
      </c>
      <c r="Q2" s="12" t="s">
        <v>112</v>
      </c>
      <c r="R2" s="12" t="s">
        <v>113</v>
      </c>
      <c r="S2" s="12" t="s">
        <v>114</v>
      </c>
      <c r="T2" s="12" t="s">
        <v>115</v>
      </c>
      <c r="U2" s="13" t="s">
        <v>116</v>
      </c>
      <c r="V2" s="14" t="s">
        <v>117</v>
      </c>
      <c r="W2" s="14" t="s">
        <v>111</v>
      </c>
      <c r="X2" s="9" t="s">
        <v>112</v>
      </c>
      <c r="Y2" s="9" t="s">
        <v>113</v>
      </c>
      <c r="Z2" s="9" t="s">
        <v>114</v>
      </c>
      <c r="AA2" s="9" t="s">
        <v>115</v>
      </c>
      <c r="AB2" s="10" t="s">
        <v>116</v>
      </c>
      <c r="AC2" s="11" t="s">
        <v>117</v>
      </c>
      <c r="AD2" s="11" t="s">
        <v>111</v>
      </c>
      <c r="AE2" s="12" t="s">
        <v>112</v>
      </c>
      <c r="AF2" s="12" t="s">
        <v>113</v>
      </c>
      <c r="AG2" s="12" t="s">
        <v>114</v>
      </c>
      <c r="AH2" s="12" t="s">
        <v>115</v>
      </c>
      <c r="AI2" s="13" t="s">
        <v>116</v>
      </c>
      <c r="AJ2" s="14" t="s">
        <v>117</v>
      </c>
      <c r="AK2" s="14" t="s">
        <v>111</v>
      </c>
      <c r="AL2" s="9" t="s">
        <v>112</v>
      </c>
      <c r="AM2" s="9" t="s">
        <v>113</v>
      </c>
      <c r="AN2" s="225" t="s">
        <v>114</v>
      </c>
      <c r="AQ2" s="6"/>
      <c r="AV2" s="471" t="s">
        <v>48</v>
      </c>
      <c r="AW2" s="472"/>
      <c r="AX2" s="473"/>
    </row>
    <row r="3" spans="1:225" ht="24.6" customHeight="1" thickBot="1">
      <c r="A3" s="508"/>
      <c r="B3" s="510"/>
      <c r="C3" s="510"/>
      <c r="D3" s="512"/>
      <c r="E3" s="514"/>
      <c r="F3" s="15" t="s">
        <v>118</v>
      </c>
      <c r="G3" s="15" t="s">
        <v>119</v>
      </c>
      <c r="H3" s="16" t="s">
        <v>120</v>
      </c>
      <c r="I3" s="505"/>
      <c r="J3" s="506"/>
      <c r="K3" s="286">
        <v>1</v>
      </c>
      <c r="L3" s="63">
        <v>2</v>
      </c>
      <c r="M3" s="63">
        <v>3</v>
      </c>
      <c r="N3" s="63">
        <v>4</v>
      </c>
      <c r="O3" s="221">
        <v>5</v>
      </c>
      <c r="P3" s="221">
        <v>6</v>
      </c>
      <c r="Q3" s="63">
        <v>7</v>
      </c>
      <c r="R3" s="63">
        <v>8</v>
      </c>
      <c r="S3" s="63">
        <v>9</v>
      </c>
      <c r="T3" s="63">
        <v>10</v>
      </c>
      <c r="U3" s="63">
        <v>11</v>
      </c>
      <c r="V3" s="221">
        <v>12</v>
      </c>
      <c r="W3" s="221">
        <v>13</v>
      </c>
      <c r="X3" s="63">
        <v>14</v>
      </c>
      <c r="Y3" s="63">
        <v>15</v>
      </c>
      <c r="Z3" s="63">
        <v>16</v>
      </c>
      <c r="AA3" s="63">
        <v>17</v>
      </c>
      <c r="AB3" s="63">
        <v>18</v>
      </c>
      <c r="AC3" s="221">
        <v>19</v>
      </c>
      <c r="AD3" s="221">
        <v>20</v>
      </c>
      <c r="AE3" s="63">
        <v>21</v>
      </c>
      <c r="AF3" s="63">
        <v>22</v>
      </c>
      <c r="AG3" s="63">
        <v>23</v>
      </c>
      <c r="AH3" s="63">
        <v>24</v>
      </c>
      <c r="AI3" s="221">
        <v>25</v>
      </c>
      <c r="AJ3" s="221">
        <v>26</v>
      </c>
      <c r="AK3" s="221">
        <v>27</v>
      </c>
      <c r="AL3" s="221">
        <v>28</v>
      </c>
      <c r="AM3" s="63">
        <v>29</v>
      </c>
      <c r="AN3" s="127">
        <v>30</v>
      </c>
      <c r="AO3" s="19" t="s">
        <v>121</v>
      </c>
      <c r="AP3" s="19" t="s">
        <v>122</v>
      </c>
      <c r="AQ3" s="20" t="s">
        <v>123</v>
      </c>
      <c r="AR3" s="21" t="s">
        <v>109</v>
      </c>
      <c r="AS3" s="22" t="s">
        <v>124</v>
      </c>
      <c r="AT3" s="417"/>
      <c r="AV3" s="117" t="s">
        <v>49</v>
      </c>
      <c r="AW3" s="117" t="s">
        <v>50</v>
      </c>
      <c r="AX3" s="117" t="s">
        <v>51</v>
      </c>
    </row>
    <row r="4" spans="1:225" ht="25.5" customHeight="1">
      <c r="A4" s="23">
        <f t="shared" ref="A4:A46" si="0">COUNTIF(K4:AN4,1)+COUNTIF(K4:AN4,"早")+COUNTIF(K4:AN4,"M1")+COUNTIF(K4:AN4,"T早")+COUNTIF(K4:AN4,"日")</f>
        <v>0</v>
      </c>
      <c r="B4" s="24">
        <f t="shared" ref="B4:B46" si="1">COUNTIF(K4:AN4,2)+COUNTIF(K4:AN4,"中")+COUNTIF(K4:AN4,"M2")+COUNTIF(K4:AN4,"T中")+COUNTIF(K4:AN4,"小夜")</f>
        <v>0</v>
      </c>
      <c r="C4" s="25">
        <f t="shared" ref="C4:C46" si="2">COUNTIF(K4:AN4,3)+COUNTIF(K4:AN4,"晚")+COUNTIF(K4:AN4,"大夜")</f>
        <v>19</v>
      </c>
      <c r="D4" s="24">
        <f t="shared" ref="D4:D46" si="3">COUNTIF(K4:AN4,"N")+COUNTIF(K4:AN4,"N8")</f>
        <v>0</v>
      </c>
      <c r="E4" s="26">
        <f t="shared" ref="E4:E46" si="4">COUNTIF(K4:AN4,"S")</f>
        <v>1</v>
      </c>
      <c r="F4" s="26">
        <f t="shared" ref="F4:F46" si="5">COUNTIF(K4:AN4,"X")</f>
        <v>4</v>
      </c>
      <c r="G4" s="26">
        <f t="shared" ref="G4:G46" si="6">COUNTIF(K4:AN4,"Y")</f>
        <v>4</v>
      </c>
      <c r="H4" s="26">
        <f t="shared" ref="H4:H46" si="7">COUNTIF(K4:AN4,"Z")</f>
        <v>2</v>
      </c>
      <c r="I4" s="27">
        <f t="shared" ref="I4:I15" si="8">SUM(A4:H4)</f>
        <v>30</v>
      </c>
      <c r="J4" s="282" t="s">
        <v>152</v>
      </c>
      <c r="K4" s="389" t="s">
        <v>40</v>
      </c>
      <c r="L4" s="390" t="s">
        <v>40</v>
      </c>
      <c r="M4" s="390">
        <v>3</v>
      </c>
      <c r="N4" s="390">
        <v>3</v>
      </c>
      <c r="O4" s="233" t="s">
        <v>52</v>
      </c>
      <c r="P4" s="233" t="s">
        <v>0</v>
      </c>
      <c r="Q4" s="254" t="s">
        <v>1</v>
      </c>
      <c r="R4" s="235" t="s">
        <v>53</v>
      </c>
      <c r="S4" s="235" t="s">
        <v>53</v>
      </c>
      <c r="T4" s="235" t="s">
        <v>52</v>
      </c>
      <c r="U4" s="390">
        <v>3</v>
      </c>
      <c r="V4" s="235">
        <v>3</v>
      </c>
      <c r="W4" s="390">
        <v>3</v>
      </c>
      <c r="X4" s="390">
        <v>3</v>
      </c>
      <c r="Y4" s="235" t="s">
        <v>52</v>
      </c>
      <c r="Z4" s="235" t="s">
        <v>0</v>
      </c>
      <c r="AA4" s="390">
        <v>3</v>
      </c>
      <c r="AB4" s="390">
        <v>3</v>
      </c>
      <c r="AC4" s="233" t="s">
        <v>52</v>
      </c>
      <c r="AD4" s="233" t="s">
        <v>0</v>
      </c>
      <c r="AE4" s="390">
        <v>3</v>
      </c>
      <c r="AF4" s="390">
        <v>3</v>
      </c>
      <c r="AG4" s="390">
        <v>3</v>
      </c>
      <c r="AH4" s="390">
        <v>3</v>
      </c>
      <c r="AI4" s="390" t="s">
        <v>40</v>
      </c>
      <c r="AJ4" s="235" t="s">
        <v>0</v>
      </c>
      <c r="AK4" s="390">
        <v>3</v>
      </c>
      <c r="AL4" s="390">
        <v>3</v>
      </c>
      <c r="AM4" s="390">
        <v>3</v>
      </c>
      <c r="AN4" s="420">
        <v>3</v>
      </c>
      <c r="AO4" s="283">
        <v>0</v>
      </c>
      <c r="AP4" s="36">
        <f t="shared" ref="AP4:AP46" si="9">$F4+$G4+H4-$I$1</f>
        <v>0</v>
      </c>
      <c r="AQ4" s="36">
        <v>0</v>
      </c>
      <c r="AR4" s="26">
        <f>SUM(AO4:AQ4)</f>
        <v>0</v>
      </c>
      <c r="AS4" s="328" t="s">
        <v>128</v>
      </c>
      <c r="AV4" s="6" cm="2">
        <f t="array" ref="AV4">SUMPRODUCT(COUNTIF(O4:P4,{"X";"Y";"Z";"S"}))+SUMPRODUCT(COUNTIF(V4:W4,{"X";"Y";"Z";"S"}))+SUMPRODUCT(COUNTIF(AC4:AD4,{"X";"Y";"Z";"S"}))+SUMPRODUCT(COUNTIF(AJ4:AK4,{"X";"Y";"Z";"S"}))-5</f>
        <v>0</v>
      </c>
      <c r="AW4" s="6">
        <v>6</v>
      </c>
      <c r="AX4" s="6">
        <f>AV4+AW4</f>
        <v>6</v>
      </c>
    </row>
    <row r="5" spans="1:225" ht="25.5" customHeight="1">
      <c r="A5" s="38">
        <f t="shared" si="0"/>
        <v>3</v>
      </c>
      <c r="B5" s="39">
        <f t="shared" si="1"/>
        <v>4</v>
      </c>
      <c r="C5" s="40">
        <f t="shared" si="2"/>
        <v>8</v>
      </c>
      <c r="D5" s="39">
        <f t="shared" si="3"/>
        <v>1</v>
      </c>
      <c r="E5" s="41">
        <f t="shared" si="4"/>
        <v>4</v>
      </c>
      <c r="F5" s="41">
        <f t="shared" si="5"/>
        <v>4</v>
      </c>
      <c r="G5" s="41">
        <f t="shared" si="6"/>
        <v>4</v>
      </c>
      <c r="H5" s="41">
        <f t="shared" si="7"/>
        <v>2</v>
      </c>
      <c r="I5" s="42">
        <f t="shared" si="8"/>
        <v>30</v>
      </c>
      <c r="J5" s="208" t="s">
        <v>2</v>
      </c>
      <c r="K5" s="424" t="s">
        <v>1</v>
      </c>
      <c r="L5" s="234" t="s">
        <v>1</v>
      </c>
      <c r="M5" s="234" t="s">
        <v>1</v>
      </c>
      <c r="N5" s="234" t="s">
        <v>1</v>
      </c>
      <c r="O5" s="239" t="s">
        <v>52</v>
      </c>
      <c r="P5" s="259">
        <v>3</v>
      </c>
      <c r="Q5" s="259">
        <v>3</v>
      </c>
      <c r="R5" s="259">
        <v>3</v>
      </c>
      <c r="S5" s="259">
        <v>3</v>
      </c>
      <c r="T5" s="259">
        <v>3</v>
      </c>
      <c r="U5" s="234" t="s">
        <v>0</v>
      </c>
      <c r="V5" s="239" t="s">
        <v>52</v>
      </c>
      <c r="W5" s="238" t="s">
        <v>0</v>
      </c>
      <c r="X5" s="238">
        <v>3</v>
      </c>
      <c r="Y5" s="259">
        <v>3</v>
      </c>
      <c r="Z5" s="259">
        <v>3</v>
      </c>
      <c r="AA5" s="393" t="s">
        <v>3</v>
      </c>
      <c r="AB5" s="234" t="s">
        <v>53</v>
      </c>
      <c r="AC5" s="239" t="s">
        <v>52</v>
      </c>
      <c r="AD5" s="239" t="s">
        <v>0</v>
      </c>
      <c r="AE5" s="234" t="s">
        <v>53</v>
      </c>
      <c r="AF5" s="238" t="s">
        <v>36</v>
      </c>
      <c r="AG5" s="238" t="s">
        <v>36</v>
      </c>
      <c r="AH5" s="238" t="s">
        <v>52</v>
      </c>
      <c r="AI5" s="259">
        <v>2</v>
      </c>
      <c r="AJ5" s="259">
        <v>2</v>
      </c>
      <c r="AK5" s="259">
        <v>2</v>
      </c>
      <c r="AL5" s="259">
        <v>2</v>
      </c>
      <c r="AM5" s="238" t="s">
        <v>0</v>
      </c>
      <c r="AN5" s="241">
        <v>1</v>
      </c>
      <c r="AO5" s="175">
        <v>0</v>
      </c>
      <c r="AP5" s="46">
        <f t="shared" si="9"/>
        <v>0</v>
      </c>
      <c r="AQ5" s="46">
        <v>0</v>
      </c>
      <c r="AR5" s="41">
        <f t="shared" ref="AR5:AR10" si="10">SUM(AO5:AQ5)</f>
        <v>0</v>
      </c>
      <c r="AS5" s="329" t="s">
        <v>126</v>
      </c>
    </row>
    <row r="6" spans="1:225" ht="25.5" customHeight="1">
      <c r="A6" s="38">
        <f t="shared" si="0"/>
        <v>13</v>
      </c>
      <c r="B6" s="39">
        <f t="shared" si="1"/>
        <v>0</v>
      </c>
      <c r="C6" s="40">
        <f t="shared" si="2"/>
        <v>0</v>
      </c>
      <c r="D6" s="39">
        <f t="shared" si="3"/>
        <v>6</v>
      </c>
      <c r="E6" s="41">
        <f t="shared" si="4"/>
        <v>1</v>
      </c>
      <c r="F6" s="41">
        <f t="shared" si="5"/>
        <v>4</v>
      </c>
      <c r="G6" s="41">
        <f t="shared" si="6"/>
        <v>4</v>
      </c>
      <c r="H6" s="41">
        <f t="shared" si="7"/>
        <v>2</v>
      </c>
      <c r="I6" s="42">
        <f t="shared" si="8"/>
        <v>30</v>
      </c>
      <c r="J6" s="209" t="s">
        <v>129</v>
      </c>
      <c r="K6" s="393" t="s">
        <v>3</v>
      </c>
      <c r="L6" s="242" t="s">
        <v>3</v>
      </c>
      <c r="M6" s="393" t="s">
        <v>3</v>
      </c>
      <c r="N6" s="259">
        <v>1</v>
      </c>
      <c r="O6" s="238" t="s">
        <v>52</v>
      </c>
      <c r="P6" s="238" t="s">
        <v>36</v>
      </c>
      <c r="Q6" s="238" t="s">
        <v>3</v>
      </c>
      <c r="R6" s="238" t="s">
        <v>0</v>
      </c>
      <c r="S6" s="238">
        <v>1</v>
      </c>
      <c r="T6" s="238">
        <v>1</v>
      </c>
      <c r="U6" s="238" t="s">
        <v>53</v>
      </c>
      <c r="V6" s="239" t="s">
        <v>52</v>
      </c>
      <c r="W6" s="239" t="s">
        <v>0</v>
      </c>
      <c r="X6" s="259">
        <v>1</v>
      </c>
      <c r="Y6" s="393" t="s">
        <v>3</v>
      </c>
      <c r="Z6" s="393" t="s">
        <v>3</v>
      </c>
      <c r="AA6" s="238" t="s">
        <v>0</v>
      </c>
      <c r="AB6" s="238" t="s">
        <v>36</v>
      </c>
      <c r="AC6" s="234" t="s">
        <v>1</v>
      </c>
      <c r="AD6" s="239" t="s">
        <v>0</v>
      </c>
      <c r="AE6" s="259">
        <v>1</v>
      </c>
      <c r="AF6" s="238" t="s">
        <v>52</v>
      </c>
      <c r="AG6" s="238" t="s">
        <v>36</v>
      </c>
      <c r="AH6" s="238" t="s">
        <v>36</v>
      </c>
      <c r="AI6" s="234" t="s">
        <v>53</v>
      </c>
      <c r="AJ6" s="239" t="s">
        <v>52</v>
      </c>
      <c r="AK6" s="238" t="s">
        <v>36</v>
      </c>
      <c r="AL6" s="259" t="s">
        <v>36</v>
      </c>
      <c r="AM6" s="270" t="s">
        <v>36</v>
      </c>
      <c r="AN6" s="274" t="s">
        <v>36</v>
      </c>
      <c r="AO6" s="175">
        <v>0</v>
      </c>
      <c r="AP6" s="46">
        <f t="shared" si="9"/>
        <v>0</v>
      </c>
      <c r="AQ6" s="46">
        <v>0</v>
      </c>
      <c r="AR6" s="41">
        <f t="shared" si="10"/>
        <v>0</v>
      </c>
      <c r="AS6" s="329" t="s">
        <v>126</v>
      </c>
      <c r="AV6" s="6" cm="2">
        <f t="array" ref="AV6">SUMPRODUCT(COUNTIF(O6:P6,{"X";"Y";"Z";"S"}))+SUMPRODUCT(COUNTIF(V6:W6,{"X";"Y";"Z";"S"}))+SUMPRODUCT(COUNTIF(AC6:AD6,{"X";"Y";"Z";"S"}))+SUMPRODUCT(COUNTIF(AJ6:AK6,{"X";"Y";"Z";"S"}))-5</f>
        <v>1</v>
      </c>
      <c r="AW6" s="6">
        <v>4</v>
      </c>
      <c r="AX6" s="6">
        <f t="shared" ref="AX6:AX12" si="11">AV6+AW6</f>
        <v>5</v>
      </c>
    </row>
    <row r="7" spans="1:225" ht="25.5" customHeight="1">
      <c r="A7" s="38">
        <f t="shared" si="0"/>
        <v>16</v>
      </c>
      <c r="B7" s="39">
        <f t="shared" si="1"/>
        <v>0</v>
      </c>
      <c r="C7" s="40">
        <f t="shared" si="2"/>
        <v>0</v>
      </c>
      <c r="D7" s="39">
        <f t="shared" si="3"/>
        <v>1</v>
      </c>
      <c r="E7" s="41">
        <f t="shared" si="4"/>
        <v>3</v>
      </c>
      <c r="F7" s="41">
        <f t="shared" si="5"/>
        <v>4</v>
      </c>
      <c r="G7" s="41">
        <f t="shared" si="6"/>
        <v>4</v>
      </c>
      <c r="H7" s="41">
        <f t="shared" si="7"/>
        <v>2</v>
      </c>
      <c r="I7" s="42">
        <f t="shared" si="8"/>
        <v>30</v>
      </c>
      <c r="J7" s="209" t="s">
        <v>130</v>
      </c>
      <c r="K7" s="245">
        <v>1</v>
      </c>
      <c r="L7" s="259" t="s">
        <v>36</v>
      </c>
      <c r="M7" s="238" t="s">
        <v>52</v>
      </c>
      <c r="N7" s="238" t="s">
        <v>36</v>
      </c>
      <c r="O7" s="259">
        <v>1</v>
      </c>
      <c r="P7" s="259">
        <v>1</v>
      </c>
      <c r="Q7" s="259" t="s">
        <v>36</v>
      </c>
      <c r="R7" s="259" t="s">
        <v>36</v>
      </c>
      <c r="S7" s="238" t="s">
        <v>52</v>
      </c>
      <c r="T7" s="234" t="s">
        <v>1</v>
      </c>
      <c r="U7" s="238" t="s">
        <v>36</v>
      </c>
      <c r="V7" s="239" t="s">
        <v>53</v>
      </c>
      <c r="W7" s="239" t="s">
        <v>0</v>
      </c>
      <c r="X7" s="259" t="s">
        <v>36</v>
      </c>
      <c r="Y7" s="259" t="s">
        <v>36</v>
      </c>
      <c r="Z7" s="238" t="s">
        <v>0</v>
      </c>
      <c r="AA7" s="238" t="s">
        <v>52</v>
      </c>
      <c r="AB7" s="238" t="s">
        <v>36</v>
      </c>
      <c r="AC7" s="238" t="s">
        <v>36</v>
      </c>
      <c r="AD7" s="238" t="s">
        <v>36</v>
      </c>
      <c r="AE7" s="238" t="s">
        <v>36</v>
      </c>
      <c r="AF7" s="234" t="s">
        <v>0</v>
      </c>
      <c r="AG7" s="238" t="s">
        <v>36</v>
      </c>
      <c r="AH7" s="238" t="s">
        <v>36</v>
      </c>
      <c r="AI7" s="234" t="s">
        <v>1</v>
      </c>
      <c r="AJ7" s="239" t="s">
        <v>52</v>
      </c>
      <c r="AK7" s="239" t="s">
        <v>53</v>
      </c>
      <c r="AL7" s="234" t="s">
        <v>1</v>
      </c>
      <c r="AM7" s="238" t="s">
        <v>0</v>
      </c>
      <c r="AN7" s="426" t="s">
        <v>3</v>
      </c>
      <c r="AO7" s="175">
        <v>0</v>
      </c>
      <c r="AP7" s="46">
        <f t="shared" si="9"/>
        <v>0</v>
      </c>
      <c r="AQ7" s="46">
        <v>0</v>
      </c>
      <c r="AR7" s="41">
        <f t="shared" si="10"/>
        <v>0</v>
      </c>
      <c r="AS7" s="329" t="s">
        <v>126</v>
      </c>
      <c r="AV7" s="6" cm="2">
        <f t="array" ref="AV7">SUMPRODUCT(COUNTIF(O7:P7,{"X";"Y";"Z";"S"}))+SUMPRODUCT(COUNTIF(V7:W7,{"X";"Y";"Z";"S"}))+SUMPRODUCT(COUNTIF(AC7:AD7,{"X";"Y";"Z";"S"}))+SUMPRODUCT(COUNTIF(AJ7:AK7,{"X";"Y";"Z";"S"}))-5</f>
        <v>-1</v>
      </c>
      <c r="AW7" s="6">
        <v>3</v>
      </c>
      <c r="AX7" s="6">
        <f t="shared" si="11"/>
        <v>2</v>
      </c>
    </row>
    <row r="8" spans="1:225" s="50" customFormat="1" ht="24.75" customHeight="1">
      <c r="A8" s="38">
        <f t="shared" si="0"/>
        <v>16</v>
      </c>
      <c r="B8" s="39">
        <f t="shared" si="1"/>
        <v>2</v>
      </c>
      <c r="C8" s="40">
        <f t="shared" si="2"/>
        <v>1</v>
      </c>
      <c r="D8" s="39">
        <f t="shared" si="3"/>
        <v>1</v>
      </c>
      <c r="E8" s="41">
        <f t="shared" si="4"/>
        <v>0</v>
      </c>
      <c r="F8" s="41">
        <f t="shared" si="5"/>
        <v>4</v>
      </c>
      <c r="G8" s="41">
        <f t="shared" si="6"/>
        <v>4</v>
      </c>
      <c r="H8" s="41">
        <f t="shared" si="7"/>
        <v>2</v>
      </c>
      <c r="I8" s="42">
        <f t="shared" si="8"/>
        <v>30</v>
      </c>
      <c r="J8" s="209" t="s">
        <v>4</v>
      </c>
      <c r="K8" s="245" t="s">
        <v>36</v>
      </c>
      <c r="L8" s="238" t="s">
        <v>52</v>
      </c>
      <c r="M8" s="256" t="s">
        <v>5</v>
      </c>
      <c r="N8" s="238" t="s">
        <v>36</v>
      </c>
      <c r="O8" s="238" t="s">
        <v>38</v>
      </c>
      <c r="P8" s="259">
        <v>2</v>
      </c>
      <c r="Q8" s="238" t="s">
        <v>52</v>
      </c>
      <c r="R8" s="238" t="s">
        <v>36</v>
      </c>
      <c r="S8" s="259">
        <v>1</v>
      </c>
      <c r="T8" s="256" t="s">
        <v>5</v>
      </c>
      <c r="U8" s="234" t="s">
        <v>0</v>
      </c>
      <c r="V8" s="259">
        <v>3</v>
      </c>
      <c r="W8" s="239" t="s">
        <v>53</v>
      </c>
      <c r="X8" s="238" t="s">
        <v>36</v>
      </c>
      <c r="Y8" s="238">
        <v>1</v>
      </c>
      <c r="Z8" s="259">
        <v>1</v>
      </c>
      <c r="AA8" s="259">
        <v>1</v>
      </c>
      <c r="AB8" s="234" t="s">
        <v>52</v>
      </c>
      <c r="AC8" s="238">
        <v>1</v>
      </c>
      <c r="AD8" s="239" t="s">
        <v>0</v>
      </c>
      <c r="AE8" s="238" t="s">
        <v>36</v>
      </c>
      <c r="AF8" s="238" t="s">
        <v>36</v>
      </c>
      <c r="AG8" s="238" t="s">
        <v>36</v>
      </c>
      <c r="AH8" s="238" t="s">
        <v>36</v>
      </c>
      <c r="AI8" s="234" t="s">
        <v>0</v>
      </c>
      <c r="AJ8" s="272" t="s">
        <v>53</v>
      </c>
      <c r="AK8" s="272" t="s">
        <v>52</v>
      </c>
      <c r="AL8" s="271" t="s">
        <v>0</v>
      </c>
      <c r="AM8" s="238" t="s">
        <v>3</v>
      </c>
      <c r="AN8" s="260">
        <v>1</v>
      </c>
      <c r="AO8" s="175">
        <v>0</v>
      </c>
      <c r="AP8" s="46">
        <f t="shared" si="9"/>
        <v>0</v>
      </c>
      <c r="AQ8" s="46">
        <v>0</v>
      </c>
      <c r="AR8" s="41">
        <f t="shared" si="10"/>
        <v>0</v>
      </c>
      <c r="AS8" s="329" t="s">
        <v>128</v>
      </c>
      <c r="AT8" s="6"/>
      <c r="AU8" s="6"/>
      <c r="AV8" s="6" cm="2">
        <f t="array" ref="AV8">SUMPRODUCT(COUNTIF(O8:P8,{"X";"Y";"Z";"S"}))+SUMPRODUCT(COUNTIF(V8:W8,{"X";"Y";"Z";"S"}))+SUMPRODUCT(COUNTIF(AC8:AD8,{"X";"Y";"Z";"S"}))+SUMPRODUCT(COUNTIF(AJ8:AK8,{"X";"Y";"Z";"S"}))-5</f>
        <v>-1</v>
      </c>
      <c r="AW8" s="6">
        <v>7</v>
      </c>
      <c r="AX8" s="6">
        <f t="shared" si="11"/>
        <v>6</v>
      </c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</row>
    <row r="9" spans="1:225" s="50" customFormat="1" ht="28.8" customHeight="1">
      <c r="A9" s="38">
        <f t="shared" si="0"/>
        <v>16</v>
      </c>
      <c r="B9" s="39">
        <f t="shared" si="1"/>
        <v>4</v>
      </c>
      <c r="C9" s="40">
        <f t="shared" si="2"/>
        <v>0</v>
      </c>
      <c r="D9" s="39">
        <f t="shared" si="3"/>
        <v>0</v>
      </c>
      <c r="E9" s="41">
        <f t="shared" si="4"/>
        <v>0</v>
      </c>
      <c r="F9" s="41">
        <f t="shared" si="5"/>
        <v>4</v>
      </c>
      <c r="G9" s="41">
        <f t="shared" si="6"/>
        <v>4</v>
      </c>
      <c r="H9" s="41">
        <f t="shared" si="7"/>
        <v>2</v>
      </c>
      <c r="I9" s="42">
        <f t="shared" si="8"/>
        <v>30</v>
      </c>
      <c r="J9" s="210" t="s">
        <v>134</v>
      </c>
      <c r="K9" s="245" t="s">
        <v>36</v>
      </c>
      <c r="L9" s="238" t="s">
        <v>36</v>
      </c>
      <c r="M9" s="238" t="s">
        <v>52</v>
      </c>
      <c r="N9" s="259" t="s">
        <v>36</v>
      </c>
      <c r="O9" s="238">
        <v>1</v>
      </c>
      <c r="P9" s="238" t="s">
        <v>0</v>
      </c>
      <c r="Q9" s="238">
        <v>1</v>
      </c>
      <c r="R9" s="238">
        <v>1</v>
      </c>
      <c r="S9" s="259" t="s">
        <v>36</v>
      </c>
      <c r="T9" s="238" t="s">
        <v>36</v>
      </c>
      <c r="U9" s="259">
        <v>2</v>
      </c>
      <c r="V9" s="239" t="s">
        <v>52</v>
      </c>
      <c r="W9" s="239" t="s">
        <v>0</v>
      </c>
      <c r="X9" s="234" t="s">
        <v>0</v>
      </c>
      <c r="Y9" s="238" t="s">
        <v>36</v>
      </c>
      <c r="Z9" s="238" t="s">
        <v>36</v>
      </c>
      <c r="AA9" s="238" t="s">
        <v>36</v>
      </c>
      <c r="AB9" s="238" t="s">
        <v>36</v>
      </c>
      <c r="AC9" s="238" t="s">
        <v>36</v>
      </c>
      <c r="AD9" s="238" t="s">
        <v>36</v>
      </c>
      <c r="AE9" s="238" t="s">
        <v>52</v>
      </c>
      <c r="AF9" s="259" t="s">
        <v>38</v>
      </c>
      <c r="AG9" s="259">
        <v>2</v>
      </c>
      <c r="AH9" s="259">
        <v>2</v>
      </c>
      <c r="AI9" s="234" t="s">
        <v>52</v>
      </c>
      <c r="AJ9" s="239" t="s">
        <v>53</v>
      </c>
      <c r="AK9" s="239" t="s">
        <v>53</v>
      </c>
      <c r="AL9" s="234" t="s">
        <v>0</v>
      </c>
      <c r="AM9" s="238">
        <v>1</v>
      </c>
      <c r="AN9" s="241">
        <v>1</v>
      </c>
      <c r="AO9" s="175">
        <v>0</v>
      </c>
      <c r="AP9" s="46">
        <f t="shared" si="9"/>
        <v>0</v>
      </c>
      <c r="AQ9" s="46">
        <v>0</v>
      </c>
      <c r="AR9" s="41">
        <f t="shared" si="10"/>
        <v>0</v>
      </c>
      <c r="AS9" s="329" t="s">
        <v>126</v>
      </c>
      <c r="AT9" s="6"/>
      <c r="AU9" s="6"/>
      <c r="AV9" s="6" cm="2">
        <f t="array" ref="AV9">SUMPRODUCT(COUNTIF(O9:P9,{"X";"Y";"Z";"S"}))+SUMPRODUCT(COUNTIF(V9:W9,{"X";"Y";"Z";"S"}))+SUMPRODUCT(COUNTIF(AC9:AD9,{"X";"Y";"Z";"S"}))+SUMPRODUCT(COUNTIF(AJ9:AK9,{"X";"Y";"Z";"S"}))-5</f>
        <v>0</v>
      </c>
      <c r="AW9" s="6">
        <v>2</v>
      </c>
      <c r="AX9" s="6">
        <f t="shared" si="11"/>
        <v>2</v>
      </c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</row>
    <row r="10" spans="1:225" s="50" customFormat="1" ht="25.5" customHeight="1">
      <c r="A10" s="38">
        <f t="shared" si="0"/>
        <v>12</v>
      </c>
      <c r="B10" s="39">
        <f t="shared" si="1"/>
        <v>3</v>
      </c>
      <c r="C10" s="40">
        <f t="shared" si="2"/>
        <v>1</v>
      </c>
      <c r="D10" s="39">
        <f t="shared" si="3"/>
        <v>2</v>
      </c>
      <c r="E10" s="41">
        <f t="shared" si="4"/>
        <v>2</v>
      </c>
      <c r="F10" s="41">
        <f t="shared" si="5"/>
        <v>4</v>
      </c>
      <c r="G10" s="41">
        <f t="shared" si="6"/>
        <v>4</v>
      </c>
      <c r="H10" s="41">
        <f t="shared" si="7"/>
        <v>2</v>
      </c>
      <c r="I10" s="42">
        <f t="shared" si="8"/>
        <v>30</v>
      </c>
      <c r="J10" s="209" t="s">
        <v>6</v>
      </c>
      <c r="K10" s="427" t="s">
        <v>5</v>
      </c>
      <c r="L10" s="238" t="s">
        <v>36</v>
      </c>
      <c r="M10" s="238" t="s">
        <v>36</v>
      </c>
      <c r="N10" s="234" t="s">
        <v>1</v>
      </c>
      <c r="O10" s="239" t="s">
        <v>52</v>
      </c>
      <c r="P10" s="239" t="s">
        <v>0</v>
      </c>
      <c r="Q10" s="238" t="s">
        <v>36</v>
      </c>
      <c r="R10" s="238" t="s">
        <v>36</v>
      </c>
      <c r="S10" s="242" t="s">
        <v>3</v>
      </c>
      <c r="T10" s="238" t="s">
        <v>52</v>
      </c>
      <c r="U10" s="238" t="s">
        <v>38</v>
      </c>
      <c r="V10" s="238" t="s">
        <v>38</v>
      </c>
      <c r="W10" s="238" t="s">
        <v>38</v>
      </c>
      <c r="X10" s="238" t="s">
        <v>0</v>
      </c>
      <c r="Y10" s="238" t="s">
        <v>36</v>
      </c>
      <c r="Z10" s="238" t="s">
        <v>36</v>
      </c>
      <c r="AA10" s="238" t="s">
        <v>36</v>
      </c>
      <c r="AB10" s="234" t="s">
        <v>53</v>
      </c>
      <c r="AC10" s="239" t="s">
        <v>52</v>
      </c>
      <c r="AD10" s="239" t="s">
        <v>0</v>
      </c>
      <c r="AE10" s="234" t="s">
        <v>1</v>
      </c>
      <c r="AF10" s="238">
        <v>1</v>
      </c>
      <c r="AG10" s="242" t="s">
        <v>3</v>
      </c>
      <c r="AH10" s="256" t="s">
        <v>5</v>
      </c>
      <c r="AI10" s="234" t="s">
        <v>52</v>
      </c>
      <c r="AJ10" s="259">
        <v>3</v>
      </c>
      <c r="AK10" s="238" t="s">
        <v>53</v>
      </c>
      <c r="AL10" s="271" t="s">
        <v>0</v>
      </c>
      <c r="AM10" s="256" t="s">
        <v>5</v>
      </c>
      <c r="AN10" s="241" t="s">
        <v>36</v>
      </c>
      <c r="AO10" s="175">
        <v>0</v>
      </c>
      <c r="AP10" s="46">
        <f t="shared" si="9"/>
        <v>0</v>
      </c>
      <c r="AQ10" s="46">
        <v>0</v>
      </c>
      <c r="AR10" s="41">
        <f t="shared" si="10"/>
        <v>0</v>
      </c>
      <c r="AS10" s="329" t="s">
        <v>128</v>
      </c>
      <c r="AT10" s="6"/>
      <c r="AU10" s="6"/>
      <c r="AV10" s="6" cm="2">
        <f t="array" ref="AV10">SUMPRODUCT(COUNTIF(O10:P10,{"X";"Y";"Z";"S"}))+SUMPRODUCT(COUNTIF(V10:W10,{"X";"Y";"Z";"S"}))+SUMPRODUCT(COUNTIF(AC10:AD10,{"X";"Y";"Z";"S"}))+SUMPRODUCT(COUNTIF(AJ10:AK10,{"X";"Y";"Z";"S"}))-5</f>
        <v>0</v>
      </c>
      <c r="AW10" s="6">
        <v>4</v>
      </c>
      <c r="AX10" s="6">
        <f t="shared" si="11"/>
        <v>4</v>
      </c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</row>
    <row r="11" spans="1:225" s="50" customFormat="1" ht="25.5" customHeight="1">
      <c r="A11" s="38">
        <f t="shared" si="0"/>
        <v>17</v>
      </c>
      <c r="B11" s="39">
        <f t="shared" si="1"/>
        <v>3</v>
      </c>
      <c r="C11" s="40">
        <f t="shared" si="2"/>
        <v>0</v>
      </c>
      <c r="D11" s="39">
        <f t="shared" si="3"/>
        <v>0</v>
      </c>
      <c r="E11" s="41">
        <f t="shared" si="4"/>
        <v>0</v>
      </c>
      <c r="F11" s="41">
        <f t="shared" si="5"/>
        <v>4</v>
      </c>
      <c r="G11" s="41">
        <f t="shared" si="6"/>
        <v>4</v>
      </c>
      <c r="H11" s="41">
        <f t="shared" si="7"/>
        <v>2</v>
      </c>
      <c r="I11" s="42">
        <f t="shared" si="8"/>
        <v>30</v>
      </c>
      <c r="J11" s="209" t="s">
        <v>135</v>
      </c>
      <c r="K11" s="245" t="s">
        <v>36</v>
      </c>
      <c r="L11" s="238" t="s">
        <v>36</v>
      </c>
      <c r="M11" s="238">
        <v>1</v>
      </c>
      <c r="N11" s="238" t="s">
        <v>52</v>
      </c>
      <c r="O11" s="259">
        <v>2</v>
      </c>
      <c r="P11" s="238">
        <v>2</v>
      </c>
      <c r="Q11" s="238" t="s">
        <v>0</v>
      </c>
      <c r="R11" s="238" t="s">
        <v>36</v>
      </c>
      <c r="S11" s="238" t="s">
        <v>36</v>
      </c>
      <c r="T11" s="238" t="s">
        <v>36</v>
      </c>
      <c r="U11" s="238" t="s">
        <v>36</v>
      </c>
      <c r="V11" s="239" t="s">
        <v>52</v>
      </c>
      <c r="W11" s="239" t="s">
        <v>0</v>
      </c>
      <c r="X11" s="238" t="s">
        <v>36</v>
      </c>
      <c r="Y11" s="238" t="s">
        <v>36</v>
      </c>
      <c r="Z11" s="238" t="s">
        <v>36</v>
      </c>
      <c r="AA11" s="238" t="s">
        <v>52</v>
      </c>
      <c r="AB11" s="238">
        <v>1</v>
      </c>
      <c r="AC11" s="259">
        <v>1</v>
      </c>
      <c r="AD11" s="259">
        <v>1</v>
      </c>
      <c r="AE11" s="259" t="s">
        <v>38</v>
      </c>
      <c r="AF11" s="238" t="s">
        <v>0</v>
      </c>
      <c r="AG11" s="259">
        <v>1</v>
      </c>
      <c r="AH11" s="238" t="s">
        <v>36</v>
      </c>
      <c r="AI11" s="234" t="s">
        <v>53</v>
      </c>
      <c r="AJ11" s="239" t="s">
        <v>53</v>
      </c>
      <c r="AK11" s="239" t="s">
        <v>52</v>
      </c>
      <c r="AL11" s="271" t="s">
        <v>0</v>
      </c>
      <c r="AM11" s="238" t="s">
        <v>36</v>
      </c>
      <c r="AN11" s="241" t="s">
        <v>36</v>
      </c>
      <c r="AO11" s="175">
        <v>0</v>
      </c>
      <c r="AP11" s="46">
        <f t="shared" si="9"/>
        <v>0</v>
      </c>
      <c r="AQ11" s="46">
        <v>0</v>
      </c>
      <c r="AR11" s="41">
        <f>SUM(AO11:AQ11)</f>
        <v>0</v>
      </c>
      <c r="AS11" s="329" t="s">
        <v>126</v>
      </c>
      <c r="AT11" s="6"/>
      <c r="AU11" s="6"/>
      <c r="AV11" s="6" cm="2">
        <f t="array" ref="AV11">SUMPRODUCT(COUNTIF(O11:P11,{"X";"Y";"Z";"S"}))+SUMPRODUCT(COUNTIF(V11:W11,{"X";"Y";"Z";"S"}))+SUMPRODUCT(COUNTIF(AC11:AD11,{"X";"Y";"Z";"S"}))+SUMPRODUCT(COUNTIF(AJ11:AK11,{"X";"Y";"Z";"S"}))-5</f>
        <v>-1</v>
      </c>
      <c r="AW11" s="6">
        <v>2</v>
      </c>
      <c r="AX11" s="6">
        <f t="shared" si="11"/>
        <v>1</v>
      </c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</row>
    <row r="12" spans="1:225" s="50" customFormat="1" ht="28.35" customHeight="1">
      <c r="A12" s="38">
        <f t="shared" si="0"/>
        <v>17</v>
      </c>
      <c r="B12" s="39">
        <f t="shared" si="1"/>
        <v>1</v>
      </c>
      <c r="C12" s="40">
        <f t="shared" si="2"/>
        <v>0</v>
      </c>
      <c r="D12" s="39">
        <f t="shared" si="3"/>
        <v>1</v>
      </c>
      <c r="E12" s="41">
        <f t="shared" si="4"/>
        <v>1</v>
      </c>
      <c r="F12" s="41">
        <f t="shared" si="5"/>
        <v>4</v>
      </c>
      <c r="G12" s="41">
        <f t="shared" si="6"/>
        <v>4</v>
      </c>
      <c r="H12" s="41">
        <f t="shared" si="7"/>
        <v>2</v>
      </c>
      <c r="I12" s="42">
        <f t="shared" si="8"/>
        <v>30</v>
      </c>
      <c r="J12" s="210" t="s">
        <v>136</v>
      </c>
      <c r="K12" s="258" t="s">
        <v>58</v>
      </c>
      <c r="L12" s="259">
        <v>1</v>
      </c>
      <c r="M12" s="238">
        <v>1</v>
      </c>
      <c r="N12" s="234" t="s">
        <v>1</v>
      </c>
      <c r="O12" s="239" t="s">
        <v>52</v>
      </c>
      <c r="P12" s="239" t="s">
        <v>0</v>
      </c>
      <c r="Q12" s="238" t="s">
        <v>36</v>
      </c>
      <c r="R12" s="234" t="s">
        <v>52</v>
      </c>
      <c r="S12" s="238" t="s">
        <v>36</v>
      </c>
      <c r="T12" s="238" t="s">
        <v>36</v>
      </c>
      <c r="U12" s="259" t="s">
        <v>58</v>
      </c>
      <c r="V12" s="259">
        <v>2</v>
      </c>
      <c r="W12" s="238" t="s">
        <v>0</v>
      </c>
      <c r="X12" s="238" t="s">
        <v>36</v>
      </c>
      <c r="Y12" s="238" t="s">
        <v>36</v>
      </c>
      <c r="Z12" s="238" t="s">
        <v>52</v>
      </c>
      <c r="AA12" s="238">
        <v>1</v>
      </c>
      <c r="AB12" s="259" t="s">
        <v>58</v>
      </c>
      <c r="AC12" s="239" t="s">
        <v>53</v>
      </c>
      <c r="AD12" s="239" t="s">
        <v>0</v>
      </c>
      <c r="AE12" s="259" t="s">
        <v>58</v>
      </c>
      <c r="AF12" s="242" t="s">
        <v>3</v>
      </c>
      <c r="AG12" s="238">
        <v>1</v>
      </c>
      <c r="AH12" s="238" t="s">
        <v>53</v>
      </c>
      <c r="AI12" s="234" t="s">
        <v>52</v>
      </c>
      <c r="AJ12" s="238">
        <v>1</v>
      </c>
      <c r="AK12" s="238">
        <v>1</v>
      </c>
      <c r="AL12" s="271" t="s">
        <v>0</v>
      </c>
      <c r="AM12" s="259" t="s">
        <v>58</v>
      </c>
      <c r="AN12" s="260" t="s">
        <v>36</v>
      </c>
      <c r="AO12" s="175">
        <v>0</v>
      </c>
      <c r="AP12" s="46">
        <f t="shared" si="9"/>
        <v>0</v>
      </c>
      <c r="AQ12" s="46">
        <v>0</v>
      </c>
      <c r="AR12" s="41">
        <f t="shared" ref="AR12:AR15" si="12">SUM(AO12:AQ12)</f>
        <v>0</v>
      </c>
      <c r="AS12" s="329" t="s">
        <v>128</v>
      </c>
      <c r="AT12" s="6"/>
      <c r="AU12" s="6"/>
      <c r="AV12" s="6" cm="2">
        <f t="array" ref="AV12">SUMPRODUCT(COUNTIF(O12:P12,{"X";"Y";"Z";"S"}))+SUMPRODUCT(COUNTIF(V12:W12,{"X";"Y";"Z";"S"}))+SUMPRODUCT(COUNTIF(AC12:AD12,{"X";"Y";"Z";"S"}))+SUMPRODUCT(COUNTIF(AJ12:AK12,{"X";"Y";"Z";"S"}))-5</f>
        <v>0</v>
      </c>
      <c r="AW12" s="6">
        <v>4</v>
      </c>
      <c r="AX12" s="6">
        <f t="shared" si="11"/>
        <v>4</v>
      </c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</row>
    <row r="13" spans="1:225" s="50" customFormat="1" ht="25.5" customHeight="1">
      <c r="A13" s="38">
        <f t="shared" si="0"/>
        <v>0</v>
      </c>
      <c r="B13" s="39">
        <f t="shared" si="1"/>
        <v>13</v>
      </c>
      <c r="C13" s="40">
        <f t="shared" si="2"/>
        <v>5</v>
      </c>
      <c r="D13" s="39">
        <f t="shared" si="3"/>
        <v>1</v>
      </c>
      <c r="E13" s="41">
        <f t="shared" si="4"/>
        <v>1</v>
      </c>
      <c r="F13" s="41">
        <f t="shared" si="5"/>
        <v>4</v>
      </c>
      <c r="G13" s="41">
        <f t="shared" si="6"/>
        <v>4</v>
      </c>
      <c r="H13" s="41">
        <f t="shared" si="7"/>
        <v>2</v>
      </c>
      <c r="I13" s="42">
        <f t="shared" si="8"/>
        <v>30</v>
      </c>
      <c r="J13" s="211" t="s">
        <v>7</v>
      </c>
      <c r="K13" s="258">
        <v>2</v>
      </c>
      <c r="L13" s="259">
        <v>2</v>
      </c>
      <c r="M13" s="234" t="s">
        <v>0</v>
      </c>
      <c r="N13" s="238" t="s">
        <v>52</v>
      </c>
      <c r="O13" s="259">
        <v>3</v>
      </c>
      <c r="P13" s="238" t="s">
        <v>0</v>
      </c>
      <c r="Q13" s="259">
        <v>2</v>
      </c>
      <c r="R13" s="238">
        <v>2</v>
      </c>
      <c r="S13" s="238">
        <v>2</v>
      </c>
      <c r="T13" s="238">
        <v>2</v>
      </c>
      <c r="U13" s="238">
        <v>2</v>
      </c>
      <c r="V13" s="239" t="s">
        <v>52</v>
      </c>
      <c r="W13" s="238">
        <v>3</v>
      </c>
      <c r="X13" s="238" t="s">
        <v>53</v>
      </c>
      <c r="Y13" s="234" t="s">
        <v>1</v>
      </c>
      <c r="Z13" s="259">
        <v>2</v>
      </c>
      <c r="AA13" s="259">
        <v>2</v>
      </c>
      <c r="AB13" s="238" t="s">
        <v>52</v>
      </c>
      <c r="AC13" s="259">
        <v>3</v>
      </c>
      <c r="AD13" s="259">
        <v>3</v>
      </c>
      <c r="AE13" s="238" t="s">
        <v>0</v>
      </c>
      <c r="AF13" s="242" t="s">
        <v>3</v>
      </c>
      <c r="AG13" s="238">
        <v>2</v>
      </c>
      <c r="AH13" s="238">
        <v>2</v>
      </c>
      <c r="AI13" s="238" t="s">
        <v>52</v>
      </c>
      <c r="AJ13" s="239" t="s">
        <v>53</v>
      </c>
      <c r="AK13" s="239" t="s">
        <v>0</v>
      </c>
      <c r="AL13" s="238" t="s">
        <v>40</v>
      </c>
      <c r="AM13" s="259">
        <v>2</v>
      </c>
      <c r="AN13" s="260">
        <v>2</v>
      </c>
      <c r="AO13" s="175">
        <v>0</v>
      </c>
      <c r="AP13" s="46">
        <f t="shared" si="9"/>
        <v>0</v>
      </c>
      <c r="AQ13" s="46">
        <v>0</v>
      </c>
      <c r="AR13" s="41">
        <f t="shared" si="12"/>
        <v>0</v>
      </c>
      <c r="AS13" s="329" t="s">
        <v>126</v>
      </c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</row>
    <row r="14" spans="1:225" s="50" customFormat="1" ht="25.5" customHeight="1">
      <c r="A14" s="38">
        <f t="shared" si="0"/>
        <v>13</v>
      </c>
      <c r="B14" s="39">
        <f t="shared" si="1"/>
        <v>3</v>
      </c>
      <c r="C14" s="40">
        <f t="shared" si="2"/>
        <v>0</v>
      </c>
      <c r="D14" s="39">
        <f t="shared" si="3"/>
        <v>3</v>
      </c>
      <c r="E14" s="41">
        <f t="shared" si="4"/>
        <v>1</v>
      </c>
      <c r="F14" s="41">
        <f t="shared" si="5"/>
        <v>4</v>
      </c>
      <c r="G14" s="41">
        <f t="shared" si="6"/>
        <v>4</v>
      </c>
      <c r="H14" s="41">
        <f t="shared" si="7"/>
        <v>2</v>
      </c>
      <c r="I14" s="42">
        <f t="shared" si="8"/>
        <v>30</v>
      </c>
      <c r="J14" s="209" t="s">
        <v>8</v>
      </c>
      <c r="K14" s="245" t="s">
        <v>0</v>
      </c>
      <c r="L14" s="242" t="s">
        <v>3</v>
      </c>
      <c r="M14" s="259" t="s">
        <v>58</v>
      </c>
      <c r="N14" s="238" t="s">
        <v>53</v>
      </c>
      <c r="O14" s="239" t="s">
        <v>52</v>
      </c>
      <c r="P14" s="239" t="s">
        <v>0</v>
      </c>
      <c r="Q14" s="238" t="s">
        <v>36</v>
      </c>
      <c r="R14" s="238" t="s">
        <v>36</v>
      </c>
      <c r="S14" s="242" t="s">
        <v>3</v>
      </c>
      <c r="T14" s="259" t="s">
        <v>58</v>
      </c>
      <c r="U14" s="238" t="s">
        <v>52</v>
      </c>
      <c r="V14" s="238">
        <v>2</v>
      </c>
      <c r="W14" s="259">
        <v>2</v>
      </c>
      <c r="X14" s="238" t="s">
        <v>0</v>
      </c>
      <c r="Y14" s="238">
        <v>1</v>
      </c>
      <c r="Z14" s="259" t="s">
        <v>36</v>
      </c>
      <c r="AA14" s="259" t="s">
        <v>36</v>
      </c>
      <c r="AB14" s="259">
        <v>2</v>
      </c>
      <c r="AC14" s="239" t="s">
        <v>52</v>
      </c>
      <c r="AD14" s="259">
        <v>1</v>
      </c>
      <c r="AE14" s="238" t="s">
        <v>36</v>
      </c>
      <c r="AF14" s="242" t="s">
        <v>3</v>
      </c>
      <c r="AG14" s="238" t="s">
        <v>0</v>
      </c>
      <c r="AH14" s="259" t="s">
        <v>58</v>
      </c>
      <c r="AI14" s="259" t="s">
        <v>36</v>
      </c>
      <c r="AJ14" s="238" t="s">
        <v>36</v>
      </c>
      <c r="AK14" s="238" t="s">
        <v>36</v>
      </c>
      <c r="AL14" s="239" t="s">
        <v>53</v>
      </c>
      <c r="AM14" s="238" t="s">
        <v>52</v>
      </c>
      <c r="AN14" s="261" t="s">
        <v>1</v>
      </c>
      <c r="AO14" s="175">
        <v>0</v>
      </c>
      <c r="AP14" s="46">
        <f t="shared" si="9"/>
        <v>0</v>
      </c>
      <c r="AQ14" s="46">
        <v>0</v>
      </c>
      <c r="AR14" s="41">
        <f t="shared" si="12"/>
        <v>0</v>
      </c>
      <c r="AS14" s="329" t="s">
        <v>128</v>
      </c>
      <c r="AT14" s="6"/>
      <c r="AU14" s="6"/>
      <c r="AV14" s="6" cm="2">
        <f t="array" ref="AV14">SUMPRODUCT(COUNTIF(O14:P14,{"X";"Y";"Z";"S"}))+SUMPRODUCT(COUNTIF(V14:W14,{"X";"Y";"Z";"S"}))+SUMPRODUCT(COUNTIF(AC14:AD14,{"X";"Y";"Z";"S"}))+SUMPRODUCT(COUNTIF(AJ14:AK14,{"X";"Y";"Z";"S"}))-5</f>
        <v>-2</v>
      </c>
      <c r="AW14" s="6">
        <v>4</v>
      </c>
      <c r="AX14" s="6">
        <f t="shared" ref="AX14:AX17" si="13">AV14+AW14</f>
        <v>2</v>
      </c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</row>
    <row r="15" spans="1:225" s="50" customFormat="1" ht="25.5" customHeight="1">
      <c r="A15" s="38">
        <f t="shared" si="0"/>
        <v>10</v>
      </c>
      <c r="B15" s="39">
        <f t="shared" si="1"/>
        <v>1</v>
      </c>
      <c r="C15" s="40">
        <f t="shared" si="2"/>
        <v>0</v>
      </c>
      <c r="D15" s="39">
        <f t="shared" si="3"/>
        <v>6</v>
      </c>
      <c r="E15" s="41">
        <f t="shared" si="4"/>
        <v>3</v>
      </c>
      <c r="F15" s="41">
        <f t="shared" si="5"/>
        <v>4</v>
      </c>
      <c r="G15" s="41">
        <f t="shared" si="6"/>
        <v>4</v>
      </c>
      <c r="H15" s="41">
        <f t="shared" si="7"/>
        <v>2</v>
      </c>
      <c r="I15" s="42">
        <f t="shared" si="8"/>
        <v>30</v>
      </c>
      <c r="J15" s="212" t="s">
        <v>93</v>
      </c>
      <c r="K15" s="245" t="s">
        <v>0</v>
      </c>
      <c r="L15" s="393" t="s">
        <v>3</v>
      </c>
      <c r="M15" s="242" t="s">
        <v>3</v>
      </c>
      <c r="N15" s="393" t="s">
        <v>3</v>
      </c>
      <c r="O15" s="239" t="s">
        <v>52</v>
      </c>
      <c r="P15" s="238">
        <v>1</v>
      </c>
      <c r="Q15" s="259">
        <v>1</v>
      </c>
      <c r="R15" s="256" t="s">
        <v>5</v>
      </c>
      <c r="S15" s="234" t="s">
        <v>1</v>
      </c>
      <c r="T15" s="242" t="s">
        <v>3</v>
      </c>
      <c r="U15" s="234" t="s">
        <v>1</v>
      </c>
      <c r="V15" s="239" t="s">
        <v>52</v>
      </c>
      <c r="W15" s="234" t="s">
        <v>1</v>
      </c>
      <c r="X15" s="393" t="s">
        <v>3</v>
      </c>
      <c r="Y15" s="256" t="s">
        <v>5</v>
      </c>
      <c r="Z15" s="234" t="s">
        <v>52</v>
      </c>
      <c r="AA15" s="238" t="s">
        <v>53</v>
      </c>
      <c r="AB15" s="238" t="s">
        <v>36</v>
      </c>
      <c r="AC15" s="238" t="s">
        <v>36</v>
      </c>
      <c r="AD15" s="238" t="s">
        <v>36</v>
      </c>
      <c r="AE15" s="234" t="s">
        <v>0</v>
      </c>
      <c r="AF15" s="256" t="s">
        <v>5</v>
      </c>
      <c r="AG15" s="242" t="s">
        <v>3</v>
      </c>
      <c r="AH15" s="238" t="s">
        <v>38</v>
      </c>
      <c r="AI15" s="234" t="s">
        <v>52</v>
      </c>
      <c r="AJ15" s="239" t="s">
        <v>53</v>
      </c>
      <c r="AK15" s="239" t="s">
        <v>0</v>
      </c>
      <c r="AL15" s="238" t="s">
        <v>36</v>
      </c>
      <c r="AM15" s="238" t="s">
        <v>36</v>
      </c>
      <c r="AN15" s="241" t="s">
        <v>0</v>
      </c>
      <c r="AO15" s="175">
        <v>0</v>
      </c>
      <c r="AP15" s="46">
        <f t="shared" si="9"/>
        <v>0</v>
      </c>
      <c r="AQ15" s="46">
        <v>0</v>
      </c>
      <c r="AR15" s="41">
        <f t="shared" si="12"/>
        <v>0</v>
      </c>
      <c r="AS15" s="329" t="s">
        <v>126</v>
      </c>
      <c r="AT15" s="6"/>
      <c r="AU15" s="6"/>
      <c r="AV15" s="6" cm="2">
        <f t="array" ref="AV15">SUMPRODUCT(COUNTIF(O15:P15,{"X";"Y";"Z";"S"}))+SUMPRODUCT(COUNTIF(V15:W15,{"X";"Y";"Z";"S"}))+SUMPRODUCT(COUNTIF(AC15:AD15,{"X";"Y";"Z";"S"}))+SUMPRODUCT(COUNTIF(AJ15:AK15,{"X";"Y";"Z";"S"}))-5</f>
        <v>0</v>
      </c>
      <c r="AW15" s="6">
        <v>4</v>
      </c>
      <c r="AX15" s="6">
        <f t="shared" si="13"/>
        <v>4</v>
      </c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</row>
    <row r="16" spans="1:225" ht="25.5" customHeight="1">
      <c r="A16" s="54">
        <f t="shared" si="0"/>
        <v>7</v>
      </c>
      <c r="B16" s="55">
        <f t="shared" si="1"/>
        <v>8</v>
      </c>
      <c r="C16" s="56">
        <f t="shared" si="2"/>
        <v>3</v>
      </c>
      <c r="D16" s="55">
        <f t="shared" si="3"/>
        <v>0</v>
      </c>
      <c r="E16" s="17">
        <f t="shared" si="4"/>
        <v>2</v>
      </c>
      <c r="F16" s="41">
        <f t="shared" si="5"/>
        <v>4</v>
      </c>
      <c r="G16" s="41">
        <f t="shared" si="6"/>
        <v>4</v>
      </c>
      <c r="H16" s="41">
        <f t="shared" si="7"/>
        <v>2</v>
      </c>
      <c r="I16" s="57">
        <f>SUM(A16:H16)</f>
        <v>30</v>
      </c>
      <c r="J16" s="209" t="s">
        <v>9</v>
      </c>
      <c r="K16" s="245" t="s">
        <v>0</v>
      </c>
      <c r="L16" s="234" t="s">
        <v>1</v>
      </c>
      <c r="M16" s="259">
        <v>2</v>
      </c>
      <c r="N16" s="259">
        <v>2</v>
      </c>
      <c r="O16" s="239" t="s">
        <v>52</v>
      </c>
      <c r="P16" s="239" t="s">
        <v>53</v>
      </c>
      <c r="Q16" s="234" t="s">
        <v>1</v>
      </c>
      <c r="R16" s="259">
        <v>2</v>
      </c>
      <c r="S16" s="259">
        <v>2</v>
      </c>
      <c r="T16" s="259">
        <v>2</v>
      </c>
      <c r="U16" s="238" t="s">
        <v>52</v>
      </c>
      <c r="V16" s="259" t="s">
        <v>36</v>
      </c>
      <c r="W16" s="259" t="s">
        <v>36</v>
      </c>
      <c r="X16" s="259">
        <v>2</v>
      </c>
      <c r="Y16" s="259">
        <v>2</v>
      </c>
      <c r="Z16" s="238" t="s">
        <v>52</v>
      </c>
      <c r="AA16" s="238" t="s">
        <v>38</v>
      </c>
      <c r="AB16" s="238" t="s">
        <v>0</v>
      </c>
      <c r="AC16" s="239" t="s">
        <v>53</v>
      </c>
      <c r="AD16" s="239" t="s">
        <v>0</v>
      </c>
      <c r="AE16" s="238">
        <v>3</v>
      </c>
      <c r="AF16" s="238">
        <v>3</v>
      </c>
      <c r="AG16" s="238">
        <v>3</v>
      </c>
      <c r="AH16" s="238" t="s">
        <v>52</v>
      </c>
      <c r="AI16" s="238" t="s">
        <v>36</v>
      </c>
      <c r="AJ16" s="259" t="s">
        <v>36</v>
      </c>
      <c r="AK16" s="259" t="s">
        <v>36</v>
      </c>
      <c r="AL16" s="238" t="s">
        <v>36</v>
      </c>
      <c r="AM16" s="238" t="s">
        <v>36</v>
      </c>
      <c r="AN16" s="241" t="s">
        <v>0</v>
      </c>
      <c r="AO16" s="175">
        <v>0</v>
      </c>
      <c r="AP16" s="46">
        <f t="shared" si="9"/>
        <v>0</v>
      </c>
      <c r="AQ16" s="46">
        <v>0</v>
      </c>
      <c r="AR16" s="41">
        <f>SUM(AO16:AQ16)</f>
        <v>0</v>
      </c>
      <c r="AS16" s="329" t="s">
        <v>128</v>
      </c>
      <c r="AV16" s="6" cm="2">
        <f t="array" ref="AV16">SUMPRODUCT(COUNTIF(O16:P16,{"X";"Y";"Z";"S"}))+SUMPRODUCT(COUNTIF(V16:W16,{"X";"Y";"Z";"S"}))+SUMPRODUCT(COUNTIF(AC16:AD16,{"X";"Y";"Z";"S"}))+SUMPRODUCT(COUNTIF(AJ16:AK16,{"X";"Y";"Z";"S"}))-5</f>
        <v>-1</v>
      </c>
      <c r="AW16" s="6">
        <v>6</v>
      </c>
      <c r="AX16" s="6">
        <f t="shared" si="13"/>
        <v>5</v>
      </c>
    </row>
    <row r="17" spans="1:225" ht="25.5" customHeight="1" thickBot="1">
      <c r="A17" s="54">
        <f t="shared" si="0"/>
        <v>14</v>
      </c>
      <c r="B17" s="55">
        <f t="shared" si="1"/>
        <v>2</v>
      </c>
      <c r="C17" s="56">
        <f t="shared" si="2"/>
        <v>0</v>
      </c>
      <c r="D17" s="55">
        <f t="shared" si="3"/>
        <v>3</v>
      </c>
      <c r="E17" s="17">
        <f t="shared" si="4"/>
        <v>1</v>
      </c>
      <c r="F17" s="17">
        <f t="shared" si="5"/>
        <v>4</v>
      </c>
      <c r="G17" s="17">
        <f t="shared" si="6"/>
        <v>4</v>
      </c>
      <c r="H17" s="17">
        <f t="shared" si="7"/>
        <v>2</v>
      </c>
      <c r="I17" s="57">
        <f t="shared" ref="I17:I40" si="14">SUM(A17:H17)</f>
        <v>30</v>
      </c>
      <c r="J17" s="213" t="s">
        <v>137</v>
      </c>
      <c r="K17" s="435" t="s">
        <v>36</v>
      </c>
      <c r="L17" s="436" t="s">
        <v>3</v>
      </c>
      <c r="M17" s="437" t="s">
        <v>52</v>
      </c>
      <c r="N17" s="437" t="s">
        <v>36</v>
      </c>
      <c r="O17" s="437" t="s">
        <v>36</v>
      </c>
      <c r="P17" s="437" t="s">
        <v>36</v>
      </c>
      <c r="Q17" s="437" t="s">
        <v>36</v>
      </c>
      <c r="R17" s="437" t="s">
        <v>0</v>
      </c>
      <c r="S17" s="438" t="s">
        <v>3</v>
      </c>
      <c r="T17" s="439">
        <v>1</v>
      </c>
      <c r="U17" s="437" t="s">
        <v>36</v>
      </c>
      <c r="V17" s="440" t="s">
        <v>52</v>
      </c>
      <c r="W17" s="440" t="s">
        <v>0</v>
      </c>
      <c r="X17" s="437" t="s">
        <v>0</v>
      </c>
      <c r="Y17" s="437" t="s">
        <v>0</v>
      </c>
      <c r="Z17" s="437" t="s">
        <v>36</v>
      </c>
      <c r="AA17" s="437" t="s">
        <v>36</v>
      </c>
      <c r="AB17" s="441">
        <v>1</v>
      </c>
      <c r="AC17" s="441">
        <v>2</v>
      </c>
      <c r="AD17" s="441">
        <v>2</v>
      </c>
      <c r="AE17" s="437" t="s">
        <v>52</v>
      </c>
      <c r="AF17" s="441" t="s">
        <v>36</v>
      </c>
      <c r="AG17" s="441" t="s">
        <v>36</v>
      </c>
      <c r="AH17" s="439">
        <v>1</v>
      </c>
      <c r="AI17" s="442" t="s">
        <v>53</v>
      </c>
      <c r="AJ17" s="443" t="s">
        <v>53</v>
      </c>
      <c r="AK17" s="444" t="s">
        <v>1</v>
      </c>
      <c r="AL17" s="443" t="s">
        <v>52</v>
      </c>
      <c r="AM17" s="439">
        <v>1</v>
      </c>
      <c r="AN17" s="445" t="s">
        <v>3</v>
      </c>
      <c r="AO17" s="354">
        <v>0</v>
      </c>
      <c r="AP17" s="386">
        <f t="shared" si="9"/>
        <v>0</v>
      </c>
      <c r="AQ17" s="386">
        <v>0</v>
      </c>
      <c r="AR17" s="17">
        <f t="shared" ref="AR17:AR46" si="15">SUM(AO17:AQ17)</f>
        <v>0</v>
      </c>
      <c r="AS17" s="387" t="s">
        <v>126</v>
      </c>
      <c r="AV17" s="6" cm="2">
        <f t="array" ref="AV17">SUMPRODUCT(COUNTIF(O17:P17,{"X";"Y";"Z";"S"}))+SUMPRODUCT(COUNTIF(V17:W17,{"X";"Y";"Z";"S"}))+SUMPRODUCT(COUNTIF(AC17:AD17,{"X";"Y";"Z";"S"}))+SUMPRODUCT(COUNTIF(AJ17:AK17,{"X";"Y";"Z";"S"}))-5</f>
        <v>-1</v>
      </c>
      <c r="AW17" s="6">
        <v>3</v>
      </c>
      <c r="AX17" s="6">
        <f t="shared" si="13"/>
        <v>2</v>
      </c>
    </row>
    <row r="18" spans="1:225" s="50" customFormat="1" ht="25.5" customHeight="1">
      <c r="A18" s="23">
        <f t="shared" si="0"/>
        <v>0</v>
      </c>
      <c r="B18" s="24">
        <f t="shared" si="1"/>
        <v>13</v>
      </c>
      <c r="C18" s="25">
        <f t="shared" si="2"/>
        <v>5</v>
      </c>
      <c r="D18" s="24">
        <f t="shared" si="3"/>
        <v>0</v>
      </c>
      <c r="E18" s="26">
        <f t="shared" si="4"/>
        <v>2</v>
      </c>
      <c r="F18" s="26">
        <f t="shared" si="5"/>
        <v>4</v>
      </c>
      <c r="G18" s="26">
        <f t="shared" si="6"/>
        <v>4</v>
      </c>
      <c r="H18" s="26">
        <f t="shared" si="7"/>
        <v>2</v>
      </c>
      <c r="I18" s="27">
        <f t="shared" si="14"/>
        <v>30</v>
      </c>
      <c r="J18" s="189" t="s">
        <v>10</v>
      </c>
      <c r="K18" s="395">
        <v>3</v>
      </c>
      <c r="L18" s="235">
        <v>3</v>
      </c>
      <c r="M18" s="235" t="s">
        <v>52</v>
      </c>
      <c r="N18" s="235">
        <v>2</v>
      </c>
      <c r="O18" s="235">
        <v>2</v>
      </c>
      <c r="P18" s="235">
        <v>2</v>
      </c>
      <c r="Q18" s="235">
        <v>2</v>
      </c>
      <c r="R18" s="235" t="s">
        <v>0</v>
      </c>
      <c r="S18" s="235">
        <v>3</v>
      </c>
      <c r="T18" s="235">
        <v>3</v>
      </c>
      <c r="U18" s="235">
        <v>3</v>
      </c>
      <c r="V18" s="235" t="s">
        <v>52</v>
      </c>
      <c r="W18" s="235">
        <v>2</v>
      </c>
      <c r="X18" s="235">
        <v>2</v>
      </c>
      <c r="Y18" s="254" t="s">
        <v>0</v>
      </c>
      <c r="Z18" s="254" t="s">
        <v>1</v>
      </c>
      <c r="AA18" s="254" t="s">
        <v>1</v>
      </c>
      <c r="AB18" s="254" t="s">
        <v>52</v>
      </c>
      <c r="AC18" s="235">
        <v>2</v>
      </c>
      <c r="AD18" s="235">
        <v>2</v>
      </c>
      <c r="AE18" s="235">
        <v>2</v>
      </c>
      <c r="AF18" s="235">
        <v>2</v>
      </c>
      <c r="AG18" s="235" t="s">
        <v>0</v>
      </c>
      <c r="AH18" s="235">
        <v>2</v>
      </c>
      <c r="AI18" s="235">
        <v>2</v>
      </c>
      <c r="AJ18" s="235">
        <v>2</v>
      </c>
      <c r="AK18" s="233" t="s">
        <v>52</v>
      </c>
      <c r="AL18" s="254" t="s">
        <v>53</v>
      </c>
      <c r="AM18" s="254" t="s">
        <v>53</v>
      </c>
      <c r="AN18" s="391" t="s">
        <v>0</v>
      </c>
      <c r="AO18" s="28">
        <v>0</v>
      </c>
      <c r="AP18" s="36">
        <f t="shared" si="9"/>
        <v>0</v>
      </c>
      <c r="AQ18" s="36">
        <v>0</v>
      </c>
      <c r="AR18" s="26">
        <f t="shared" si="15"/>
        <v>0</v>
      </c>
      <c r="AS18" s="328" t="s">
        <v>126</v>
      </c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</row>
    <row r="19" spans="1:225" s="50" customFormat="1" ht="25.5" customHeight="1">
      <c r="A19" s="38">
        <f t="shared" si="0"/>
        <v>4</v>
      </c>
      <c r="B19" s="39">
        <f t="shared" si="1"/>
        <v>9</v>
      </c>
      <c r="C19" s="40">
        <f t="shared" si="2"/>
        <v>2</v>
      </c>
      <c r="D19" s="39">
        <f t="shared" si="3"/>
        <v>3</v>
      </c>
      <c r="E19" s="41">
        <f t="shared" si="4"/>
        <v>2</v>
      </c>
      <c r="F19" s="41">
        <f t="shared" si="5"/>
        <v>4</v>
      </c>
      <c r="G19" s="41">
        <f t="shared" si="6"/>
        <v>4</v>
      </c>
      <c r="H19" s="41">
        <f t="shared" si="7"/>
        <v>2</v>
      </c>
      <c r="I19" s="42">
        <f t="shared" si="14"/>
        <v>30</v>
      </c>
      <c r="J19" s="190" t="s">
        <v>11</v>
      </c>
      <c r="K19" s="245" t="s">
        <v>52</v>
      </c>
      <c r="L19" s="393" t="s">
        <v>3</v>
      </c>
      <c r="M19" s="238" t="s">
        <v>36</v>
      </c>
      <c r="N19" s="238">
        <v>1</v>
      </c>
      <c r="O19" s="238" t="s">
        <v>38</v>
      </c>
      <c r="P19" s="238" t="s">
        <v>38</v>
      </c>
      <c r="Q19" s="238" t="s">
        <v>38</v>
      </c>
      <c r="R19" s="238" t="s">
        <v>0</v>
      </c>
      <c r="S19" s="238" t="s">
        <v>36</v>
      </c>
      <c r="T19" s="242" t="s">
        <v>3</v>
      </c>
      <c r="U19" s="234" t="s">
        <v>1</v>
      </c>
      <c r="V19" s="239" t="s">
        <v>52</v>
      </c>
      <c r="W19" s="239" t="s">
        <v>0</v>
      </c>
      <c r="X19" s="234" t="s">
        <v>1</v>
      </c>
      <c r="Y19" s="234" t="s">
        <v>0</v>
      </c>
      <c r="Z19" s="238" t="s">
        <v>38</v>
      </c>
      <c r="AA19" s="238" t="s">
        <v>38</v>
      </c>
      <c r="AB19" s="238" t="s">
        <v>38</v>
      </c>
      <c r="AC19" s="238" t="s">
        <v>38</v>
      </c>
      <c r="AD19" s="238" t="s">
        <v>38</v>
      </c>
      <c r="AE19" s="238" t="s">
        <v>52</v>
      </c>
      <c r="AF19" s="238" t="s">
        <v>36</v>
      </c>
      <c r="AG19" s="242" t="s">
        <v>3</v>
      </c>
      <c r="AH19" s="238" t="s">
        <v>38</v>
      </c>
      <c r="AI19" s="234" t="s">
        <v>52</v>
      </c>
      <c r="AJ19" s="239" t="s">
        <v>53</v>
      </c>
      <c r="AK19" s="239" t="s">
        <v>53</v>
      </c>
      <c r="AL19" s="234" t="s">
        <v>0</v>
      </c>
      <c r="AM19" s="238">
        <v>3</v>
      </c>
      <c r="AN19" s="241">
        <v>3</v>
      </c>
      <c r="AO19" s="175">
        <v>0</v>
      </c>
      <c r="AP19" s="46">
        <f t="shared" si="9"/>
        <v>0</v>
      </c>
      <c r="AQ19" s="46">
        <v>0</v>
      </c>
      <c r="AR19" s="41">
        <f t="shared" si="15"/>
        <v>0</v>
      </c>
      <c r="AS19" s="329" t="s">
        <v>126</v>
      </c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</row>
    <row r="20" spans="1:225" ht="25.5" customHeight="1">
      <c r="A20" s="38">
        <f t="shared" si="0"/>
        <v>6</v>
      </c>
      <c r="B20" s="39">
        <f t="shared" si="1"/>
        <v>7</v>
      </c>
      <c r="C20" s="40">
        <f t="shared" si="2"/>
        <v>3</v>
      </c>
      <c r="D20" s="39">
        <f t="shared" si="3"/>
        <v>1</v>
      </c>
      <c r="E20" s="41">
        <f t="shared" si="4"/>
        <v>3</v>
      </c>
      <c r="F20" s="41">
        <f t="shared" si="5"/>
        <v>4</v>
      </c>
      <c r="G20" s="41">
        <f t="shared" si="6"/>
        <v>4</v>
      </c>
      <c r="H20" s="41">
        <f t="shared" si="7"/>
        <v>2</v>
      </c>
      <c r="I20" s="42">
        <f t="shared" si="14"/>
        <v>30</v>
      </c>
      <c r="J20" s="192" t="s">
        <v>12</v>
      </c>
      <c r="K20" s="245" t="s">
        <v>0</v>
      </c>
      <c r="L20" s="238">
        <v>1</v>
      </c>
      <c r="M20" s="242" t="s">
        <v>3</v>
      </c>
      <c r="N20" s="239" t="s">
        <v>53</v>
      </c>
      <c r="O20" s="234" t="s">
        <v>1</v>
      </c>
      <c r="P20" s="234" t="s">
        <v>1</v>
      </c>
      <c r="Q20" s="234" t="s">
        <v>1</v>
      </c>
      <c r="R20" s="238" t="s">
        <v>0</v>
      </c>
      <c r="S20" s="239" t="s">
        <v>53</v>
      </c>
      <c r="T20" s="238">
        <v>2</v>
      </c>
      <c r="U20" s="238" t="s">
        <v>0</v>
      </c>
      <c r="V20" s="238" t="s">
        <v>36</v>
      </c>
      <c r="W20" s="238">
        <v>1</v>
      </c>
      <c r="X20" s="238">
        <v>2</v>
      </c>
      <c r="Y20" s="238" t="s">
        <v>52</v>
      </c>
      <c r="Z20" s="238" t="s">
        <v>38</v>
      </c>
      <c r="AA20" s="238">
        <v>2</v>
      </c>
      <c r="AB20" s="238" t="s">
        <v>52</v>
      </c>
      <c r="AC20" s="238">
        <v>1</v>
      </c>
      <c r="AD20" s="239" t="s">
        <v>0</v>
      </c>
      <c r="AE20" s="238" t="s">
        <v>40</v>
      </c>
      <c r="AF20" s="238" t="s">
        <v>40</v>
      </c>
      <c r="AG20" s="238" t="s">
        <v>40</v>
      </c>
      <c r="AH20" s="238" t="s">
        <v>52</v>
      </c>
      <c r="AI20" s="238" t="s">
        <v>36</v>
      </c>
      <c r="AJ20" s="238" t="s">
        <v>36</v>
      </c>
      <c r="AK20" s="238">
        <v>2</v>
      </c>
      <c r="AL20" s="239" t="s">
        <v>52</v>
      </c>
      <c r="AM20" s="238" t="s">
        <v>38</v>
      </c>
      <c r="AN20" s="241" t="s">
        <v>38</v>
      </c>
      <c r="AO20" s="175">
        <v>0</v>
      </c>
      <c r="AP20" s="46">
        <f t="shared" si="9"/>
        <v>0</v>
      </c>
      <c r="AQ20" s="46">
        <v>0</v>
      </c>
      <c r="AR20" s="41">
        <f t="shared" si="15"/>
        <v>0</v>
      </c>
      <c r="AS20" s="329" t="s">
        <v>128</v>
      </c>
    </row>
    <row r="21" spans="1:225" ht="25.5" customHeight="1">
      <c r="A21" s="38">
        <f t="shared" si="0"/>
        <v>0</v>
      </c>
      <c r="B21" s="39">
        <f t="shared" si="1"/>
        <v>0</v>
      </c>
      <c r="C21" s="40">
        <f t="shared" si="2"/>
        <v>18</v>
      </c>
      <c r="D21" s="39">
        <f t="shared" si="3"/>
        <v>0</v>
      </c>
      <c r="E21" s="41">
        <f t="shared" si="4"/>
        <v>2</v>
      </c>
      <c r="F21" s="41">
        <f t="shared" si="5"/>
        <v>4</v>
      </c>
      <c r="G21" s="41">
        <f t="shared" si="6"/>
        <v>4</v>
      </c>
      <c r="H21" s="41">
        <f t="shared" si="7"/>
        <v>2</v>
      </c>
      <c r="I21" s="42">
        <f t="shared" si="14"/>
        <v>30</v>
      </c>
      <c r="J21" s="190" t="s">
        <v>13</v>
      </c>
      <c r="K21" s="237" t="s">
        <v>52</v>
      </c>
      <c r="L21" s="238" t="s">
        <v>40</v>
      </c>
      <c r="M21" s="238" t="s">
        <v>40</v>
      </c>
      <c r="N21" s="238" t="s">
        <v>40</v>
      </c>
      <c r="O21" s="238" t="s">
        <v>40</v>
      </c>
      <c r="P21" s="238" t="s">
        <v>40</v>
      </c>
      <c r="Q21" s="238" t="s">
        <v>40</v>
      </c>
      <c r="R21" s="238" t="s">
        <v>0</v>
      </c>
      <c r="S21" s="238" t="s">
        <v>40</v>
      </c>
      <c r="T21" s="238" t="s">
        <v>40</v>
      </c>
      <c r="U21" s="238" t="s">
        <v>40</v>
      </c>
      <c r="V21" s="239" t="s">
        <v>53</v>
      </c>
      <c r="W21" s="239" t="s">
        <v>0</v>
      </c>
      <c r="X21" s="238" t="s">
        <v>40</v>
      </c>
      <c r="Y21" s="238" t="s">
        <v>40</v>
      </c>
      <c r="Z21" s="238" t="s">
        <v>0</v>
      </c>
      <c r="AA21" s="238" t="s">
        <v>52</v>
      </c>
      <c r="AB21" s="238" t="s">
        <v>40</v>
      </c>
      <c r="AC21" s="238" t="s">
        <v>40</v>
      </c>
      <c r="AD21" s="238" t="s">
        <v>40</v>
      </c>
      <c r="AE21" s="238" t="s">
        <v>52</v>
      </c>
      <c r="AF21" s="238" t="s">
        <v>0</v>
      </c>
      <c r="AG21" s="238" t="s">
        <v>40</v>
      </c>
      <c r="AH21" s="238" t="s">
        <v>40</v>
      </c>
      <c r="AI21" s="239" t="s">
        <v>53</v>
      </c>
      <c r="AJ21" s="234" t="s">
        <v>1</v>
      </c>
      <c r="AK21" s="234" t="s">
        <v>1</v>
      </c>
      <c r="AL21" s="234" t="s">
        <v>52</v>
      </c>
      <c r="AM21" s="238" t="s">
        <v>40</v>
      </c>
      <c r="AN21" s="241" t="s">
        <v>40</v>
      </c>
      <c r="AO21" s="175">
        <v>0</v>
      </c>
      <c r="AP21" s="46">
        <f t="shared" si="9"/>
        <v>0</v>
      </c>
      <c r="AQ21" s="46">
        <v>0</v>
      </c>
      <c r="AR21" s="41">
        <f t="shared" si="15"/>
        <v>0</v>
      </c>
      <c r="AS21" s="329" t="s">
        <v>126</v>
      </c>
    </row>
    <row r="22" spans="1:225" s="50" customFormat="1" ht="25.5" customHeight="1">
      <c r="A22" s="38">
        <f t="shared" si="0"/>
        <v>3</v>
      </c>
      <c r="B22" s="39">
        <f t="shared" si="1"/>
        <v>16</v>
      </c>
      <c r="C22" s="40">
        <f t="shared" si="2"/>
        <v>0</v>
      </c>
      <c r="D22" s="39">
        <f t="shared" si="3"/>
        <v>0</v>
      </c>
      <c r="E22" s="41">
        <f t="shared" si="4"/>
        <v>1</v>
      </c>
      <c r="F22" s="41">
        <f t="shared" si="5"/>
        <v>4</v>
      </c>
      <c r="G22" s="41">
        <f t="shared" si="6"/>
        <v>4</v>
      </c>
      <c r="H22" s="41">
        <f t="shared" si="7"/>
        <v>2</v>
      </c>
      <c r="I22" s="42">
        <f t="shared" si="14"/>
        <v>30</v>
      </c>
      <c r="J22" s="193" t="s">
        <v>138</v>
      </c>
      <c r="K22" s="245" t="s">
        <v>38</v>
      </c>
      <c r="L22" s="238" t="s">
        <v>0</v>
      </c>
      <c r="M22" s="238" t="s">
        <v>36</v>
      </c>
      <c r="N22" s="238" t="s">
        <v>38</v>
      </c>
      <c r="O22" s="239" t="s">
        <v>52</v>
      </c>
      <c r="P22" s="239" t="s">
        <v>0</v>
      </c>
      <c r="Q22" s="238" t="s">
        <v>38</v>
      </c>
      <c r="R22" s="238" t="s">
        <v>38</v>
      </c>
      <c r="S22" s="238" t="s">
        <v>38</v>
      </c>
      <c r="T22" s="238" t="s">
        <v>38</v>
      </c>
      <c r="U22" s="238" t="s">
        <v>0</v>
      </c>
      <c r="V22" s="238" t="s">
        <v>36</v>
      </c>
      <c r="W22" s="238" t="s">
        <v>36</v>
      </c>
      <c r="X22" s="238" t="s">
        <v>38</v>
      </c>
      <c r="Y22" s="238" t="s">
        <v>38</v>
      </c>
      <c r="Z22" s="238" t="s">
        <v>52</v>
      </c>
      <c r="AA22" s="238" t="s">
        <v>0</v>
      </c>
      <c r="AB22" s="238">
        <v>2</v>
      </c>
      <c r="AC22" s="238" t="s">
        <v>38</v>
      </c>
      <c r="AD22" s="238" t="s">
        <v>38</v>
      </c>
      <c r="AE22" s="238" t="s">
        <v>38</v>
      </c>
      <c r="AF22" s="238" t="s">
        <v>38</v>
      </c>
      <c r="AG22" s="238" t="s">
        <v>38</v>
      </c>
      <c r="AH22" s="238" t="s">
        <v>52</v>
      </c>
      <c r="AI22" s="234" t="s">
        <v>1</v>
      </c>
      <c r="AJ22" s="239" t="s">
        <v>53</v>
      </c>
      <c r="AK22" s="239" t="s">
        <v>53</v>
      </c>
      <c r="AL22" s="234" t="s">
        <v>52</v>
      </c>
      <c r="AM22" s="238" t="s">
        <v>38</v>
      </c>
      <c r="AN22" s="241" t="s">
        <v>38</v>
      </c>
      <c r="AO22" s="175">
        <v>0</v>
      </c>
      <c r="AP22" s="46">
        <f t="shared" si="9"/>
        <v>0</v>
      </c>
      <c r="AQ22" s="46">
        <v>0</v>
      </c>
      <c r="AR22" s="41">
        <f t="shared" si="15"/>
        <v>0</v>
      </c>
      <c r="AS22" s="329" t="s">
        <v>128</v>
      </c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</row>
    <row r="23" spans="1:225" s="50" customFormat="1" ht="25.5" customHeight="1">
      <c r="A23" s="38">
        <f t="shared" si="0"/>
        <v>13</v>
      </c>
      <c r="B23" s="39">
        <f t="shared" si="1"/>
        <v>0</v>
      </c>
      <c r="C23" s="40">
        <f t="shared" si="2"/>
        <v>0</v>
      </c>
      <c r="D23" s="39">
        <f t="shared" si="3"/>
        <v>8</v>
      </c>
      <c r="E23" s="41">
        <f t="shared" si="4"/>
        <v>0</v>
      </c>
      <c r="F23" s="41">
        <f t="shared" si="5"/>
        <v>3</v>
      </c>
      <c r="G23" s="41">
        <f t="shared" si="6"/>
        <v>4</v>
      </c>
      <c r="H23" s="41">
        <f t="shared" si="7"/>
        <v>2</v>
      </c>
      <c r="I23" s="42">
        <f t="shared" si="14"/>
        <v>30</v>
      </c>
      <c r="J23" s="194" t="s">
        <v>165</v>
      </c>
      <c r="K23" s="245">
        <v>1</v>
      </c>
      <c r="L23" s="238">
        <v>1</v>
      </c>
      <c r="M23" s="238" t="s">
        <v>3</v>
      </c>
      <c r="N23" s="238" t="s">
        <v>3</v>
      </c>
      <c r="O23" s="239" t="s">
        <v>52</v>
      </c>
      <c r="P23" s="239" t="s">
        <v>0</v>
      </c>
      <c r="Q23" s="238">
        <v>1</v>
      </c>
      <c r="R23" s="238">
        <v>1</v>
      </c>
      <c r="S23" s="238">
        <v>1</v>
      </c>
      <c r="T23" s="238" t="s">
        <v>3</v>
      </c>
      <c r="U23" s="259">
        <v>1</v>
      </c>
      <c r="V23" s="239" t="s">
        <v>52</v>
      </c>
      <c r="W23" s="238">
        <v>1</v>
      </c>
      <c r="X23" s="238">
        <v>1</v>
      </c>
      <c r="Y23" s="238" t="s">
        <v>3</v>
      </c>
      <c r="Z23" s="238">
        <v>1</v>
      </c>
      <c r="AA23" s="238">
        <v>1</v>
      </c>
      <c r="AB23" s="238">
        <v>1</v>
      </c>
      <c r="AC23" s="239" t="s">
        <v>52</v>
      </c>
      <c r="AD23" s="239" t="s">
        <v>0</v>
      </c>
      <c r="AE23" s="238">
        <v>1</v>
      </c>
      <c r="AF23" s="238">
        <v>1</v>
      </c>
      <c r="AG23" s="242" t="s">
        <v>3</v>
      </c>
      <c r="AH23" s="238" t="s">
        <v>3</v>
      </c>
      <c r="AI23" s="239" t="s">
        <v>52</v>
      </c>
      <c r="AJ23" s="239" t="s">
        <v>53</v>
      </c>
      <c r="AK23" s="239" t="s">
        <v>53</v>
      </c>
      <c r="AL23" s="239" t="s">
        <v>0</v>
      </c>
      <c r="AM23" s="238" t="s">
        <v>3</v>
      </c>
      <c r="AN23" s="241" t="s">
        <v>3</v>
      </c>
      <c r="AO23" s="175">
        <v>0</v>
      </c>
      <c r="AP23" s="46">
        <f t="shared" si="9"/>
        <v>-1</v>
      </c>
      <c r="AQ23" s="46">
        <v>0</v>
      </c>
      <c r="AR23" s="41">
        <f t="shared" si="15"/>
        <v>-1</v>
      </c>
      <c r="AS23" s="329" t="s">
        <v>133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</row>
    <row r="24" spans="1:225" s="50" customFormat="1" ht="25.5" customHeight="1">
      <c r="A24" s="38">
        <f t="shared" si="0"/>
        <v>7</v>
      </c>
      <c r="B24" s="39">
        <f t="shared" si="1"/>
        <v>8</v>
      </c>
      <c r="C24" s="40">
        <f t="shared" si="2"/>
        <v>3</v>
      </c>
      <c r="D24" s="39">
        <f t="shared" si="3"/>
        <v>0</v>
      </c>
      <c r="E24" s="41">
        <f t="shared" si="4"/>
        <v>2</v>
      </c>
      <c r="F24" s="41">
        <f t="shared" si="5"/>
        <v>4</v>
      </c>
      <c r="G24" s="41">
        <f t="shared" si="6"/>
        <v>4</v>
      </c>
      <c r="H24" s="41">
        <f t="shared" si="7"/>
        <v>2</v>
      </c>
      <c r="I24" s="42">
        <f t="shared" si="14"/>
        <v>30</v>
      </c>
      <c r="J24" s="194" t="s">
        <v>16</v>
      </c>
      <c r="K24" s="245" t="s">
        <v>0</v>
      </c>
      <c r="L24" s="238" t="s">
        <v>38</v>
      </c>
      <c r="M24" s="238" t="s">
        <v>38</v>
      </c>
      <c r="N24" s="239" t="s">
        <v>52</v>
      </c>
      <c r="O24" s="234" t="s">
        <v>1</v>
      </c>
      <c r="P24" s="234" t="s">
        <v>1</v>
      </c>
      <c r="Q24" s="239" t="s">
        <v>53</v>
      </c>
      <c r="R24" s="238" t="s">
        <v>52</v>
      </c>
      <c r="S24" s="238" t="s">
        <v>36</v>
      </c>
      <c r="T24" s="238" t="s">
        <v>36</v>
      </c>
      <c r="U24" s="238" t="s">
        <v>36</v>
      </c>
      <c r="V24" s="238">
        <v>1</v>
      </c>
      <c r="W24" s="239" t="s">
        <v>0</v>
      </c>
      <c r="X24" s="234" t="s">
        <v>53</v>
      </c>
      <c r="Y24" s="238" t="s">
        <v>0</v>
      </c>
      <c r="Z24" s="238" t="s">
        <v>40</v>
      </c>
      <c r="AA24" s="238" t="s">
        <v>40</v>
      </c>
      <c r="AB24" s="238" t="s">
        <v>40</v>
      </c>
      <c r="AC24" s="239" t="s">
        <v>52</v>
      </c>
      <c r="AD24" s="238">
        <v>1</v>
      </c>
      <c r="AE24" s="238" t="s">
        <v>36</v>
      </c>
      <c r="AF24" s="238" t="s">
        <v>0</v>
      </c>
      <c r="AG24" s="238" t="s">
        <v>38</v>
      </c>
      <c r="AH24" s="238" t="s">
        <v>38</v>
      </c>
      <c r="AI24" s="238">
        <v>2</v>
      </c>
      <c r="AJ24" s="238">
        <v>2</v>
      </c>
      <c r="AK24" s="238">
        <v>2</v>
      </c>
      <c r="AL24" s="238">
        <v>2</v>
      </c>
      <c r="AM24" s="238" t="s">
        <v>52</v>
      </c>
      <c r="AN24" s="241" t="s">
        <v>36</v>
      </c>
      <c r="AO24" s="175">
        <v>0</v>
      </c>
      <c r="AP24" s="46">
        <f t="shared" si="9"/>
        <v>0</v>
      </c>
      <c r="AQ24" s="46">
        <v>0</v>
      </c>
      <c r="AR24" s="41">
        <f t="shared" si="15"/>
        <v>0</v>
      </c>
      <c r="AS24" s="329" t="s">
        <v>128</v>
      </c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</row>
    <row r="25" spans="1:225" s="50" customFormat="1" ht="27" customHeight="1">
      <c r="A25" s="38">
        <f t="shared" si="0"/>
        <v>3</v>
      </c>
      <c r="B25" s="39">
        <f t="shared" si="1"/>
        <v>0</v>
      </c>
      <c r="C25" s="40">
        <f t="shared" si="2"/>
        <v>15</v>
      </c>
      <c r="D25" s="39">
        <f t="shared" si="3"/>
        <v>1</v>
      </c>
      <c r="E25" s="41">
        <f t="shared" si="4"/>
        <v>1</v>
      </c>
      <c r="F25" s="41">
        <f t="shared" si="5"/>
        <v>4</v>
      </c>
      <c r="G25" s="41">
        <f t="shared" si="6"/>
        <v>4</v>
      </c>
      <c r="H25" s="41">
        <f t="shared" si="7"/>
        <v>2</v>
      </c>
      <c r="I25" s="42">
        <f t="shared" si="14"/>
        <v>30</v>
      </c>
      <c r="J25" s="194" t="s">
        <v>139</v>
      </c>
      <c r="K25" s="245">
        <v>3</v>
      </c>
      <c r="L25" s="238">
        <v>3</v>
      </c>
      <c r="M25" s="238">
        <v>3</v>
      </c>
      <c r="N25" s="238">
        <v>3</v>
      </c>
      <c r="O25" s="239" t="s">
        <v>52</v>
      </c>
      <c r="P25" s="239" t="s">
        <v>53</v>
      </c>
      <c r="Q25" s="234" t="s">
        <v>53</v>
      </c>
      <c r="R25" s="234" t="s">
        <v>1</v>
      </c>
      <c r="S25" s="238" t="s">
        <v>0</v>
      </c>
      <c r="T25" s="242" t="s">
        <v>3</v>
      </c>
      <c r="U25" s="238">
        <v>1</v>
      </c>
      <c r="V25" s="238">
        <v>1</v>
      </c>
      <c r="W25" s="238">
        <v>1</v>
      </c>
      <c r="X25" s="238" t="s">
        <v>52</v>
      </c>
      <c r="Y25" s="238">
        <v>3</v>
      </c>
      <c r="Z25" s="238">
        <v>3</v>
      </c>
      <c r="AA25" s="238">
        <v>3</v>
      </c>
      <c r="AB25" s="234" t="s">
        <v>0</v>
      </c>
      <c r="AC25" s="239" t="s">
        <v>52</v>
      </c>
      <c r="AD25" s="239" t="s">
        <v>0</v>
      </c>
      <c r="AE25" s="238">
        <v>3</v>
      </c>
      <c r="AF25" s="238">
        <v>3</v>
      </c>
      <c r="AG25" s="238" t="s">
        <v>0</v>
      </c>
      <c r="AH25" s="238">
        <v>3</v>
      </c>
      <c r="AI25" s="238">
        <v>3</v>
      </c>
      <c r="AJ25" s="238">
        <v>3</v>
      </c>
      <c r="AK25" s="238">
        <v>3</v>
      </c>
      <c r="AL25" s="238">
        <v>3</v>
      </c>
      <c r="AM25" s="238">
        <v>3</v>
      </c>
      <c r="AN25" s="241" t="s">
        <v>52</v>
      </c>
      <c r="AO25" s="175">
        <v>0</v>
      </c>
      <c r="AP25" s="46">
        <f t="shared" si="9"/>
        <v>0</v>
      </c>
      <c r="AQ25" s="46">
        <v>0</v>
      </c>
      <c r="AR25" s="41">
        <f t="shared" si="15"/>
        <v>0</v>
      </c>
      <c r="AS25" s="329" t="s">
        <v>128</v>
      </c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</row>
    <row r="26" spans="1:225" s="50" customFormat="1" ht="25.5" customHeight="1">
      <c r="A26" s="38">
        <f t="shared" si="0"/>
        <v>5</v>
      </c>
      <c r="B26" s="39">
        <f t="shared" si="1"/>
        <v>8</v>
      </c>
      <c r="C26" s="40">
        <f t="shared" si="2"/>
        <v>7</v>
      </c>
      <c r="D26" s="39">
        <f t="shared" si="3"/>
        <v>0</v>
      </c>
      <c r="E26" s="41">
        <f t="shared" si="4"/>
        <v>0</v>
      </c>
      <c r="F26" s="41">
        <f t="shared" si="5"/>
        <v>4</v>
      </c>
      <c r="G26" s="41">
        <f t="shared" si="6"/>
        <v>4</v>
      </c>
      <c r="H26" s="41">
        <f t="shared" si="7"/>
        <v>2</v>
      </c>
      <c r="I26" s="42">
        <f t="shared" si="14"/>
        <v>30</v>
      </c>
      <c r="J26" s="194" t="s">
        <v>140</v>
      </c>
      <c r="K26" s="245">
        <v>3</v>
      </c>
      <c r="L26" s="238">
        <v>3</v>
      </c>
      <c r="M26" s="238">
        <v>3</v>
      </c>
      <c r="N26" s="238">
        <v>3</v>
      </c>
      <c r="O26" s="239" t="s">
        <v>52</v>
      </c>
      <c r="P26" s="239" t="s">
        <v>0</v>
      </c>
      <c r="Q26" s="238">
        <v>3</v>
      </c>
      <c r="R26" s="238">
        <v>3</v>
      </c>
      <c r="S26" s="238" t="s">
        <v>53</v>
      </c>
      <c r="T26" s="238" t="s">
        <v>0</v>
      </c>
      <c r="U26" s="238">
        <v>2</v>
      </c>
      <c r="V26" s="243">
        <v>2</v>
      </c>
      <c r="W26" s="243">
        <v>2</v>
      </c>
      <c r="X26" s="238" t="s">
        <v>52</v>
      </c>
      <c r="Y26" s="238" t="s">
        <v>0</v>
      </c>
      <c r="Z26" s="238">
        <v>1</v>
      </c>
      <c r="AA26" s="238">
        <v>2</v>
      </c>
      <c r="AB26" s="238">
        <v>2</v>
      </c>
      <c r="AC26" s="238">
        <v>2</v>
      </c>
      <c r="AD26" s="238">
        <v>2</v>
      </c>
      <c r="AE26" s="238">
        <v>2</v>
      </c>
      <c r="AF26" s="238" t="s">
        <v>52</v>
      </c>
      <c r="AG26" s="238">
        <v>1</v>
      </c>
      <c r="AH26" s="238">
        <v>1</v>
      </c>
      <c r="AI26" s="238">
        <v>1</v>
      </c>
      <c r="AJ26" s="239" t="s">
        <v>53</v>
      </c>
      <c r="AK26" s="239" t="s">
        <v>0</v>
      </c>
      <c r="AL26" s="238">
        <v>1</v>
      </c>
      <c r="AM26" s="238" t="s">
        <v>52</v>
      </c>
      <c r="AN26" s="241">
        <v>3</v>
      </c>
      <c r="AO26" s="291">
        <v>0</v>
      </c>
      <c r="AP26" s="46">
        <f t="shared" si="9"/>
        <v>0</v>
      </c>
      <c r="AQ26" s="46">
        <v>0</v>
      </c>
      <c r="AR26" s="41">
        <f t="shared" si="15"/>
        <v>0</v>
      </c>
      <c r="AS26" s="329" t="s">
        <v>126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</row>
    <row r="27" spans="1:225" s="50" customFormat="1" ht="25.5" customHeight="1">
      <c r="A27" s="38">
        <f t="shared" si="0"/>
        <v>0</v>
      </c>
      <c r="B27" s="39">
        <f t="shared" si="1"/>
        <v>7</v>
      </c>
      <c r="C27" s="40">
        <f t="shared" si="2"/>
        <v>10</v>
      </c>
      <c r="D27" s="39">
        <f t="shared" si="3"/>
        <v>0</v>
      </c>
      <c r="E27" s="41">
        <f t="shared" si="4"/>
        <v>3</v>
      </c>
      <c r="F27" s="41">
        <f t="shared" si="5"/>
        <v>4</v>
      </c>
      <c r="G27" s="41">
        <f t="shared" si="6"/>
        <v>4</v>
      </c>
      <c r="H27" s="41">
        <f t="shared" si="7"/>
        <v>2</v>
      </c>
      <c r="I27" s="42">
        <f t="shared" si="14"/>
        <v>30</v>
      </c>
      <c r="J27" s="194" t="s">
        <v>19</v>
      </c>
      <c r="K27" s="245" t="s">
        <v>0</v>
      </c>
      <c r="L27" s="238">
        <v>2</v>
      </c>
      <c r="M27" s="238">
        <v>2</v>
      </c>
      <c r="N27" s="238" t="s">
        <v>52</v>
      </c>
      <c r="O27" s="238">
        <v>3</v>
      </c>
      <c r="P27" s="238">
        <v>3</v>
      </c>
      <c r="Q27" s="238">
        <v>3</v>
      </c>
      <c r="R27" s="238">
        <v>3</v>
      </c>
      <c r="S27" s="239" t="s">
        <v>52</v>
      </c>
      <c r="T27" s="234" t="s">
        <v>1</v>
      </c>
      <c r="U27" s="234" t="s">
        <v>1</v>
      </c>
      <c r="V27" s="234" t="s">
        <v>1</v>
      </c>
      <c r="W27" s="239" t="s">
        <v>0</v>
      </c>
      <c r="X27" s="238" t="s">
        <v>53</v>
      </c>
      <c r="Y27" s="238">
        <v>2</v>
      </c>
      <c r="Z27" s="238">
        <v>2</v>
      </c>
      <c r="AA27" s="238" t="s">
        <v>52</v>
      </c>
      <c r="AB27" s="238">
        <v>3</v>
      </c>
      <c r="AC27" s="238">
        <v>3</v>
      </c>
      <c r="AD27" s="238">
        <v>3</v>
      </c>
      <c r="AE27" s="234" t="s">
        <v>0</v>
      </c>
      <c r="AF27" s="238" t="s">
        <v>52</v>
      </c>
      <c r="AG27" s="238">
        <v>3</v>
      </c>
      <c r="AH27" s="238">
        <v>3</v>
      </c>
      <c r="AI27" s="238">
        <v>3</v>
      </c>
      <c r="AJ27" s="239" t="s">
        <v>53</v>
      </c>
      <c r="AK27" s="239" t="s">
        <v>0</v>
      </c>
      <c r="AL27" s="238">
        <v>2</v>
      </c>
      <c r="AM27" s="238">
        <v>2</v>
      </c>
      <c r="AN27" s="241">
        <v>2</v>
      </c>
      <c r="AO27" s="291">
        <v>0</v>
      </c>
      <c r="AP27" s="46">
        <f t="shared" si="9"/>
        <v>0</v>
      </c>
      <c r="AQ27" s="46">
        <v>0</v>
      </c>
      <c r="AR27" s="41">
        <f t="shared" si="15"/>
        <v>0</v>
      </c>
      <c r="AS27" s="329" t="s">
        <v>126</v>
      </c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</row>
    <row r="28" spans="1:225" s="50" customFormat="1" ht="25.5" customHeight="1">
      <c r="A28" s="38">
        <f t="shared" si="0"/>
        <v>7</v>
      </c>
      <c r="B28" s="39">
        <f t="shared" si="1"/>
        <v>13</v>
      </c>
      <c r="C28" s="40">
        <f t="shared" si="2"/>
        <v>0</v>
      </c>
      <c r="D28" s="39">
        <f t="shared" si="3"/>
        <v>0</v>
      </c>
      <c r="E28" s="41">
        <f t="shared" si="4"/>
        <v>0</v>
      </c>
      <c r="F28" s="41">
        <f t="shared" si="5"/>
        <v>4</v>
      </c>
      <c r="G28" s="41">
        <f t="shared" si="6"/>
        <v>4</v>
      </c>
      <c r="H28" s="41">
        <f t="shared" si="7"/>
        <v>2</v>
      </c>
      <c r="I28" s="42">
        <f>SUM(A28:H28)</f>
        <v>30</v>
      </c>
      <c r="J28" s="194" t="s">
        <v>20</v>
      </c>
      <c r="K28" s="245">
        <v>2</v>
      </c>
      <c r="L28" s="238">
        <v>2</v>
      </c>
      <c r="M28" s="238">
        <v>2</v>
      </c>
      <c r="N28" s="238">
        <v>2</v>
      </c>
      <c r="O28" s="246">
        <v>2</v>
      </c>
      <c r="P28" s="239" t="s">
        <v>0</v>
      </c>
      <c r="Q28" s="238">
        <v>2</v>
      </c>
      <c r="R28" s="238">
        <v>2</v>
      </c>
      <c r="S28" s="238">
        <v>2</v>
      </c>
      <c r="T28" s="238" t="s">
        <v>52</v>
      </c>
      <c r="U28" s="238">
        <v>1</v>
      </c>
      <c r="V28" s="238">
        <v>1</v>
      </c>
      <c r="W28" s="239" t="s">
        <v>0</v>
      </c>
      <c r="X28" s="238">
        <v>1</v>
      </c>
      <c r="Y28" s="238">
        <v>2</v>
      </c>
      <c r="Z28" s="238">
        <v>2</v>
      </c>
      <c r="AA28" s="238" t="s">
        <v>52</v>
      </c>
      <c r="AB28" s="234" t="s">
        <v>53</v>
      </c>
      <c r="AC28" s="239" t="s">
        <v>53</v>
      </c>
      <c r="AD28" s="239" t="s">
        <v>0</v>
      </c>
      <c r="AE28" s="238">
        <v>2</v>
      </c>
      <c r="AF28" s="238">
        <v>2</v>
      </c>
      <c r="AG28" s="238" t="s">
        <v>52</v>
      </c>
      <c r="AH28" s="238" t="s">
        <v>0</v>
      </c>
      <c r="AI28" s="238">
        <v>1</v>
      </c>
      <c r="AJ28" s="238">
        <v>1</v>
      </c>
      <c r="AK28" s="238">
        <v>1</v>
      </c>
      <c r="AL28" s="238">
        <v>1</v>
      </c>
      <c r="AM28" s="238">
        <v>2</v>
      </c>
      <c r="AN28" s="241" t="s">
        <v>52</v>
      </c>
      <c r="AO28" s="291">
        <v>0</v>
      </c>
      <c r="AP28" s="46">
        <f t="shared" si="9"/>
        <v>0</v>
      </c>
      <c r="AQ28" s="46">
        <v>0</v>
      </c>
      <c r="AR28" s="41">
        <f>SUM(AO28:AQ28)</f>
        <v>0</v>
      </c>
      <c r="AS28" s="329" t="s">
        <v>128</v>
      </c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</row>
    <row r="29" spans="1:225" s="50" customFormat="1" ht="25.5" customHeight="1">
      <c r="A29" s="38">
        <f t="shared" si="0"/>
        <v>8</v>
      </c>
      <c r="B29" s="39">
        <f t="shared" si="1"/>
        <v>4</v>
      </c>
      <c r="C29" s="40">
        <f t="shared" si="2"/>
        <v>8</v>
      </c>
      <c r="D29" s="39">
        <f t="shared" si="3"/>
        <v>0</v>
      </c>
      <c r="E29" s="41">
        <f t="shared" si="4"/>
        <v>0</v>
      </c>
      <c r="F29" s="41">
        <f t="shared" si="5"/>
        <v>4</v>
      </c>
      <c r="G29" s="41">
        <f t="shared" si="6"/>
        <v>4</v>
      </c>
      <c r="H29" s="41">
        <f t="shared" si="7"/>
        <v>2</v>
      </c>
      <c r="I29" s="42">
        <f t="shared" ref="I29:I32" si="16">SUM(A29:H29)</f>
        <v>30</v>
      </c>
      <c r="J29" s="194" t="s">
        <v>21</v>
      </c>
      <c r="K29" s="245">
        <v>2</v>
      </c>
      <c r="L29" s="238" t="s">
        <v>52</v>
      </c>
      <c r="M29" s="238" t="s">
        <v>53</v>
      </c>
      <c r="N29" s="238">
        <v>1</v>
      </c>
      <c r="O29" s="243">
        <v>1</v>
      </c>
      <c r="P29" s="243">
        <v>1</v>
      </c>
      <c r="Q29" s="234" t="s">
        <v>0</v>
      </c>
      <c r="R29" s="238" t="s">
        <v>0</v>
      </c>
      <c r="S29" s="238">
        <v>3</v>
      </c>
      <c r="T29" s="238">
        <v>3</v>
      </c>
      <c r="U29" s="238">
        <v>3</v>
      </c>
      <c r="V29" s="239" t="s">
        <v>52</v>
      </c>
      <c r="W29" s="239" t="s">
        <v>0</v>
      </c>
      <c r="X29" s="238">
        <v>3</v>
      </c>
      <c r="Y29" s="238">
        <v>3</v>
      </c>
      <c r="Z29" s="238">
        <v>3</v>
      </c>
      <c r="AA29" s="238">
        <v>3</v>
      </c>
      <c r="AB29" s="238">
        <v>3</v>
      </c>
      <c r="AC29" s="239" t="s">
        <v>52</v>
      </c>
      <c r="AD29" s="239" t="s">
        <v>53</v>
      </c>
      <c r="AE29" s="238">
        <v>1</v>
      </c>
      <c r="AF29" s="238">
        <v>2</v>
      </c>
      <c r="AG29" s="238">
        <v>2</v>
      </c>
      <c r="AH29" s="238" t="s">
        <v>52</v>
      </c>
      <c r="AI29" s="238">
        <v>1</v>
      </c>
      <c r="AJ29" s="238">
        <v>1</v>
      </c>
      <c r="AK29" s="238">
        <v>1</v>
      </c>
      <c r="AL29" s="238">
        <v>1</v>
      </c>
      <c r="AM29" s="238" t="s">
        <v>0</v>
      </c>
      <c r="AN29" s="241">
        <v>2</v>
      </c>
      <c r="AO29" s="291">
        <v>0</v>
      </c>
      <c r="AP29" s="46">
        <f t="shared" si="9"/>
        <v>0</v>
      </c>
      <c r="AQ29" s="46">
        <v>0</v>
      </c>
      <c r="AR29" s="41">
        <f t="shared" ref="AR29:AR31" si="17">SUM(AO29:AQ29)</f>
        <v>0</v>
      </c>
      <c r="AS29" s="329" t="s">
        <v>128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</row>
    <row r="30" spans="1:225" s="50" customFormat="1" ht="25.5" customHeight="1">
      <c r="A30" s="38">
        <f t="shared" si="0"/>
        <v>20</v>
      </c>
      <c r="B30" s="39">
        <f t="shared" si="1"/>
        <v>0</v>
      </c>
      <c r="C30" s="40">
        <f t="shared" si="2"/>
        <v>0</v>
      </c>
      <c r="D30" s="39">
        <f t="shared" si="3"/>
        <v>0</v>
      </c>
      <c r="E30" s="41">
        <f t="shared" si="4"/>
        <v>0</v>
      </c>
      <c r="F30" s="41">
        <f t="shared" si="5"/>
        <v>4</v>
      </c>
      <c r="G30" s="41">
        <f t="shared" si="6"/>
        <v>4</v>
      </c>
      <c r="H30" s="41">
        <f t="shared" si="7"/>
        <v>2</v>
      </c>
      <c r="I30" s="42">
        <f t="shared" si="16"/>
        <v>30</v>
      </c>
      <c r="J30" s="194" t="s">
        <v>166</v>
      </c>
      <c r="K30" s="245">
        <v>1</v>
      </c>
      <c r="L30" s="238">
        <v>1</v>
      </c>
      <c r="M30" s="238">
        <v>1</v>
      </c>
      <c r="N30" s="238">
        <v>1</v>
      </c>
      <c r="O30" s="239" t="s">
        <v>52</v>
      </c>
      <c r="P30" s="239" t="s">
        <v>0</v>
      </c>
      <c r="Q30" s="238">
        <v>1</v>
      </c>
      <c r="R30" s="238">
        <v>1</v>
      </c>
      <c r="S30" s="238">
        <v>1</v>
      </c>
      <c r="T30" s="238">
        <v>1</v>
      </c>
      <c r="U30" s="238">
        <v>1</v>
      </c>
      <c r="V30" s="239" t="s">
        <v>52</v>
      </c>
      <c r="W30" s="239" t="s">
        <v>0</v>
      </c>
      <c r="X30" s="238">
        <v>1</v>
      </c>
      <c r="Y30" s="238">
        <v>1</v>
      </c>
      <c r="Z30" s="238">
        <v>1</v>
      </c>
      <c r="AA30" s="238">
        <v>1</v>
      </c>
      <c r="AB30" s="238">
        <v>1</v>
      </c>
      <c r="AC30" s="239" t="s">
        <v>52</v>
      </c>
      <c r="AD30" s="239" t="s">
        <v>0</v>
      </c>
      <c r="AE30" s="238">
        <v>1</v>
      </c>
      <c r="AF30" s="238">
        <v>1</v>
      </c>
      <c r="AG30" s="238">
        <v>1</v>
      </c>
      <c r="AH30" s="238">
        <v>1</v>
      </c>
      <c r="AI30" s="239" t="s">
        <v>53</v>
      </c>
      <c r="AJ30" s="239" t="s">
        <v>52</v>
      </c>
      <c r="AK30" s="239" t="s">
        <v>0</v>
      </c>
      <c r="AL30" s="239" t="s">
        <v>53</v>
      </c>
      <c r="AM30" s="238">
        <v>1</v>
      </c>
      <c r="AN30" s="241">
        <v>1</v>
      </c>
      <c r="AO30" s="175">
        <v>0</v>
      </c>
      <c r="AP30" s="46">
        <f t="shared" si="9"/>
        <v>0</v>
      </c>
      <c r="AQ30" s="46">
        <v>0</v>
      </c>
      <c r="AR30" s="41">
        <f t="shared" si="17"/>
        <v>0</v>
      </c>
      <c r="AS30" s="329" t="s">
        <v>133</v>
      </c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</row>
    <row r="31" spans="1:225" s="50" customFormat="1" ht="25.5" customHeight="1">
      <c r="A31" s="38">
        <f t="shared" si="0"/>
        <v>20</v>
      </c>
      <c r="B31" s="39">
        <f t="shared" si="1"/>
        <v>0</v>
      </c>
      <c r="C31" s="40">
        <f t="shared" si="2"/>
        <v>0</v>
      </c>
      <c r="D31" s="39">
        <f t="shared" si="3"/>
        <v>0</v>
      </c>
      <c r="E31" s="41">
        <f t="shared" si="4"/>
        <v>0</v>
      </c>
      <c r="F31" s="41">
        <f t="shared" si="5"/>
        <v>4</v>
      </c>
      <c r="G31" s="41">
        <f t="shared" si="6"/>
        <v>4</v>
      </c>
      <c r="H31" s="41">
        <f t="shared" si="7"/>
        <v>2</v>
      </c>
      <c r="I31" s="42">
        <f t="shared" si="16"/>
        <v>30</v>
      </c>
      <c r="J31" s="194" t="s">
        <v>167</v>
      </c>
      <c r="K31" s="245">
        <v>1</v>
      </c>
      <c r="L31" s="238">
        <v>1</v>
      </c>
      <c r="M31" s="238">
        <v>1</v>
      </c>
      <c r="N31" s="238">
        <v>1</v>
      </c>
      <c r="O31" s="239" t="s">
        <v>52</v>
      </c>
      <c r="P31" s="239" t="s">
        <v>0</v>
      </c>
      <c r="Q31" s="238">
        <v>1</v>
      </c>
      <c r="R31" s="238">
        <v>1</v>
      </c>
      <c r="S31" s="238">
        <v>1</v>
      </c>
      <c r="T31" s="238">
        <v>1</v>
      </c>
      <c r="U31" s="238">
        <v>1</v>
      </c>
      <c r="V31" s="239" t="s">
        <v>52</v>
      </c>
      <c r="W31" s="239" t="s">
        <v>0</v>
      </c>
      <c r="X31" s="238">
        <v>1</v>
      </c>
      <c r="Y31" s="238">
        <v>1</v>
      </c>
      <c r="Z31" s="238">
        <v>1</v>
      </c>
      <c r="AA31" s="238">
        <v>1</v>
      </c>
      <c r="AB31" s="238">
        <v>1</v>
      </c>
      <c r="AC31" s="239" t="s">
        <v>52</v>
      </c>
      <c r="AD31" s="239" t="s">
        <v>0</v>
      </c>
      <c r="AE31" s="238">
        <v>1</v>
      </c>
      <c r="AF31" s="238">
        <v>1</v>
      </c>
      <c r="AG31" s="238">
        <v>1</v>
      </c>
      <c r="AH31" s="238">
        <v>1</v>
      </c>
      <c r="AI31" s="239" t="s">
        <v>53</v>
      </c>
      <c r="AJ31" s="239" t="s">
        <v>52</v>
      </c>
      <c r="AK31" s="239" t="s">
        <v>0</v>
      </c>
      <c r="AL31" s="239" t="s">
        <v>53</v>
      </c>
      <c r="AM31" s="238">
        <v>1</v>
      </c>
      <c r="AN31" s="241">
        <v>1</v>
      </c>
      <c r="AO31" s="175">
        <v>0</v>
      </c>
      <c r="AP31" s="46">
        <f t="shared" si="9"/>
        <v>0</v>
      </c>
      <c r="AQ31" s="46">
        <v>0</v>
      </c>
      <c r="AR31" s="41">
        <f t="shared" si="17"/>
        <v>0</v>
      </c>
      <c r="AS31" s="329" t="s">
        <v>133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</row>
    <row r="32" spans="1:225" s="50" customFormat="1" ht="25.5" customHeight="1">
      <c r="A32" s="38">
        <f t="shared" si="0"/>
        <v>10</v>
      </c>
      <c r="B32" s="39">
        <f t="shared" si="1"/>
        <v>2</v>
      </c>
      <c r="C32" s="40">
        <f t="shared" si="2"/>
        <v>4</v>
      </c>
      <c r="D32" s="39">
        <f t="shared" si="3"/>
        <v>4</v>
      </c>
      <c r="E32" s="41">
        <f t="shared" si="4"/>
        <v>0</v>
      </c>
      <c r="F32" s="41">
        <f t="shared" si="5"/>
        <v>4</v>
      </c>
      <c r="G32" s="41">
        <f t="shared" si="6"/>
        <v>4</v>
      </c>
      <c r="H32" s="41">
        <f t="shared" si="7"/>
        <v>2</v>
      </c>
      <c r="I32" s="42">
        <f t="shared" si="16"/>
        <v>30</v>
      </c>
      <c r="J32" s="194" t="s">
        <v>170</v>
      </c>
      <c r="K32" s="393" t="s">
        <v>3</v>
      </c>
      <c r="L32" s="393" t="s">
        <v>3</v>
      </c>
      <c r="M32" s="393" t="s">
        <v>3</v>
      </c>
      <c r="N32" s="393" t="s">
        <v>3</v>
      </c>
      <c r="O32" s="239" t="s">
        <v>52</v>
      </c>
      <c r="P32" s="239" t="s">
        <v>0</v>
      </c>
      <c r="Q32" s="242">
        <v>1</v>
      </c>
      <c r="R32" s="242">
        <v>1</v>
      </c>
      <c r="S32" s="242">
        <v>1</v>
      </c>
      <c r="T32" s="242">
        <v>1</v>
      </c>
      <c r="U32" s="242">
        <v>1</v>
      </c>
      <c r="V32" s="239" t="s">
        <v>52</v>
      </c>
      <c r="W32" s="239" t="s">
        <v>0</v>
      </c>
      <c r="X32" s="242">
        <v>1</v>
      </c>
      <c r="Y32" s="242">
        <v>1</v>
      </c>
      <c r="Z32" s="242">
        <v>1</v>
      </c>
      <c r="AA32" s="242">
        <v>1</v>
      </c>
      <c r="AB32" s="242">
        <v>1</v>
      </c>
      <c r="AC32" s="239" t="s">
        <v>52</v>
      </c>
      <c r="AD32" s="239" t="s">
        <v>0</v>
      </c>
      <c r="AE32" s="242">
        <v>3</v>
      </c>
      <c r="AF32" s="242">
        <v>3</v>
      </c>
      <c r="AG32" s="242">
        <v>3</v>
      </c>
      <c r="AH32" s="242">
        <v>3</v>
      </c>
      <c r="AI32" s="239" t="s">
        <v>52</v>
      </c>
      <c r="AJ32" s="239" t="s">
        <v>53</v>
      </c>
      <c r="AK32" s="239" t="s">
        <v>53</v>
      </c>
      <c r="AL32" s="239" t="s">
        <v>0</v>
      </c>
      <c r="AM32" s="242">
        <v>2</v>
      </c>
      <c r="AN32" s="447">
        <v>2</v>
      </c>
      <c r="AO32" s="175">
        <v>0</v>
      </c>
      <c r="AP32" s="46">
        <f t="shared" ref="AP32" si="18">$F32+$G32+H32-$I$1</f>
        <v>0</v>
      </c>
      <c r="AQ32" s="46">
        <v>0</v>
      </c>
      <c r="AR32" s="41">
        <f t="shared" ref="AR32" si="19">SUM(AO32:AQ32)</f>
        <v>0</v>
      </c>
      <c r="AS32" s="329" t="s">
        <v>126</v>
      </c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</row>
    <row r="33" spans="1:225" s="50" customFormat="1" ht="25.5" customHeight="1" thickBot="1">
      <c r="A33" s="54">
        <f t="shared" ref="A33" si="20">COUNTIF(K33:AN33,1)+COUNTIF(K33:AN33,"早")+COUNTIF(K33:AN33,"M1")+COUNTIF(K33:AN33,"T早")+COUNTIF(K33:AN33,"日")</f>
        <v>6</v>
      </c>
      <c r="B33" s="55">
        <f t="shared" ref="B33" si="21">COUNTIF(K33:AN33,2)+COUNTIF(K33:AN33,"中")+COUNTIF(K33:AN33,"M2")+COUNTIF(K33:AN33,"T中")+COUNTIF(K33:AN33,"小夜")</f>
        <v>2</v>
      </c>
      <c r="C33" s="56">
        <f t="shared" ref="C33" si="22">COUNTIF(K33:AN33,3)+COUNTIF(K33:AN33,"晚")+COUNTIF(K33:AN33,"大夜")</f>
        <v>0</v>
      </c>
      <c r="D33" s="55">
        <f t="shared" ref="D33" si="23">COUNTIF(K33:AN33,"N")+COUNTIF(K33:AN33,"N8")</f>
        <v>12</v>
      </c>
      <c r="E33" s="17">
        <f t="shared" ref="E33" si="24">COUNTIF(K33:AN33,"S")</f>
        <v>0</v>
      </c>
      <c r="F33" s="17">
        <f t="shared" ref="F33" si="25">COUNTIF(K33:AN33,"X")</f>
        <v>4</v>
      </c>
      <c r="G33" s="17">
        <f t="shared" ref="G33" si="26">COUNTIF(K33:AN33,"Y")</f>
        <v>4</v>
      </c>
      <c r="H33" s="17">
        <f t="shared" ref="H33" si="27">COUNTIF(K33:AN33,"Z")</f>
        <v>2</v>
      </c>
      <c r="I33" s="57">
        <f t="shared" ref="I33" si="28">SUM(A33:H33)</f>
        <v>30</v>
      </c>
      <c r="J33" s="302" t="s">
        <v>171</v>
      </c>
      <c r="K33" s="448" t="s">
        <v>3</v>
      </c>
      <c r="L33" s="449" t="s">
        <v>3</v>
      </c>
      <c r="M33" s="449" t="s">
        <v>3</v>
      </c>
      <c r="N33" s="449" t="s">
        <v>3</v>
      </c>
      <c r="O33" s="450" t="s">
        <v>52</v>
      </c>
      <c r="P33" s="450" t="s">
        <v>0</v>
      </c>
      <c r="Q33" s="449" t="s">
        <v>3</v>
      </c>
      <c r="R33" s="449" t="s">
        <v>3</v>
      </c>
      <c r="S33" s="449" t="s">
        <v>3</v>
      </c>
      <c r="T33" s="449" t="s">
        <v>3</v>
      </c>
      <c r="U33" s="449" t="s">
        <v>3</v>
      </c>
      <c r="V33" s="450" t="s">
        <v>52</v>
      </c>
      <c r="W33" s="450" t="s">
        <v>0</v>
      </c>
      <c r="X33" s="393" t="s">
        <v>3</v>
      </c>
      <c r="Y33" s="393" t="s">
        <v>3</v>
      </c>
      <c r="Z33" s="393" t="s">
        <v>3</v>
      </c>
      <c r="AA33" s="394">
        <v>1</v>
      </c>
      <c r="AB33" s="394">
        <v>1</v>
      </c>
      <c r="AC33" s="249" t="s">
        <v>52</v>
      </c>
      <c r="AD33" s="249" t="s">
        <v>0</v>
      </c>
      <c r="AE33" s="394">
        <v>1</v>
      </c>
      <c r="AF33" s="394">
        <v>1</v>
      </c>
      <c r="AG33" s="394">
        <v>1</v>
      </c>
      <c r="AH33" s="394">
        <v>1</v>
      </c>
      <c r="AI33" s="249" t="s">
        <v>52</v>
      </c>
      <c r="AJ33" s="249" t="s">
        <v>53</v>
      </c>
      <c r="AK33" s="249" t="s">
        <v>53</v>
      </c>
      <c r="AL33" s="249" t="s">
        <v>0</v>
      </c>
      <c r="AM33" s="242">
        <v>2</v>
      </c>
      <c r="AN33" s="451">
        <v>2</v>
      </c>
      <c r="AO33" s="286">
        <v>0</v>
      </c>
      <c r="AP33" s="74">
        <f t="shared" ref="AP33" si="29">$F33+$G33+H33-$I$1</f>
        <v>0</v>
      </c>
      <c r="AQ33" s="74">
        <v>0</v>
      </c>
      <c r="AR33" s="63">
        <f t="shared" ref="AR33" si="30">SUM(AO33:AQ33)</f>
        <v>0</v>
      </c>
      <c r="AS33" s="330" t="s">
        <v>128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</row>
    <row r="34" spans="1:225" s="50" customFormat="1" ht="27.75" customHeight="1">
      <c r="A34" s="23">
        <f t="shared" si="0"/>
        <v>1</v>
      </c>
      <c r="B34" s="24">
        <f t="shared" si="1"/>
        <v>0</v>
      </c>
      <c r="C34" s="25">
        <f t="shared" si="2"/>
        <v>17</v>
      </c>
      <c r="D34" s="24">
        <f t="shared" si="3"/>
        <v>0</v>
      </c>
      <c r="E34" s="26">
        <f t="shared" si="4"/>
        <v>2</v>
      </c>
      <c r="F34" s="26">
        <f t="shared" si="5"/>
        <v>4</v>
      </c>
      <c r="G34" s="26">
        <f t="shared" si="6"/>
        <v>4</v>
      </c>
      <c r="H34" s="26">
        <f t="shared" si="7"/>
        <v>2</v>
      </c>
      <c r="I34" s="176">
        <f t="shared" si="14"/>
        <v>30</v>
      </c>
      <c r="J34" s="189" t="s">
        <v>22</v>
      </c>
      <c r="K34" s="269" t="s">
        <v>40</v>
      </c>
      <c r="L34" s="270" t="s">
        <v>40</v>
      </c>
      <c r="M34" s="270" t="s">
        <v>40</v>
      </c>
      <c r="N34" s="270" t="s">
        <v>40</v>
      </c>
      <c r="O34" s="272" t="s">
        <v>52</v>
      </c>
      <c r="P34" s="272" t="s">
        <v>0</v>
      </c>
      <c r="Q34" s="270" t="s">
        <v>40</v>
      </c>
      <c r="R34" s="270" t="s">
        <v>40</v>
      </c>
      <c r="S34" s="270" t="s">
        <v>0</v>
      </c>
      <c r="T34" s="270" t="s">
        <v>40</v>
      </c>
      <c r="U34" s="270" t="s">
        <v>40</v>
      </c>
      <c r="V34" s="270" t="s">
        <v>40</v>
      </c>
      <c r="W34" s="270" t="s">
        <v>40</v>
      </c>
      <c r="X34" s="270" t="s">
        <v>40</v>
      </c>
      <c r="Y34" s="270" t="s">
        <v>52</v>
      </c>
      <c r="Z34" s="271" t="s">
        <v>0</v>
      </c>
      <c r="AA34" s="270" t="s">
        <v>40</v>
      </c>
      <c r="AB34" s="270" t="s">
        <v>40</v>
      </c>
      <c r="AC34" s="270" t="s">
        <v>40</v>
      </c>
      <c r="AD34" s="270" t="s">
        <v>40</v>
      </c>
      <c r="AE34" s="271" t="s">
        <v>156</v>
      </c>
      <c r="AF34" s="270" t="s">
        <v>36</v>
      </c>
      <c r="AG34" s="271" t="s">
        <v>52</v>
      </c>
      <c r="AH34" s="270" t="s">
        <v>53</v>
      </c>
      <c r="AI34" s="272" t="s">
        <v>53</v>
      </c>
      <c r="AJ34" s="271" t="s">
        <v>1</v>
      </c>
      <c r="AK34" s="271" t="s">
        <v>1</v>
      </c>
      <c r="AL34" s="272" t="s">
        <v>52</v>
      </c>
      <c r="AM34" s="270" t="s">
        <v>40</v>
      </c>
      <c r="AN34" s="270" t="s">
        <v>40</v>
      </c>
      <c r="AO34" s="446">
        <v>0</v>
      </c>
      <c r="AP34" s="167">
        <f t="shared" si="9"/>
        <v>0</v>
      </c>
      <c r="AQ34" s="167">
        <v>0</v>
      </c>
      <c r="AR34" s="331">
        <f t="shared" si="15"/>
        <v>0</v>
      </c>
      <c r="AS34" s="332" t="s">
        <v>126</v>
      </c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</row>
    <row r="35" spans="1:225" s="50" customFormat="1" ht="27.75" customHeight="1">
      <c r="A35" s="38">
        <f t="shared" si="0"/>
        <v>1</v>
      </c>
      <c r="B35" s="39">
        <f t="shared" si="1"/>
        <v>16</v>
      </c>
      <c r="C35" s="40">
        <f t="shared" si="2"/>
        <v>2</v>
      </c>
      <c r="D35" s="39">
        <f t="shared" si="3"/>
        <v>0</v>
      </c>
      <c r="E35" s="41">
        <f t="shared" si="4"/>
        <v>1</v>
      </c>
      <c r="F35" s="41">
        <f t="shared" si="5"/>
        <v>4</v>
      </c>
      <c r="G35" s="41">
        <f t="shared" si="6"/>
        <v>4</v>
      </c>
      <c r="H35" s="41">
        <f t="shared" si="7"/>
        <v>2</v>
      </c>
      <c r="I35" s="177">
        <f t="shared" si="14"/>
        <v>30</v>
      </c>
      <c r="J35" s="193" t="s">
        <v>23</v>
      </c>
      <c r="K35" s="245" t="s">
        <v>38</v>
      </c>
      <c r="L35" s="238" t="s">
        <v>38</v>
      </c>
      <c r="M35" s="238" t="s">
        <v>38</v>
      </c>
      <c r="N35" s="238" t="s">
        <v>52</v>
      </c>
      <c r="O35" s="238" t="s">
        <v>36</v>
      </c>
      <c r="P35" s="238" t="s">
        <v>38</v>
      </c>
      <c r="Q35" s="238" t="s">
        <v>0</v>
      </c>
      <c r="R35" s="238" t="s">
        <v>38</v>
      </c>
      <c r="S35" s="238" t="s">
        <v>38</v>
      </c>
      <c r="T35" s="238" t="s">
        <v>38</v>
      </c>
      <c r="U35" s="238" t="s">
        <v>38</v>
      </c>
      <c r="V35" s="239" t="s">
        <v>52</v>
      </c>
      <c r="W35" s="239" t="s">
        <v>53</v>
      </c>
      <c r="X35" s="238" t="s">
        <v>53</v>
      </c>
      <c r="Y35" s="238" t="s">
        <v>0</v>
      </c>
      <c r="Z35" s="238" t="s">
        <v>38</v>
      </c>
      <c r="AA35" s="238" t="s">
        <v>38</v>
      </c>
      <c r="AB35" s="238" t="s">
        <v>38</v>
      </c>
      <c r="AC35" s="239" t="s">
        <v>52</v>
      </c>
      <c r="AD35" s="239" t="s">
        <v>0</v>
      </c>
      <c r="AE35" s="238" t="s">
        <v>40</v>
      </c>
      <c r="AF35" s="238" t="s">
        <v>40</v>
      </c>
      <c r="AG35" s="238" t="s">
        <v>52</v>
      </c>
      <c r="AH35" s="234" t="s">
        <v>1</v>
      </c>
      <c r="AI35" s="238" t="s">
        <v>38</v>
      </c>
      <c r="AJ35" s="238" t="s">
        <v>38</v>
      </c>
      <c r="AK35" s="238" t="s">
        <v>38</v>
      </c>
      <c r="AL35" s="238" t="s">
        <v>38</v>
      </c>
      <c r="AM35" s="238" t="s">
        <v>38</v>
      </c>
      <c r="AN35" s="238" t="s">
        <v>0</v>
      </c>
      <c r="AO35" s="175">
        <v>0</v>
      </c>
      <c r="AP35" s="46">
        <f t="shared" si="9"/>
        <v>0</v>
      </c>
      <c r="AQ35" s="46">
        <v>0</v>
      </c>
      <c r="AR35" s="41">
        <f t="shared" si="15"/>
        <v>0</v>
      </c>
      <c r="AS35" s="329" t="s">
        <v>126</v>
      </c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</row>
    <row r="36" spans="1:225" s="50" customFormat="1" ht="27.6" customHeight="1">
      <c r="A36" s="38">
        <f t="shared" si="0"/>
        <v>1</v>
      </c>
      <c r="B36" s="39">
        <f t="shared" si="1"/>
        <v>19</v>
      </c>
      <c r="C36" s="40">
        <f t="shared" si="2"/>
        <v>0</v>
      </c>
      <c r="D36" s="39">
        <f t="shared" si="3"/>
        <v>0</v>
      </c>
      <c r="E36" s="41">
        <f t="shared" si="4"/>
        <v>0</v>
      </c>
      <c r="F36" s="41">
        <f t="shared" si="5"/>
        <v>4</v>
      </c>
      <c r="G36" s="41">
        <f t="shared" si="6"/>
        <v>4</v>
      </c>
      <c r="H36" s="41">
        <f t="shared" si="7"/>
        <v>2</v>
      </c>
      <c r="I36" s="177">
        <f t="shared" si="14"/>
        <v>30</v>
      </c>
      <c r="J36" s="193" t="s">
        <v>24</v>
      </c>
      <c r="K36" s="245" t="s">
        <v>0</v>
      </c>
      <c r="L36" s="238" t="s">
        <v>38</v>
      </c>
      <c r="M36" s="238" t="s">
        <v>38</v>
      </c>
      <c r="N36" s="238" t="s">
        <v>38</v>
      </c>
      <c r="O36" s="239" t="s">
        <v>52</v>
      </c>
      <c r="P36" s="239" t="s">
        <v>0</v>
      </c>
      <c r="Q36" s="238" t="s">
        <v>38</v>
      </c>
      <c r="R36" s="238" t="s">
        <v>38</v>
      </c>
      <c r="S36" s="238" t="s">
        <v>38</v>
      </c>
      <c r="T36" s="238" t="s">
        <v>38</v>
      </c>
      <c r="U36" s="271" t="s">
        <v>52</v>
      </c>
      <c r="V36" s="238" t="s">
        <v>38</v>
      </c>
      <c r="W36" s="238" t="s">
        <v>38</v>
      </c>
      <c r="X36" s="238" t="s">
        <v>38</v>
      </c>
      <c r="Y36" s="238" t="s">
        <v>38</v>
      </c>
      <c r="Z36" s="238" t="s">
        <v>0</v>
      </c>
      <c r="AA36" s="238" t="s">
        <v>36</v>
      </c>
      <c r="AB36" s="238" t="s">
        <v>38</v>
      </c>
      <c r="AC36" s="239" t="s">
        <v>52</v>
      </c>
      <c r="AD36" s="239" t="s">
        <v>53</v>
      </c>
      <c r="AE36" s="238" t="s">
        <v>53</v>
      </c>
      <c r="AF36" s="238" t="s">
        <v>38</v>
      </c>
      <c r="AG36" s="238" t="s">
        <v>38</v>
      </c>
      <c r="AH36" s="271" t="s">
        <v>52</v>
      </c>
      <c r="AI36" s="238" t="s">
        <v>38</v>
      </c>
      <c r="AJ36" s="238" t="s">
        <v>38</v>
      </c>
      <c r="AK36" s="238" t="s">
        <v>38</v>
      </c>
      <c r="AL36" s="238" t="s">
        <v>38</v>
      </c>
      <c r="AM36" s="238" t="s">
        <v>0</v>
      </c>
      <c r="AN36" s="238" t="s">
        <v>38</v>
      </c>
      <c r="AO36" s="175">
        <v>0</v>
      </c>
      <c r="AP36" s="46">
        <f t="shared" si="9"/>
        <v>0</v>
      </c>
      <c r="AQ36" s="46">
        <v>0</v>
      </c>
      <c r="AR36" s="41">
        <f t="shared" si="15"/>
        <v>0</v>
      </c>
      <c r="AS36" s="329" t="s">
        <v>128</v>
      </c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</row>
    <row r="37" spans="1:225" s="50" customFormat="1" ht="24" customHeight="1">
      <c r="A37" s="38">
        <f t="shared" si="0"/>
        <v>0</v>
      </c>
      <c r="B37" s="39">
        <f t="shared" si="1"/>
        <v>16</v>
      </c>
      <c r="C37" s="40">
        <f t="shared" si="2"/>
        <v>2</v>
      </c>
      <c r="D37" s="39">
        <f t="shared" si="3"/>
        <v>0</v>
      </c>
      <c r="E37" s="41">
        <f t="shared" si="4"/>
        <v>2</v>
      </c>
      <c r="F37" s="41">
        <f t="shared" si="5"/>
        <v>4</v>
      </c>
      <c r="G37" s="41">
        <f t="shared" si="6"/>
        <v>4</v>
      </c>
      <c r="H37" s="41">
        <f t="shared" si="7"/>
        <v>2</v>
      </c>
      <c r="I37" s="177">
        <f t="shared" si="14"/>
        <v>30</v>
      </c>
      <c r="J37" s="214" t="s">
        <v>25</v>
      </c>
      <c r="K37" s="245" t="s">
        <v>38</v>
      </c>
      <c r="L37" s="238" t="s">
        <v>0</v>
      </c>
      <c r="M37" s="234" t="s">
        <v>1</v>
      </c>
      <c r="N37" s="238" t="s">
        <v>38</v>
      </c>
      <c r="O37" s="238" t="s">
        <v>26</v>
      </c>
      <c r="P37" s="238" t="s">
        <v>38</v>
      </c>
      <c r="Q37" s="238" t="s">
        <v>0</v>
      </c>
      <c r="R37" s="238" t="s">
        <v>40</v>
      </c>
      <c r="S37" s="238" t="s">
        <v>40</v>
      </c>
      <c r="T37" s="234" t="s">
        <v>52</v>
      </c>
      <c r="U37" s="238" t="s">
        <v>38</v>
      </c>
      <c r="V37" s="238" t="s">
        <v>38</v>
      </c>
      <c r="W37" s="238" t="s">
        <v>38</v>
      </c>
      <c r="X37" s="238" t="s">
        <v>38</v>
      </c>
      <c r="Y37" s="238" t="s">
        <v>38</v>
      </c>
      <c r="Z37" s="238" t="s">
        <v>0</v>
      </c>
      <c r="AA37" s="238" t="s">
        <v>52</v>
      </c>
      <c r="AB37" s="238" t="s">
        <v>53</v>
      </c>
      <c r="AC37" s="238" t="s">
        <v>26</v>
      </c>
      <c r="AD37" s="238" t="s">
        <v>38</v>
      </c>
      <c r="AE37" s="238" t="s">
        <v>38</v>
      </c>
      <c r="AF37" s="238" t="s">
        <v>52</v>
      </c>
      <c r="AG37" s="234" t="s">
        <v>1</v>
      </c>
      <c r="AH37" s="238" t="s">
        <v>53</v>
      </c>
      <c r="AI37" s="238" t="s">
        <v>38</v>
      </c>
      <c r="AJ37" s="238" t="s">
        <v>26</v>
      </c>
      <c r="AK37" s="238" t="s">
        <v>38</v>
      </c>
      <c r="AL37" s="238" t="s">
        <v>38</v>
      </c>
      <c r="AM37" s="234" t="s">
        <v>52</v>
      </c>
      <c r="AN37" s="241" t="s">
        <v>0</v>
      </c>
      <c r="AO37" s="175">
        <v>0</v>
      </c>
      <c r="AP37" s="46">
        <f t="shared" si="9"/>
        <v>0</v>
      </c>
      <c r="AQ37" s="46">
        <v>0</v>
      </c>
      <c r="AR37" s="41">
        <f t="shared" si="15"/>
        <v>0</v>
      </c>
      <c r="AS37" s="329" t="s">
        <v>126</v>
      </c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</row>
    <row r="38" spans="1:225" s="50" customFormat="1" ht="25.5" customHeight="1">
      <c r="A38" s="38">
        <f t="shared" si="0"/>
        <v>7</v>
      </c>
      <c r="B38" s="39">
        <f t="shared" si="1"/>
        <v>0</v>
      </c>
      <c r="C38" s="40">
        <f t="shared" si="2"/>
        <v>9</v>
      </c>
      <c r="D38" s="39">
        <f t="shared" si="3"/>
        <v>2</v>
      </c>
      <c r="E38" s="41">
        <f t="shared" si="4"/>
        <v>2</v>
      </c>
      <c r="F38" s="41">
        <f t="shared" si="5"/>
        <v>4</v>
      </c>
      <c r="G38" s="41">
        <f t="shared" si="6"/>
        <v>4</v>
      </c>
      <c r="H38" s="41">
        <f t="shared" si="7"/>
        <v>2</v>
      </c>
      <c r="I38" s="177">
        <f t="shared" si="14"/>
        <v>30</v>
      </c>
      <c r="J38" s="193" t="s">
        <v>27</v>
      </c>
      <c r="K38" s="245" t="s">
        <v>52</v>
      </c>
      <c r="L38" s="238" t="s">
        <v>36</v>
      </c>
      <c r="M38" s="238" t="s">
        <v>36</v>
      </c>
      <c r="N38" s="238" t="s">
        <v>36</v>
      </c>
      <c r="O38" s="238" t="s">
        <v>36</v>
      </c>
      <c r="P38" s="238" t="s">
        <v>36</v>
      </c>
      <c r="Q38" s="238" t="s">
        <v>0</v>
      </c>
      <c r="R38" s="238" t="s">
        <v>40</v>
      </c>
      <c r="S38" s="238" t="s">
        <v>40</v>
      </c>
      <c r="T38" s="238" t="s">
        <v>40</v>
      </c>
      <c r="U38" s="238" t="s">
        <v>40</v>
      </c>
      <c r="V38" s="238" t="s">
        <v>52</v>
      </c>
      <c r="W38" s="238" t="s">
        <v>36</v>
      </c>
      <c r="X38" s="238" t="s">
        <v>36</v>
      </c>
      <c r="Y38" s="242" t="s">
        <v>3</v>
      </c>
      <c r="Z38" s="271" t="s">
        <v>52</v>
      </c>
      <c r="AA38" s="234" t="s">
        <v>1</v>
      </c>
      <c r="AB38" s="234" t="s">
        <v>1</v>
      </c>
      <c r="AC38" s="239" t="s">
        <v>53</v>
      </c>
      <c r="AD38" s="239" t="s">
        <v>53</v>
      </c>
      <c r="AE38" s="271" t="s">
        <v>0</v>
      </c>
      <c r="AF38" s="242" t="s">
        <v>3</v>
      </c>
      <c r="AG38" s="238" t="s">
        <v>52</v>
      </c>
      <c r="AH38" s="238" t="s">
        <v>40</v>
      </c>
      <c r="AI38" s="238" t="s">
        <v>40</v>
      </c>
      <c r="AJ38" s="238" t="s">
        <v>40</v>
      </c>
      <c r="AK38" s="238" t="s">
        <v>40</v>
      </c>
      <c r="AL38" s="238" t="s">
        <v>40</v>
      </c>
      <c r="AM38" s="238" t="s">
        <v>0</v>
      </c>
      <c r="AN38" s="241" t="s">
        <v>0</v>
      </c>
      <c r="AO38" s="175">
        <v>0</v>
      </c>
      <c r="AP38" s="46">
        <f t="shared" si="9"/>
        <v>0</v>
      </c>
      <c r="AQ38" s="46">
        <v>0</v>
      </c>
      <c r="AR38" s="41">
        <f t="shared" si="15"/>
        <v>0</v>
      </c>
      <c r="AS38" s="329" t="s">
        <v>128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</row>
    <row r="39" spans="1:225" ht="25.5" customHeight="1">
      <c r="A39" s="38">
        <f t="shared" si="0"/>
        <v>0</v>
      </c>
      <c r="B39" s="39">
        <f t="shared" si="1"/>
        <v>0</v>
      </c>
      <c r="C39" s="40">
        <f t="shared" si="2"/>
        <v>17</v>
      </c>
      <c r="D39" s="39">
        <f t="shared" si="3"/>
        <v>2</v>
      </c>
      <c r="E39" s="41">
        <f t="shared" si="4"/>
        <v>1</v>
      </c>
      <c r="F39" s="41">
        <f t="shared" si="5"/>
        <v>4</v>
      </c>
      <c r="G39" s="41">
        <f t="shared" si="6"/>
        <v>4</v>
      </c>
      <c r="H39" s="41">
        <f t="shared" si="7"/>
        <v>2</v>
      </c>
      <c r="I39" s="177">
        <f t="shared" si="14"/>
        <v>30</v>
      </c>
      <c r="J39" s="193" t="s">
        <v>57</v>
      </c>
      <c r="K39" s="245" t="s">
        <v>40</v>
      </c>
      <c r="L39" s="238" t="s">
        <v>52</v>
      </c>
      <c r="M39" s="238" t="s">
        <v>40</v>
      </c>
      <c r="N39" s="238" t="s">
        <v>40</v>
      </c>
      <c r="O39" s="238" t="s">
        <v>40</v>
      </c>
      <c r="P39" s="238" t="s">
        <v>40</v>
      </c>
      <c r="Q39" s="238" t="s">
        <v>40</v>
      </c>
      <c r="R39" s="238" t="s">
        <v>0</v>
      </c>
      <c r="S39" s="271" t="s">
        <v>1</v>
      </c>
      <c r="T39" s="238" t="s">
        <v>3</v>
      </c>
      <c r="U39" s="393" t="s">
        <v>3</v>
      </c>
      <c r="V39" s="239" t="s">
        <v>53</v>
      </c>
      <c r="W39" s="239" t="s">
        <v>53</v>
      </c>
      <c r="X39" s="271" t="s">
        <v>0</v>
      </c>
      <c r="Y39" s="238" t="s">
        <v>40</v>
      </c>
      <c r="Z39" s="238" t="s">
        <v>40</v>
      </c>
      <c r="AA39" s="238" t="s">
        <v>40</v>
      </c>
      <c r="AB39" s="238" t="s">
        <v>52</v>
      </c>
      <c r="AC39" s="239" t="s">
        <v>52</v>
      </c>
      <c r="AD39" s="239" t="s">
        <v>0</v>
      </c>
      <c r="AE39" s="238" t="s">
        <v>40</v>
      </c>
      <c r="AF39" s="238" t="s">
        <v>40</v>
      </c>
      <c r="AG39" s="238" t="s">
        <v>40</v>
      </c>
      <c r="AH39" s="238" t="s">
        <v>40</v>
      </c>
      <c r="AI39" s="271" t="s">
        <v>52</v>
      </c>
      <c r="AJ39" s="238" t="s">
        <v>40</v>
      </c>
      <c r="AK39" s="238" t="s">
        <v>40</v>
      </c>
      <c r="AL39" s="234" t="s">
        <v>0</v>
      </c>
      <c r="AM39" s="238" t="s">
        <v>40</v>
      </c>
      <c r="AN39" s="241" t="s">
        <v>40</v>
      </c>
      <c r="AO39" s="175">
        <v>0</v>
      </c>
      <c r="AP39" s="46">
        <f t="shared" si="9"/>
        <v>0</v>
      </c>
      <c r="AQ39" s="46">
        <v>0</v>
      </c>
      <c r="AR39" s="41">
        <f t="shared" si="15"/>
        <v>0</v>
      </c>
      <c r="AS39" s="329" t="s">
        <v>128</v>
      </c>
    </row>
    <row r="40" spans="1:225" ht="24.75" customHeight="1" thickBot="1">
      <c r="A40" s="69">
        <f t="shared" si="0"/>
        <v>0</v>
      </c>
      <c r="B40" s="70">
        <f t="shared" si="1"/>
        <v>0</v>
      </c>
      <c r="C40" s="71">
        <f t="shared" si="2"/>
        <v>5</v>
      </c>
      <c r="D40" s="70">
        <f t="shared" si="3"/>
        <v>13</v>
      </c>
      <c r="E40" s="63">
        <f t="shared" si="4"/>
        <v>2</v>
      </c>
      <c r="F40" s="63">
        <f t="shared" si="5"/>
        <v>5</v>
      </c>
      <c r="G40" s="63">
        <f t="shared" si="6"/>
        <v>3</v>
      </c>
      <c r="H40" s="63">
        <f t="shared" si="7"/>
        <v>2</v>
      </c>
      <c r="I40" s="178">
        <f t="shared" si="14"/>
        <v>30</v>
      </c>
      <c r="J40" s="215" t="s">
        <v>28</v>
      </c>
      <c r="K40" s="247" t="s">
        <v>52</v>
      </c>
      <c r="L40" s="394" t="s">
        <v>3</v>
      </c>
      <c r="M40" s="394" t="s">
        <v>3</v>
      </c>
      <c r="N40" s="394" t="s">
        <v>3</v>
      </c>
      <c r="O40" s="249" t="s">
        <v>52</v>
      </c>
      <c r="P40" s="249" t="s">
        <v>0</v>
      </c>
      <c r="Q40" s="394" t="s">
        <v>3</v>
      </c>
      <c r="R40" s="394" t="s">
        <v>3</v>
      </c>
      <c r="S40" s="394" t="s">
        <v>3</v>
      </c>
      <c r="T40" s="394" t="s">
        <v>3</v>
      </c>
      <c r="U40" s="248" t="s">
        <v>0</v>
      </c>
      <c r="V40" s="248" t="s">
        <v>40</v>
      </c>
      <c r="W40" s="248" t="s">
        <v>40</v>
      </c>
      <c r="X40" s="248" t="s">
        <v>40</v>
      </c>
      <c r="Y40" s="248" t="s">
        <v>40</v>
      </c>
      <c r="Z40" s="248" t="s">
        <v>40</v>
      </c>
      <c r="AA40" s="249" t="s">
        <v>0</v>
      </c>
      <c r="AB40" s="421" t="s">
        <v>1</v>
      </c>
      <c r="AC40" s="421" t="s">
        <v>1</v>
      </c>
      <c r="AD40" s="249" t="s">
        <v>0</v>
      </c>
      <c r="AE40" s="248" t="s">
        <v>3</v>
      </c>
      <c r="AF40" s="418" t="s">
        <v>3</v>
      </c>
      <c r="AG40" s="418" t="s">
        <v>3</v>
      </c>
      <c r="AH40" s="418" t="s">
        <v>3</v>
      </c>
      <c r="AI40" s="418" t="s">
        <v>53</v>
      </c>
      <c r="AJ40" s="418" t="s">
        <v>52</v>
      </c>
      <c r="AK40" s="418" t="s">
        <v>0</v>
      </c>
      <c r="AL40" s="418" t="s">
        <v>53</v>
      </c>
      <c r="AM40" s="418" t="s">
        <v>3</v>
      </c>
      <c r="AN40" s="419" t="s">
        <v>3</v>
      </c>
      <c r="AO40" s="286">
        <v>0</v>
      </c>
      <c r="AP40" s="74">
        <f t="shared" si="9"/>
        <v>0</v>
      </c>
      <c r="AQ40" s="74">
        <v>0</v>
      </c>
      <c r="AR40" s="63">
        <f t="shared" si="15"/>
        <v>0</v>
      </c>
      <c r="AS40" s="330" t="s">
        <v>128</v>
      </c>
    </row>
    <row r="41" spans="1:225" s="50" customFormat="1" ht="24.75" customHeight="1">
      <c r="A41" s="23">
        <f t="shared" si="0"/>
        <v>1</v>
      </c>
      <c r="B41" s="24">
        <f t="shared" si="1"/>
        <v>2</v>
      </c>
      <c r="C41" s="25">
        <f t="shared" si="2"/>
        <v>10</v>
      </c>
      <c r="D41" s="24">
        <f t="shared" si="3"/>
        <v>2</v>
      </c>
      <c r="E41" s="26">
        <f t="shared" si="4"/>
        <v>5</v>
      </c>
      <c r="F41" s="26">
        <f t="shared" si="5"/>
        <v>4</v>
      </c>
      <c r="G41" s="26">
        <f t="shared" si="6"/>
        <v>4</v>
      </c>
      <c r="H41" s="26">
        <f t="shared" si="7"/>
        <v>2</v>
      </c>
      <c r="I41" s="176">
        <f>SUM(A41:H41)</f>
        <v>30</v>
      </c>
      <c r="J41" s="66" t="s">
        <v>142</v>
      </c>
      <c r="K41" s="28" t="s">
        <v>54</v>
      </c>
      <c r="L41" s="29" t="s">
        <v>3</v>
      </c>
      <c r="M41" s="29" t="s">
        <v>3</v>
      </c>
      <c r="N41" s="29" t="s">
        <v>52</v>
      </c>
      <c r="O41" s="29" t="s">
        <v>55</v>
      </c>
      <c r="P41" s="29" t="s">
        <v>55</v>
      </c>
      <c r="Q41" s="29" t="s">
        <v>55</v>
      </c>
      <c r="R41" s="29" t="s">
        <v>55</v>
      </c>
      <c r="S41" s="29" t="s">
        <v>0</v>
      </c>
      <c r="T41" s="29" t="s">
        <v>56</v>
      </c>
      <c r="U41" s="29" t="s">
        <v>56</v>
      </c>
      <c r="V41" s="31" t="s">
        <v>52</v>
      </c>
      <c r="W41" s="31" t="s">
        <v>53</v>
      </c>
      <c r="X41" s="29" t="s">
        <v>53</v>
      </c>
      <c r="Y41" s="29" t="s">
        <v>52</v>
      </c>
      <c r="Z41" s="29" t="s">
        <v>55</v>
      </c>
      <c r="AA41" s="29" t="s">
        <v>55</v>
      </c>
      <c r="AB41" s="29" t="s">
        <v>55</v>
      </c>
      <c r="AC41" s="29" t="s">
        <v>55</v>
      </c>
      <c r="AD41" s="29" t="s">
        <v>55</v>
      </c>
      <c r="AE41" s="29" t="s">
        <v>55</v>
      </c>
      <c r="AF41" s="29" t="s">
        <v>0</v>
      </c>
      <c r="AG41" s="32" t="s">
        <v>1</v>
      </c>
      <c r="AH41" s="32" t="s">
        <v>1</v>
      </c>
      <c r="AI41" s="32" t="s">
        <v>1</v>
      </c>
      <c r="AJ41" s="31" t="s">
        <v>52</v>
      </c>
      <c r="AK41" s="31" t="s">
        <v>0</v>
      </c>
      <c r="AL41" s="32" t="s">
        <v>1</v>
      </c>
      <c r="AM41" s="32" t="s">
        <v>1</v>
      </c>
      <c r="AN41" s="34" t="s">
        <v>0</v>
      </c>
      <c r="AO41" s="428">
        <v>0</v>
      </c>
      <c r="AP41" s="167">
        <f t="shared" si="9"/>
        <v>0</v>
      </c>
      <c r="AQ41" s="167">
        <v>0</v>
      </c>
      <c r="AR41" s="331">
        <f t="shared" si="15"/>
        <v>0</v>
      </c>
      <c r="AS41" s="332" t="s">
        <v>126</v>
      </c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</row>
    <row r="42" spans="1:225" s="50" customFormat="1" ht="25.5" customHeight="1">
      <c r="A42" s="38">
        <f t="shared" si="0"/>
        <v>8</v>
      </c>
      <c r="B42" s="39">
        <f t="shared" si="1"/>
        <v>10</v>
      </c>
      <c r="C42" s="40">
        <f t="shared" si="2"/>
        <v>0</v>
      </c>
      <c r="D42" s="39">
        <f t="shared" si="3"/>
        <v>2</v>
      </c>
      <c r="E42" s="41">
        <f t="shared" si="4"/>
        <v>0</v>
      </c>
      <c r="F42" s="41">
        <f t="shared" si="5"/>
        <v>4</v>
      </c>
      <c r="G42" s="41">
        <f t="shared" si="6"/>
        <v>4</v>
      </c>
      <c r="H42" s="41">
        <f t="shared" si="7"/>
        <v>2</v>
      </c>
      <c r="I42" s="177">
        <f t="shared" ref="I42:I46" si="31">SUM(A42:H42)</f>
        <v>30</v>
      </c>
      <c r="J42" s="67" t="s">
        <v>29</v>
      </c>
      <c r="K42" s="49" t="s">
        <v>3</v>
      </c>
      <c r="L42" s="30" t="s">
        <v>54</v>
      </c>
      <c r="M42" s="30" t="s">
        <v>56</v>
      </c>
      <c r="N42" s="30" t="s">
        <v>56</v>
      </c>
      <c r="O42" s="44" t="s">
        <v>52</v>
      </c>
      <c r="P42" s="44" t="s">
        <v>0</v>
      </c>
      <c r="Q42" s="30" t="s">
        <v>56</v>
      </c>
      <c r="R42" s="30" t="s">
        <v>56</v>
      </c>
      <c r="S42" s="30" t="s">
        <v>56</v>
      </c>
      <c r="T42" s="30" t="s">
        <v>52</v>
      </c>
      <c r="U42" s="30" t="s">
        <v>3</v>
      </c>
      <c r="V42" s="30" t="s">
        <v>54</v>
      </c>
      <c r="W42" s="30" t="s">
        <v>54</v>
      </c>
      <c r="X42" s="30" t="s">
        <v>54</v>
      </c>
      <c r="Y42" s="30" t="s">
        <v>54</v>
      </c>
      <c r="Z42" s="30" t="s">
        <v>54</v>
      </c>
      <c r="AA42" s="30" t="s">
        <v>52</v>
      </c>
      <c r="AB42" s="30" t="s">
        <v>53</v>
      </c>
      <c r="AC42" s="44" t="s">
        <v>53</v>
      </c>
      <c r="AD42" s="44" t="s">
        <v>0</v>
      </c>
      <c r="AE42" s="30" t="s">
        <v>56</v>
      </c>
      <c r="AF42" s="316" t="s">
        <v>0</v>
      </c>
      <c r="AG42" s="30" t="s">
        <v>52</v>
      </c>
      <c r="AH42" s="30" t="s">
        <v>56</v>
      </c>
      <c r="AI42" s="30" t="s">
        <v>56</v>
      </c>
      <c r="AJ42" s="30" t="s">
        <v>56</v>
      </c>
      <c r="AK42" s="30" t="s">
        <v>56</v>
      </c>
      <c r="AL42" s="30" t="s">
        <v>0</v>
      </c>
      <c r="AM42" s="30" t="s">
        <v>54</v>
      </c>
      <c r="AN42" s="30" t="s">
        <v>54</v>
      </c>
      <c r="AO42" s="175">
        <v>0</v>
      </c>
      <c r="AP42" s="46">
        <f t="shared" si="9"/>
        <v>0</v>
      </c>
      <c r="AQ42" s="46">
        <v>0</v>
      </c>
      <c r="AR42" s="41">
        <f t="shared" si="15"/>
        <v>0</v>
      </c>
      <c r="AS42" s="329" t="s">
        <v>126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</row>
    <row r="43" spans="1:225" ht="25.5" customHeight="1">
      <c r="A43" s="38">
        <f t="shared" si="0"/>
        <v>3</v>
      </c>
      <c r="B43" s="39">
        <f t="shared" si="1"/>
        <v>7</v>
      </c>
      <c r="C43" s="40">
        <f t="shared" si="2"/>
        <v>4</v>
      </c>
      <c r="D43" s="39">
        <f t="shared" si="3"/>
        <v>3</v>
      </c>
      <c r="E43" s="41">
        <f t="shared" si="4"/>
        <v>3</v>
      </c>
      <c r="F43" s="41">
        <f t="shared" si="5"/>
        <v>4</v>
      </c>
      <c r="G43" s="41">
        <f t="shared" si="6"/>
        <v>4</v>
      </c>
      <c r="H43" s="41">
        <f t="shared" si="7"/>
        <v>2</v>
      </c>
      <c r="I43" s="177">
        <f t="shared" si="31"/>
        <v>30</v>
      </c>
      <c r="J43" s="68" t="s">
        <v>30</v>
      </c>
      <c r="K43" s="49" t="s">
        <v>56</v>
      </c>
      <c r="L43" s="30" t="s">
        <v>52</v>
      </c>
      <c r="M43" s="30" t="s">
        <v>53</v>
      </c>
      <c r="N43" s="30" t="s">
        <v>53</v>
      </c>
      <c r="O43" s="30" t="s">
        <v>56</v>
      </c>
      <c r="P43" s="30" t="s">
        <v>56</v>
      </c>
      <c r="Q43" s="30" t="s">
        <v>0</v>
      </c>
      <c r="R43" s="30" t="s">
        <v>3</v>
      </c>
      <c r="S43" s="30" t="s">
        <v>3</v>
      </c>
      <c r="T43" s="30" t="s">
        <v>3</v>
      </c>
      <c r="U43" s="30" t="s">
        <v>54</v>
      </c>
      <c r="V43" s="44" t="s">
        <v>52</v>
      </c>
      <c r="W43" s="32" t="s">
        <v>1</v>
      </c>
      <c r="X43" s="32" t="s">
        <v>1</v>
      </c>
      <c r="Y43" s="44" t="s">
        <v>0</v>
      </c>
      <c r="Z43" s="30" t="s">
        <v>56</v>
      </c>
      <c r="AA43" s="30" t="s">
        <v>56</v>
      </c>
      <c r="AB43" s="30" t="s">
        <v>52</v>
      </c>
      <c r="AC43" s="30" t="s">
        <v>54</v>
      </c>
      <c r="AD43" s="30" t="s">
        <v>54</v>
      </c>
      <c r="AE43" s="44" t="s">
        <v>0</v>
      </c>
      <c r="AF43" s="30" t="s">
        <v>55</v>
      </c>
      <c r="AG43" s="30" t="s">
        <v>55</v>
      </c>
      <c r="AH43" s="30" t="s">
        <v>55</v>
      </c>
      <c r="AI43" s="30" t="s">
        <v>55</v>
      </c>
      <c r="AJ43" s="44" t="s">
        <v>52</v>
      </c>
      <c r="AK43" s="32" t="s">
        <v>1</v>
      </c>
      <c r="AL43" s="30" t="s">
        <v>56</v>
      </c>
      <c r="AM43" s="30" t="s">
        <v>56</v>
      </c>
      <c r="AN43" s="30" t="s">
        <v>0</v>
      </c>
      <c r="AO43" s="45">
        <v>0</v>
      </c>
      <c r="AP43" s="46">
        <f t="shared" si="9"/>
        <v>0</v>
      </c>
      <c r="AQ43" s="46">
        <v>0</v>
      </c>
      <c r="AR43" s="41">
        <f t="shared" si="15"/>
        <v>0</v>
      </c>
      <c r="AS43" s="329" t="s">
        <v>126</v>
      </c>
    </row>
    <row r="44" spans="1:225" s="50" customFormat="1" ht="25.5" customHeight="1">
      <c r="A44" s="38">
        <f t="shared" si="0"/>
        <v>6</v>
      </c>
      <c r="B44" s="39">
        <f t="shared" si="1"/>
        <v>2</v>
      </c>
      <c r="C44" s="40">
        <f t="shared" si="2"/>
        <v>9</v>
      </c>
      <c r="D44" s="39">
        <f t="shared" si="3"/>
        <v>2</v>
      </c>
      <c r="E44" s="41">
        <f t="shared" si="4"/>
        <v>1</v>
      </c>
      <c r="F44" s="41">
        <f t="shared" si="5"/>
        <v>4</v>
      </c>
      <c r="G44" s="41">
        <f t="shared" si="6"/>
        <v>4</v>
      </c>
      <c r="H44" s="41">
        <f t="shared" si="7"/>
        <v>2</v>
      </c>
      <c r="I44" s="177">
        <f t="shared" si="31"/>
        <v>30</v>
      </c>
      <c r="J44" s="68" t="s">
        <v>31</v>
      </c>
      <c r="K44" s="49" t="s">
        <v>55</v>
      </c>
      <c r="L44" s="30" t="s">
        <v>55</v>
      </c>
      <c r="M44" s="30" t="s">
        <v>55</v>
      </c>
      <c r="N44" s="30" t="s">
        <v>55</v>
      </c>
      <c r="O44" s="44" t="s">
        <v>52</v>
      </c>
      <c r="P44" s="44" t="s">
        <v>0</v>
      </c>
      <c r="Q44" s="30" t="s">
        <v>3</v>
      </c>
      <c r="R44" s="30" t="s">
        <v>54</v>
      </c>
      <c r="S44" s="30" t="s">
        <v>54</v>
      </c>
      <c r="T44" s="30" t="s">
        <v>52</v>
      </c>
      <c r="U44" s="30" t="s">
        <v>55</v>
      </c>
      <c r="V44" s="30" t="s">
        <v>55</v>
      </c>
      <c r="W44" s="30" t="s">
        <v>55</v>
      </c>
      <c r="X44" s="30" t="s">
        <v>55</v>
      </c>
      <c r="Y44" s="30" t="s">
        <v>55</v>
      </c>
      <c r="Z44" s="32" t="s">
        <v>1</v>
      </c>
      <c r="AA44" s="30" t="s">
        <v>52</v>
      </c>
      <c r="AB44" s="30" t="s">
        <v>53</v>
      </c>
      <c r="AC44" s="44" t="s">
        <v>53</v>
      </c>
      <c r="AD44" s="44" t="s">
        <v>0</v>
      </c>
      <c r="AE44" s="30" t="s">
        <v>3</v>
      </c>
      <c r="AF44" s="30" t="s">
        <v>56</v>
      </c>
      <c r="AG44" s="30" t="s">
        <v>56</v>
      </c>
      <c r="AH44" s="30" t="s">
        <v>52</v>
      </c>
      <c r="AI44" s="30" t="s">
        <v>54</v>
      </c>
      <c r="AJ44" s="30" t="s">
        <v>54</v>
      </c>
      <c r="AK44" s="30" t="s">
        <v>54</v>
      </c>
      <c r="AL44" s="30" t="s">
        <v>54</v>
      </c>
      <c r="AM44" s="30" t="s">
        <v>0</v>
      </c>
      <c r="AN44" s="30" t="s">
        <v>0</v>
      </c>
      <c r="AO44" s="45">
        <v>0</v>
      </c>
      <c r="AP44" s="46">
        <f t="shared" si="9"/>
        <v>0</v>
      </c>
      <c r="AQ44" s="46">
        <v>0</v>
      </c>
      <c r="AR44" s="41">
        <f t="shared" si="15"/>
        <v>0</v>
      </c>
      <c r="AS44" s="329" t="s">
        <v>128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</row>
    <row r="45" spans="1:225" s="50" customFormat="1" ht="25.2" customHeight="1">
      <c r="A45" s="38">
        <f t="shared" si="0"/>
        <v>8</v>
      </c>
      <c r="B45" s="39">
        <f t="shared" si="1"/>
        <v>3</v>
      </c>
      <c r="C45" s="40">
        <f t="shared" si="2"/>
        <v>2</v>
      </c>
      <c r="D45" s="39">
        <f t="shared" si="3"/>
        <v>4</v>
      </c>
      <c r="E45" s="41">
        <f t="shared" si="4"/>
        <v>3</v>
      </c>
      <c r="F45" s="41">
        <f t="shared" si="5"/>
        <v>4</v>
      </c>
      <c r="G45" s="41">
        <f t="shared" si="6"/>
        <v>4</v>
      </c>
      <c r="H45" s="41">
        <f t="shared" si="7"/>
        <v>2</v>
      </c>
      <c r="I45" s="177">
        <f t="shared" si="31"/>
        <v>30</v>
      </c>
      <c r="J45" s="68" t="s">
        <v>32</v>
      </c>
      <c r="K45" s="326" t="s">
        <v>0</v>
      </c>
      <c r="L45" s="30" t="s">
        <v>52</v>
      </c>
      <c r="M45" s="30" t="s">
        <v>54</v>
      </c>
      <c r="N45" s="30" t="s">
        <v>54</v>
      </c>
      <c r="O45" s="30" t="s">
        <v>54</v>
      </c>
      <c r="P45" s="30" t="s">
        <v>54</v>
      </c>
      <c r="Q45" s="30" t="s">
        <v>54</v>
      </c>
      <c r="R45" s="30" t="s">
        <v>0</v>
      </c>
      <c r="S45" s="53" t="s">
        <v>3</v>
      </c>
      <c r="T45" s="30" t="s">
        <v>54</v>
      </c>
      <c r="U45" s="32" t="s">
        <v>1</v>
      </c>
      <c r="V45" s="44" t="s">
        <v>52</v>
      </c>
      <c r="W45" s="44" t="s">
        <v>53</v>
      </c>
      <c r="X45" s="32" t="s">
        <v>1</v>
      </c>
      <c r="Y45" s="32" t="s">
        <v>0</v>
      </c>
      <c r="Z45" s="30" t="s">
        <v>3</v>
      </c>
      <c r="AA45" s="30" t="s">
        <v>54</v>
      </c>
      <c r="AB45" s="30" t="s">
        <v>56</v>
      </c>
      <c r="AC45" s="30" t="s">
        <v>56</v>
      </c>
      <c r="AD45" s="30" t="s">
        <v>56</v>
      </c>
      <c r="AE45" s="30" t="s">
        <v>52</v>
      </c>
      <c r="AF45" s="30" t="s">
        <v>3</v>
      </c>
      <c r="AG45" s="53" t="s">
        <v>3</v>
      </c>
      <c r="AH45" s="30" t="s">
        <v>54</v>
      </c>
      <c r="AI45" s="32" t="s">
        <v>1</v>
      </c>
      <c r="AJ45" s="44" t="s">
        <v>53</v>
      </c>
      <c r="AK45" s="44" t="s">
        <v>0</v>
      </c>
      <c r="AL45" s="32" t="s">
        <v>52</v>
      </c>
      <c r="AM45" s="30" t="s">
        <v>55</v>
      </c>
      <c r="AN45" s="30" t="s">
        <v>55</v>
      </c>
      <c r="AO45" s="45">
        <v>0</v>
      </c>
      <c r="AP45" s="46">
        <f t="shared" si="9"/>
        <v>0</v>
      </c>
      <c r="AQ45" s="46">
        <v>0</v>
      </c>
      <c r="AR45" s="41">
        <f t="shared" si="15"/>
        <v>0</v>
      </c>
      <c r="AS45" s="329" t="s">
        <v>128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</row>
    <row r="46" spans="1:225" s="50" customFormat="1" ht="30.6" customHeight="1" thickBot="1">
      <c r="A46" s="69">
        <f t="shared" si="0"/>
        <v>4</v>
      </c>
      <c r="B46" s="70">
        <f t="shared" si="1"/>
        <v>6</v>
      </c>
      <c r="C46" s="71">
        <f t="shared" si="2"/>
        <v>5</v>
      </c>
      <c r="D46" s="70">
        <f t="shared" si="3"/>
        <v>3</v>
      </c>
      <c r="E46" s="63">
        <f t="shared" si="4"/>
        <v>2</v>
      </c>
      <c r="F46" s="63">
        <f t="shared" si="5"/>
        <v>4</v>
      </c>
      <c r="G46" s="63">
        <f t="shared" si="6"/>
        <v>4</v>
      </c>
      <c r="H46" s="63">
        <f t="shared" si="7"/>
        <v>2</v>
      </c>
      <c r="I46" s="178">
        <f t="shared" si="31"/>
        <v>30</v>
      </c>
      <c r="J46" s="72" t="s">
        <v>33</v>
      </c>
      <c r="K46" s="58" t="s">
        <v>0</v>
      </c>
      <c r="L46" s="60" t="s">
        <v>56</v>
      </c>
      <c r="M46" s="59" t="s">
        <v>52</v>
      </c>
      <c r="N46" s="60" t="s">
        <v>3</v>
      </c>
      <c r="O46" s="59" t="s">
        <v>53</v>
      </c>
      <c r="P46" s="52" t="s">
        <v>1</v>
      </c>
      <c r="Q46" s="52" t="s">
        <v>1</v>
      </c>
      <c r="R46" s="422" t="s">
        <v>0</v>
      </c>
      <c r="S46" s="337" t="s">
        <v>55</v>
      </c>
      <c r="T46" s="337" t="s">
        <v>55</v>
      </c>
      <c r="U46" s="337" t="s">
        <v>52</v>
      </c>
      <c r="V46" s="337" t="s">
        <v>56</v>
      </c>
      <c r="W46" s="337" t="s">
        <v>56</v>
      </c>
      <c r="X46" s="337" t="s">
        <v>56</v>
      </c>
      <c r="Y46" s="337" t="s">
        <v>56</v>
      </c>
      <c r="Z46" s="337" t="s">
        <v>52</v>
      </c>
      <c r="AA46" s="337" t="s">
        <v>3</v>
      </c>
      <c r="AB46" s="337" t="s">
        <v>54</v>
      </c>
      <c r="AC46" s="423" t="s">
        <v>53</v>
      </c>
      <c r="AD46" s="423" t="s">
        <v>0</v>
      </c>
      <c r="AE46" s="337" t="s">
        <v>54</v>
      </c>
      <c r="AF46" s="337" t="s">
        <v>54</v>
      </c>
      <c r="AG46" s="337" t="s">
        <v>54</v>
      </c>
      <c r="AH46" s="337" t="s">
        <v>3</v>
      </c>
      <c r="AI46" s="337" t="s">
        <v>52</v>
      </c>
      <c r="AJ46" s="337" t="s">
        <v>55</v>
      </c>
      <c r="AK46" s="60" t="s">
        <v>55</v>
      </c>
      <c r="AL46" s="60" t="s">
        <v>55</v>
      </c>
      <c r="AM46" s="60" t="s">
        <v>0</v>
      </c>
      <c r="AN46" s="48" t="s">
        <v>56</v>
      </c>
      <c r="AO46" s="286">
        <v>0</v>
      </c>
      <c r="AP46" s="74">
        <f t="shared" si="9"/>
        <v>0</v>
      </c>
      <c r="AQ46" s="74">
        <v>0</v>
      </c>
      <c r="AR46" s="63">
        <f t="shared" si="15"/>
        <v>0</v>
      </c>
      <c r="AS46" s="330" t="s">
        <v>128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</row>
    <row r="47" spans="1:225" s="77" customFormat="1" ht="18" customHeight="1" thickBot="1">
      <c r="A47" s="75"/>
      <c r="B47" s="75"/>
      <c r="C47" s="75"/>
      <c r="D47" s="75"/>
      <c r="E47" s="76"/>
      <c r="I47" s="75"/>
      <c r="J47" s="434">
        <v>1</v>
      </c>
      <c r="K47" s="429" cm="2">
        <f t="array" ref="K47">SUMPRODUCT(COUNTIF(K4:K46,{"1";"M1"}))</f>
        <v>5</v>
      </c>
      <c r="L47" s="402" cm="2">
        <f t="array" ref="L47">SUMPRODUCT(COUNTIF(L4:L46,{"1";"M1"}))</f>
        <v>5</v>
      </c>
      <c r="M47" s="402" cm="2">
        <f t="array" ref="M47">SUMPRODUCT(COUNTIF(M4:M46,{"1";"M1"}))</f>
        <v>5</v>
      </c>
      <c r="N47" s="402" cm="2">
        <f t="array" ref="N47">SUMPRODUCT(COUNTIF(N4:N46,{"1";"M1"}))</f>
        <v>5</v>
      </c>
      <c r="O47" s="402" cm="2">
        <f t="array" ref="O47">SUMPRODUCT(COUNTIF(O4:O46,{"1";"M1"}))</f>
        <v>3</v>
      </c>
      <c r="P47" s="402" cm="2">
        <f t="array" ref="P47">SUMPRODUCT(COUNTIF(P4:P46,{"1";"M1"}))</f>
        <v>3</v>
      </c>
      <c r="Q47" s="402" cm="2">
        <f t="array" ref="Q47">SUMPRODUCT(COUNTIF(Q4:Q46,{"1";"M1"}))</f>
        <v>6</v>
      </c>
      <c r="R47" s="402" cm="2">
        <f t="array" ref="R47">SUMPRODUCT(COUNTIF(R4:R46,{"1";"M1"}))</f>
        <v>6</v>
      </c>
      <c r="S47" s="402" cm="2">
        <f t="array" ref="S47">SUMPRODUCT(COUNTIF(S4:S46,{"1";"M1"}))</f>
        <v>6</v>
      </c>
      <c r="T47" s="402" cm="2">
        <f t="array" ref="T47">SUMPRODUCT(COUNTIF(T4:T46,{"1";"M1"}))</f>
        <v>6</v>
      </c>
      <c r="U47" s="402" cm="2">
        <f t="array" ref="U47">SUMPRODUCT(COUNTIF(U4:U46,{"1";"M1"}))</f>
        <v>6</v>
      </c>
      <c r="V47" s="402" cm="2">
        <f t="array" ref="V47">SUMPRODUCT(COUNTIF(V4:V46,{"1";"M1"}))</f>
        <v>3</v>
      </c>
      <c r="W47" s="402" cm="2">
        <f t="array" ref="W47">SUMPRODUCT(COUNTIF(W4:W46,{"1";"M1"}))</f>
        <v>3</v>
      </c>
      <c r="X47" s="402" cm="2">
        <f t="array" ref="X47">SUMPRODUCT(COUNTIF(X4:X46,{"1";"M1"}))</f>
        <v>6</v>
      </c>
      <c r="Y47" s="402" cm="2">
        <f t="array" ref="Y47">SUMPRODUCT(COUNTIF(Y4:Y46,{"1";"M1"}))</f>
        <v>6</v>
      </c>
      <c r="Z47" s="402" cm="2">
        <f t="array" ref="Z47">SUMPRODUCT(COUNTIF(Z4:Z46,{"1";"M1"}))</f>
        <v>6</v>
      </c>
      <c r="AA47" s="402" cm="2">
        <f t="array" ref="AA47">SUMPRODUCT(COUNTIF(AA4:AA46,{"1";"M1"}))</f>
        <v>7</v>
      </c>
      <c r="AB47" s="402" cm="2">
        <f t="array" ref="AB47">SUMPRODUCT(COUNTIF(AB4:AB46,{"1";"M1"}))</f>
        <v>7</v>
      </c>
      <c r="AC47" s="402" cm="2">
        <f t="array" ref="AC47">SUMPRODUCT(COUNTIF(AC4:AC46,{"1";"M1"}))</f>
        <v>3</v>
      </c>
      <c r="AD47" s="402" cm="2">
        <f t="array" ref="AD47">SUMPRODUCT(COUNTIF(AD4:AD46,{"1";"M1"}))</f>
        <v>3</v>
      </c>
      <c r="AE47" s="402" cm="2">
        <f t="array" ref="AE47">SUMPRODUCT(COUNTIF(AE4:AE46,{"1";"M1"}))</f>
        <v>6</v>
      </c>
      <c r="AF47" s="402" cm="2">
        <f t="array" ref="AF47">SUMPRODUCT(COUNTIF(AF4:AF46,{"1";"M1"}))</f>
        <v>6</v>
      </c>
      <c r="AG47" s="402" cm="2">
        <f t="array" ref="AG47">SUMPRODUCT(COUNTIF(AG4:AG46,{"1";"M1"}))</f>
        <v>6</v>
      </c>
      <c r="AH47" s="402" cm="2">
        <f t="array" ref="AH47">SUMPRODUCT(COUNTIF(AH4:AH46,{"1";"M1"}))</f>
        <v>6</v>
      </c>
      <c r="AI47" s="402" cm="2">
        <f t="array" ref="AI47">SUMPRODUCT(COUNTIF(AI4:AI46,{"1";"M1"}))</f>
        <v>3</v>
      </c>
      <c r="AJ47" s="402" cm="2">
        <f t="array" ref="AJ47">SUMPRODUCT(COUNTIF(AJ4:AJ46,{"1";"M1"}))</f>
        <v>3</v>
      </c>
      <c r="AK47" s="402" cm="2">
        <f t="array" ref="AK47">SUMPRODUCT(COUNTIF(AK4:AK46,{"1";"M1"}))</f>
        <v>3</v>
      </c>
      <c r="AL47" s="402" cm="2">
        <f t="array" ref="AL47">SUMPRODUCT(COUNTIF(AL4:AL46,{"1";"M1"}))</f>
        <v>3</v>
      </c>
      <c r="AM47" s="402" cm="2">
        <f t="array" ref="AM47">SUMPRODUCT(COUNTIF(AM4:AM46,{"1";"M1"}))</f>
        <v>5</v>
      </c>
      <c r="AN47" s="402" cm="2">
        <f t="array" ref="AN47">SUMPRODUCT(COUNTIF(AN4:AN46,{"1";"M1"}))</f>
        <v>5</v>
      </c>
      <c r="AP47" s="50"/>
      <c r="AQ47" s="6"/>
      <c r="AR47" s="75"/>
      <c r="AS47" s="79"/>
      <c r="AT47" s="79"/>
      <c r="AW47" s="6"/>
      <c r="AX47" s="6"/>
      <c r="AY47" s="6"/>
    </row>
    <row r="48" spans="1:225" s="77" customFormat="1" ht="18" customHeight="1">
      <c r="A48" s="80"/>
      <c r="B48" s="80"/>
      <c r="C48" s="81"/>
      <c r="D48" s="81"/>
      <c r="E48" s="75"/>
      <c r="I48" s="81"/>
      <c r="J48" s="82">
        <v>2</v>
      </c>
      <c r="K48" s="430" cm="2">
        <f t="array" ref="K48">SUMPRODUCT(COUNTIF(K4:K46,{"2";"M2"}))</f>
        <v>3</v>
      </c>
      <c r="L48" s="405" cm="2">
        <f t="array" ref="L48">SUMPRODUCT(COUNTIF(L4:L46,{"2";"M2"}))</f>
        <v>3</v>
      </c>
      <c r="M48" s="405" cm="2">
        <f t="array" ref="M48">SUMPRODUCT(COUNTIF(M4:M46,{"2";"M2"}))</f>
        <v>3</v>
      </c>
      <c r="N48" s="405" cm="2">
        <f t="array" ref="N48">SUMPRODUCT(COUNTIF(N4:N46,{"2";"M2"}))</f>
        <v>3</v>
      </c>
      <c r="O48" s="405" cm="2">
        <f t="array" ref="O48">SUMPRODUCT(COUNTIF(O4:O46,{"2";"M2"}))</f>
        <v>3</v>
      </c>
      <c r="P48" s="405" cm="2">
        <f t="array" ref="P48">SUMPRODUCT(COUNTIF(P4:P46,{"2";"M2"}))</f>
        <v>3</v>
      </c>
      <c r="Q48" s="405" cm="2">
        <f t="array" ref="Q48">SUMPRODUCT(COUNTIF(Q4:Q46,{"2";"M2"}))</f>
        <v>3</v>
      </c>
      <c r="R48" s="405" cm="2">
        <f t="array" ref="R48">SUMPRODUCT(COUNTIF(R4:R46,{"2";"M2"}))</f>
        <v>3</v>
      </c>
      <c r="S48" s="405" cm="2">
        <f t="array" ref="S48">SUMPRODUCT(COUNTIF(S4:S46,{"2";"M2"}))</f>
        <v>3</v>
      </c>
      <c r="T48" s="405" cm="2">
        <f t="array" ref="T48">SUMPRODUCT(COUNTIF(T4:T46,{"2";"M2"}))</f>
        <v>3</v>
      </c>
      <c r="U48" s="405" cm="2">
        <f t="array" ref="U48">SUMPRODUCT(COUNTIF(U4:U46,{"2";"M2"}))</f>
        <v>3</v>
      </c>
      <c r="V48" s="405" cm="2">
        <f t="array" ref="V48">SUMPRODUCT(COUNTIF(V4:V46,{"2";"M2"}))</f>
        <v>3</v>
      </c>
      <c r="W48" s="405" cm="2">
        <f t="array" ref="W48">SUMPRODUCT(COUNTIF(W4:W46,{"2";"M2"}))</f>
        <v>3</v>
      </c>
      <c r="X48" s="405" cm="2">
        <f t="array" ref="X48">SUMPRODUCT(COUNTIF(X4:X46,{"2";"M2"}))</f>
        <v>3</v>
      </c>
      <c r="Y48" s="405" cm="2">
        <f t="array" ref="Y48">SUMPRODUCT(COUNTIF(Y4:Y46,{"2";"M2"}))</f>
        <v>3</v>
      </c>
      <c r="Z48" s="405" cm="2">
        <f t="array" ref="Z48">SUMPRODUCT(COUNTIF(Z4:Z46,{"2";"M2"}))</f>
        <v>3</v>
      </c>
      <c r="AA48" s="405" cm="2">
        <f t="array" ref="AA48">SUMPRODUCT(COUNTIF(AA4:AA46,{"2";"M2"}))</f>
        <v>3</v>
      </c>
      <c r="AB48" s="405" cm="2">
        <f t="array" ref="AB48">SUMPRODUCT(COUNTIF(AB4:AB46,{"2";"M2"}))</f>
        <v>3</v>
      </c>
      <c r="AC48" s="405" cm="2">
        <f t="array" ref="AC48">SUMPRODUCT(COUNTIF(AC4:AC46,{"2";"M2"}))</f>
        <v>3</v>
      </c>
      <c r="AD48" s="405" cm="2">
        <f t="array" ref="AD48">SUMPRODUCT(COUNTIF(AD4:AD46,{"2";"M2"}))</f>
        <v>3</v>
      </c>
      <c r="AE48" s="405" cm="2">
        <f t="array" ref="AE48">SUMPRODUCT(COUNTIF(AE4:AE46,{"2";"M2"}))</f>
        <v>3</v>
      </c>
      <c r="AF48" s="405" cm="2">
        <f t="array" ref="AF48">SUMPRODUCT(COUNTIF(AF4:AF46,{"2";"M2"}))</f>
        <v>3</v>
      </c>
      <c r="AG48" s="405" cm="2">
        <f t="array" ref="AG48">SUMPRODUCT(COUNTIF(AG4:AG46,{"2";"M2"}))</f>
        <v>3</v>
      </c>
      <c r="AH48" s="405" cm="2">
        <f t="array" ref="AH48">SUMPRODUCT(COUNTIF(AH4:AH46,{"2";"M2"}))</f>
        <v>3</v>
      </c>
      <c r="AI48" s="405" cm="2">
        <f t="array" ref="AI48">SUMPRODUCT(COUNTIF(AI4:AI46,{"2";"M2"}))</f>
        <v>3</v>
      </c>
      <c r="AJ48" s="405" cm="2">
        <f t="array" ref="AJ48">SUMPRODUCT(COUNTIF(AJ4:AJ46,{"2";"M2"}))</f>
        <v>3</v>
      </c>
      <c r="AK48" s="405" cm="2">
        <f t="array" ref="AK48">SUMPRODUCT(COUNTIF(AK4:AK46,{"2";"M2"}))</f>
        <v>3</v>
      </c>
      <c r="AL48" s="405" cm="2">
        <f t="array" ref="AL48">SUMPRODUCT(COUNTIF(AL4:AL46,{"2";"M2"}))</f>
        <v>3</v>
      </c>
      <c r="AM48" s="405" cm="2">
        <f t="array" ref="AM48">SUMPRODUCT(COUNTIF(AM4:AM46,{"2";"M2"}))</f>
        <v>5</v>
      </c>
      <c r="AN48" s="405" cm="2">
        <f t="array" ref="AN48">SUMPRODUCT(COUNTIF(AN4:AN46,{"2";"M2"}))</f>
        <v>5</v>
      </c>
      <c r="AP48" s="50"/>
      <c r="AQ48" s="6" t="s">
        <v>34</v>
      </c>
      <c r="AR48" s="75" t="s">
        <v>35</v>
      </c>
      <c r="AS48" s="84"/>
      <c r="AT48" s="84"/>
    </row>
    <row r="49" spans="1:51" s="77" customFormat="1" ht="18" customHeight="1" thickBot="1">
      <c r="A49" s="80"/>
      <c r="B49" s="80"/>
      <c r="C49" s="81"/>
      <c r="D49" s="81"/>
      <c r="E49" s="75"/>
      <c r="I49" s="81"/>
      <c r="J49" s="85">
        <v>3</v>
      </c>
      <c r="K49" s="431">
        <f t="shared" ref="K49:AN49" si="32">COUNTIF(K4:K46,3)</f>
        <v>3</v>
      </c>
      <c r="L49" s="408">
        <f t="shared" si="32"/>
        <v>3</v>
      </c>
      <c r="M49" s="408">
        <f t="shared" si="32"/>
        <v>3</v>
      </c>
      <c r="N49" s="408">
        <f t="shared" si="32"/>
        <v>3</v>
      </c>
      <c r="O49" s="408">
        <f t="shared" si="32"/>
        <v>2</v>
      </c>
      <c r="P49" s="408">
        <f t="shared" si="32"/>
        <v>2</v>
      </c>
      <c r="Q49" s="408">
        <f t="shared" si="32"/>
        <v>3</v>
      </c>
      <c r="R49" s="408">
        <f t="shared" si="32"/>
        <v>3</v>
      </c>
      <c r="S49" s="408">
        <f t="shared" si="32"/>
        <v>3</v>
      </c>
      <c r="T49" s="408">
        <f t="shared" si="32"/>
        <v>3</v>
      </c>
      <c r="U49" s="408">
        <f t="shared" si="32"/>
        <v>3</v>
      </c>
      <c r="V49" s="408">
        <f t="shared" si="32"/>
        <v>2</v>
      </c>
      <c r="W49" s="408">
        <f t="shared" si="32"/>
        <v>2</v>
      </c>
      <c r="X49" s="408">
        <f t="shared" si="32"/>
        <v>3</v>
      </c>
      <c r="Y49" s="408">
        <f t="shared" si="32"/>
        <v>3</v>
      </c>
      <c r="Z49" s="408">
        <f t="shared" si="32"/>
        <v>3</v>
      </c>
      <c r="AA49" s="408">
        <f t="shared" si="32"/>
        <v>3</v>
      </c>
      <c r="AB49" s="408">
        <f t="shared" si="32"/>
        <v>3</v>
      </c>
      <c r="AC49" s="408">
        <f t="shared" si="32"/>
        <v>2</v>
      </c>
      <c r="AD49" s="408">
        <f t="shared" si="32"/>
        <v>2</v>
      </c>
      <c r="AE49" s="408">
        <f t="shared" si="32"/>
        <v>4</v>
      </c>
      <c r="AF49" s="408">
        <f t="shared" si="32"/>
        <v>4</v>
      </c>
      <c r="AG49" s="408">
        <f t="shared" si="32"/>
        <v>4</v>
      </c>
      <c r="AH49" s="408">
        <f t="shared" si="32"/>
        <v>4</v>
      </c>
      <c r="AI49" s="408">
        <f t="shared" si="32"/>
        <v>2</v>
      </c>
      <c r="AJ49" s="408">
        <f t="shared" si="32"/>
        <v>2</v>
      </c>
      <c r="AK49" s="408">
        <f t="shared" si="32"/>
        <v>2</v>
      </c>
      <c r="AL49" s="408">
        <f t="shared" si="32"/>
        <v>2</v>
      </c>
      <c r="AM49" s="408">
        <f t="shared" si="32"/>
        <v>3</v>
      </c>
      <c r="AN49" s="408">
        <f t="shared" si="32"/>
        <v>3</v>
      </c>
      <c r="AP49" s="75" t="s">
        <v>109</v>
      </c>
      <c r="AQ49" s="75">
        <f>37*30</f>
        <v>1110</v>
      </c>
      <c r="AR49" s="75">
        <f>6*30</f>
        <v>180</v>
      </c>
      <c r="AS49" s="84"/>
      <c r="AT49" s="84"/>
    </row>
    <row r="50" spans="1:51" s="77" customFormat="1" ht="18" customHeight="1">
      <c r="A50" s="80"/>
      <c r="B50" s="80"/>
      <c r="C50" s="81"/>
      <c r="D50" s="81"/>
      <c r="E50" s="75"/>
      <c r="I50" s="81"/>
      <c r="J50" s="86" t="s">
        <v>36</v>
      </c>
      <c r="K50" s="432" cm="2">
        <f t="array" ref="K50">SUMPRODUCT(COUNTIF(K4:K46,{"早";"T早"}))</f>
        <v>5</v>
      </c>
      <c r="L50" s="411" cm="2">
        <f t="array" ref="L50">SUMPRODUCT(COUNTIF(L4:L46,{"早";"T早"}))</f>
        <v>5</v>
      </c>
      <c r="M50" s="411" cm="2">
        <f t="array" ref="M50">SUMPRODUCT(COUNTIF(M4:M46,{"早";"T早"}))</f>
        <v>5</v>
      </c>
      <c r="N50" s="411" cm="2">
        <f t="array" ref="N50">SUMPRODUCT(COUNTIF(N4:N46,{"早";"T早"}))</f>
        <v>5</v>
      </c>
      <c r="O50" s="411" cm="2">
        <f t="array" ref="O50">SUMPRODUCT(COUNTIF(O4:O46,{"早";"T早"}))</f>
        <v>3</v>
      </c>
      <c r="P50" s="411" cm="2">
        <f t="array" ref="P50">SUMPRODUCT(COUNTIF(P4:P46,{"早";"T早"}))</f>
        <v>3</v>
      </c>
      <c r="Q50" s="411" cm="2">
        <f t="array" ref="Q50">SUMPRODUCT(COUNTIF(Q4:Q46,{"早";"T早"}))</f>
        <v>5</v>
      </c>
      <c r="R50" s="411" cm="2">
        <f t="array" ref="R50">SUMPRODUCT(COUNTIF(R4:R46,{"早";"T早"}))</f>
        <v>5</v>
      </c>
      <c r="S50" s="411" cm="2">
        <f t="array" ref="S50">SUMPRODUCT(COUNTIF(S4:S46,{"早";"T早"}))</f>
        <v>5</v>
      </c>
      <c r="T50" s="411" cm="2">
        <f t="array" ref="T50">SUMPRODUCT(COUNTIF(T4:T46,{"早";"T早"}))</f>
        <v>5</v>
      </c>
      <c r="U50" s="411" cm="2">
        <f t="array" ref="U50">SUMPRODUCT(COUNTIF(U4:U46,{"早";"T早"}))</f>
        <v>5</v>
      </c>
      <c r="V50" s="411" cm="2">
        <f t="array" ref="V50">SUMPRODUCT(COUNTIF(V4:V46,{"早";"T早"}))</f>
        <v>3</v>
      </c>
      <c r="W50" s="411" cm="2">
        <f t="array" ref="W50">SUMPRODUCT(COUNTIF(W4:W46,{"早";"T早"}))</f>
        <v>3</v>
      </c>
      <c r="X50" s="411" cm="2">
        <f t="array" ref="X50">SUMPRODUCT(COUNTIF(X4:X46,{"早";"T早"}))</f>
        <v>5</v>
      </c>
      <c r="Y50" s="411" cm="2">
        <f t="array" ref="Y50">SUMPRODUCT(COUNTIF(Y4:Y46,{"早";"T早"}))</f>
        <v>5</v>
      </c>
      <c r="Z50" s="411" cm="2">
        <f t="array" ref="Z50">SUMPRODUCT(COUNTIF(Z4:Z46,{"早";"T早"}))</f>
        <v>5</v>
      </c>
      <c r="AA50" s="411" cm="2">
        <f t="array" ref="AA50">SUMPRODUCT(COUNTIF(AA4:AA46,{"早";"T早"}))</f>
        <v>5</v>
      </c>
      <c r="AB50" s="411" cm="2">
        <f t="array" ref="AB50">SUMPRODUCT(COUNTIF(AB4:AB46,{"早";"T早"}))</f>
        <v>5</v>
      </c>
      <c r="AC50" s="411" cm="2">
        <f t="array" ref="AC50">SUMPRODUCT(COUNTIF(AC4:AC46,{"早";"T早"}))</f>
        <v>3</v>
      </c>
      <c r="AD50" s="411" cm="2">
        <f t="array" ref="AD50">SUMPRODUCT(COUNTIF(AD4:AD46,{"早";"T早"}))</f>
        <v>3</v>
      </c>
      <c r="AE50" s="411" cm="2">
        <f t="array" ref="AE50">SUMPRODUCT(COUNTIF(AE4:AE46,{"早";"T早"}))</f>
        <v>5</v>
      </c>
      <c r="AF50" s="411" cm="2">
        <f t="array" ref="AF50">SUMPRODUCT(COUNTIF(AF4:AF46,{"早";"T早"}))</f>
        <v>5</v>
      </c>
      <c r="AG50" s="411" cm="2">
        <f t="array" ref="AG50">SUMPRODUCT(COUNTIF(AG4:AG46,{"早";"T早"}))</f>
        <v>5</v>
      </c>
      <c r="AH50" s="411" cm="2">
        <f t="array" ref="AH50">SUMPRODUCT(COUNTIF(AH4:AH46,{"早";"T早"}))</f>
        <v>5</v>
      </c>
      <c r="AI50" s="411" cm="2">
        <f t="array" ref="AI50">SUMPRODUCT(COUNTIF(AI4:AI46,{"早";"T早"}))</f>
        <v>3</v>
      </c>
      <c r="AJ50" s="411" cm="2">
        <f t="array" ref="AJ50">SUMPRODUCT(COUNTIF(AJ4:AJ46,{"早";"T早"}))</f>
        <v>3</v>
      </c>
      <c r="AK50" s="411" cm="2">
        <f t="array" ref="AK50">SUMPRODUCT(COUNTIF(AK4:AK46,{"早";"T早"}))</f>
        <v>3</v>
      </c>
      <c r="AL50" s="411" cm="2">
        <f t="array" ref="AL50">SUMPRODUCT(COUNTIF(AL4:AL46,{"早";"T早"}))</f>
        <v>3</v>
      </c>
      <c r="AM50" s="411" cm="2">
        <f t="array" ref="AM50">SUMPRODUCT(COUNTIF(AM4:AM46,{"早";"T早"}))</f>
        <v>5</v>
      </c>
      <c r="AN50" s="411" cm="2">
        <f t="array" ref="AN50">SUMPRODUCT(COUNTIF(AN4:AN46,{"早";"T早"}))</f>
        <v>5</v>
      </c>
      <c r="AP50" s="87" t="s">
        <v>37</v>
      </c>
      <c r="AQ50" s="75">
        <f>22*(30-I1)</f>
        <v>440</v>
      </c>
      <c r="AR50" s="75">
        <f>3*(30-I1)</f>
        <v>60</v>
      </c>
      <c r="AU50" s="84"/>
    </row>
    <row r="51" spans="1:51" s="77" customFormat="1" ht="18" customHeight="1">
      <c r="A51" s="80"/>
      <c r="B51" s="80"/>
      <c r="C51" s="81"/>
      <c r="D51" s="81"/>
      <c r="E51" s="75"/>
      <c r="I51" s="81"/>
      <c r="J51" s="88" t="s">
        <v>38</v>
      </c>
      <c r="K51" s="433" cm="2">
        <f t="array" ref="K51">SUMPRODUCT(COUNTIF(K4:K46,{"中";"T中"}))</f>
        <v>3</v>
      </c>
      <c r="L51" s="414" cm="2">
        <f t="array" ref="L51">SUMPRODUCT(COUNTIF(L4:L46,{"中";"T中"}))</f>
        <v>3</v>
      </c>
      <c r="M51" s="414" cm="2">
        <f t="array" ref="M51">SUMPRODUCT(COUNTIF(M4:M46,{"中";"T中"}))</f>
        <v>3</v>
      </c>
      <c r="N51" s="414" cm="2">
        <f t="array" ref="N51">SUMPRODUCT(COUNTIF(N4:N46,{"中";"T中"}))</f>
        <v>3</v>
      </c>
      <c r="O51" s="414" cm="2">
        <f t="array" ref="O51">SUMPRODUCT(COUNTIF(O4:O46,{"中";"T中"}))</f>
        <v>3</v>
      </c>
      <c r="P51" s="414" cm="2">
        <f t="array" ref="P51">SUMPRODUCT(COUNTIF(P4:P46,{"中";"T中"}))</f>
        <v>3</v>
      </c>
      <c r="Q51" s="414" cm="2">
        <f t="array" ref="Q51">SUMPRODUCT(COUNTIF(Q4:Q46,{"中";"T中"}))</f>
        <v>3</v>
      </c>
      <c r="R51" s="414" cm="2">
        <f t="array" ref="R51">SUMPRODUCT(COUNTIF(R4:R46,{"中";"T中"}))</f>
        <v>3</v>
      </c>
      <c r="S51" s="414" cm="2">
        <f t="array" ref="S51">SUMPRODUCT(COUNTIF(S4:S46,{"中";"T中"}))</f>
        <v>3</v>
      </c>
      <c r="T51" s="414" cm="2">
        <f t="array" ref="T51">SUMPRODUCT(COUNTIF(T4:T46,{"中";"T中"}))</f>
        <v>3</v>
      </c>
      <c r="U51" s="414" cm="2">
        <f t="array" ref="U51">SUMPRODUCT(COUNTIF(U4:U46,{"中";"T中"}))</f>
        <v>3</v>
      </c>
      <c r="V51" s="414" cm="2">
        <f t="array" ref="V51">SUMPRODUCT(COUNTIF(V4:V46,{"中";"T中"}))</f>
        <v>3</v>
      </c>
      <c r="W51" s="414" cm="2">
        <f t="array" ref="W51">SUMPRODUCT(COUNTIF(W4:W46,{"中";"T中"}))</f>
        <v>3</v>
      </c>
      <c r="X51" s="414" cm="2">
        <f t="array" ref="X51">SUMPRODUCT(COUNTIF(X4:X46,{"中";"T中"}))</f>
        <v>3</v>
      </c>
      <c r="Y51" s="414" cm="2">
        <f t="array" ref="Y51">SUMPRODUCT(COUNTIF(Y4:Y46,{"中";"T中"}))</f>
        <v>3</v>
      </c>
      <c r="Z51" s="414" cm="2">
        <f t="array" ref="Z51">SUMPRODUCT(COUNTIF(Z4:Z46,{"中";"T中"}))</f>
        <v>3</v>
      </c>
      <c r="AA51" s="414" cm="2">
        <f t="array" ref="AA51">SUMPRODUCT(COUNTIF(AA4:AA46,{"中";"T中"}))</f>
        <v>3</v>
      </c>
      <c r="AB51" s="414" cm="2">
        <f t="array" ref="AB51">SUMPRODUCT(COUNTIF(AB4:AB46,{"中";"T中"}))</f>
        <v>3</v>
      </c>
      <c r="AC51" s="414" cm="2">
        <f t="array" ref="AC51">SUMPRODUCT(COUNTIF(AC4:AC46,{"中";"T中"}))</f>
        <v>3</v>
      </c>
      <c r="AD51" s="414" cm="2">
        <f t="array" ref="AD51">SUMPRODUCT(COUNTIF(AD4:AD46,{"中";"T中"}))</f>
        <v>3</v>
      </c>
      <c r="AE51" s="414" cm="2">
        <f t="array" ref="AE51">SUMPRODUCT(COUNTIF(AE4:AE46,{"中";"T中"}))</f>
        <v>3</v>
      </c>
      <c r="AF51" s="414" cm="2">
        <f t="array" ref="AF51">SUMPRODUCT(COUNTIF(AF4:AF46,{"中";"T中"}))</f>
        <v>3</v>
      </c>
      <c r="AG51" s="414" cm="2">
        <f t="array" ref="AG51">SUMPRODUCT(COUNTIF(AG4:AG46,{"中";"T中"}))</f>
        <v>3</v>
      </c>
      <c r="AH51" s="414" cm="2">
        <f t="array" ref="AH51">SUMPRODUCT(COUNTIF(AH4:AH46,{"中";"T中"}))</f>
        <v>3</v>
      </c>
      <c r="AI51" s="414" cm="2">
        <f t="array" ref="AI51">SUMPRODUCT(COUNTIF(AI4:AI46,{"中";"T中"}))</f>
        <v>3</v>
      </c>
      <c r="AJ51" s="414" cm="2">
        <f t="array" ref="AJ51">SUMPRODUCT(COUNTIF(AJ4:AJ46,{"中";"T中"}))</f>
        <v>3</v>
      </c>
      <c r="AK51" s="414" cm="2">
        <f t="array" ref="AK51">SUMPRODUCT(COUNTIF(AK4:AK46,{"中";"T中"}))</f>
        <v>3</v>
      </c>
      <c r="AL51" s="414" cm="2">
        <f t="array" ref="AL51">SUMPRODUCT(COUNTIF(AL4:AL46,{"中";"T中"}))</f>
        <v>3</v>
      </c>
      <c r="AM51" s="414" cm="2">
        <f t="array" ref="AM51">SUMPRODUCT(COUNTIF(AM4:AM46,{"中";"T中"}))</f>
        <v>3</v>
      </c>
      <c r="AN51" s="414" cm="2">
        <f t="array" ref="AN51">SUMPRODUCT(COUNTIF(AN4:AN46,{"中";"T中"}))</f>
        <v>3</v>
      </c>
      <c r="AP51" s="87" t="s">
        <v>39</v>
      </c>
      <c r="AQ51" s="75">
        <f>16*I1</f>
        <v>160</v>
      </c>
      <c r="AR51" s="75">
        <f>3*I1</f>
        <v>30</v>
      </c>
      <c r="AU51" s="89"/>
    </row>
    <row r="52" spans="1:51" s="77" customFormat="1" ht="18" customHeight="1" thickBot="1">
      <c r="A52" s="80"/>
      <c r="B52" s="80"/>
      <c r="C52" s="81"/>
      <c r="D52" s="81"/>
      <c r="E52" s="75"/>
      <c r="I52" s="81"/>
      <c r="J52" s="90" t="s">
        <v>40</v>
      </c>
      <c r="K52" s="431">
        <f t="shared" ref="K52:AN52" si="33">COUNTIF(K4:K46,"晚")</f>
        <v>3</v>
      </c>
      <c r="L52" s="408">
        <f t="shared" si="33"/>
        <v>3</v>
      </c>
      <c r="M52" s="408">
        <f t="shared" si="33"/>
        <v>3</v>
      </c>
      <c r="N52" s="408">
        <f t="shared" si="33"/>
        <v>3</v>
      </c>
      <c r="O52" s="408">
        <f t="shared" si="33"/>
        <v>2</v>
      </c>
      <c r="P52" s="408">
        <f t="shared" si="33"/>
        <v>2</v>
      </c>
      <c r="Q52" s="408">
        <f t="shared" si="33"/>
        <v>3</v>
      </c>
      <c r="R52" s="408">
        <f t="shared" si="33"/>
        <v>3</v>
      </c>
      <c r="S52" s="408">
        <f t="shared" si="33"/>
        <v>3</v>
      </c>
      <c r="T52" s="408">
        <f t="shared" si="33"/>
        <v>3</v>
      </c>
      <c r="U52" s="408">
        <f t="shared" si="33"/>
        <v>3</v>
      </c>
      <c r="V52" s="408">
        <f t="shared" si="33"/>
        <v>2</v>
      </c>
      <c r="W52" s="408">
        <f t="shared" si="33"/>
        <v>2</v>
      </c>
      <c r="X52" s="408">
        <f t="shared" si="33"/>
        <v>3</v>
      </c>
      <c r="Y52" s="408">
        <f t="shared" si="33"/>
        <v>3</v>
      </c>
      <c r="Z52" s="408">
        <f t="shared" si="33"/>
        <v>3</v>
      </c>
      <c r="AA52" s="408">
        <f t="shared" si="33"/>
        <v>3</v>
      </c>
      <c r="AB52" s="408">
        <f t="shared" si="33"/>
        <v>3</v>
      </c>
      <c r="AC52" s="408">
        <f t="shared" si="33"/>
        <v>2</v>
      </c>
      <c r="AD52" s="408">
        <f t="shared" si="33"/>
        <v>2</v>
      </c>
      <c r="AE52" s="408">
        <f t="shared" si="33"/>
        <v>3</v>
      </c>
      <c r="AF52" s="408">
        <f t="shared" si="33"/>
        <v>3</v>
      </c>
      <c r="AG52" s="408">
        <f t="shared" si="33"/>
        <v>3</v>
      </c>
      <c r="AH52" s="408">
        <f t="shared" si="33"/>
        <v>3</v>
      </c>
      <c r="AI52" s="408">
        <f t="shared" si="33"/>
        <v>2</v>
      </c>
      <c r="AJ52" s="408">
        <f t="shared" si="33"/>
        <v>2</v>
      </c>
      <c r="AK52" s="408">
        <f t="shared" si="33"/>
        <v>2</v>
      </c>
      <c r="AL52" s="408">
        <f t="shared" si="33"/>
        <v>2</v>
      </c>
      <c r="AM52" s="408">
        <f t="shared" si="33"/>
        <v>3</v>
      </c>
      <c r="AN52" s="408">
        <f t="shared" si="33"/>
        <v>3</v>
      </c>
      <c r="AP52" s="75" t="s">
        <v>0</v>
      </c>
      <c r="AQ52" s="91">
        <f>37*I1</f>
        <v>370</v>
      </c>
      <c r="AR52" s="75">
        <f>6*I1</f>
        <v>60</v>
      </c>
    </row>
    <row r="53" spans="1:51" s="77" customFormat="1" ht="18" customHeight="1">
      <c r="A53" s="80"/>
      <c r="B53" s="80"/>
      <c r="C53" s="81"/>
      <c r="D53" s="81"/>
      <c r="E53" s="75"/>
      <c r="I53" s="81"/>
      <c r="J53" s="86" t="s">
        <v>111</v>
      </c>
      <c r="K53" s="432">
        <f t="shared" ref="K53:AN53" si="34">COUNTIF(K4:K46,"日")</f>
        <v>1</v>
      </c>
      <c r="L53" s="411">
        <f t="shared" si="34"/>
        <v>1</v>
      </c>
      <c r="M53" s="411">
        <f t="shared" si="34"/>
        <v>1</v>
      </c>
      <c r="N53" s="411">
        <f t="shared" si="34"/>
        <v>1</v>
      </c>
      <c r="O53" s="411">
        <f t="shared" si="34"/>
        <v>1</v>
      </c>
      <c r="P53" s="411">
        <f t="shared" si="34"/>
        <v>1</v>
      </c>
      <c r="Q53" s="411">
        <f t="shared" si="34"/>
        <v>1</v>
      </c>
      <c r="R53" s="411">
        <f t="shared" si="34"/>
        <v>1</v>
      </c>
      <c r="S53" s="411">
        <f t="shared" si="34"/>
        <v>1</v>
      </c>
      <c r="T53" s="411">
        <f t="shared" si="34"/>
        <v>1</v>
      </c>
      <c r="U53" s="411">
        <f t="shared" si="34"/>
        <v>1</v>
      </c>
      <c r="V53" s="411">
        <f t="shared" si="34"/>
        <v>1</v>
      </c>
      <c r="W53" s="411">
        <f t="shared" si="34"/>
        <v>1</v>
      </c>
      <c r="X53" s="411">
        <f t="shared" si="34"/>
        <v>1</v>
      </c>
      <c r="Y53" s="411">
        <f t="shared" si="34"/>
        <v>1</v>
      </c>
      <c r="Z53" s="411">
        <f t="shared" si="34"/>
        <v>1</v>
      </c>
      <c r="AA53" s="411">
        <f t="shared" si="34"/>
        <v>1</v>
      </c>
      <c r="AB53" s="411">
        <f t="shared" si="34"/>
        <v>1</v>
      </c>
      <c r="AC53" s="411">
        <f t="shared" si="34"/>
        <v>1</v>
      </c>
      <c r="AD53" s="411">
        <f t="shared" si="34"/>
        <v>1</v>
      </c>
      <c r="AE53" s="411">
        <f t="shared" si="34"/>
        <v>1</v>
      </c>
      <c r="AF53" s="411">
        <f t="shared" si="34"/>
        <v>1</v>
      </c>
      <c r="AG53" s="411">
        <f t="shared" si="34"/>
        <v>1</v>
      </c>
      <c r="AH53" s="411">
        <f t="shared" si="34"/>
        <v>1</v>
      </c>
      <c r="AI53" s="411">
        <f t="shared" si="34"/>
        <v>1</v>
      </c>
      <c r="AJ53" s="411">
        <f t="shared" si="34"/>
        <v>1</v>
      </c>
      <c r="AK53" s="411">
        <f t="shared" si="34"/>
        <v>1</v>
      </c>
      <c r="AL53" s="411">
        <f t="shared" si="34"/>
        <v>1</v>
      </c>
      <c r="AM53" s="411">
        <f t="shared" si="34"/>
        <v>1</v>
      </c>
      <c r="AN53" s="411">
        <f t="shared" si="34"/>
        <v>1</v>
      </c>
      <c r="AP53" s="50" t="s">
        <v>104</v>
      </c>
      <c r="AQ53" s="91" cm="1">
        <f t="array" ref="AQ53">SUMPRODUCT(COUNTIF(K4:AN40,{"N";"N8"}))</f>
        <v>71</v>
      </c>
      <c r="AR53" s="91" cm="1">
        <f t="array" ref="AR53">SUMPRODUCT(COUNTIF(K41:AN46,{"N";"N8"}))</f>
        <v>16</v>
      </c>
    </row>
    <row r="54" spans="1:51" s="77" customFormat="1" ht="18" customHeight="1">
      <c r="A54" s="80"/>
      <c r="B54" s="80"/>
      <c r="C54" s="81"/>
      <c r="D54" s="81"/>
      <c r="E54" s="75"/>
      <c r="I54" s="81"/>
      <c r="J54" s="88" t="s">
        <v>143</v>
      </c>
      <c r="K54" s="433">
        <f t="shared" ref="K54:AN54" si="35">COUNTIF(K4:K46,"小夜")</f>
        <v>1</v>
      </c>
      <c r="L54" s="414">
        <f t="shared" si="35"/>
        <v>1</v>
      </c>
      <c r="M54" s="414">
        <f t="shared" si="35"/>
        <v>1</v>
      </c>
      <c r="N54" s="414">
        <f t="shared" si="35"/>
        <v>1</v>
      </c>
      <c r="O54" s="414">
        <f t="shared" si="35"/>
        <v>1</v>
      </c>
      <c r="P54" s="414">
        <f t="shared" si="35"/>
        <v>1</v>
      </c>
      <c r="Q54" s="414">
        <f t="shared" si="35"/>
        <v>1</v>
      </c>
      <c r="R54" s="414">
        <f t="shared" si="35"/>
        <v>1</v>
      </c>
      <c r="S54" s="414">
        <f t="shared" si="35"/>
        <v>1</v>
      </c>
      <c r="T54" s="414">
        <f t="shared" si="35"/>
        <v>1</v>
      </c>
      <c r="U54" s="414">
        <f t="shared" si="35"/>
        <v>1</v>
      </c>
      <c r="V54" s="414">
        <f t="shared" si="35"/>
        <v>1</v>
      </c>
      <c r="W54" s="414">
        <f t="shared" si="35"/>
        <v>1</v>
      </c>
      <c r="X54" s="414">
        <f t="shared" si="35"/>
        <v>1</v>
      </c>
      <c r="Y54" s="414">
        <f t="shared" si="35"/>
        <v>1</v>
      </c>
      <c r="Z54" s="414">
        <f t="shared" si="35"/>
        <v>1</v>
      </c>
      <c r="AA54" s="414">
        <f t="shared" si="35"/>
        <v>1</v>
      </c>
      <c r="AB54" s="414">
        <f t="shared" si="35"/>
        <v>1</v>
      </c>
      <c r="AC54" s="414">
        <f t="shared" si="35"/>
        <v>1</v>
      </c>
      <c r="AD54" s="414">
        <f t="shared" si="35"/>
        <v>1</v>
      </c>
      <c r="AE54" s="414">
        <f t="shared" si="35"/>
        <v>1</v>
      </c>
      <c r="AF54" s="414">
        <f t="shared" si="35"/>
        <v>1</v>
      </c>
      <c r="AG54" s="414">
        <f t="shared" si="35"/>
        <v>1</v>
      </c>
      <c r="AH54" s="414">
        <f t="shared" si="35"/>
        <v>1</v>
      </c>
      <c r="AI54" s="414">
        <f t="shared" si="35"/>
        <v>1</v>
      </c>
      <c r="AJ54" s="414">
        <f t="shared" si="35"/>
        <v>1</v>
      </c>
      <c r="AK54" s="414">
        <f t="shared" si="35"/>
        <v>1</v>
      </c>
      <c r="AL54" s="414">
        <f t="shared" si="35"/>
        <v>1</v>
      </c>
      <c r="AM54" s="414">
        <f t="shared" si="35"/>
        <v>1</v>
      </c>
      <c r="AN54" s="414">
        <f t="shared" si="35"/>
        <v>1</v>
      </c>
      <c r="AP54" s="50" t="s">
        <v>105</v>
      </c>
      <c r="AQ54" s="92">
        <f>SUMPRODUCT(COUNTIF(K4:AN40,{"S"}))</f>
        <v>46</v>
      </c>
      <c r="AR54" s="75" cm="2">
        <f t="array" ref="AR54">SUMPRODUCT(COUNTIF(K41:AN46,{"S"}))</f>
        <v>14</v>
      </c>
    </row>
    <row r="55" spans="1:51" s="77" customFormat="1" ht="18" customHeight="1" thickBot="1">
      <c r="A55" s="80"/>
      <c r="B55" s="80"/>
      <c r="C55" s="81"/>
      <c r="D55" s="81"/>
      <c r="E55" s="75"/>
      <c r="I55" s="81"/>
      <c r="J55" s="90" t="s">
        <v>144</v>
      </c>
      <c r="K55" s="431">
        <f t="shared" ref="K55:AN55" si="36">COUNTIF(K7:K49,"大夜")</f>
        <v>1</v>
      </c>
      <c r="L55" s="408">
        <f t="shared" si="36"/>
        <v>1</v>
      </c>
      <c r="M55" s="408">
        <f t="shared" si="36"/>
        <v>1</v>
      </c>
      <c r="N55" s="408">
        <f t="shared" si="36"/>
        <v>1</v>
      </c>
      <c r="O55" s="408">
        <f t="shared" si="36"/>
        <v>1</v>
      </c>
      <c r="P55" s="408">
        <f t="shared" si="36"/>
        <v>1</v>
      </c>
      <c r="Q55" s="408">
        <f t="shared" si="36"/>
        <v>1</v>
      </c>
      <c r="R55" s="408">
        <f t="shared" si="36"/>
        <v>1</v>
      </c>
      <c r="S55" s="408">
        <f t="shared" si="36"/>
        <v>1</v>
      </c>
      <c r="T55" s="408">
        <f t="shared" si="36"/>
        <v>1</v>
      </c>
      <c r="U55" s="408">
        <f t="shared" si="36"/>
        <v>1</v>
      </c>
      <c r="V55" s="408">
        <f t="shared" si="36"/>
        <v>1</v>
      </c>
      <c r="W55" s="408">
        <f t="shared" si="36"/>
        <v>1</v>
      </c>
      <c r="X55" s="408">
        <f t="shared" si="36"/>
        <v>1</v>
      </c>
      <c r="Y55" s="408">
        <f t="shared" si="36"/>
        <v>1</v>
      </c>
      <c r="Z55" s="408">
        <f t="shared" si="36"/>
        <v>1</v>
      </c>
      <c r="AA55" s="408">
        <f t="shared" si="36"/>
        <v>1</v>
      </c>
      <c r="AB55" s="408">
        <f t="shared" si="36"/>
        <v>1</v>
      </c>
      <c r="AC55" s="408">
        <f t="shared" si="36"/>
        <v>1</v>
      </c>
      <c r="AD55" s="408">
        <f t="shared" si="36"/>
        <v>1</v>
      </c>
      <c r="AE55" s="408">
        <f t="shared" si="36"/>
        <v>1</v>
      </c>
      <c r="AF55" s="408">
        <f t="shared" si="36"/>
        <v>1</v>
      </c>
      <c r="AG55" s="408">
        <f t="shared" si="36"/>
        <v>1</v>
      </c>
      <c r="AH55" s="408">
        <f t="shared" si="36"/>
        <v>1</v>
      </c>
      <c r="AI55" s="408">
        <f t="shared" si="36"/>
        <v>1</v>
      </c>
      <c r="AJ55" s="408">
        <f t="shared" si="36"/>
        <v>1</v>
      </c>
      <c r="AK55" s="408">
        <f t="shared" si="36"/>
        <v>1</v>
      </c>
      <c r="AL55" s="408">
        <f t="shared" si="36"/>
        <v>1</v>
      </c>
      <c r="AM55" s="408">
        <f t="shared" si="36"/>
        <v>1</v>
      </c>
      <c r="AN55" s="408">
        <f t="shared" si="36"/>
        <v>1</v>
      </c>
      <c r="AP55" s="93" t="s">
        <v>145</v>
      </c>
      <c r="AQ55" s="75">
        <v>24</v>
      </c>
      <c r="AR55" s="75">
        <v>0</v>
      </c>
    </row>
    <row r="56" spans="1:51" s="77" customFormat="1" ht="18" customHeight="1" thickBot="1">
      <c r="A56" s="80"/>
      <c r="B56" s="80"/>
      <c r="C56" s="81"/>
      <c r="D56" s="81"/>
      <c r="E56" s="75"/>
      <c r="I56" s="81"/>
      <c r="J56" s="95" t="s">
        <v>41</v>
      </c>
      <c r="K56" s="96">
        <f t="shared" ref="K56:AN56" si="37">COUNTIF(K4:K46,"N")+COUNTIF(K4:K46,"N8")</f>
        <v>4</v>
      </c>
      <c r="L56" s="96">
        <f t="shared" si="37"/>
        <v>9</v>
      </c>
      <c r="M56" s="96">
        <f t="shared" si="37"/>
        <v>8</v>
      </c>
      <c r="N56" s="96">
        <f t="shared" si="37"/>
        <v>6</v>
      </c>
      <c r="O56" s="96">
        <f t="shared" si="37"/>
        <v>0</v>
      </c>
      <c r="P56" s="96">
        <f t="shared" si="37"/>
        <v>0</v>
      </c>
      <c r="Q56" s="96">
        <f t="shared" si="37"/>
        <v>4</v>
      </c>
      <c r="R56" s="96">
        <f t="shared" si="37"/>
        <v>3</v>
      </c>
      <c r="S56" s="96">
        <f t="shared" si="37"/>
        <v>7</v>
      </c>
      <c r="T56" s="96">
        <f t="shared" si="37"/>
        <v>8</v>
      </c>
      <c r="U56" s="96">
        <f t="shared" si="37"/>
        <v>3</v>
      </c>
      <c r="V56" s="96">
        <f t="shared" si="37"/>
        <v>0</v>
      </c>
      <c r="W56" s="96">
        <f t="shared" si="37"/>
        <v>0</v>
      </c>
      <c r="X56" s="96">
        <f t="shared" si="37"/>
        <v>2</v>
      </c>
      <c r="Y56" s="96">
        <f t="shared" si="37"/>
        <v>4</v>
      </c>
      <c r="Z56" s="96">
        <f t="shared" si="37"/>
        <v>3</v>
      </c>
      <c r="AA56" s="96">
        <f t="shared" si="37"/>
        <v>2</v>
      </c>
      <c r="AB56" s="96">
        <f t="shared" si="37"/>
        <v>0</v>
      </c>
      <c r="AC56" s="96">
        <f t="shared" si="37"/>
        <v>0</v>
      </c>
      <c r="AD56" s="96">
        <f t="shared" si="37"/>
        <v>0</v>
      </c>
      <c r="AE56" s="96">
        <f t="shared" si="37"/>
        <v>2</v>
      </c>
      <c r="AF56" s="96">
        <f t="shared" si="37"/>
        <v>6</v>
      </c>
      <c r="AG56" s="96">
        <f t="shared" si="37"/>
        <v>6</v>
      </c>
      <c r="AH56" s="96">
        <f t="shared" si="37"/>
        <v>3</v>
      </c>
      <c r="AI56" s="96">
        <f t="shared" si="37"/>
        <v>0</v>
      </c>
      <c r="AJ56" s="96">
        <f t="shared" si="37"/>
        <v>0</v>
      </c>
      <c r="AK56" s="96">
        <f t="shared" si="37"/>
        <v>0</v>
      </c>
      <c r="AL56" s="96">
        <f t="shared" si="37"/>
        <v>0</v>
      </c>
      <c r="AM56" s="97">
        <f t="shared" si="37"/>
        <v>3</v>
      </c>
      <c r="AN56" s="99">
        <f t="shared" si="37"/>
        <v>4</v>
      </c>
      <c r="AP56" s="100" t="s">
        <v>42</v>
      </c>
      <c r="AQ56" s="101">
        <v>0</v>
      </c>
      <c r="AR56" s="75">
        <v>0</v>
      </c>
    </row>
    <row r="57" spans="1:51" s="77" customFormat="1" ht="18" customHeight="1">
      <c r="A57" s="80"/>
      <c r="B57" s="80"/>
      <c r="C57" s="80"/>
      <c r="D57" s="80"/>
      <c r="E57" s="75"/>
      <c r="I57" s="81"/>
      <c r="J57" s="78" t="s">
        <v>43</v>
      </c>
      <c r="K57" s="149">
        <f t="shared" ref="K57:AN57" si="38">COUNTIF(K4:K46,"X")+COUNTIF(K4:K46,"Y")+COUNTIF(K4:K46,"Z")</f>
        <v>13</v>
      </c>
      <c r="L57" s="24">
        <f t="shared" si="38"/>
        <v>7</v>
      </c>
      <c r="M57" s="24">
        <f t="shared" si="38"/>
        <v>8</v>
      </c>
      <c r="N57" s="24">
        <f t="shared" si="38"/>
        <v>9</v>
      </c>
      <c r="O57" s="24">
        <f t="shared" si="38"/>
        <v>22</v>
      </c>
      <c r="P57" s="24">
        <f t="shared" si="38"/>
        <v>21</v>
      </c>
      <c r="Q57" s="24">
        <f t="shared" si="38"/>
        <v>9</v>
      </c>
      <c r="R57" s="24">
        <f t="shared" si="38"/>
        <v>13</v>
      </c>
      <c r="S57" s="24">
        <f t="shared" si="38"/>
        <v>8</v>
      </c>
      <c r="T57" s="24">
        <f t="shared" si="38"/>
        <v>7</v>
      </c>
      <c r="U57" s="24">
        <f t="shared" si="38"/>
        <v>10</v>
      </c>
      <c r="V57" s="24">
        <f t="shared" si="38"/>
        <v>23</v>
      </c>
      <c r="W57" s="24">
        <f t="shared" si="38"/>
        <v>22</v>
      </c>
      <c r="X57" s="24">
        <f t="shared" si="38"/>
        <v>12</v>
      </c>
      <c r="Y57" s="24">
        <f t="shared" si="38"/>
        <v>12</v>
      </c>
      <c r="Z57" s="24">
        <f t="shared" si="38"/>
        <v>12</v>
      </c>
      <c r="AA57" s="24">
        <f t="shared" si="38"/>
        <v>12</v>
      </c>
      <c r="AB57" s="24">
        <f t="shared" si="38"/>
        <v>14</v>
      </c>
      <c r="AC57" s="24">
        <f t="shared" si="38"/>
        <v>22</v>
      </c>
      <c r="AD57" s="24">
        <f t="shared" si="38"/>
        <v>24</v>
      </c>
      <c r="AE57" s="24">
        <f t="shared" si="38"/>
        <v>13</v>
      </c>
      <c r="AF57" s="24">
        <f t="shared" si="38"/>
        <v>10</v>
      </c>
      <c r="AG57" s="24">
        <f t="shared" si="38"/>
        <v>8</v>
      </c>
      <c r="AH57" s="24">
        <f t="shared" si="38"/>
        <v>11</v>
      </c>
      <c r="AI57" s="24">
        <f t="shared" si="38"/>
        <v>20</v>
      </c>
      <c r="AJ57" s="24">
        <f t="shared" si="38"/>
        <v>22</v>
      </c>
      <c r="AK57" s="24">
        <f t="shared" si="38"/>
        <v>20</v>
      </c>
      <c r="AL57" s="24">
        <f t="shared" si="38"/>
        <v>22</v>
      </c>
      <c r="AM57" s="24">
        <f t="shared" si="38"/>
        <v>12</v>
      </c>
      <c r="AN57" s="102">
        <f t="shared" si="38"/>
        <v>11</v>
      </c>
      <c r="AP57" s="100" t="s">
        <v>146</v>
      </c>
      <c r="AQ57" s="101">
        <v>0</v>
      </c>
      <c r="AR57" s="75">
        <v>0</v>
      </c>
    </row>
    <row r="58" spans="1:51" s="77" customFormat="1" ht="18" customHeight="1">
      <c r="A58" s="80"/>
      <c r="B58" s="80"/>
      <c r="C58" s="80"/>
      <c r="D58" s="80"/>
      <c r="E58" s="75"/>
      <c r="I58" s="81"/>
      <c r="J58" s="103" t="s">
        <v>44</v>
      </c>
      <c r="K58" s="143">
        <f t="shared" ref="K58:AN58" si="39">COUNTIF(K4:K46,"S")</f>
        <v>1</v>
      </c>
      <c r="L58" s="39">
        <f t="shared" si="39"/>
        <v>2</v>
      </c>
      <c r="M58" s="39">
        <f t="shared" si="39"/>
        <v>2</v>
      </c>
      <c r="N58" s="39">
        <f t="shared" si="39"/>
        <v>3</v>
      </c>
      <c r="O58" s="39">
        <f t="shared" si="39"/>
        <v>2</v>
      </c>
      <c r="P58" s="39">
        <f t="shared" si="39"/>
        <v>3</v>
      </c>
      <c r="Q58" s="39">
        <f t="shared" si="39"/>
        <v>4</v>
      </c>
      <c r="R58" s="39">
        <f t="shared" si="39"/>
        <v>1</v>
      </c>
      <c r="S58" s="39">
        <f t="shared" si="39"/>
        <v>2</v>
      </c>
      <c r="T58" s="39">
        <f t="shared" si="39"/>
        <v>2</v>
      </c>
      <c r="U58" s="39">
        <f t="shared" si="39"/>
        <v>4</v>
      </c>
      <c r="V58" s="39">
        <f t="shared" si="39"/>
        <v>1</v>
      </c>
      <c r="W58" s="39">
        <f t="shared" si="39"/>
        <v>2</v>
      </c>
      <c r="X58" s="39">
        <f t="shared" si="39"/>
        <v>3</v>
      </c>
      <c r="Y58" s="39">
        <f t="shared" si="39"/>
        <v>1</v>
      </c>
      <c r="Z58" s="39">
        <f t="shared" si="39"/>
        <v>2</v>
      </c>
      <c r="AA58" s="39">
        <f t="shared" si="39"/>
        <v>2</v>
      </c>
      <c r="AB58" s="39">
        <f t="shared" si="39"/>
        <v>2</v>
      </c>
      <c r="AC58" s="39">
        <f t="shared" si="39"/>
        <v>2</v>
      </c>
      <c r="AD58" s="39">
        <f t="shared" si="39"/>
        <v>0</v>
      </c>
      <c r="AE58" s="39">
        <f t="shared" si="39"/>
        <v>1</v>
      </c>
      <c r="AF58" s="39">
        <f t="shared" si="39"/>
        <v>0</v>
      </c>
      <c r="AG58" s="39">
        <f t="shared" si="39"/>
        <v>2</v>
      </c>
      <c r="AH58" s="39">
        <f t="shared" si="39"/>
        <v>2</v>
      </c>
      <c r="AI58" s="39">
        <f t="shared" si="39"/>
        <v>4</v>
      </c>
      <c r="AJ58" s="39">
        <f t="shared" si="39"/>
        <v>2</v>
      </c>
      <c r="AK58" s="39">
        <f t="shared" si="39"/>
        <v>4</v>
      </c>
      <c r="AL58" s="39">
        <f t="shared" si="39"/>
        <v>2</v>
      </c>
      <c r="AM58" s="39">
        <f t="shared" si="39"/>
        <v>1</v>
      </c>
      <c r="AN58" s="83">
        <f t="shared" si="39"/>
        <v>1</v>
      </c>
      <c r="AP58" s="107" t="s">
        <v>46</v>
      </c>
      <c r="AQ58" s="105">
        <f>AQ49-AQ50-AQ52-AQ53-AQ54-AQ55+AQ56+AQ57-AQ51</f>
        <v>-1</v>
      </c>
      <c r="AR58" s="105">
        <f>AR49-AR50-AR52-AR53-AR54-AR55+AR56+AR57-AR51</f>
        <v>0</v>
      </c>
      <c r="AS58" s="6"/>
      <c r="AT58" s="6"/>
    </row>
    <row r="59" spans="1:51" ht="18" customHeight="1" thickBot="1">
      <c r="A59" s="80"/>
      <c r="B59" s="80"/>
      <c r="C59" s="80"/>
      <c r="D59" s="80"/>
      <c r="I59" s="80"/>
      <c r="J59" s="103" t="s">
        <v>45</v>
      </c>
      <c r="K59" s="143">
        <f t="shared" ref="K59:AN59" si="40">COUNTIF(K4:K46,"T")</f>
        <v>0</v>
      </c>
      <c r="L59" s="39">
        <f t="shared" si="40"/>
        <v>0</v>
      </c>
      <c r="M59" s="39">
        <f t="shared" si="40"/>
        <v>0</v>
      </c>
      <c r="N59" s="39">
        <f t="shared" si="40"/>
        <v>0</v>
      </c>
      <c r="O59" s="39">
        <f t="shared" si="40"/>
        <v>0</v>
      </c>
      <c r="P59" s="39">
        <f t="shared" si="40"/>
        <v>0</v>
      </c>
      <c r="Q59" s="39">
        <f t="shared" si="40"/>
        <v>0</v>
      </c>
      <c r="R59" s="39">
        <f t="shared" si="40"/>
        <v>0</v>
      </c>
      <c r="S59" s="39">
        <f t="shared" si="40"/>
        <v>0</v>
      </c>
      <c r="T59" s="39">
        <f t="shared" si="40"/>
        <v>0</v>
      </c>
      <c r="U59" s="39">
        <f t="shared" si="40"/>
        <v>0</v>
      </c>
      <c r="V59" s="39">
        <f t="shared" si="40"/>
        <v>0</v>
      </c>
      <c r="W59" s="39">
        <f t="shared" si="40"/>
        <v>0</v>
      </c>
      <c r="X59" s="39">
        <f t="shared" si="40"/>
        <v>0</v>
      </c>
      <c r="Y59" s="39">
        <f t="shared" si="40"/>
        <v>0</v>
      </c>
      <c r="Z59" s="39">
        <f t="shared" si="40"/>
        <v>0</v>
      </c>
      <c r="AA59" s="39">
        <f t="shared" si="40"/>
        <v>0</v>
      </c>
      <c r="AB59" s="39">
        <f t="shared" si="40"/>
        <v>0</v>
      </c>
      <c r="AC59" s="39">
        <f t="shared" si="40"/>
        <v>0</v>
      </c>
      <c r="AD59" s="39">
        <f t="shared" si="40"/>
        <v>0</v>
      </c>
      <c r="AE59" s="39">
        <f t="shared" si="40"/>
        <v>0</v>
      </c>
      <c r="AF59" s="39">
        <f t="shared" si="40"/>
        <v>0</v>
      </c>
      <c r="AG59" s="39">
        <f t="shared" si="40"/>
        <v>0</v>
      </c>
      <c r="AH59" s="39">
        <f t="shared" si="40"/>
        <v>0</v>
      </c>
      <c r="AI59" s="39">
        <f t="shared" si="40"/>
        <v>0</v>
      </c>
      <c r="AJ59" s="39">
        <f t="shared" si="40"/>
        <v>0</v>
      </c>
      <c r="AK59" s="39">
        <f t="shared" si="40"/>
        <v>0</v>
      </c>
      <c r="AL59" s="39">
        <f t="shared" si="40"/>
        <v>0</v>
      </c>
      <c r="AM59" s="39">
        <f t="shared" si="40"/>
        <v>0</v>
      </c>
      <c r="AN59" s="83">
        <f t="shared" si="40"/>
        <v>0</v>
      </c>
      <c r="AO59" s="77"/>
      <c r="AQ59" s="50"/>
      <c r="AR59" s="111"/>
      <c r="AU59" s="77"/>
      <c r="AW59" s="77"/>
      <c r="AX59" s="77"/>
      <c r="AY59" s="77"/>
    </row>
    <row r="60" spans="1:51" ht="24.6" customHeight="1" thickBot="1">
      <c r="A60" s="80"/>
      <c r="B60" s="80"/>
      <c r="C60" s="80"/>
      <c r="D60" s="80"/>
      <c r="I60" s="80"/>
      <c r="J60" s="108" t="s">
        <v>109</v>
      </c>
      <c r="K60" s="150">
        <f>SUM(K47:K59)</f>
        <v>43</v>
      </c>
      <c r="L60" s="109">
        <f t="shared" ref="L60:AN60" si="41">SUM(L47:L59)</f>
        <v>43</v>
      </c>
      <c r="M60" s="109">
        <f t="shared" si="41"/>
        <v>43</v>
      </c>
      <c r="N60" s="109">
        <f t="shared" si="41"/>
        <v>43</v>
      </c>
      <c r="O60" s="109">
        <f t="shared" si="41"/>
        <v>43</v>
      </c>
      <c r="P60" s="109">
        <f t="shared" si="41"/>
        <v>43</v>
      </c>
      <c r="Q60" s="109">
        <f t="shared" si="41"/>
        <v>43</v>
      </c>
      <c r="R60" s="109">
        <f t="shared" si="41"/>
        <v>43</v>
      </c>
      <c r="S60" s="109">
        <f t="shared" si="41"/>
        <v>43</v>
      </c>
      <c r="T60" s="109">
        <f t="shared" si="41"/>
        <v>43</v>
      </c>
      <c r="U60" s="109">
        <f t="shared" si="41"/>
        <v>43</v>
      </c>
      <c r="V60" s="109">
        <f t="shared" si="41"/>
        <v>43</v>
      </c>
      <c r="W60" s="109">
        <f t="shared" si="41"/>
        <v>43</v>
      </c>
      <c r="X60" s="109">
        <f t="shared" si="41"/>
        <v>43</v>
      </c>
      <c r="Y60" s="109">
        <f t="shared" si="41"/>
        <v>43</v>
      </c>
      <c r="Z60" s="109">
        <f t="shared" si="41"/>
        <v>43</v>
      </c>
      <c r="AA60" s="109">
        <f t="shared" si="41"/>
        <v>43</v>
      </c>
      <c r="AB60" s="109">
        <f t="shared" si="41"/>
        <v>43</v>
      </c>
      <c r="AC60" s="109">
        <f t="shared" si="41"/>
        <v>43</v>
      </c>
      <c r="AD60" s="109">
        <f t="shared" si="41"/>
        <v>43</v>
      </c>
      <c r="AE60" s="109">
        <f t="shared" si="41"/>
        <v>43</v>
      </c>
      <c r="AF60" s="109">
        <f t="shared" si="41"/>
        <v>43</v>
      </c>
      <c r="AG60" s="109">
        <f t="shared" si="41"/>
        <v>43</v>
      </c>
      <c r="AH60" s="109">
        <f t="shared" si="41"/>
        <v>43</v>
      </c>
      <c r="AI60" s="109">
        <f t="shared" si="41"/>
        <v>43</v>
      </c>
      <c r="AJ60" s="109">
        <f t="shared" si="41"/>
        <v>43</v>
      </c>
      <c r="AK60" s="109">
        <f t="shared" si="41"/>
        <v>43</v>
      </c>
      <c r="AL60" s="109">
        <f t="shared" si="41"/>
        <v>43</v>
      </c>
      <c r="AM60" s="109">
        <f t="shared" si="41"/>
        <v>43</v>
      </c>
      <c r="AN60" s="110">
        <f t="shared" si="41"/>
        <v>43</v>
      </c>
      <c r="AP60" s="7"/>
      <c r="AQ60" s="6"/>
      <c r="AR60" s="111"/>
      <c r="AU60" s="37"/>
    </row>
    <row r="61" spans="1:51" ht="24.6" customHeight="1">
      <c r="A61" s="80"/>
      <c r="B61" s="80"/>
      <c r="C61" s="80"/>
      <c r="D61" s="80"/>
      <c r="G61" s="80"/>
      <c r="H61" s="112"/>
      <c r="I61" s="113"/>
      <c r="K61" s="113">
        <f>43-K56-K57-K58-25</f>
        <v>0</v>
      </c>
      <c r="L61" s="113">
        <f t="shared" ref="L61:N61" si="42">43-L56-L57-L58-25</f>
        <v>0</v>
      </c>
      <c r="M61" s="113">
        <f t="shared" si="42"/>
        <v>0</v>
      </c>
      <c r="N61" s="113">
        <f t="shared" si="42"/>
        <v>0</v>
      </c>
      <c r="O61" s="113">
        <f>43-O56-O57-O58-19</f>
        <v>0</v>
      </c>
      <c r="P61" s="113">
        <f>43-P56-P57-P58-19</f>
        <v>0</v>
      </c>
      <c r="Q61" s="113">
        <f t="shared" ref="Q61:U61" si="43">43-Q56-Q57-Q58-25</f>
        <v>1</v>
      </c>
      <c r="R61" s="113">
        <f t="shared" si="43"/>
        <v>1</v>
      </c>
      <c r="S61" s="113">
        <f t="shared" si="43"/>
        <v>1</v>
      </c>
      <c r="T61" s="113">
        <f t="shared" si="43"/>
        <v>1</v>
      </c>
      <c r="U61" s="113">
        <f t="shared" si="43"/>
        <v>1</v>
      </c>
      <c r="V61" s="113">
        <f>43-V56-V57-V58-19</f>
        <v>0</v>
      </c>
      <c r="W61" s="113">
        <f>43-W56-W57-W58-19</f>
        <v>0</v>
      </c>
      <c r="X61" s="113">
        <f t="shared" ref="X61:AB61" si="44">43-X56-X57-X58-25</f>
        <v>1</v>
      </c>
      <c r="Y61" s="113">
        <f t="shared" si="44"/>
        <v>1</v>
      </c>
      <c r="Z61" s="113">
        <f t="shared" si="44"/>
        <v>1</v>
      </c>
      <c r="AA61" s="113">
        <f t="shared" si="44"/>
        <v>2</v>
      </c>
      <c r="AB61" s="113">
        <f t="shared" si="44"/>
        <v>2</v>
      </c>
      <c r="AC61" s="113">
        <f>43-AC56-AC57-AC58-19</f>
        <v>0</v>
      </c>
      <c r="AD61" s="113">
        <f>43-AD56-AD57-AD58-19</f>
        <v>0</v>
      </c>
      <c r="AE61" s="113">
        <f t="shared" ref="AE61:AH61" si="45">43-AE56-AE57-AE58-25</f>
        <v>2</v>
      </c>
      <c r="AF61" s="113">
        <f t="shared" si="45"/>
        <v>2</v>
      </c>
      <c r="AG61" s="113">
        <f t="shared" si="45"/>
        <v>2</v>
      </c>
      <c r="AH61" s="113">
        <f t="shared" si="45"/>
        <v>2</v>
      </c>
      <c r="AI61" s="113">
        <f>43-AI56-AI57-AI58-19</f>
        <v>0</v>
      </c>
      <c r="AJ61" s="113">
        <f>43-AJ56-AJ57-AJ58-19</f>
        <v>0</v>
      </c>
      <c r="AK61" s="113">
        <f>43-AK56-AK57-AK58-19</f>
        <v>0</v>
      </c>
      <c r="AL61" s="113">
        <f>43-AL56-AL57-AL58-19</f>
        <v>0</v>
      </c>
      <c r="AM61" s="113">
        <f t="shared" ref="AM61:AN61" si="46">43-AM56-AM57-AM58-25</f>
        <v>2</v>
      </c>
      <c r="AN61" s="113">
        <f t="shared" si="46"/>
        <v>2</v>
      </c>
    </row>
    <row r="62" spans="1:51" ht="24.6" customHeight="1">
      <c r="A62" s="80"/>
      <c r="B62" s="80"/>
      <c r="C62" s="80"/>
      <c r="D62" s="80"/>
      <c r="I62" s="80"/>
      <c r="J62" s="112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7"/>
    </row>
    <row r="63" spans="1:51" ht="24.6" customHeight="1" thickBot="1">
      <c r="A63" s="80"/>
      <c r="B63" s="80"/>
      <c r="C63" s="80"/>
      <c r="D63" s="80"/>
      <c r="I63" s="80"/>
      <c r="J63" s="112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</row>
    <row r="64" spans="1:51" ht="24.6" customHeight="1" thickBot="1">
      <c r="A64" s="80"/>
      <c r="B64" s="80"/>
      <c r="C64" s="80"/>
      <c r="D64" s="80"/>
      <c r="I64" s="80"/>
      <c r="J64" s="228" t="s">
        <v>47</v>
      </c>
      <c r="K64" s="299" cm="1">
        <f t="array" ref="K64">SUMPRODUCT(COUNTIF(K4:K17,{"1";"M1"}))</f>
        <v>2</v>
      </c>
      <c r="L64" s="230" cm="1">
        <f t="array" ref="L64">SUMPRODUCT(COUNTIF(L4:L17,{"1";"M1"}))</f>
        <v>1</v>
      </c>
      <c r="M64" s="230" cm="1">
        <f t="array" ref="M64">SUMPRODUCT(COUNTIF(M4:M17,{"1";"M1"}))</f>
        <v>3</v>
      </c>
      <c r="N64" s="230" cm="1">
        <f t="array" ref="N64">SUMPRODUCT(COUNTIF(N4:N17,{"1";"M1"}))</f>
        <v>1</v>
      </c>
      <c r="O64" s="231" cm="1">
        <f t="array" ref="O64">SUMPRODUCT(COUNTIF(O4:O17,{"1";"M1"}))</f>
        <v>2</v>
      </c>
      <c r="P64" s="231" cm="1">
        <f t="array" ref="P64">SUMPRODUCT(COUNTIF(P4:P17,{"1";"M1"}))</f>
        <v>2</v>
      </c>
      <c r="Q64" s="230" cm="1">
        <f t="array" ref="Q64">SUMPRODUCT(COUNTIF(Q4:Q17,{"1";"M1"}))</f>
        <v>2</v>
      </c>
      <c r="R64" s="230" cm="1">
        <f t="array" ref="R64">SUMPRODUCT(COUNTIF(R4:R17,{"1";"M1"}))</f>
        <v>2</v>
      </c>
      <c r="S64" s="230" cm="1">
        <f t="array" ref="S64">SUMPRODUCT(COUNTIF(S4:S17,{"1";"M1"}))</f>
        <v>2</v>
      </c>
      <c r="T64" s="230" cm="1">
        <f t="array" ref="T64">SUMPRODUCT(COUNTIF(T4:T17,{"1";"M1"}))</f>
        <v>3</v>
      </c>
      <c r="U64" s="230" cm="1">
        <f t="array" ref="U64">SUMPRODUCT(COUNTIF(U4:U17,{"1";"M1"}))</f>
        <v>0</v>
      </c>
      <c r="V64" s="231" cm="1">
        <f t="array" ref="V64">SUMPRODUCT(COUNTIF(V4:V17,{"1";"M1"}))</f>
        <v>0</v>
      </c>
      <c r="W64" s="231" cm="1">
        <f t="array" ref="W64">SUMPRODUCT(COUNTIF(W4:W17,{"1";"M1"}))</f>
        <v>0</v>
      </c>
      <c r="X64" s="230" cm="1">
        <f t="array" ref="X64">SUMPRODUCT(COUNTIF(X4:X17,{"1";"M1"}))</f>
        <v>1</v>
      </c>
      <c r="Y64" s="230" cm="1">
        <f t="array" ref="Y64">SUMPRODUCT(COUNTIF(Y4:Y17,{"1";"M1"}))</f>
        <v>3</v>
      </c>
      <c r="Z64" s="230" cm="1">
        <f t="array" ref="Z64">SUMPRODUCT(COUNTIF(Z4:Z17,{"1";"M1"}))</f>
        <v>1</v>
      </c>
      <c r="AA64" s="230" cm="1">
        <f t="array" ref="AA64">SUMPRODUCT(COUNTIF(AA4:AA17,{"1";"M1"}))</f>
        <v>2</v>
      </c>
      <c r="AB64" s="230" cm="1">
        <f t="array" ref="AB64">SUMPRODUCT(COUNTIF(AB4:AB17,{"1";"M1"}))</f>
        <v>2</v>
      </c>
      <c r="AC64" s="231" cm="1">
        <f t="array" ref="AC64">SUMPRODUCT(COUNTIF(AC4:AC17,{"1";"M1"}))</f>
        <v>2</v>
      </c>
      <c r="AD64" s="231" cm="1">
        <f t="array" ref="AD64">SUMPRODUCT(COUNTIF(AD4:AD17,{"1";"M1"}))</f>
        <v>2</v>
      </c>
      <c r="AE64" s="230" cm="1">
        <f t="array" ref="AE64">SUMPRODUCT(COUNTIF(AE4:AE17,{"1";"M1"}))</f>
        <v>1</v>
      </c>
      <c r="AF64" s="230" cm="1">
        <f t="array" ref="AF64">SUMPRODUCT(COUNTIF(AF4:AF17,{"1";"M1"}))</f>
        <v>2</v>
      </c>
      <c r="AG64" s="230" cm="1">
        <f t="array" ref="AG64">SUMPRODUCT(COUNTIF(AG4:AG17,{"1";"M1"}))</f>
        <v>2</v>
      </c>
      <c r="AH64" s="230" cm="1">
        <f t="array" ref="AH64">SUMPRODUCT(COUNTIF(AH4:AH17,{"1";"M1"}))</f>
        <v>2</v>
      </c>
      <c r="AI64" s="231" cm="1">
        <f t="array" ref="AI64">SUMPRODUCT(COUNTIF(AI4:AI17,{"1";"M1"}))</f>
        <v>0</v>
      </c>
      <c r="AJ64" s="231" cm="1">
        <f t="array" ref="AJ64">SUMPRODUCT(COUNTIF(AJ4:AJ17,{"1";"M1"}))</f>
        <v>1</v>
      </c>
      <c r="AK64" s="231" cm="1">
        <f t="array" ref="AK64">SUMPRODUCT(COUNTIF(AK4:AK17,{"1";"M1"}))</f>
        <v>1</v>
      </c>
      <c r="AL64" s="231" cm="1">
        <f t="array" ref="AL64">SUMPRODUCT(COUNTIF(AL4:AL17,{"1";"M1"}))</f>
        <v>0</v>
      </c>
      <c r="AM64" s="230" cm="1">
        <f t="array" ref="AM64">SUMPRODUCT(COUNTIF(AM4:AM17,{"1";"M1"}))</f>
        <v>3</v>
      </c>
      <c r="AN64" s="230" cm="1">
        <f t="array" ref="AN64">SUMPRODUCT(COUNTIF(AN4:AN17,{"1";"M1"}))</f>
        <v>3</v>
      </c>
    </row>
    <row r="65" spans="1:17" ht="24.6" customHeight="1">
      <c r="A65" s="80"/>
      <c r="B65" s="80"/>
      <c r="C65" s="80"/>
      <c r="D65" s="80"/>
      <c r="I65" s="80"/>
      <c r="L65" s="116"/>
      <c r="M65" s="116"/>
      <c r="N65" s="116"/>
      <c r="Q65" s="116"/>
    </row>
    <row r="117" spans="10:226" s="77" customFormat="1" ht="24.6" customHeight="1"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7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</row>
  </sheetData>
  <autoFilter ref="AS3:AS58" xr:uid="{00000000-0009-0000-0000-000008000000}"/>
  <mergeCells count="11">
    <mergeCell ref="A2:A3"/>
    <mergeCell ref="B2:B3"/>
    <mergeCell ref="C2:C3"/>
    <mergeCell ref="D2:D3"/>
    <mergeCell ref="E2:E3"/>
    <mergeCell ref="AV2:AX2"/>
    <mergeCell ref="K1:AH1"/>
    <mergeCell ref="AI1:AK1"/>
    <mergeCell ref="AL1:AN1"/>
    <mergeCell ref="I2:I3"/>
    <mergeCell ref="J2:J3"/>
  </mergeCells>
  <conditionalFormatting sqref="K4:AN46">
    <cfRule type="expression" dxfId="122" priority="1">
      <formula>OR(K4="晚", K4=3, K4="大夜")</formula>
    </cfRule>
    <cfRule type="expression" dxfId="121" priority="2">
      <formula>OR(K4="T中", K4="中", K4=2, K4="小夜")</formula>
    </cfRule>
    <cfRule type="expression" dxfId="120" priority="3">
      <formula>OR(K4="T早", K4="早", K4="M1", K4=1, K4="日")</formula>
    </cfRule>
    <cfRule type="expression" dxfId="119" priority="4">
      <formula>OR(     SUM(COUNTIF(K4:Q4, 上班代號)) &gt; 6,     AND(COLUMN()&gt;11, OR(         AND(SUM(COUNTIF(OFFSET(K4,0,-1), 中班組)), SUM(COUNTIF(K4, 早班組), COUNTIF(K4, 晚班組))),         AND(SUM(COUNTIF(OFFSET(K4,0,-1), 早班組)), SUM(COUNTIF(K4, 晚班組)))     )) )</formula>
    </cfRule>
  </conditionalFormatting>
  <conditionalFormatting sqref="K47:AN47">
    <cfRule type="cellIs" dxfId="118" priority="5" operator="greaterThan">
      <formula>5</formula>
    </cfRule>
  </conditionalFormatting>
  <conditionalFormatting sqref="K47:AN55">
    <cfRule type="cellIs" dxfId="117" priority="6" operator="equal">
      <formula>5</formula>
    </cfRule>
    <cfRule type="cellIs" dxfId="116" priority="7" operator="equal">
      <formula>4</formula>
    </cfRule>
    <cfRule type="cellIs" dxfId="115" priority="8" operator="equal">
      <formula>3</formula>
    </cfRule>
    <cfRule type="cellIs" dxfId="114" priority="9" operator="equal">
      <formula>2</formula>
    </cfRule>
    <cfRule type="cellIs" dxfId="113" priority="10" operator="equal">
      <formula>1</formula>
    </cfRule>
  </conditionalFormatting>
  <conditionalFormatting sqref="K53:AN55">
    <cfRule type="cellIs" dxfId="112" priority="11" operator="equal">
      <formula>"T中"</formula>
    </cfRule>
  </conditionalFormatting>
  <conditionalFormatting sqref="AO23">
    <cfRule type="cellIs" dxfId="111" priority="31" operator="equal">
      <formula>"T中"</formula>
    </cfRule>
    <cfRule type="cellIs" dxfId="110" priority="32" operator="equal">
      <formula>"中"</formula>
    </cfRule>
    <cfRule type="cellIs" dxfId="109" priority="33" operator="equal">
      <formula>"M2"</formula>
    </cfRule>
    <cfRule type="cellIs" dxfId="108" priority="34" operator="equal">
      <formula>2</formula>
    </cfRule>
    <cfRule type="cellIs" dxfId="107" priority="35" operator="equal">
      <formula>"日"</formula>
    </cfRule>
    <cfRule type="cellIs" dxfId="106" priority="36" operator="equal">
      <formula>"T早"</formula>
    </cfRule>
    <cfRule type="cellIs" dxfId="105" priority="37" operator="equal">
      <formula>"早"</formula>
    </cfRule>
    <cfRule type="cellIs" dxfId="104" priority="38" operator="equal">
      <formula>"M1"</formula>
    </cfRule>
    <cfRule type="cellIs" dxfId="103" priority="39" operator="equal">
      <formula>1</formula>
    </cfRule>
    <cfRule type="cellIs" dxfId="102" priority="27" operator="equal">
      <formula>"大夜"</formula>
    </cfRule>
    <cfRule type="cellIs" dxfId="101" priority="28" operator="equal">
      <formula>"晚"</formula>
    </cfRule>
    <cfRule type="cellIs" dxfId="100" priority="29" operator="equal">
      <formula>3</formula>
    </cfRule>
    <cfRule type="cellIs" dxfId="99" priority="30" operator="equal">
      <formula>"小夜"</formula>
    </cfRule>
  </conditionalFormatting>
  <conditionalFormatting sqref="AO30:AO33">
    <cfRule type="cellIs" dxfId="98" priority="12" operator="equal">
      <formula>"大夜"</formula>
    </cfRule>
    <cfRule type="cellIs" dxfId="97" priority="13" operator="equal">
      <formula>"晚"</formula>
    </cfRule>
    <cfRule type="cellIs" dxfId="96" priority="14" operator="equal">
      <formula>3</formula>
    </cfRule>
    <cfRule type="cellIs" dxfId="95" priority="15" operator="equal">
      <formula>"小夜"</formula>
    </cfRule>
    <cfRule type="cellIs" dxfId="94" priority="16" operator="equal">
      <formula>"T中"</formula>
    </cfRule>
    <cfRule type="cellIs" dxfId="93" priority="17" operator="equal">
      <formula>"中"</formula>
    </cfRule>
    <cfRule type="cellIs" dxfId="92" priority="18" operator="equal">
      <formula>"M2"</formula>
    </cfRule>
    <cfRule type="cellIs" dxfId="91" priority="19" operator="equal">
      <formula>2</formula>
    </cfRule>
    <cfRule type="cellIs" dxfId="90" priority="21" operator="equal">
      <formula>"T早"</formula>
    </cfRule>
    <cfRule type="cellIs" dxfId="89" priority="22" operator="equal">
      <formula>"早"</formula>
    </cfRule>
    <cfRule type="cellIs" dxfId="88" priority="23" operator="equal">
      <formula>"M1"</formula>
    </cfRule>
    <cfRule type="cellIs" dxfId="87" priority="24" operator="equal">
      <formula>1</formula>
    </cfRule>
    <cfRule type="cellIs" dxfId="86" priority="20" operator="equal">
      <formula>"日"</formula>
    </cfRule>
  </conditionalFormatting>
  <conditionalFormatting sqref="AR4:AR46">
    <cfRule type="cellIs" dxfId="85" priority="25" operator="equal">
      <formula>-2</formula>
    </cfRule>
    <cfRule type="cellIs" dxfId="84" priority="26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E3B71-9B67-4418-936D-736B25AF6DB2}">
  <sheetPr>
    <pageSetUpPr fitToPage="1"/>
  </sheetPr>
  <dimension ref="A1:HS117"/>
  <sheetViews>
    <sheetView tabSelected="1" zoomScale="65" zoomScaleNormal="65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AJ10" sqref="AJ10"/>
    </sheetView>
  </sheetViews>
  <sheetFormatPr defaultColWidth="9" defaultRowHeight="24.6" customHeight="1"/>
  <cols>
    <col min="1" max="8" width="4.109375" style="77" customWidth="1"/>
    <col min="9" max="9" width="5.77734375" style="77" customWidth="1"/>
    <col min="10" max="10" width="23.109375" style="6" customWidth="1"/>
    <col min="11" max="38" width="6.109375" style="6" customWidth="1"/>
    <col min="39" max="39" width="6" style="6" customWidth="1"/>
    <col min="40" max="41" width="6.109375" style="6" customWidth="1"/>
    <col min="42" max="43" width="7.88671875" style="6" customWidth="1"/>
    <col min="44" max="44" width="7.88671875" style="7" customWidth="1"/>
    <col min="45" max="45" width="5.88671875" style="6" customWidth="1"/>
    <col min="46" max="234" width="9" style="6" customWidth="1"/>
    <col min="235" max="235" width="7.109375" style="6" customWidth="1"/>
    <col min="236" max="16384" width="9" style="6"/>
  </cols>
  <sheetData>
    <row r="1" spans="1:226" ht="24.6" customHeight="1" thickBot="1">
      <c r="A1" s="1"/>
      <c r="B1" s="2" t="s">
        <v>103</v>
      </c>
      <c r="C1" s="1"/>
      <c r="D1" s="1"/>
      <c r="E1" s="1"/>
      <c r="F1" s="1"/>
      <c r="G1" s="1"/>
      <c r="H1" s="1"/>
      <c r="I1" s="3">
        <v>11</v>
      </c>
      <c r="J1" s="4"/>
      <c r="K1" s="474" t="str">
        <f>"TPKC剩餘人力："&amp;AR58&amp;" / NK剩餘人力："&amp;AS58&amp;" /  N班人力："&amp;AR53</f>
        <v>TPKC剩餘人力：3 / NK剩餘人力：0 /  N班人力：61</v>
      </c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6"/>
      <c r="AJ1" s="475"/>
      <c r="AK1" s="475"/>
      <c r="AL1" s="477"/>
      <c r="AM1" s="478"/>
      <c r="AN1" s="478"/>
      <c r="AO1" s="5"/>
      <c r="AR1" s="6"/>
      <c r="AS1" s="7"/>
    </row>
    <row r="2" spans="1:226" ht="23.25" customHeight="1" thickBot="1">
      <c r="A2" s="483">
        <v>1</v>
      </c>
      <c r="B2" s="485">
        <v>2</v>
      </c>
      <c r="C2" s="485">
        <v>3</v>
      </c>
      <c r="D2" s="487" t="s">
        <v>104</v>
      </c>
      <c r="E2" s="489" t="s">
        <v>105</v>
      </c>
      <c r="F2" s="8" t="s">
        <v>106</v>
      </c>
      <c r="G2" s="8" t="s">
        <v>107</v>
      </c>
      <c r="H2" s="8" t="s">
        <v>108</v>
      </c>
      <c r="I2" s="479" t="s">
        <v>109</v>
      </c>
      <c r="J2" s="481" t="s">
        <v>172</v>
      </c>
      <c r="K2" s="281" t="s">
        <v>115</v>
      </c>
      <c r="L2" s="10" t="s">
        <v>116</v>
      </c>
      <c r="M2" s="11" t="s">
        <v>117</v>
      </c>
      <c r="N2" s="11" t="s">
        <v>111</v>
      </c>
      <c r="O2" s="12" t="s">
        <v>112</v>
      </c>
      <c r="P2" s="12" t="s">
        <v>113</v>
      </c>
      <c r="Q2" s="12" t="s">
        <v>114</v>
      </c>
      <c r="R2" s="12" t="s">
        <v>115</v>
      </c>
      <c r="S2" s="13" t="s">
        <v>116</v>
      </c>
      <c r="T2" s="14" t="s">
        <v>117</v>
      </c>
      <c r="U2" s="14" t="s">
        <v>111</v>
      </c>
      <c r="V2" s="9" t="s">
        <v>112</v>
      </c>
      <c r="W2" s="9" t="s">
        <v>113</v>
      </c>
      <c r="X2" s="9" t="s">
        <v>114</v>
      </c>
      <c r="Y2" s="9" t="s">
        <v>115</v>
      </c>
      <c r="Z2" s="10" t="s">
        <v>116</v>
      </c>
      <c r="AA2" s="11" t="s">
        <v>117</v>
      </c>
      <c r="AB2" s="11" t="s">
        <v>111</v>
      </c>
      <c r="AC2" s="12" t="s">
        <v>112</v>
      </c>
      <c r="AD2" s="12" t="s">
        <v>113</v>
      </c>
      <c r="AE2" s="12" t="s">
        <v>114</v>
      </c>
      <c r="AF2" s="12" t="s">
        <v>115</v>
      </c>
      <c r="AG2" s="13" t="s">
        <v>116</v>
      </c>
      <c r="AH2" s="14" t="s">
        <v>117</v>
      </c>
      <c r="AI2" s="14" t="s">
        <v>111</v>
      </c>
      <c r="AJ2" s="9" t="s">
        <v>112</v>
      </c>
      <c r="AK2" s="9" t="s">
        <v>113</v>
      </c>
      <c r="AL2" s="9" t="s">
        <v>114</v>
      </c>
      <c r="AM2" s="9" t="s">
        <v>115</v>
      </c>
      <c r="AN2" s="10" t="s">
        <v>116</v>
      </c>
      <c r="AO2" s="452" t="s">
        <v>117</v>
      </c>
      <c r="AR2" s="6"/>
      <c r="AW2" s="471" t="s">
        <v>48</v>
      </c>
      <c r="AX2" s="472"/>
      <c r="AY2" s="473"/>
    </row>
    <row r="3" spans="1:226" ht="24.6" customHeight="1" thickBot="1">
      <c r="A3" s="484"/>
      <c r="B3" s="486"/>
      <c r="C3" s="486"/>
      <c r="D3" s="488"/>
      <c r="E3" s="490"/>
      <c r="F3" s="15" t="s">
        <v>118</v>
      </c>
      <c r="G3" s="15" t="s">
        <v>119</v>
      </c>
      <c r="H3" s="16" t="s">
        <v>120</v>
      </c>
      <c r="I3" s="480"/>
      <c r="J3" s="482"/>
      <c r="K3" s="354">
        <v>1</v>
      </c>
      <c r="L3" s="17">
        <v>2</v>
      </c>
      <c r="M3" s="18">
        <v>3</v>
      </c>
      <c r="N3" s="18">
        <v>4</v>
      </c>
      <c r="O3" s="17">
        <v>5</v>
      </c>
      <c r="P3" s="17">
        <v>6</v>
      </c>
      <c r="Q3" s="17">
        <v>7</v>
      </c>
      <c r="R3" s="17">
        <v>8</v>
      </c>
      <c r="S3" s="18">
        <v>9</v>
      </c>
      <c r="T3" s="18">
        <v>10</v>
      </c>
      <c r="U3" s="18">
        <v>11</v>
      </c>
      <c r="V3" s="17">
        <v>12</v>
      </c>
      <c r="W3" s="17">
        <v>13</v>
      </c>
      <c r="X3" s="17">
        <v>14</v>
      </c>
      <c r="Y3" s="17">
        <v>15</v>
      </c>
      <c r="Z3" s="17">
        <v>16</v>
      </c>
      <c r="AA3" s="18">
        <v>17</v>
      </c>
      <c r="AB3" s="18">
        <v>18</v>
      </c>
      <c r="AC3" s="17">
        <v>19</v>
      </c>
      <c r="AD3" s="17">
        <v>20</v>
      </c>
      <c r="AE3" s="17">
        <v>21</v>
      </c>
      <c r="AF3" s="17">
        <v>22</v>
      </c>
      <c r="AG3" s="17">
        <v>23</v>
      </c>
      <c r="AH3" s="18">
        <v>24</v>
      </c>
      <c r="AI3" s="18">
        <v>25</v>
      </c>
      <c r="AJ3" s="18">
        <v>26</v>
      </c>
      <c r="AK3" s="17">
        <v>27</v>
      </c>
      <c r="AL3" s="17">
        <v>28</v>
      </c>
      <c r="AM3" s="17">
        <v>29</v>
      </c>
      <c r="AN3" s="17">
        <v>30</v>
      </c>
      <c r="AO3" s="132">
        <v>31</v>
      </c>
      <c r="AP3" s="19" t="s">
        <v>121</v>
      </c>
      <c r="AQ3" s="19" t="s">
        <v>122</v>
      </c>
      <c r="AR3" s="20" t="s">
        <v>123</v>
      </c>
      <c r="AS3" s="21" t="s">
        <v>109</v>
      </c>
      <c r="AT3" s="22" t="s">
        <v>124</v>
      </c>
      <c r="AU3" s="417"/>
      <c r="AW3" s="117" t="s">
        <v>49</v>
      </c>
      <c r="AX3" s="117" t="s">
        <v>50</v>
      </c>
      <c r="AY3" s="117" t="s">
        <v>51</v>
      </c>
    </row>
    <row r="4" spans="1:226" ht="25.5" customHeight="1">
      <c r="A4" s="23">
        <f>COUNTIF(K4:AO4,1)+COUNTIF(K4:AO4,"早")+COUNTIF(K4:AO4,"M1")+COUNTIF(K4:AO4,"T早")+COUNTIF(K4:AO4,"日")</f>
        <v>2</v>
      </c>
      <c r="B4" s="24">
        <f>COUNTIF(K4:AO4,2)+COUNTIF(K4:AO4,"中")+COUNTIF(K4:AO4,"M2")+COUNTIF(K4:AO4,"T中")+COUNTIF(K4:AO4,"小夜")</f>
        <v>0</v>
      </c>
      <c r="C4" s="25">
        <f>COUNTIF(K4:AO4,3)+COUNTIF(K4:AO4,"晚")+COUNTIF(K4:AO4,"大夜")</f>
        <v>17</v>
      </c>
      <c r="D4" s="24">
        <f>COUNTIF(K4:AO4,"N")+COUNTIF(K4:AO4,"N8")</f>
        <v>0</v>
      </c>
      <c r="E4" s="26">
        <f>COUNTIF(K4:AO4,"S")</f>
        <v>1</v>
      </c>
      <c r="F4" s="26">
        <f>COUNTIF(K4:AO4,"X")</f>
        <v>4</v>
      </c>
      <c r="G4" s="26">
        <f>COUNTIF(K4:AO4,"Y")</f>
        <v>5</v>
      </c>
      <c r="H4" s="26">
        <f>COUNTIF(K4:AO4,"Z")</f>
        <v>2</v>
      </c>
      <c r="I4" s="176">
        <f>SUM(A4:H4)</f>
        <v>31</v>
      </c>
      <c r="J4" s="282" t="s">
        <v>152</v>
      </c>
      <c r="K4" s="389">
        <v>3</v>
      </c>
      <c r="L4" s="390">
        <v>3</v>
      </c>
      <c r="M4" s="235" t="s">
        <v>52</v>
      </c>
      <c r="N4" s="235">
        <v>1</v>
      </c>
      <c r="O4" s="235">
        <v>1</v>
      </c>
      <c r="P4" s="234" t="s">
        <v>1</v>
      </c>
      <c r="Q4" s="235" t="s">
        <v>0</v>
      </c>
      <c r="R4" s="390">
        <v>3</v>
      </c>
      <c r="S4" s="390">
        <v>3</v>
      </c>
      <c r="T4" s="390">
        <v>3</v>
      </c>
      <c r="U4" s="390">
        <v>3</v>
      </c>
      <c r="V4" s="390">
        <v>3</v>
      </c>
      <c r="W4" s="235" t="s">
        <v>0</v>
      </c>
      <c r="X4" s="235">
        <v>3</v>
      </c>
      <c r="Y4" s="390">
        <v>3</v>
      </c>
      <c r="Z4" s="390">
        <v>3</v>
      </c>
      <c r="AA4" s="233" t="s">
        <v>52</v>
      </c>
      <c r="AB4" s="233" t="s">
        <v>0</v>
      </c>
      <c r="AC4" s="390">
        <v>3</v>
      </c>
      <c r="AD4" s="390">
        <v>3</v>
      </c>
      <c r="AE4" s="390">
        <v>3</v>
      </c>
      <c r="AF4" s="390">
        <v>3</v>
      </c>
      <c r="AG4" s="390">
        <v>3</v>
      </c>
      <c r="AH4" s="233" t="s">
        <v>52</v>
      </c>
      <c r="AI4" s="233" t="s">
        <v>53</v>
      </c>
      <c r="AJ4" s="254" t="s">
        <v>53</v>
      </c>
      <c r="AK4" s="254" t="s">
        <v>0</v>
      </c>
      <c r="AL4" s="235" t="s">
        <v>52</v>
      </c>
      <c r="AM4" s="390">
        <v>3</v>
      </c>
      <c r="AN4" s="390">
        <v>3</v>
      </c>
      <c r="AO4" s="399" t="s">
        <v>52</v>
      </c>
      <c r="AP4" s="35">
        <v>0</v>
      </c>
      <c r="AQ4" s="36">
        <f t="shared" ref="AQ4:AQ46" si="0">$F4+$G4+H4-$I$1</f>
        <v>0</v>
      </c>
      <c r="AR4" s="36">
        <v>0</v>
      </c>
      <c r="AS4" s="26">
        <f>SUM(AP4:AR4)</f>
        <v>0</v>
      </c>
      <c r="AT4" s="328" t="s">
        <v>128</v>
      </c>
      <c r="AW4" s="6" cm="1">
        <f t="array" ref="AW4">SUMPRODUCT(COUNTIF(M4:N4,{"X";"Y";"Z";"S"}))+SUMPRODUCT(COUNTIF(T4:U4,{"X";"Y";"Z";"S"}))+SUMPRODUCT(COUNTIF(AA4:AB4,{"X";"Y";"Z";"S"}))+SUMPRODUCT(COUNTIF(AH4:AI4,{"X";"Y";"Z";"S"}))+SUMPRODUCT(COUNTIF(AO4:AO4,{"X";"Y";"Z";"S"}))-5</f>
        <v>1</v>
      </c>
      <c r="AX4" s="6">
        <v>6</v>
      </c>
      <c r="AY4" s="6">
        <f>AW4+AX4</f>
        <v>7</v>
      </c>
    </row>
    <row r="5" spans="1:226" ht="25.5" customHeight="1">
      <c r="A5" s="38">
        <f t="shared" ref="A5:A46" si="1">COUNTIF(K5:AO5,1)+COUNTIF(K5:AO5,"早")+COUNTIF(K5:AO5,"M1")+COUNTIF(K5:AO5,"T早")+COUNTIF(K5:AO5,"日")</f>
        <v>7</v>
      </c>
      <c r="B5" s="39">
        <f t="shared" ref="B5:B46" si="2">COUNTIF(K5:AO5,2)+COUNTIF(K5:AO5,"中")+COUNTIF(K5:AO5,"M2")+COUNTIF(K5:AO5,"T中")+COUNTIF(K5:AO5,"小夜")</f>
        <v>3</v>
      </c>
      <c r="C5" s="40">
        <f t="shared" ref="C5:C46" si="3">COUNTIF(K5:AO5,3)+COUNTIF(K5:AO5,"晚")+COUNTIF(K5:AO5,"大夜")</f>
        <v>10</v>
      </c>
      <c r="D5" s="39">
        <f t="shared" ref="D5:D46" si="4">COUNTIF(K5:AO5,"N")+COUNTIF(K5:AO5,"N8")</f>
        <v>0</v>
      </c>
      <c r="E5" s="41">
        <f t="shared" ref="E5:E46" si="5">COUNTIF(K5:AO5,"S")</f>
        <v>0</v>
      </c>
      <c r="F5" s="41">
        <f t="shared" ref="F5:F46" si="6">COUNTIF(K5:AO5,"X")</f>
        <v>4</v>
      </c>
      <c r="G5" s="41">
        <f t="shared" ref="G5:G46" si="7">COUNTIF(K5:AO5,"Y")</f>
        <v>5</v>
      </c>
      <c r="H5" s="41">
        <f t="shared" ref="H5:H46" si="8">COUNTIF(K5:AO5,"Z")</f>
        <v>2</v>
      </c>
      <c r="I5" s="177">
        <f t="shared" ref="I5:I46" si="9">SUM(A5:H5)</f>
        <v>31</v>
      </c>
      <c r="J5" s="453" t="s">
        <v>2</v>
      </c>
      <c r="K5" s="245">
        <v>1</v>
      </c>
      <c r="L5" s="259">
        <v>1</v>
      </c>
      <c r="M5" s="239" t="s">
        <v>52</v>
      </c>
      <c r="N5" s="239" t="s">
        <v>0</v>
      </c>
      <c r="O5" s="259" t="s">
        <v>40</v>
      </c>
      <c r="P5" s="259" t="s">
        <v>40</v>
      </c>
      <c r="Q5" s="259">
        <v>3</v>
      </c>
      <c r="R5" s="238" t="s">
        <v>52</v>
      </c>
      <c r="S5" s="259">
        <v>2</v>
      </c>
      <c r="T5" s="259">
        <v>2</v>
      </c>
      <c r="U5" s="259">
        <v>2</v>
      </c>
      <c r="V5" s="238" t="s">
        <v>0</v>
      </c>
      <c r="W5" s="259">
        <v>3</v>
      </c>
      <c r="X5" s="259">
        <v>3</v>
      </c>
      <c r="Y5" s="238" t="s">
        <v>52</v>
      </c>
      <c r="Z5" s="234" t="s">
        <v>53</v>
      </c>
      <c r="AA5" s="239" t="s">
        <v>53</v>
      </c>
      <c r="AB5" s="239" t="s">
        <v>0</v>
      </c>
      <c r="AC5" s="238" t="s">
        <v>36</v>
      </c>
      <c r="AD5" s="238" t="s">
        <v>36</v>
      </c>
      <c r="AE5" s="238" t="s">
        <v>36</v>
      </c>
      <c r="AF5" s="238" t="s">
        <v>36</v>
      </c>
      <c r="AG5" s="234" t="s">
        <v>52</v>
      </c>
      <c r="AH5" s="259">
        <v>3</v>
      </c>
      <c r="AI5" s="259">
        <v>3</v>
      </c>
      <c r="AJ5" s="259">
        <v>3</v>
      </c>
      <c r="AK5" s="259">
        <v>3</v>
      </c>
      <c r="AL5" s="259">
        <v>3</v>
      </c>
      <c r="AM5" s="238" t="s">
        <v>0</v>
      </c>
      <c r="AN5" s="234" t="s">
        <v>52</v>
      </c>
      <c r="AO5" s="241" t="s">
        <v>36</v>
      </c>
      <c r="AP5" s="45">
        <v>0</v>
      </c>
      <c r="AQ5" s="46">
        <f t="shared" si="0"/>
        <v>0</v>
      </c>
      <c r="AR5" s="46">
        <v>0</v>
      </c>
      <c r="AS5" s="41">
        <f t="shared" ref="AS5:AS10" si="10">SUM(AP5:AR5)</f>
        <v>0</v>
      </c>
      <c r="AT5" s="329" t="s">
        <v>126</v>
      </c>
    </row>
    <row r="6" spans="1:226" ht="25.5" customHeight="1">
      <c r="A6" s="38">
        <f t="shared" si="1"/>
        <v>12</v>
      </c>
      <c r="B6" s="39">
        <f t="shared" si="2"/>
        <v>1</v>
      </c>
      <c r="C6" s="40">
        <f t="shared" si="3"/>
        <v>0</v>
      </c>
      <c r="D6" s="39">
        <f t="shared" si="4"/>
        <v>6</v>
      </c>
      <c r="E6" s="41">
        <f t="shared" si="5"/>
        <v>1</v>
      </c>
      <c r="F6" s="41">
        <f t="shared" si="6"/>
        <v>4</v>
      </c>
      <c r="G6" s="41">
        <f t="shared" si="7"/>
        <v>5</v>
      </c>
      <c r="H6" s="41">
        <f t="shared" si="8"/>
        <v>2</v>
      </c>
      <c r="I6" s="177">
        <f t="shared" si="9"/>
        <v>31</v>
      </c>
      <c r="J6" s="454" t="s">
        <v>129</v>
      </c>
      <c r="K6" s="466" t="s">
        <v>3</v>
      </c>
      <c r="L6" s="238" t="s">
        <v>52</v>
      </c>
      <c r="M6" s="259">
        <v>1</v>
      </c>
      <c r="N6" s="238">
        <v>1</v>
      </c>
      <c r="O6" s="238">
        <v>1</v>
      </c>
      <c r="P6" s="238">
        <v>1</v>
      </c>
      <c r="Q6" s="259" t="s">
        <v>36</v>
      </c>
      <c r="R6" s="242" t="s">
        <v>3</v>
      </c>
      <c r="S6" s="234" t="s">
        <v>156</v>
      </c>
      <c r="T6" s="239" t="s">
        <v>52</v>
      </c>
      <c r="U6" s="239" t="s">
        <v>0</v>
      </c>
      <c r="V6" s="238" t="s">
        <v>36</v>
      </c>
      <c r="W6" s="242" t="s">
        <v>3</v>
      </c>
      <c r="X6" s="238" t="s">
        <v>52</v>
      </c>
      <c r="Y6" s="242" t="s">
        <v>3</v>
      </c>
      <c r="Z6" s="238" t="s">
        <v>36</v>
      </c>
      <c r="AA6" s="259">
        <v>1</v>
      </c>
      <c r="AB6" s="238" t="s">
        <v>0</v>
      </c>
      <c r="AC6" s="242" t="s">
        <v>3</v>
      </c>
      <c r="AD6" s="242" t="s">
        <v>3</v>
      </c>
      <c r="AE6" s="238" t="s">
        <v>36</v>
      </c>
      <c r="AF6" s="238" t="s">
        <v>52</v>
      </c>
      <c r="AG6" s="259" t="s">
        <v>38</v>
      </c>
      <c r="AH6" s="239" t="s">
        <v>52</v>
      </c>
      <c r="AI6" s="239" t="s">
        <v>0</v>
      </c>
      <c r="AJ6" s="234" t="s">
        <v>1</v>
      </c>
      <c r="AK6" s="238" t="s">
        <v>53</v>
      </c>
      <c r="AL6" s="238" t="s">
        <v>53</v>
      </c>
      <c r="AM6" s="238">
        <v>1</v>
      </c>
      <c r="AN6" s="238">
        <v>1</v>
      </c>
      <c r="AO6" s="260">
        <v>1</v>
      </c>
      <c r="AP6" s="45">
        <v>0</v>
      </c>
      <c r="AQ6" s="46">
        <f t="shared" si="0"/>
        <v>0</v>
      </c>
      <c r="AR6" s="46">
        <v>0</v>
      </c>
      <c r="AS6" s="41">
        <f t="shared" si="10"/>
        <v>0</v>
      </c>
      <c r="AT6" s="329" t="s">
        <v>126</v>
      </c>
      <c r="AW6" s="6" cm="1">
        <f t="array" ref="AW6">SUMPRODUCT(COUNTIF(M6:N6,{"X";"Y";"Z";"S"}))+SUMPRODUCT(COUNTIF(T6:U6,{"X";"Y";"Z";"S"}))+SUMPRODUCT(COUNTIF(AA6:AB6,{"X";"Y";"Z";"S"}))+SUMPRODUCT(COUNTIF(AH6:AI6,{"X";"Y";"Z";"S"}))+SUMPRODUCT(COUNTIF(AO6:AO6,{"X";"Y";"Z";"S"}))-5</f>
        <v>0</v>
      </c>
      <c r="AX6" s="6">
        <v>5</v>
      </c>
      <c r="AY6" s="6">
        <f t="shared" ref="AY6:AY12" si="11">AW6+AX6</f>
        <v>5</v>
      </c>
    </row>
    <row r="7" spans="1:226" ht="25.5" customHeight="1">
      <c r="A7" s="38">
        <f t="shared" si="1"/>
        <v>17</v>
      </c>
      <c r="B7" s="39">
        <f t="shared" si="2"/>
        <v>0</v>
      </c>
      <c r="C7" s="40">
        <f t="shared" si="3"/>
        <v>1</v>
      </c>
      <c r="D7" s="39">
        <f t="shared" si="4"/>
        <v>1</v>
      </c>
      <c r="E7" s="41">
        <f t="shared" si="5"/>
        <v>1</v>
      </c>
      <c r="F7" s="41">
        <f t="shared" si="6"/>
        <v>4</v>
      </c>
      <c r="G7" s="41">
        <f t="shared" si="7"/>
        <v>5</v>
      </c>
      <c r="H7" s="41">
        <f t="shared" si="8"/>
        <v>2</v>
      </c>
      <c r="I7" s="177">
        <f t="shared" si="9"/>
        <v>31</v>
      </c>
      <c r="J7" s="209" t="s">
        <v>130</v>
      </c>
      <c r="K7" s="245" t="s">
        <v>36</v>
      </c>
      <c r="L7" s="238" t="s">
        <v>52</v>
      </c>
      <c r="M7" s="259">
        <v>3</v>
      </c>
      <c r="N7" s="238" t="s">
        <v>0</v>
      </c>
      <c r="O7" s="238" t="s">
        <v>36</v>
      </c>
      <c r="P7" s="238" t="s">
        <v>36</v>
      </c>
      <c r="Q7" s="238" t="s">
        <v>36</v>
      </c>
      <c r="R7" s="234" t="s">
        <v>1</v>
      </c>
      <c r="S7" s="234" t="s">
        <v>52</v>
      </c>
      <c r="T7" s="239" t="s">
        <v>53</v>
      </c>
      <c r="U7" s="239" t="s">
        <v>0</v>
      </c>
      <c r="V7" s="238" t="s">
        <v>3</v>
      </c>
      <c r="W7" s="238" t="s">
        <v>36</v>
      </c>
      <c r="X7" s="238" t="s">
        <v>36</v>
      </c>
      <c r="Y7" s="238" t="s">
        <v>52</v>
      </c>
      <c r="Z7" s="259">
        <v>1</v>
      </c>
      <c r="AA7" s="238">
        <v>1</v>
      </c>
      <c r="AB7" s="259">
        <v>1</v>
      </c>
      <c r="AC7" s="259">
        <v>1</v>
      </c>
      <c r="AD7" s="238" t="s">
        <v>0</v>
      </c>
      <c r="AE7" s="238" t="s">
        <v>52</v>
      </c>
      <c r="AF7" s="238" t="s">
        <v>36</v>
      </c>
      <c r="AG7" s="238" t="s">
        <v>36</v>
      </c>
      <c r="AH7" s="239" t="s">
        <v>53</v>
      </c>
      <c r="AI7" s="239" t="s">
        <v>0</v>
      </c>
      <c r="AJ7" s="259" t="s">
        <v>36</v>
      </c>
      <c r="AK7" s="238" t="s">
        <v>36</v>
      </c>
      <c r="AL7" s="238" t="s">
        <v>36</v>
      </c>
      <c r="AM7" s="238" t="s">
        <v>52</v>
      </c>
      <c r="AN7" s="238" t="s">
        <v>36</v>
      </c>
      <c r="AO7" s="241" t="s">
        <v>36</v>
      </c>
      <c r="AP7" s="45">
        <v>0</v>
      </c>
      <c r="AQ7" s="46">
        <f t="shared" si="0"/>
        <v>0</v>
      </c>
      <c r="AR7" s="46">
        <v>0</v>
      </c>
      <c r="AS7" s="41">
        <f t="shared" si="10"/>
        <v>0</v>
      </c>
      <c r="AT7" s="329" t="s">
        <v>126</v>
      </c>
      <c r="AW7" s="6" cm="1">
        <f t="array" ref="AW7">SUMPRODUCT(COUNTIF(M7:N7,{"X";"Y";"Z";"S"}))+SUMPRODUCT(COUNTIF(T7:U7,{"X";"Y";"Z";"S"}))+SUMPRODUCT(COUNTIF(AA7:AB7,{"X";"Y";"Z";"S"}))+SUMPRODUCT(COUNTIF(AH7:AI7,{"X";"Y";"Z";"S"}))+SUMPRODUCT(COUNTIF(AO7:AO7,{"X";"Y";"Z";"S"}))-5</f>
        <v>0</v>
      </c>
      <c r="AX7" s="6">
        <v>2</v>
      </c>
      <c r="AY7" s="6">
        <f t="shared" si="11"/>
        <v>2</v>
      </c>
    </row>
    <row r="8" spans="1:226" s="50" customFormat="1" ht="24.75" customHeight="1">
      <c r="A8" s="38">
        <f t="shared" si="1"/>
        <v>15</v>
      </c>
      <c r="B8" s="39">
        <f t="shared" si="2"/>
        <v>0</v>
      </c>
      <c r="C8" s="40">
        <f t="shared" si="3"/>
        <v>1</v>
      </c>
      <c r="D8" s="39">
        <f t="shared" si="4"/>
        <v>3</v>
      </c>
      <c r="E8" s="41">
        <f t="shared" si="5"/>
        <v>1</v>
      </c>
      <c r="F8" s="41">
        <f t="shared" si="6"/>
        <v>4</v>
      </c>
      <c r="G8" s="41">
        <f t="shared" si="7"/>
        <v>5</v>
      </c>
      <c r="H8" s="41">
        <f t="shared" si="8"/>
        <v>2</v>
      </c>
      <c r="I8" s="177">
        <f t="shared" si="9"/>
        <v>31</v>
      </c>
      <c r="J8" s="454" t="s">
        <v>4</v>
      </c>
      <c r="K8" s="427" t="s">
        <v>155</v>
      </c>
      <c r="L8" s="234" t="s">
        <v>52</v>
      </c>
      <c r="M8" s="238">
        <v>1</v>
      </c>
      <c r="N8" s="259">
        <v>1</v>
      </c>
      <c r="O8" s="238" t="s">
        <v>36</v>
      </c>
      <c r="P8" s="238" t="s">
        <v>52</v>
      </c>
      <c r="Q8" s="238" t="s">
        <v>36</v>
      </c>
      <c r="R8" s="242" t="s">
        <v>3</v>
      </c>
      <c r="S8" s="234" t="s">
        <v>1</v>
      </c>
      <c r="T8" s="239" t="s">
        <v>0</v>
      </c>
      <c r="U8" s="239" t="s">
        <v>53</v>
      </c>
      <c r="V8" s="238" t="s">
        <v>3</v>
      </c>
      <c r="W8" s="238" t="s">
        <v>36</v>
      </c>
      <c r="X8" s="238" t="s">
        <v>36</v>
      </c>
      <c r="Y8" s="256" t="s">
        <v>155</v>
      </c>
      <c r="Z8" s="234" t="s">
        <v>156</v>
      </c>
      <c r="AA8" s="259">
        <v>3</v>
      </c>
      <c r="AB8" s="238" t="s">
        <v>52</v>
      </c>
      <c r="AC8" s="238" t="s">
        <v>36</v>
      </c>
      <c r="AD8" s="238" t="s">
        <v>52</v>
      </c>
      <c r="AE8" s="238" t="s">
        <v>36</v>
      </c>
      <c r="AF8" s="256" t="s">
        <v>155</v>
      </c>
      <c r="AG8" s="242" t="s">
        <v>3</v>
      </c>
      <c r="AH8" s="239" t="s">
        <v>52</v>
      </c>
      <c r="AI8" s="239" t="s">
        <v>53</v>
      </c>
      <c r="AJ8" s="234" t="s">
        <v>0</v>
      </c>
      <c r="AK8" s="238" t="s">
        <v>36</v>
      </c>
      <c r="AL8" s="238" t="s">
        <v>36</v>
      </c>
      <c r="AM8" s="238" t="s">
        <v>36</v>
      </c>
      <c r="AN8" s="238">
        <v>1</v>
      </c>
      <c r="AO8" s="397" t="s">
        <v>0</v>
      </c>
      <c r="AP8" s="45">
        <v>0</v>
      </c>
      <c r="AQ8" s="46">
        <f t="shared" si="0"/>
        <v>0</v>
      </c>
      <c r="AR8" s="46">
        <v>0</v>
      </c>
      <c r="AS8" s="41">
        <f t="shared" si="10"/>
        <v>0</v>
      </c>
      <c r="AT8" s="329" t="s">
        <v>128</v>
      </c>
      <c r="AU8" s="6"/>
      <c r="AV8" s="6"/>
      <c r="AW8" s="6" cm="1">
        <f t="array" ref="AW8">SUMPRODUCT(COUNTIF(M8:N8,{"X";"Y";"Z";"S"}))+SUMPRODUCT(COUNTIF(T8:U8,{"X";"Y";"Z";"S"}))+SUMPRODUCT(COUNTIF(AA8:AB8,{"X";"Y";"Z";"S"}))+SUMPRODUCT(COUNTIF(AH8:AI8,{"X";"Y";"Z";"S"}))+SUMPRODUCT(COUNTIF(AO8:AO8,{"X";"Y";"Z";"S"}))-5</f>
        <v>1</v>
      </c>
      <c r="AX8" s="6">
        <v>6</v>
      </c>
      <c r="AY8" s="6">
        <f t="shared" si="11"/>
        <v>7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</row>
    <row r="9" spans="1:226" s="50" customFormat="1" ht="29.25" customHeight="1">
      <c r="A9" s="38">
        <f t="shared" si="1"/>
        <v>16</v>
      </c>
      <c r="B9" s="39">
        <f t="shared" si="2"/>
        <v>3</v>
      </c>
      <c r="C9" s="40">
        <f t="shared" si="3"/>
        <v>0</v>
      </c>
      <c r="D9" s="39">
        <f t="shared" si="4"/>
        <v>1</v>
      </c>
      <c r="E9" s="41">
        <f t="shared" si="5"/>
        <v>0</v>
      </c>
      <c r="F9" s="41">
        <f t="shared" si="6"/>
        <v>4</v>
      </c>
      <c r="G9" s="41">
        <f t="shared" si="7"/>
        <v>5</v>
      </c>
      <c r="H9" s="41">
        <f t="shared" si="8"/>
        <v>2</v>
      </c>
      <c r="I9" s="177">
        <f t="shared" si="9"/>
        <v>31</v>
      </c>
      <c r="J9" s="51" t="s">
        <v>134</v>
      </c>
      <c r="K9" s="245" t="s">
        <v>36</v>
      </c>
      <c r="L9" s="238" t="s">
        <v>36</v>
      </c>
      <c r="M9" s="238" t="s">
        <v>36</v>
      </c>
      <c r="N9" s="238" t="s">
        <v>36</v>
      </c>
      <c r="O9" s="238" t="s">
        <v>52</v>
      </c>
      <c r="P9" s="121">
        <v>2</v>
      </c>
      <c r="Q9" s="121">
        <v>2</v>
      </c>
      <c r="R9" s="121">
        <v>2</v>
      </c>
      <c r="S9" s="234" t="s">
        <v>52</v>
      </c>
      <c r="T9" s="239" t="s">
        <v>53</v>
      </c>
      <c r="U9" s="239" t="s">
        <v>0</v>
      </c>
      <c r="V9" s="259">
        <v>1</v>
      </c>
      <c r="W9" s="259" t="s">
        <v>36</v>
      </c>
      <c r="X9" s="259" t="s">
        <v>36</v>
      </c>
      <c r="Y9" s="238" t="s">
        <v>3</v>
      </c>
      <c r="Z9" s="234" t="s">
        <v>52</v>
      </c>
      <c r="AA9" s="238" t="s">
        <v>36</v>
      </c>
      <c r="AB9" s="238" t="s">
        <v>36</v>
      </c>
      <c r="AC9" s="238" t="s">
        <v>36</v>
      </c>
      <c r="AD9" s="238" t="s">
        <v>36</v>
      </c>
      <c r="AE9" s="238" t="s">
        <v>0</v>
      </c>
      <c r="AF9" s="238" t="s">
        <v>36</v>
      </c>
      <c r="AG9" s="238" t="s">
        <v>36</v>
      </c>
      <c r="AH9" s="239" t="s">
        <v>52</v>
      </c>
      <c r="AI9" s="239" t="s">
        <v>53</v>
      </c>
      <c r="AJ9" s="234" t="s">
        <v>156</v>
      </c>
      <c r="AK9" s="234" t="s">
        <v>156</v>
      </c>
      <c r="AL9" s="238" t="s">
        <v>36</v>
      </c>
      <c r="AM9" s="238" t="s">
        <v>36</v>
      </c>
      <c r="AN9" s="238" t="s">
        <v>36</v>
      </c>
      <c r="AO9" s="241" t="s">
        <v>52</v>
      </c>
      <c r="AP9" s="45">
        <v>0</v>
      </c>
      <c r="AQ9" s="46">
        <f t="shared" si="0"/>
        <v>0</v>
      </c>
      <c r="AR9" s="46">
        <v>0</v>
      </c>
      <c r="AS9" s="41">
        <f t="shared" si="10"/>
        <v>0</v>
      </c>
      <c r="AT9" s="329" t="s">
        <v>126</v>
      </c>
      <c r="AU9" s="6"/>
      <c r="AV9" s="6"/>
      <c r="AW9" s="6" cm="1">
        <f t="array" ref="AW9">SUMPRODUCT(COUNTIF(M9:N9,{"X";"Y";"Z";"S"}))+SUMPRODUCT(COUNTIF(T9:U9,{"X";"Y";"Z";"S"}))+SUMPRODUCT(COUNTIF(AA9:AB9,{"X";"Y";"Z";"S"}))+SUMPRODUCT(COUNTIF(AH9:AI9,{"X";"Y";"Z";"S"}))+SUMPRODUCT(COUNTIF(AO9:AO9,{"X";"Y";"Z";"S"}))-5</f>
        <v>0</v>
      </c>
      <c r="AX9" s="6">
        <v>2</v>
      </c>
      <c r="AY9" s="6">
        <f t="shared" si="11"/>
        <v>2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1:226" s="50" customFormat="1" ht="25.5" customHeight="1">
      <c r="A10" s="38">
        <f t="shared" si="1"/>
        <v>9</v>
      </c>
      <c r="B10" s="39">
        <f t="shared" si="2"/>
        <v>3</v>
      </c>
      <c r="C10" s="40">
        <f t="shared" si="3"/>
        <v>0</v>
      </c>
      <c r="D10" s="39">
        <f t="shared" si="4"/>
        <v>5</v>
      </c>
      <c r="E10" s="41">
        <f t="shared" si="5"/>
        <v>3</v>
      </c>
      <c r="F10" s="41">
        <f t="shared" si="6"/>
        <v>4</v>
      </c>
      <c r="G10" s="41">
        <f t="shared" si="7"/>
        <v>5</v>
      </c>
      <c r="H10" s="41">
        <f t="shared" si="8"/>
        <v>2</v>
      </c>
      <c r="I10" s="177">
        <f t="shared" si="9"/>
        <v>31</v>
      </c>
      <c r="J10" s="209" t="s">
        <v>6</v>
      </c>
      <c r="K10" s="245" t="s">
        <v>52</v>
      </c>
      <c r="L10" s="234" t="s">
        <v>154</v>
      </c>
      <c r="M10" s="238">
        <v>2</v>
      </c>
      <c r="N10" s="259">
        <v>2</v>
      </c>
      <c r="O10" s="238" t="s">
        <v>0</v>
      </c>
      <c r="P10" s="242" t="s">
        <v>3</v>
      </c>
      <c r="Q10" s="242" t="s">
        <v>3</v>
      </c>
      <c r="R10" s="256" t="s">
        <v>155</v>
      </c>
      <c r="S10" s="234" t="s">
        <v>52</v>
      </c>
      <c r="T10" s="239" t="s">
        <v>53</v>
      </c>
      <c r="U10" s="239" t="s">
        <v>0</v>
      </c>
      <c r="V10" s="234" t="s">
        <v>154</v>
      </c>
      <c r="W10" s="242" t="s">
        <v>3</v>
      </c>
      <c r="X10" s="256" t="s">
        <v>155</v>
      </c>
      <c r="Y10" s="242" t="s">
        <v>3</v>
      </c>
      <c r="Z10" s="234" t="s">
        <v>52</v>
      </c>
      <c r="AA10" s="239" t="s">
        <v>52</v>
      </c>
      <c r="AB10" s="259">
        <v>2</v>
      </c>
      <c r="AC10" s="238" t="s">
        <v>0</v>
      </c>
      <c r="AD10" s="256" t="s">
        <v>155</v>
      </c>
      <c r="AE10" s="259">
        <v>1</v>
      </c>
      <c r="AF10" s="238">
        <v>1</v>
      </c>
      <c r="AG10" s="238" t="s">
        <v>36</v>
      </c>
      <c r="AH10" s="238" t="s">
        <v>36</v>
      </c>
      <c r="AI10" s="239" t="s">
        <v>53</v>
      </c>
      <c r="AJ10" s="234" t="s">
        <v>52</v>
      </c>
      <c r="AK10" s="234" t="s">
        <v>1</v>
      </c>
      <c r="AL10" s="393" t="s">
        <v>3</v>
      </c>
      <c r="AM10" s="256" t="s">
        <v>155</v>
      </c>
      <c r="AN10" s="238" t="s">
        <v>36</v>
      </c>
      <c r="AO10" s="397" t="s">
        <v>156</v>
      </c>
      <c r="AP10" s="45">
        <v>0</v>
      </c>
      <c r="AQ10" s="46">
        <f t="shared" si="0"/>
        <v>0</v>
      </c>
      <c r="AR10" s="46">
        <v>0</v>
      </c>
      <c r="AS10" s="41">
        <f t="shared" si="10"/>
        <v>0</v>
      </c>
      <c r="AT10" s="329" t="s">
        <v>128</v>
      </c>
      <c r="AU10" s="6"/>
      <c r="AV10" s="6"/>
      <c r="AW10" s="6" cm="1">
        <f t="array" ref="AW10">SUMPRODUCT(COUNTIF(M10:N10,{"X";"Y";"Z";"S"}))+SUMPRODUCT(COUNTIF(T10:U10,{"X";"Y";"Z";"S"}))+SUMPRODUCT(COUNTIF(AA10:AB10,{"X";"Y";"Z";"S"}))+SUMPRODUCT(COUNTIF(AH10:AI10,{"X";"Y";"Z";"S"}))+SUMPRODUCT(COUNTIF(AO10:AO10,{"X";"Y";"Z";"S"}))-5</f>
        <v>0</v>
      </c>
      <c r="AX10" s="6">
        <v>4</v>
      </c>
      <c r="AY10" s="6">
        <f t="shared" si="11"/>
        <v>4</v>
      </c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1:226" s="50" customFormat="1" ht="25.5" customHeight="1">
      <c r="A11" s="38">
        <f t="shared" si="1"/>
        <v>18</v>
      </c>
      <c r="B11" s="39">
        <f t="shared" si="2"/>
        <v>1</v>
      </c>
      <c r="C11" s="40">
        <f t="shared" si="3"/>
        <v>0</v>
      </c>
      <c r="D11" s="39">
        <f t="shared" si="4"/>
        <v>0</v>
      </c>
      <c r="E11" s="41">
        <f t="shared" si="5"/>
        <v>1</v>
      </c>
      <c r="F11" s="41">
        <f t="shared" si="6"/>
        <v>4</v>
      </c>
      <c r="G11" s="41">
        <f t="shared" si="7"/>
        <v>5</v>
      </c>
      <c r="H11" s="41">
        <f t="shared" si="8"/>
        <v>2</v>
      </c>
      <c r="I11" s="177">
        <f t="shared" si="9"/>
        <v>31</v>
      </c>
      <c r="J11" s="454" t="s">
        <v>135</v>
      </c>
      <c r="K11" s="245" t="s">
        <v>36</v>
      </c>
      <c r="L11" s="234" t="s">
        <v>154</v>
      </c>
      <c r="M11" s="239" t="s">
        <v>52</v>
      </c>
      <c r="N11" s="239" t="s">
        <v>53</v>
      </c>
      <c r="O11" s="259">
        <v>1</v>
      </c>
      <c r="P11" s="238" t="s">
        <v>36</v>
      </c>
      <c r="Q11" s="238" t="s">
        <v>36</v>
      </c>
      <c r="R11" s="238" t="s">
        <v>36</v>
      </c>
      <c r="S11" s="234" t="s">
        <v>52</v>
      </c>
      <c r="T11" s="259">
        <v>1</v>
      </c>
      <c r="U11" s="259">
        <v>1</v>
      </c>
      <c r="V11" s="238" t="s">
        <v>36</v>
      </c>
      <c r="W11" s="238" t="s">
        <v>36</v>
      </c>
      <c r="X11" s="238" t="s">
        <v>36</v>
      </c>
      <c r="Y11" s="238" t="s">
        <v>0</v>
      </c>
      <c r="Z11" s="234" t="s">
        <v>52</v>
      </c>
      <c r="AA11" s="238" t="s">
        <v>36</v>
      </c>
      <c r="AB11" s="238" t="s">
        <v>36</v>
      </c>
      <c r="AC11" s="259" t="s">
        <v>36</v>
      </c>
      <c r="AD11" s="238" t="s">
        <v>0</v>
      </c>
      <c r="AE11" s="238" t="s">
        <v>36</v>
      </c>
      <c r="AF11" s="238" t="s">
        <v>36</v>
      </c>
      <c r="AG11" s="259">
        <v>1</v>
      </c>
      <c r="AH11" s="239" t="s">
        <v>52</v>
      </c>
      <c r="AI11" s="239" t="s">
        <v>53</v>
      </c>
      <c r="AJ11" s="234" t="s">
        <v>0</v>
      </c>
      <c r="AK11" s="238" t="s">
        <v>36</v>
      </c>
      <c r="AL11" s="238" t="s">
        <v>36</v>
      </c>
      <c r="AM11" s="238" t="s">
        <v>52</v>
      </c>
      <c r="AN11" s="238" t="s">
        <v>0</v>
      </c>
      <c r="AO11" s="260">
        <v>2</v>
      </c>
      <c r="AP11" s="45">
        <v>0</v>
      </c>
      <c r="AQ11" s="46">
        <f t="shared" si="0"/>
        <v>0</v>
      </c>
      <c r="AR11" s="46">
        <v>0</v>
      </c>
      <c r="AS11" s="41">
        <f>SUM(AP11:AR11)</f>
        <v>0</v>
      </c>
      <c r="AT11" s="329" t="s">
        <v>126</v>
      </c>
      <c r="AU11" s="6"/>
      <c r="AV11" s="6"/>
      <c r="AW11" s="6" cm="1">
        <f t="array" ref="AW11">SUMPRODUCT(COUNTIF(M11:N11,{"X";"Y";"Z";"S"}))+SUMPRODUCT(COUNTIF(T11:U11,{"X";"Y";"Z";"S"}))+SUMPRODUCT(COUNTIF(AA11:AB11,{"X";"Y";"Z";"S"}))+SUMPRODUCT(COUNTIF(AH11:AI11,{"X";"Y";"Z";"S"}))+SUMPRODUCT(COUNTIF(AO11:AO11,{"X";"Y";"Z";"S"}))-5</f>
        <v>-1</v>
      </c>
      <c r="AX11" s="6">
        <v>1</v>
      </c>
      <c r="AY11" s="6">
        <f t="shared" si="11"/>
        <v>0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1:226" s="50" customFormat="1" ht="28.35" customHeight="1">
      <c r="A12" s="38">
        <f t="shared" si="1"/>
        <v>12</v>
      </c>
      <c r="B12" s="39">
        <f t="shared" si="2"/>
        <v>1</v>
      </c>
      <c r="C12" s="40">
        <f t="shared" si="3"/>
        <v>0</v>
      </c>
      <c r="D12" s="39">
        <f t="shared" si="4"/>
        <v>7</v>
      </c>
      <c r="E12" s="41">
        <f t="shared" si="5"/>
        <v>0</v>
      </c>
      <c r="F12" s="41">
        <f t="shared" si="6"/>
        <v>4</v>
      </c>
      <c r="G12" s="41">
        <f t="shared" si="7"/>
        <v>5</v>
      </c>
      <c r="H12" s="41">
        <f t="shared" si="8"/>
        <v>2</v>
      </c>
      <c r="I12" s="177">
        <f t="shared" si="9"/>
        <v>31</v>
      </c>
      <c r="J12" s="455" t="s">
        <v>136</v>
      </c>
      <c r="K12" s="245" t="s">
        <v>3</v>
      </c>
      <c r="L12" s="256" t="s">
        <v>176</v>
      </c>
      <c r="M12" s="239" t="s">
        <v>52</v>
      </c>
      <c r="N12" s="239" t="s">
        <v>53</v>
      </c>
      <c r="O12" s="242" t="s">
        <v>3</v>
      </c>
      <c r="P12" s="256" t="s">
        <v>176</v>
      </c>
      <c r="Q12" s="238" t="s">
        <v>0</v>
      </c>
      <c r="R12" s="238" t="s">
        <v>53</v>
      </c>
      <c r="S12" s="234" t="s">
        <v>52</v>
      </c>
      <c r="T12" s="238">
        <v>1</v>
      </c>
      <c r="U12" s="238">
        <v>1</v>
      </c>
      <c r="V12" s="464" t="s">
        <v>36</v>
      </c>
      <c r="W12" s="238" t="s">
        <v>0</v>
      </c>
      <c r="X12" s="238" t="s">
        <v>36</v>
      </c>
      <c r="Y12" s="242" t="s">
        <v>3</v>
      </c>
      <c r="Z12" s="256" t="s">
        <v>176</v>
      </c>
      <c r="AA12" s="239" t="s">
        <v>52</v>
      </c>
      <c r="AB12" s="239" t="s">
        <v>0</v>
      </c>
      <c r="AC12" s="242" t="s">
        <v>3</v>
      </c>
      <c r="AD12" s="242" t="s">
        <v>3</v>
      </c>
      <c r="AE12" s="238" t="s">
        <v>52</v>
      </c>
      <c r="AF12" s="242" t="s">
        <v>3</v>
      </c>
      <c r="AG12" s="256" t="s">
        <v>176</v>
      </c>
      <c r="AH12" s="259" t="s">
        <v>36</v>
      </c>
      <c r="AI12" s="259">
        <v>2</v>
      </c>
      <c r="AJ12" s="234" t="s">
        <v>52</v>
      </c>
      <c r="AK12" s="242" t="s">
        <v>3</v>
      </c>
      <c r="AL12" s="259">
        <v>1</v>
      </c>
      <c r="AM12" s="259" t="s">
        <v>36</v>
      </c>
      <c r="AN12" s="256" t="s">
        <v>176</v>
      </c>
      <c r="AO12" s="397" t="s">
        <v>0</v>
      </c>
      <c r="AP12" s="45">
        <v>0</v>
      </c>
      <c r="AQ12" s="46">
        <f t="shared" si="0"/>
        <v>0</v>
      </c>
      <c r="AR12" s="46">
        <v>0</v>
      </c>
      <c r="AS12" s="41">
        <f t="shared" ref="AS12:AS15" si="12">SUM(AP12:AR12)</f>
        <v>0</v>
      </c>
      <c r="AT12" s="329" t="s">
        <v>128</v>
      </c>
      <c r="AU12" s="6"/>
      <c r="AV12" s="6"/>
      <c r="AW12" s="6" cm="1">
        <f t="array" ref="AW12">SUMPRODUCT(COUNTIF(M12:N12,{"X";"Y";"Z";"S"}))+SUMPRODUCT(COUNTIF(T12:U12,{"X";"Y";"Z";"S"}))+SUMPRODUCT(COUNTIF(AA12:AB12,{"X";"Y";"Z";"S"}))+SUMPRODUCT(COUNTIF(AH12:AI12,{"X";"Y";"Z";"S"}))+SUMPRODUCT(COUNTIF(AO12:AO12,{"X";"Y";"Z";"S"}))-5</f>
        <v>0</v>
      </c>
      <c r="AX12" s="6">
        <v>4</v>
      </c>
      <c r="AY12" s="6">
        <f t="shared" si="11"/>
        <v>4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</row>
    <row r="13" spans="1:226" s="50" customFormat="1" ht="25.5" customHeight="1">
      <c r="A13" s="38">
        <f t="shared" si="1"/>
        <v>0</v>
      </c>
      <c r="B13" s="39">
        <f t="shared" si="2"/>
        <v>12</v>
      </c>
      <c r="C13" s="40">
        <f t="shared" si="3"/>
        <v>3</v>
      </c>
      <c r="D13" s="39">
        <f t="shared" si="4"/>
        <v>2</v>
      </c>
      <c r="E13" s="41">
        <f t="shared" si="5"/>
        <v>3</v>
      </c>
      <c r="F13" s="41">
        <f t="shared" si="6"/>
        <v>4</v>
      </c>
      <c r="G13" s="41">
        <f t="shared" si="7"/>
        <v>5</v>
      </c>
      <c r="H13" s="41">
        <f t="shared" si="8"/>
        <v>2</v>
      </c>
      <c r="I13" s="177">
        <f t="shared" si="9"/>
        <v>31</v>
      </c>
      <c r="J13" s="211" t="s">
        <v>7</v>
      </c>
      <c r="K13" s="258">
        <v>2</v>
      </c>
      <c r="L13" s="234" t="s">
        <v>0</v>
      </c>
      <c r="M13" s="234" t="s">
        <v>52</v>
      </c>
      <c r="N13" s="259">
        <v>3</v>
      </c>
      <c r="O13" s="234" t="s">
        <v>1</v>
      </c>
      <c r="P13" s="238" t="s">
        <v>38</v>
      </c>
      <c r="Q13" s="238">
        <v>2</v>
      </c>
      <c r="R13" s="238" t="s">
        <v>38</v>
      </c>
      <c r="S13" s="234" t="s">
        <v>52</v>
      </c>
      <c r="T13" s="239" t="s">
        <v>53</v>
      </c>
      <c r="U13" s="238" t="s">
        <v>0</v>
      </c>
      <c r="V13" s="234" t="s">
        <v>1</v>
      </c>
      <c r="W13" s="242" t="s">
        <v>3</v>
      </c>
      <c r="X13" s="259" t="s">
        <v>38</v>
      </c>
      <c r="Y13" s="259">
        <v>2</v>
      </c>
      <c r="Z13" s="234" t="s">
        <v>0</v>
      </c>
      <c r="AA13" s="234" t="s">
        <v>52</v>
      </c>
      <c r="AB13" s="259">
        <v>3</v>
      </c>
      <c r="AC13" s="259">
        <v>2</v>
      </c>
      <c r="AD13" s="259">
        <v>2</v>
      </c>
      <c r="AE13" s="259">
        <v>2</v>
      </c>
      <c r="AF13" s="259">
        <v>2</v>
      </c>
      <c r="AG13" s="234" t="s">
        <v>0</v>
      </c>
      <c r="AH13" s="238" t="s">
        <v>53</v>
      </c>
      <c r="AI13" s="239" t="s">
        <v>52</v>
      </c>
      <c r="AJ13" s="234" t="s">
        <v>1</v>
      </c>
      <c r="AK13" s="242" t="s">
        <v>3</v>
      </c>
      <c r="AL13" s="259">
        <v>2</v>
      </c>
      <c r="AM13" s="259">
        <v>2</v>
      </c>
      <c r="AN13" s="234" t="s">
        <v>52</v>
      </c>
      <c r="AO13" s="260">
        <v>3</v>
      </c>
      <c r="AP13" s="45">
        <v>0</v>
      </c>
      <c r="AQ13" s="46">
        <f t="shared" si="0"/>
        <v>0</v>
      </c>
      <c r="AR13" s="46">
        <v>0</v>
      </c>
      <c r="AS13" s="41">
        <f t="shared" si="12"/>
        <v>0</v>
      </c>
      <c r="AT13" s="329" t="s">
        <v>126</v>
      </c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</row>
    <row r="14" spans="1:226" s="50" customFormat="1" ht="25.5" customHeight="1">
      <c r="A14" s="38">
        <f t="shared" si="1"/>
        <v>9</v>
      </c>
      <c r="B14" s="39">
        <f t="shared" si="2"/>
        <v>3</v>
      </c>
      <c r="C14" s="40">
        <f t="shared" si="3"/>
        <v>0</v>
      </c>
      <c r="D14" s="39">
        <f t="shared" si="4"/>
        <v>6</v>
      </c>
      <c r="E14" s="41">
        <f t="shared" si="5"/>
        <v>2</v>
      </c>
      <c r="F14" s="41">
        <f t="shared" si="6"/>
        <v>4</v>
      </c>
      <c r="G14" s="41">
        <f t="shared" si="7"/>
        <v>5</v>
      </c>
      <c r="H14" s="41">
        <f t="shared" si="8"/>
        <v>2</v>
      </c>
      <c r="I14" s="177">
        <f t="shared" si="9"/>
        <v>31</v>
      </c>
      <c r="J14" s="211" t="s">
        <v>173</v>
      </c>
      <c r="K14" s="427" t="s">
        <v>176</v>
      </c>
      <c r="L14" s="259">
        <v>2</v>
      </c>
      <c r="M14" s="259">
        <v>2</v>
      </c>
      <c r="N14" s="238" t="s">
        <v>52</v>
      </c>
      <c r="O14" s="242" t="s">
        <v>3</v>
      </c>
      <c r="P14" s="238" t="s">
        <v>36</v>
      </c>
      <c r="Q14" s="259">
        <v>1</v>
      </c>
      <c r="R14" s="256" t="s">
        <v>176</v>
      </c>
      <c r="S14" s="234" t="s">
        <v>1</v>
      </c>
      <c r="T14" s="239" t="s">
        <v>52</v>
      </c>
      <c r="U14" s="239" t="s">
        <v>53</v>
      </c>
      <c r="V14" s="238" t="s">
        <v>36</v>
      </c>
      <c r="W14" s="259">
        <v>2</v>
      </c>
      <c r="X14" s="238" t="s">
        <v>0</v>
      </c>
      <c r="Y14" s="256" t="s">
        <v>176</v>
      </c>
      <c r="Z14" s="242" t="s">
        <v>3</v>
      </c>
      <c r="AA14" s="239" t="s">
        <v>52</v>
      </c>
      <c r="AB14" s="239" t="s">
        <v>53</v>
      </c>
      <c r="AC14" s="242" t="s">
        <v>3</v>
      </c>
      <c r="AD14" s="242" t="s">
        <v>3</v>
      </c>
      <c r="AE14" s="238" t="s">
        <v>0</v>
      </c>
      <c r="AF14" s="256" t="s">
        <v>176</v>
      </c>
      <c r="AG14" s="238" t="s">
        <v>36</v>
      </c>
      <c r="AH14" s="234" t="s">
        <v>52</v>
      </c>
      <c r="AI14" s="259" t="s">
        <v>36</v>
      </c>
      <c r="AJ14" s="234" t="s">
        <v>1</v>
      </c>
      <c r="AK14" s="242" t="s">
        <v>3</v>
      </c>
      <c r="AL14" s="242" t="s">
        <v>3</v>
      </c>
      <c r="AM14" s="238" t="s">
        <v>52</v>
      </c>
      <c r="AN14" s="238" t="s">
        <v>0</v>
      </c>
      <c r="AO14" s="397" t="s">
        <v>0</v>
      </c>
      <c r="AP14" s="45">
        <v>0</v>
      </c>
      <c r="AQ14" s="46">
        <f t="shared" si="0"/>
        <v>0</v>
      </c>
      <c r="AR14" s="46">
        <v>0</v>
      </c>
      <c r="AS14" s="41">
        <f t="shared" si="12"/>
        <v>0</v>
      </c>
      <c r="AT14" s="329" t="s">
        <v>128</v>
      </c>
      <c r="AU14" s="6"/>
      <c r="AV14" s="6"/>
      <c r="AW14" s="6" cm="1">
        <f t="array" ref="AW14">SUMPRODUCT(COUNTIF(M14:N14,{"X";"Y";"Z";"S"}))+SUMPRODUCT(COUNTIF(T14:U14,{"X";"Y";"Z";"S"}))+SUMPRODUCT(COUNTIF(AA14:AB14,{"X";"Y";"Z";"S"}))+SUMPRODUCT(COUNTIF(AH14:AI14,{"X";"Y";"Z";"S"}))+SUMPRODUCT(COUNTIF(AO14:AO14,{"X";"Y";"Z";"S"}))-5</f>
        <v>2</v>
      </c>
      <c r="AX14" s="6">
        <v>2</v>
      </c>
      <c r="AY14" s="6">
        <f t="shared" ref="AY14:AY17" si="13">AW14+AX14</f>
        <v>4</v>
      </c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</row>
    <row r="15" spans="1:226" s="50" customFormat="1" ht="25.5" customHeight="1">
      <c r="A15" s="38">
        <f t="shared" si="1"/>
        <v>11</v>
      </c>
      <c r="B15" s="39">
        <f t="shared" si="2"/>
        <v>1</v>
      </c>
      <c r="C15" s="40">
        <f t="shared" si="3"/>
        <v>0</v>
      </c>
      <c r="D15" s="39">
        <f t="shared" si="4"/>
        <v>7</v>
      </c>
      <c r="E15" s="41">
        <f t="shared" si="5"/>
        <v>1</v>
      </c>
      <c r="F15" s="41">
        <f t="shared" si="6"/>
        <v>4</v>
      </c>
      <c r="G15" s="41">
        <f t="shared" si="7"/>
        <v>5</v>
      </c>
      <c r="H15" s="41">
        <f t="shared" si="8"/>
        <v>2</v>
      </c>
      <c r="I15" s="177">
        <f t="shared" si="9"/>
        <v>31</v>
      </c>
      <c r="J15" s="212" t="s">
        <v>93</v>
      </c>
      <c r="K15" s="245" t="s">
        <v>3</v>
      </c>
      <c r="L15" s="393" t="s">
        <v>3</v>
      </c>
      <c r="M15" s="239" t="s">
        <v>53</v>
      </c>
      <c r="N15" s="239" t="s">
        <v>52</v>
      </c>
      <c r="O15" s="393" t="s">
        <v>3</v>
      </c>
      <c r="P15" s="256" t="s">
        <v>155</v>
      </c>
      <c r="Q15" s="242" t="s">
        <v>3</v>
      </c>
      <c r="R15" s="242" t="s">
        <v>3</v>
      </c>
      <c r="S15" s="234" t="s">
        <v>52</v>
      </c>
      <c r="T15" s="238" t="s">
        <v>36</v>
      </c>
      <c r="U15" s="238" t="s">
        <v>36</v>
      </c>
      <c r="V15" s="238" t="s">
        <v>0</v>
      </c>
      <c r="W15" s="256" t="s">
        <v>155</v>
      </c>
      <c r="X15" s="242" t="s">
        <v>3</v>
      </c>
      <c r="Y15" s="238" t="s">
        <v>36</v>
      </c>
      <c r="Z15" s="259">
        <v>2</v>
      </c>
      <c r="AA15" s="238" t="s">
        <v>52</v>
      </c>
      <c r="AB15" s="238">
        <v>1</v>
      </c>
      <c r="AC15" s="238" t="s">
        <v>36</v>
      </c>
      <c r="AD15" s="238" t="s">
        <v>36</v>
      </c>
      <c r="AE15" s="238" t="s">
        <v>0</v>
      </c>
      <c r="AF15" s="238" t="s">
        <v>0</v>
      </c>
      <c r="AG15" s="239" t="s">
        <v>53</v>
      </c>
      <c r="AH15" s="234" t="s">
        <v>1</v>
      </c>
      <c r="AI15" s="239" t="s">
        <v>0</v>
      </c>
      <c r="AJ15" s="234" t="s">
        <v>52</v>
      </c>
      <c r="AK15" s="256" t="s">
        <v>155</v>
      </c>
      <c r="AL15" s="242" t="s">
        <v>3</v>
      </c>
      <c r="AM15" s="238" t="s">
        <v>52</v>
      </c>
      <c r="AN15" s="256" t="s">
        <v>155</v>
      </c>
      <c r="AO15" s="241">
        <v>1</v>
      </c>
      <c r="AP15" s="45">
        <v>0</v>
      </c>
      <c r="AQ15" s="46">
        <f t="shared" si="0"/>
        <v>0</v>
      </c>
      <c r="AR15" s="46">
        <v>0</v>
      </c>
      <c r="AS15" s="41">
        <f t="shared" si="12"/>
        <v>0</v>
      </c>
      <c r="AT15" s="329" t="s">
        <v>126</v>
      </c>
      <c r="AU15" s="6"/>
      <c r="AV15" s="6"/>
      <c r="AW15" s="6" cm="1">
        <f t="array" ref="AW15">SUMPRODUCT(COUNTIF(M15:N15,{"X";"Y";"Z";"S"}))+SUMPRODUCT(COUNTIF(T15:U15,{"X";"Y";"Z";"S"}))+SUMPRODUCT(COUNTIF(AA15:AB15,{"X";"Y";"Z";"S"}))+SUMPRODUCT(COUNTIF(AH15:AI15,{"X";"Y";"Z";"S"}))+SUMPRODUCT(COUNTIF(AO15:AO15,{"X";"Y";"Z";"S"}))-5</f>
        <v>0</v>
      </c>
      <c r="AX15" s="6">
        <v>4</v>
      </c>
      <c r="AY15" s="6">
        <f t="shared" si="13"/>
        <v>4</v>
      </c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</row>
    <row r="16" spans="1:226" ht="25.5" customHeight="1">
      <c r="A16" s="38">
        <f t="shared" si="1"/>
        <v>8</v>
      </c>
      <c r="B16" s="39">
        <f t="shared" si="2"/>
        <v>9</v>
      </c>
      <c r="C16" s="40">
        <f t="shared" si="3"/>
        <v>0</v>
      </c>
      <c r="D16" s="39">
        <f t="shared" si="4"/>
        <v>1</v>
      </c>
      <c r="E16" s="41">
        <f t="shared" si="5"/>
        <v>2</v>
      </c>
      <c r="F16" s="41">
        <f t="shared" si="6"/>
        <v>4</v>
      </c>
      <c r="G16" s="41">
        <f t="shared" si="7"/>
        <v>5</v>
      </c>
      <c r="H16" s="41">
        <f t="shared" si="8"/>
        <v>2</v>
      </c>
      <c r="I16" s="177">
        <f t="shared" si="9"/>
        <v>31</v>
      </c>
      <c r="J16" s="454" t="s">
        <v>9</v>
      </c>
      <c r="K16" s="467" t="s">
        <v>1</v>
      </c>
      <c r="L16" s="234" t="s">
        <v>1</v>
      </c>
      <c r="M16" s="239" t="s">
        <v>53</v>
      </c>
      <c r="N16" s="239" t="s">
        <v>52</v>
      </c>
      <c r="O16" s="259">
        <v>2</v>
      </c>
      <c r="P16" s="238" t="s">
        <v>38</v>
      </c>
      <c r="Q16" s="238" t="s">
        <v>0</v>
      </c>
      <c r="R16" s="242" t="s">
        <v>3</v>
      </c>
      <c r="S16" s="259">
        <v>1</v>
      </c>
      <c r="T16" s="238" t="s">
        <v>52</v>
      </c>
      <c r="U16" s="238" t="s">
        <v>53</v>
      </c>
      <c r="V16" s="259" t="s">
        <v>38</v>
      </c>
      <c r="W16" s="238" t="s">
        <v>38</v>
      </c>
      <c r="X16" s="238" t="s">
        <v>0</v>
      </c>
      <c r="Y16" s="238" t="s">
        <v>36</v>
      </c>
      <c r="Z16" s="238" t="s">
        <v>36</v>
      </c>
      <c r="AA16" s="239" t="s">
        <v>52</v>
      </c>
      <c r="AB16" s="239" t="s">
        <v>0</v>
      </c>
      <c r="AC16" s="238">
        <v>1</v>
      </c>
      <c r="AD16" s="238" t="s">
        <v>36</v>
      </c>
      <c r="AE16" s="259" t="s">
        <v>36</v>
      </c>
      <c r="AF16" s="259" t="s">
        <v>38</v>
      </c>
      <c r="AG16" s="238" t="s">
        <v>52</v>
      </c>
      <c r="AH16" s="259" t="s">
        <v>38</v>
      </c>
      <c r="AI16" s="238" t="s">
        <v>38</v>
      </c>
      <c r="AJ16" s="259" t="s">
        <v>38</v>
      </c>
      <c r="AK16" s="259">
        <v>2</v>
      </c>
      <c r="AL16" s="238" t="s">
        <v>52</v>
      </c>
      <c r="AM16" s="238" t="s">
        <v>36</v>
      </c>
      <c r="AN16" s="238" t="s">
        <v>36</v>
      </c>
      <c r="AO16" s="397" t="s">
        <v>0</v>
      </c>
      <c r="AP16" s="45">
        <v>0</v>
      </c>
      <c r="AQ16" s="46">
        <f t="shared" si="0"/>
        <v>0</v>
      </c>
      <c r="AR16" s="46">
        <v>0</v>
      </c>
      <c r="AS16" s="41">
        <f>SUM(AP16:AR16)</f>
        <v>0</v>
      </c>
      <c r="AT16" s="329" t="s">
        <v>128</v>
      </c>
      <c r="AW16" s="6" cm="1">
        <f t="array" ref="AW16">SUMPRODUCT(COUNTIF(M16:N16,{"X";"Y";"Z";"S"}))+SUMPRODUCT(COUNTIF(T16:U16,{"X";"Y";"Z";"S"}))+SUMPRODUCT(COUNTIF(AA16:AB16,{"X";"Y";"Z";"S"}))+SUMPRODUCT(COUNTIF(AH16:AI16,{"X";"Y";"Z";"S"}))+SUMPRODUCT(COUNTIF(AO16:AO16,{"X";"Y";"Z";"S"}))-5</f>
        <v>2</v>
      </c>
      <c r="AX16" s="6">
        <v>5</v>
      </c>
      <c r="AY16" s="6">
        <f t="shared" si="13"/>
        <v>7</v>
      </c>
    </row>
    <row r="17" spans="1:226" ht="25.5" customHeight="1" thickBot="1">
      <c r="A17" s="54">
        <f t="shared" si="1"/>
        <v>15</v>
      </c>
      <c r="B17" s="55">
        <f t="shared" si="2"/>
        <v>1</v>
      </c>
      <c r="C17" s="56">
        <f t="shared" si="3"/>
        <v>0</v>
      </c>
      <c r="D17" s="55">
        <f t="shared" si="4"/>
        <v>1</v>
      </c>
      <c r="E17" s="17">
        <f t="shared" si="5"/>
        <v>3</v>
      </c>
      <c r="F17" s="17">
        <f t="shared" si="6"/>
        <v>4</v>
      </c>
      <c r="G17" s="17">
        <f t="shared" si="7"/>
        <v>5</v>
      </c>
      <c r="H17" s="17">
        <f t="shared" si="8"/>
        <v>2</v>
      </c>
      <c r="I17" s="388">
        <f t="shared" si="9"/>
        <v>31</v>
      </c>
      <c r="J17" s="456" t="s">
        <v>137</v>
      </c>
      <c r="K17" s="435" t="s">
        <v>0</v>
      </c>
      <c r="L17" s="439" t="s">
        <v>36</v>
      </c>
      <c r="M17" s="439" t="s">
        <v>36</v>
      </c>
      <c r="N17" s="439" t="s">
        <v>36</v>
      </c>
      <c r="O17" s="464" t="s">
        <v>36</v>
      </c>
      <c r="P17" s="439" t="s">
        <v>52</v>
      </c>
      <c r="Q17" s="439" t="s">
        <v>36</v>
      </c>
      <c r="R17" s="160" t="s">
        <v>36</v>
      </c>
      <c r="S17" s="444" t="s">
        <v>1</v>
      </c>
      <c r="T17" s="443" t="s">
        <v>52</v>
      </c>
      <c r="U17" s="443" t="s">
        <v>0</v>
      </c>
      <c r="V17" s="238" t="s">
        <v>36</v>
      </c>
      <c r="W17" s="238" t="s">
        <v>36</v>
      </c>
      <c r="X17" s="439">
        <v>1</v>
      </c>
      <c r="Y17" s="439" t="s">
        <v>52</v>
      </c>
      <c r="Z17" s="439" t="s">
        <v>36</v>
      </c>
      <c r="AA17" s="439" t="s">
        <v>36</v>
      </c>
      <c r="AB17" s="439" t="s">
        <v>36</v>
      </c>
      <c r="AC17" s="161" t="s">
        <v>1</v>
      </c>
      <c r="AD17" s="464" t="s">
        <v>36</v>
      </c>
      <c r="AE17" s="238" t="s">
        <v>3</v>
      </c>
      <c r="AF17" s="160" t="s">
        <v>52</v>
      </c>
      <c r="AG17" s="444" t="s">
        <v>1</v>
      </c>
      <c r="AH17" s="443" t="s">
        <v>53</v>
      </c>
      <c r="AI17" s="443" t="s">
        <v>53</v>
      </c>
      <c r="AJ17" s="444" t="s">
        <v>0</v>
      </c>
      <c r="AK17" s="171" t="s">
        <v>36</v>
      </c>
      <c r="AL17" s="464" t="s">
        <v>36</v>
      </c>
      <c r="AM17" s="439" t="s">
        <v>52</v>
      </c>
      <c r="AN17" s="464">
        <v>2</v>
      </c>
      <c r="AO17" s="457" t="s">
        <v>0</v>
      </c>
      <c r="AP17" s="385">
        <v>0</v>
      </c>
      <c r="AQ17" s="386">
        <f t="shared" si="0"/>
        <v>0</v>
      </c>
      <c r="AR17" s="386">
        <v>0</v>
      </c>
      <c r="AS17" s="17">
        <f t="shared" ref="AS17:AS46" si="14">SUM(AP17:AR17)</f>
        <v>0</v>
      </c>
      <c r="AT17" s="387" t="s">
        <v>126</v>
      </c>
      <c r="AW17" s="6" cm="1">
        <f t="array" ref="AW17">SUMPRODUCT(COUNTIF(M17:N17,{"X";"Y";"Z";"S"}))+SUMPRODUCT(COUNTIF(T17:U17,{"X";"Y";"Z";"S"}))+SUMPRODUCT(COUNTIF(AA17:AB17,{"X";"Y";"Z";"S"}))+SUMPRODUCT(COUNTIF(AH17:AI17,{"X";"Y";"Z";"S"}))+SUMPRODUCT(COUNTIF(AO17:AO17,{"X";"Y";"Z";"S"}))-5</f>
        <v>0</v>
      </c>
      <c r="AX17" s="6">
        <v>2</v>
      </c>
      <c r="AY17" s="6">
        <f t="shared" si="13"/>
        <v>2</v>
      </c>
    </row>
    <row r="18" spans="1:226" s="50" customFormat="1" ht="25.5" customHeight="1">
      <c r="A18" s="23">
        <f t="shared" si="1"/>
        <v>2</v>
      </c>
      <c r="B18" s="24">
        <f t="shared" si="2"/>
        <v>7</v>
      </c>
      <c r="C18" s="25">
        <f t="shared" si="3"/>
        <v>8</v>
      </c>
      <c r="D18" s="24">
        <f t="shared" si="4"/>
        <v>0</v>
      </c>
      <c r="E18" s="26">
        <f t="shared" si="5"/>
        <v>3</v>
      </c>
      <c r="F18" s="26">
        <f t="shared" si="6"/>
        <v>4</v>
      </c>
      <c r="G18" s="26">
        <f t="shared" si="7"/>
        <v>5</v>
      </c>
      <c r="H18" s="26">
        <f t="shared" si="8"/>
        <v>2</v>
      </c>
      <c r="I18" s="27">
        <f t="shared" si="9"/>
        <v>31</v>
      </c>
      <c r="J18" s="154" t="s">
        <v>10</v>
      </c>
      <c r="K18" s="458" t="s">
        <v>52</v>
      </c>
      <c r="L18" s="235">
        <v>3</v>
      </c>
      <c r="M18" s="235">
        <v>3</v>
      </c>
      <c r="N18" s="235">
        <v>3</v>
      </c>
      <c r="O18" s="235" t="s">
        <v>0</v>
      </c>
      <c r="P18" s="235">
        <v>1</v>
      </c>
      <c r="Q18" s="235">
        <v>1</v>
      </c>
      <c r="R18" s="235">
        <v>2</v>
      </c>
      <c r="S18" s="235">
        <v>2</v>
      </c>
      <c r="T18" s="235">
        <v>2</v>
      </c>
      <c r="U18" s="235">
        <v>2</v>
      </c>
      <c r="V18" s="254" t="s">
        <v>52</v>
      </c>
      <c r="W18" s="254" t="s">
        <v>1</v>
      </c>
      <c r="X18" s="254" t="s">
        <v>1</v>
      </c>
      <c r="Y18" s="254" t="s">
        <v>1</v>
      </c>
      <c r="Z18" s="254" t="s">
        <v>52</v>
      </c>
      <c r="AA18" s="235">
        <v>2</v>
      </c>
      <c r="AB18" s="235">
        <v>2</v>
      </c>
      <c r="AC18" s="235">
        <v>2</v>
      </c>
      <c r="AD18" s="235" t="s">
        <v>0</v>
      </c>
      <c r="AE18" s="235" t="s">
        <v>0</v>
      </c>
      <c r="AF18" s="235" t="s">
        <v>0</v>
      </c>
      <c r="AG18" s="235">
        <v>3</v>
      </c>
      <c r="AH18" s="235">
        <v>3</v>
      </c>
      <c r="AI18" s="235">
        <v>3</v>
      </c>
      <c r="AJ18" s="254" t="s">
        <v>52</v>
      </c>
      <c r="AK18" s="254" t="s">
        <v>53</v>
      </c>
      <c r="AL18" s="254" t="s">
        <v>53</v>
      </c>
      <c r="AM18" s="254" t="s">
        <v>52</v>
      </c>
      <c r="AN18" s="235">
        <v>3</v>
      </c>
      <c r="AO18" s="236">
        <v>3</v>
      </c>
      <c r="AP18" s="313">
        <v>0</v>
      </c>
      <c r="AQ18" s="36">
        <f t="shared" si="0"/>
        <v>0</v>
      </c>
      <c r="AR18" s="36">
        <v>0</v>
      </c>
      <c r="AS18" s="26">
        <f t="shared" si="14"/>
        <v>0</v>
      </c>
      <c r="AT18" s="328" t="s">
        <v>126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</row>
    <row r="19" spans="1:226" s="50" customFormat="1" ht="25.5" customHeight="1">
      <c r="A19" s="38">
        <f t="shared" si="1"/>
        <v>2</v>
      </c>
      <c r="B19" s="39">
        <f t="shared" si="2"/>
        <v>9</v>
      </c>
      <c r="C19" s="40">
        <f t="shared" si="3"/>
        <v>1</v>
      </c>
      <c r="D19" s="39">
        <f t="shared" si="4"/>
        <v>2</v>
      </c>
      <c r="E19" s="41">
        <f t="shared" si="5"/>
        <v>6</v>
      </c>
      <c r="F19" s="41">
        <f t="shared" si="6"/>
        <v>4</v>
      </c>
      <c r="G19" s="41">
        <f t="shared" si="7"/>
        <v>5</v>
      </c>
      <c r="H19" s="41">
        <f t="shared" si="8"/>
        <v>2</v>
      </c>
      <c r="I19" s="42">
        <f t="shared" si="9"/>
        <v>31</v>
      </c>
      <c r="J19" s="145" t="s">
        <v>11</v>
      </c>
      <c r="K19" s="245">
        <v>3</v>
      </c>
      <c r="L19" s="234" t="s">
        <v>52</v>
      </c>
      <c r="M19" s="239" t="s">
        <v>0</v>
      </c>
      <c r="N19" s="239" t="s">
        <v>53</v>
      </c>
      <c r="O19" s="238" t="s">
        <v>0</v>
      </c>
      <c r="P19" s="238" t="s">
        <v>0</v>
      </c>
      <c r="Q19" s="242" t="s">
        <v>3</v>
      </c>
      <c r="R19" s="238" t="s">
        <v>36</v>
      </c>
      <c r="S19" s="238" t="s">
        <v>38</v>
      </c>
      <c r="T19" s="238" t="s">
        <v>38</v>
      </c>
      <c r="U19" s="238" t="s">
        <v>38</v>
      </c>
      <c r="V19" s="234" t="s">
        <v>52</v>
      </c>
      <c r="W19" s="234" t="s">
        <v>53</v>
      </c>
      <c r="X19" s="242" t="s">
        <v>3</v>
      </c>
      <c r="Y19" s="238" t="s">
        <v>36</v>
      </c>
      <c r="Z19" s="238" t="s">
        <v>52</v>
      </c>
      <c r="AA19" s="259" t="s">
        <v>38</v>
      </c>
      <c r="AB19" s="238" t="s">
        <v>38</v>
      </c>
      <c r="AC19" s="238" t="s">
        <v>38</v>
      </c>
      <c r="AD19" s="238" t="s">
        <v>38</v>
      </c>
      <c r="AE19" s="238" t="s">
        <v>38</v>
      </c>
      <c r="AF19" s="239" t="s">
        <v>52</v>
      </c>
      <c r="AG19" s="234" t="s">
        <v>1</v>
      </c>
      <c r="AH19" s="234" t="s">
        <v>1</v>
      </c>
      <c r="AI19" s="239" t="s">
        <v>0</v>
      </c>
      <c r="AJ19" s="234" t="s">
        <v>1</v>
      </c>
      <c r="AK19" s="234" t="s">
        <v>1</v>
      </c>
      <c r="AL19" s="234" t="s">
        <v>1</v>
      </c>
      <c r="AM19" s="234" t="s">
        <v>1</v>
      </c>
      <c r="AN19" s="234" t="s">
        <v>52</v>
      </c>
      <c r="AO19" s="241" t="s">
        <v>38</v>
      </c>
      <c r="AP19" s="45">
        <v>0</v>
      </c>
      <c r="AQ19" s="46">
        <f t="shared" si="0"/>
        <v>0</v>
      </c>
      <c r="AR19" s="46">
        <v>0</v>
      </c>
      <c r="AS19" s="41">
        <f t="shared" si="14"/>
        <v>0</v>
      </c>
      <c r="AT19" s="329" t="s">
        <v>126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</row>
    <row r="20" spans="1:226" ht="25.5" customHeight="1">
      <c r="A20" s="38">
        <f t="shared" si="1"/>
        <v>5</v>
      </c>
      <c r="B20" s="39">
        <f t="shared" si="2"/>
        <v>6</v>
      </c>
      <c r="C20" s="40">
        <f t="shared" si="3"/>
        <v>8</v>
      </c>
      <c r="D20" s="39">
        <f t="shared" si="4"/>
        <v>1</v>
      </c>
      <c r="E20" s="41">
        <f t="shared" si="5"/>
        <v>0</v>
      </c>
      <c r="F20" s="41">
        <f t="shared" si="6"/>
        <v>4</v>
      </c>
      <c r="G20" s="41">
        <f t="shared" si="7"/>
        <v>5</v>
      </c>
      <c r="H20" s="41">
        <f t="shared" si="8"/>
        <v>2</v>
      </c>
      <c r="I20" s="42">
        <f t="shared" si="9"/>
        <v>31</v>
      </c>
      <c r="J20" s="155" t="s">
        <v>12</v>
      </c>
      <c r="K20" s="245" t="s">
        <v>52</v>
      </c>
      <c r="L20" s="238" t="s">
        <v>36</v>
      </c>
      <c r="M20" s="238" t="s">
        <v>38</v>
      </c>
      <c r="N20" s="238" t="s">
        <v>38</v>
      </c>
      <c r="O20" s="238" t="s">
        <v>38</v>
      </c>
      <c r="P20" s="238" t="s">
        <v>0</v>
      </c>
      <c r="Q20" s="238" t="s">
        <v>53</v>
      </c>
      <c r="R20" s="242" t="s">
        <v>3</v>
      </c>
      <c r="S20" s="238" t="s">
        <v>38</v>
      </c>
      <c r="T20" s="239" t="s">
        <v>52</v>
      </c>
      <c r="U20" s="239" t="s">
        <v>0</v>
      </c>
      <c r="V20" s="238" t="s">
        <v>40</v>
      </c>
      <c r="W20" s="238" t="s">
        <v>40</v>
      </c>
      <c r="X20" s="238" t="s">
        <v>40</v>
      </c>
      <c r="Y20" s="238">
        <v>3</v>
      </c>
      <c r="Z20" s="238">
        <v>3</v>
      </c>
      <c r="AA20" s="238">
        <v>2</v>
      </c>
      <c r="AB20" s="239" t="s">
        <v>0</v>
      </c>
      <c r="AC20" s="238" t="s">
        <v>40</v>
      </c>
      <c r="AD20" s="238" t="s">
        <v>40</v>
      </c>
      <c r="AE20" s="238" t="s">
        <v>40</v>
      </c>
      <c r="AF20" s="238" t="s">
        <v>52</v>
      </c>
      <c r="AG20" s="238" t="s">
        <v>53</v>
      </c>
      <c r="AH20" s="239" t="s">
        <v>52</v>
      </c>
      <c r="AI20" s="238" t="s">
        <v>36</v>
      </c>
      <c r="AJ20" s="238" t="s">
        <v>36</v>
      </c>
      <c r="AK20" s="238" t="s">
        <v>36</v>
      </c>
      <c r="AL20" s="238" t="s">
        <v>0</v>
      </c>
      <c r="AM20" s="238" t="s">
        <v>36</v>
      </c>
      <c r="AN20" s="238" t="s">
        <v>38</v>
      </c>
      <c r="AO20" s="397" t="s">
        <v>52</v>
      </c>
      <c r="AP20" s="45">
        <v>0</v>
      </c>
      <c r="AQ20" s="46">
        <f t="shared" si="0"/>
        <v>0</v>
      </c>
      <c r="AR20" s="46">
        <v>0</v>
      </c>
      <c r="AS20" s="41">
        <f t="shared" si="14"/>
        <v>0</v>
      </c>
      <c r="AT20" s="329" t="s">
        <v>128</v>
      </c>
    </row>
    <row r="21" spans="1:226" ht="25.5" customHeight="1">
      <c r="A21" s="38">
        <f t="shared" si="1"/>
        <v>3</v>
      </c>
      <c r="B21" s="39">
        <f t="shared" si="2"/>
        <v>0</v>
      </c>
      <c r="C21" s="40">
        <f t="shared" si="3"/>
        <v>16</v>
      </c>
      <c r="D21" s="39">
        <f t="shared" si="4"/>
        <v>0</v>
      </c>
      <c r="E21" s="41">
        <f t="shared" si="5"/>
        <v>1</v>
      </c>
      <c r="F21" s="41">
        <f t="shared" si="6"/>
        <v>4</v>
      </c>
      <c r="G21" s="41">
        <f t="shared" si="7"/>
        <v>5</v>
      </c>
      <c r="H21" s="41">
        <f t="shared" si="8"/>
        <v>2</v>
      </c>
      <c r="I21" s="42">
        <f t="shared" si="9"/>
        <v>31</v>
      </c>
      <c r="J21" s="145" t="s">
        <v>13</v>
      </c>
      <c r="K21" s="245" t="s">
        <v>40</v>
      </c>
      <c r="L21" s="238" t="s">
        <v>52</v>
      </c>
      <c r="M21" s="238" t="s">
        <v>36</v>
      </c>
      <c r="N21" s="238" t="s">
        <v>36</v>
      </c>
      <c r="O21" s="238" t="s">
        <v>53</v>
      </c>
      <c r="P21" s="238" t="s">
        <v>0</v>
      </c>
      <c r="Q21" s="238" t="s">
        <v>40</v>
      </c>
      <c r="R21" s="238" t="s">
        <v>40</v>
      </c>
      <c r="S21" s="238" t="s">
        <v>40</v>
      </c>
      <c r="T21" s="239" t="s">
        <v>52</v>
      </c>
      <c r="U21" s="239" t="s">
        <v>53</v>
      </c>
      <c r="V21" s="234" t="s">
        <v>1</v>
      </c>
      <c r="W21" s="234" t="s">
        <v>0</v>
      </c>
      <c r="X21" s="238" t="s">
        <v>40</v>
      </c>
      <c r="Y21" s="238" t="s">
        <v>40</v>
      </c>
      <c r="Z21" s="238" t="s">
        <v>40</v>
      </c>
      <c r="AA21" s="238" t="s">
        <v>40</v>
      </c>
      <c r="AB21" s="238" t="s">
        <v>40</v>
      </c>
      <c r="AC21" s="238" t="s">
        <v>52</v>
      </c>
      <c r="AD21" s="238" t="s">
        <v>40</v>
      </c>
      <c r="AE21" s="238" t="s">
        <v>40</v>
      </c>
      <c r="AF21" s="238" t="s">
        <v>40</v>
      </c>
      <c r="AG21" s="238" t="s">
        <v>40</v>
      </c>
      <c r="AH21" s="239" t="s">
        <v>52</v>
      </c>
      <c r="AI21" s="239" t="s">
        <v>0</v>
      </c>
      <c r="AJ21" s="238" t="s">
        <v>40</v>
      </c>
      <c r="AK21" s="238" t="s">
        <v>40</v>
      </c>
      <c r="AL21" s="238" t="s">
        <v>40</v>
      </c>
      <c r="AM21" s="238" t="s">
        <v>52</v>
      </c>
      <c r="AN21" s="238" t="s">
        <v>0</v>
      </c>
      <c r="AO21" s="241">
        <v>1</v>
      </c>
      <c r="AP21" s="45">
        <v>0</v>
      </c>
      <c r="AQ21" s="46">
        <f t="shared" si="0"/>
        <v>0</v>
      </c>
      <c r="AR21" s="46">
        <v>0</v>
      </c>
      <c r="AS21" s="41">
        <f t="shared" si="14"/>
        <v>0</v>
      </c>
      <c r="AT21" s="329" t="s">
        <v>126</v>
      </c>
    </row>
    <row r="22" spans="1:226" s="50" customFormat="1" ht="25.5" customHeight="1">
      <c r="A22" s="38">
        <f t="shared" si="1"/>
        <v>3</v>
      </c>
      <c r="B22" s="39">
        <f t="shared" si="2"/>
        <v>9</v>
      </c>
      <c r="C22" s="40">
        <f t="shared" si="3"/>
        <v>8</v>
      </c>
      <c r="D22" s="39">
        <f t="shared" si="4"/>
        <v>0</v>
      </c>
      <c r="E22" s="41">
        <f t="shared" si="5"/>
        <v>0</v>
      </c>
      <c r="F22" s="41">
        <f t="shared" si="6"/>
        <v>4</v>
      </c>
      <c r="G22" s="41">
        <f t="shared" si="7"/>
        <v>5</v>
      </c>
      <c r="H22" s="41">
        <f t="shared" si="8"/>
        <v>2</v>
      </c>
      <c r="I22" s="42">
        <f t="shared" si="9"/>
        <v>31</v>
      </c>
      <c r="J22" s="146" t="s">
        <v>138</v>
      </c>
      <c r="K22" s="245" t="s">
        <v>38</v>
      </c>
      <c r="L22" s="238" t="s">
        <v>38</v>
      </c>
      <c r="M22" s="239" t="s">
        <v>52</v>
      </c>
      <c r="N22" s="239" t="s">
        <v>0</v>
      </c>
      <c r="O22" s="238">
        <v>3</v>
      </c>
      <c r="P22" s="238" t="s">
        <v>40</v>
      </c>
      <c r="Q22" s="238" t="s">
        <v>40</v>
      </c>
      <c r="R22" s="238" t="s">
        <v>52</v>
      </c>
      <c r="S22" s="238">
        <v>1</v>
      </c>
      <c r="T22" s="238" t="s">
        <v>36</v>
      </c>
      <c r="U22" s="238" t="s">
        <v>36</v>
      </c>
      <c r="V22" s="238" t="s">
        <v>0</v>
      </c>
      <c r="W22" s="238" t="s">
        <v>38</v>
      </c>
      <c r="X22" s="238" t="s">
        <v>38</v>
      </c>
      <c r="Y22" s="238" t="s">
        <v>38</v>
      </c>
      <c r="Z22" s="238" t="s">
        <v>38</v>
      </c>
      <c r="AA22" s="239" t="s">
        <v>52</v>
      </c>
      <c r="AB22" s="239" t="s">
        <v>0</v>
      </c>
      <c r="AC22" s="238" t="s">
        <v>53</v>
      </c>
      <c r="AD22" s="238" t="s">
        <v>53</v>
      </c>
      <c r="AE22" s="238" t="s">
        <v>0</v>
      </c>
      <c r="AF22" s="238" t="s">
        <v>40</v>
      </c>
      <c r="AG22" s="238" t="s">
        <v>40</v>
      </c>
      <c r="AH22" s="238" t="s">
        <v>40</v>
      </c>
      <c r="AI22" s="238" t="s">
        <v>40</v>
      </c>
      <c r="AJ22" s="238" t="s">
        <v>40</v>
      </c>
      <c r="AK22" s="238" t="s">
        <v>52</v>
      </c>
      <c r="AL22" s="238" t="s">
        <v>38</v>
      </c>
      <c r="AM22" s="238" t="s">
        <v>38</v>
      </c>
      <c r="AN22" s="238" t="s">
        <v>38</v>
      </c>
      <c r="AO22" s="397" t="s">
        <v>52</v>
      </c>
      <c r="AP22" s="45">
        <v>0</v>
      </c>
      <c r="AQ22" s="46">
        <f t="shared" si="0"/>
        <v>0</v>
      </c>
      <c r="AR22" s="46">
        <v>0</v>
      </c>
      <c r="AS22" s="41">
        <f t="shared" si="14"/>
        <v>0</v>
      </c>
      <c r="AT22" s="329" t="s">
        <v>128</v>
      </c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</row>
    <row r="23" spans="1:226" s="50" customFormat="1" ht="25.5" customHeight="1">
      <c r="A23" s="38">
        <f t="shared" si="1"/>
        <v>9</v>
      </c>
      <c r="B23" s="39">
        <f t="shared" si="2"/>
        <v>0</v>
      </c>
      <c r="C23" s="40">
        <f t="shared" si="3"/>
        <v>0</v>
      </c>
      <c r="D23" s="39">
        <f t="shared" si="4"/>
        <v>10</v>
      </c>
      <c r="E23" s="41">
        <f t="shared" si="5"/>
        <v>0</v>
      </c>
      <c r="F23" s="41">
        <f t="shared" si="6"/>
        <v>5</v>
      </c>
      <c r="G23" s="41">
        <f t="shared" si="7"/>
        <v>5</v>
      </c>
      <c r="H23" s="41">
        <f t="shared" si="8"/>
        <v>2</v>
      </c>
      <c r="I23" s="42">
        <f t="shared" si="9"/>
        <v>31</v>
      </c>
      <c r="J23" s="147" t="s">
        <v>165</v>
      </c>
      <c r="K23" s="245">
        <v>1</v>
      </c>
      <c r="L23" s="459" t="s">
        <v>3</v>
      </c>
      <c r="M23" s="239" t="s">
        <v>52</v>
      </c>
      <c r="N23" s="239" t="s">
        <v>0</v>
      </c>
      <c r="O23" s="238">
        <v>1</v>
      </c>
      <c r="P23" s="238" t="s">
        <v>3</v>
      </c>
      <c r="Q23" s="238" t="s">
        <v>3</v>
      </c>
      <c r="R23" s="238">
        <v>1</v>
      </c>
      <c r="S23" s="239" t="s">
        <v>53</v>
      </c>
      <c r="T23" s="239" t="s">
        <v>52</v>
      </c>
      <c r="U23" s="239" t="s">
        <v>0</v>
      </c>
      <c r="V23" s="238">
        <v>1</v>
      </c>
      <c r="W23" s="238" t="s">
        <v>3</v>
      </c>
      <c r="X23" s="242" t="s">
        <v>3</v>
      </c>
      <c r="Y23" s="238" t="s">
        <v>3</v>
      </c>
      <c r="Z23" s="238" t="s">
        <v>3</v>
      </c>
      <c r="AA23" s="239" t="s">
        <v>52</v>
      </c>
      <c r="AB23" s="239" t="s">
        <v>0</v>
      </c>
      <c r="AC23" s="234" t="s">
        <v>0</v>
      </c>
      <c r="AD23" s="238">
        <v>1</v>
      </c>
      <c r="AE23" s="238">
        <v>1</v>
      </c>
      <c r="AF23" s="238">
        <v>1</v>
      </c>
      <c r="AG23" s="238" t="s">
        <v>3</v>
      </c>
      <c r="AH23" s="239" t="s">
        <v>52</v>
      </c>
      <c r="AI23" s="239" t="s">
        <v>0</v>
      </c>
      <c r="AJ23" s="239" t="s">
        <v>53</v>
      </c>
      <c r="AK23" s="238">
        <v>1</v>
      </c>
      <c r="AL23" s="460" t="s">
        <v>3</v>
      </c>
      <c r="AM23" s="393" t="s">
        <v>159</v>
      </c>
      <c r="AN23" s="238">
        <v>1</v>
      </c>
      <c r="AO23" s="397" t="s">
        <v>52</v>
      </c>
      <c r="AP23" s="45">
        <v>-1</v>
      </c>
      <c r="AQ23" s="46">
        <f t="shared" si="0"/>
        <v>1</v>
      </c>
      <c r="AR23" s="46">
        <v>0</v>
      </c>
      <c r="AS23" s="41">
        <f t="shared" si="14"/>
        <v>0</v>
      </c>
      <c r="AT23" s="329" t="s">
        <v>133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</row>
    <row r="24" spans="1:226" s="50" customFormat="1" ht="25.5" customHeight="1">
      <c r="A24" s="38">
        <f t="shared" si="1"/>
        <v>9</v>
      </c>
      <c r="B24" s="39">
        <f t="shared" si="2"/>
        <v>3</v>
      </c>
      <c r="C24" s="40">
        <f t="shared" si="3"/>
        <v>8</v>
      </c>
      <c r="D24" s="39">
        <f t="shared" si="4"/>
        <v>0</v>
      </c>
      <c r="E24" s="41">
        <f t="shared" si="5"/>
        <v>0</v>
      </c>
      <c r="F24" s="41">
        <f t="shared" si="6"/>
        <v>4</v>
      </c>
      <c r="G24" s="41">
        <f t="shared" si="7"/>
        <v>5</v>
      </c>
      <c r="H24" s="41">
        <f t="shared" si="8"/>
        <v>2</v>
      </c>
      <c r="I24" s="42">
        <f t="shared" si="9"/>
        <v>31</v>
      </c>
      <c r="J24" s="147" t="s">
        <v>16</v>
      </c>
      <c r="K24" s="245" t="s">
        <v>36</v>
      </c>
      <c r="L24" s="238" t="s">
        <v>36</v>
      </c>
      <c r="M24" s="239" t="s">
        <v>52</v>
      </c>
      <c r="N24" s="239" t="s">
        <v>0</v>
      </c>
      <c r="O24" s="238" t="s">
        <v>36</v>
      </c>
      <c r="P24" s="238" t="s">
        <v>36</v>
      </c>
      <c r="Q24" s="238" t="s">
        <v>0</v>
      </c>
      <c r="R24" s="238" t="s">
        <v>40</v>
      </c>
      <c r="S24" s="238" t="s">
        <v>40</v>
      </c>
      <c r="T24" s="238" t="s">
        <v>40</v>
      </c>
      <c r="U24" s="238" t="s">
        <v>40</v>
      </c>
      <c r="V24" s="238" t="s">
        <v>40</v>
      </c>
      <c r="W24" s="238" t="s">
        <v>52</v>
      </c>
      <c r="X24" s="238" t="s">
        <v>53</v>
      </c>
      <c r="Y24" s="238" t="s">
        <v>36</v>
      </c>
      <c r="Z24" s="238" t="s">
        <v>36</v>
      </c>
      <c r="AA24" s="239" t="s">
        <v>52</v>
      </c>
      <c r="AB24" s="239" t="s">
        <v>0</v>
      </c>
      <c r="AC24" s="238" t="s">
        <v>38</v>
      </c>
      <c r="AD24" s="238" t="s">
        <v>38</v>
      </c>
      <c r="AE24" s="238" t="s">
        <v>38</v>
      </c>
      <c r="AF24" s="238" t="s">
        <v>52</v>
      </c>
      <c r="AG24" s="238" t="s">
        <v>53</v>
      </c>
      <c r="AH24" s="238">
        <v>1</v>
      </c>
      <c r="AI24" s="238">
        <v>1</v>
      </c>
      <c r="AJ24" s="238">
        <v>1</v>
      </c>
      <c r="AK24" s="238" t="s">
        <v>0</v>
      </c>
      <c r="AL24" s="238" t="s">
        <v>40</v>
      </c>
      <c r="AM24" s="238" t="s">
        <v>40</v>
      </c>
      <c r="AN24" s="238" t="s">
        <v>40</v>
      </c>
      <c r="AO24" s="397" t="s">
        <v>52</v>
      </c>
      <c r="AP24" s="45">
        <v>0</v>
      </c>
      <c r="AQ24" s="46">
        <f t="shared" si="0"/>
        <v>0</v>
      </c>
      <c r="AR24" s="46">
        <v>0</v>
      </c>
      <c r="AS24" s="41">
        <f t="shared" si="14"/>
        <v>0</v>
      </c>
      <c r="AT24" s="329" t="s">
        <v>128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</row>
    <row r="25" spans="1:226" s="50" customFormat="1" ht="27" customHeight="1">
      <c r="A25" s="38">
        <f t="shared" si="1"/>
        <v>6</v>
      </c>
      <c r="B25" s="39">
        <f t="shared" si="2"/>
        <v>0</v>
      </c>
      <c r="C25" s="40">
        <f t="shared" si="3"/>
        <v>13</v>
      </c>
      <c r="D25" s="39">
        <f t="shared" si="4"/>
        <v>1</v>
      </c>
      <c r="E25" s="41">
        <f t="shared" si="5"/>
        <v>0</v>
      </c>
      <c r="F25" s="41">
        <f t="shared" si="6"/>
        <v>4</v>
      </c>
      <c r="G25" s="41">
        <f t="shared" si="7"/>
        <v>5</v>
      </c>
      <c r="H25" s="41">
        <f t="shared" si="8"/>
        <v>2</v>
      </c>
      <c r="I25" s="42">
        <f t="shared" si="9"/>
        <v>31</v>
      </c>
      <c r="J25" s="147" t="s">
        <v>139</v>
      </c>
      <c r="K25" s="245">
        <v>3</v>
      </c>
      <c r="L25" s="238">
        <v>3</v>
      </c>
      <c r="M25" s="239" t="s">
        <v>53</v>
      </c>
      <c r="N25" s="239" t="s">
        <v>52</v>
      </c>
      <c r="O25" s="238">
        <v>3</v>
      </c>
      <c r="P25" s="238">
        <v>3</v>
      </c>
      <c r="Q25" s="242" t="s">
        <v>3</v>
      </c>
      <c r="R25" s="238">
        <v>1</v>
      </c>
      <c r="S25" s="234" t="s">
        <v>52</v>
      </c>
      <c r="T25" s="239" t="s">
        <v>53</v>
      </c>
      <c r="U25" s="239" t="s">
        <v>0</v>
      </c>
      <c r="V25" s="238">
        <v>3</v>
      </c>
      <c r="W25" s="238">
        <v>3</v>
      </c>
      <c r="X25" s="238">
        <v>3</v>
      </c>
      <c r="Y25" s="238" t="s">
        <v>52</v>
      </c>
      <c r="Z25" s="238">
        <v>1</v>
      </c>
      <c r="AA25" s="243">
        <v>1</v>
      </c>
      <c r="AB25" s="243">
        <v>1</v>
      </c>
      <c r="AC25" s="238" t="s">
        <v>0</v>
      </c>
      <c r="AD25" s="238">
        <v>3</v>
      </c>
      <c r="AE25" s="238">
        <v>3</v>
      </c>
      <c r="AF25" s="238">
        <v>3</v>
      </c>
      <c r="AG25" s="238" t="s">
        <v>52</v>
      </c>
      <c r="AH25" s="238">
        <v>1</v>
      </c>
      <c r="AI25" s="238">
        <v>1</v>
      </c>
      <c r="AJ25" s="238" t="s">
        <v>0</v>
      </c>
      <c r="AK25" s="238">
        <v>3</v>
      </c>
      <c r="AL25" s="238">
        <v>3</v>
      </c>
      <c r="AM25" s="238">
        <v>3</v>
      </c>
      <c r="AN25" s="234" t="s">
        <v>0</v>
      </c>
      <c r="AO25" s="397" t="s">
        <v>52</v>
      </c>
      <c r="AP25" s="45">
        <v>0</v>
      </c>
      <c r="AQ25" s="46">
        <f t="shared" si="0"/>
        <v>0</v>
      </c>
      <c r="AR25" s="46">
        <v>0</v>
      </c>
      <c r="AS25" s="41">
        <f t="shared" si="14"/>
        <v>0</v>
      </c>
      <c r="AT25" s="329" t="s">
        <v>128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</row>
    <row r="26" spans="1:226" s="50" customFormat="1" ht="25.5" customHeight="1">
      <c r="A26" s="38">
        <f t="shared" si="1"/>
        <v>5</v>
      </c>
      <c r="B26" s="39">
        <f t="shared" si="2"/>
        <v>3</v>
      </c>
      <c r="C26" s="40">
        <f t="shared" si="3"/>
        <v>11</v>
      </c>
      <c r="D26" s="39">
        <f t="shared" si="4"/>
        <v>1</v>
      </c>
      <c r="E26" s="41">
        <f t="shared" si="5"/>
        <v>0</v>
      </c>
      <c r="F26" s="41">
        <f t="shared" si="6"/>
        <v>5</v>
      </c>
      <c r="G26" s="41">
        <f t="shared" si="7"/>
        <v>4</v>
      </c>
      <c r="H26" s="41">
        <f t="shared" si="8"/>
        <v>2</v>
      </c>
      <c r="I26" s="42">
        <f t="shared" si="9"/>
        <v>31</v>
      </c>
      <c r="J26" s="147" t="s">
        <v>140</v>
      </c>
      <c r="K26" s="466" t="s">
        <v>3</v>
      </c>
      <c r="L26" s="238" t="s">
        <v>52</v>
      </c>
      <c r="M26" s="239" t="s">
        <v>53</v>
      </c>
      <c r="N26" s="239" t="s">
        <v>0</v>
      </c>
      <c r="O26" s="238">
        <v>3</v>
      </c>
      <c r="P26" s="238">
        <v>3</v>
      </c>
      <c r="Q26" s="238">
        <v>3</v>
      </c>
      <c r="R26" s="238">
        <v>3</v>
      </c>
      <c r="S26" s="238" t="s">
        <v>52</v>
      </c>
      <c r="T26" s="239" t="s">
        <v>53</v>
      </c>
      <c r="U26" s="239" t="s">
        <v>0</v>
      </c>
      <c r="V26" s="238">
        <v>3</v>
      </c>
      <c r="W26" s="238">
        <v>3</v>
      </c>
      <c r="X26" s="238" t="s">
        <v>52</v>
      </c>
      <c r="Y26" s="238">
        <v>3</v>
      </c>
      <c r="Z26" s="238">
        <v>3</v>
      </c>
      <c r="AA26" s="238">
        <v>3</v>
      </c>
      <c r="AB26" s="238">
        <v>3</v>
      </c>
      <c r="AC26" s="238">
        <v>3</v>
      </c>
      <c r="AD26" s="238" t="s">
        <v>52</v>
      </c>
      <c r="AE26" s="238" t="s">
        <v>0</v>
      </c>
      <c r="AF26" s="238" t="s">
        <v>0</v>
      </c>
      <c r="AG26" s="238">
        <v>1</v>
      </c>
      <c r="AH26" s="238">
        <v>1</v>
      </c>
      <c r="AI26" s="246">
        <v>1</v>
      </c>
      <c r="AJ26" s="238">
        <v>1</v>
      </c>
      <c r="AK26" s="238" t="s">
        <v>0</v>
      </c>
      <c r="AL26" s="238">
        <v>1</v>
      </c>
      <c r="AM26" s="238">
        <v>2</v>
      </c>
      <c r="AN26" s="238">
        <v>2</v>
      </c>
      <c r="AO26" s="241">
        <v>2</v>
      </c>
      <c r="AP26" s="62">
        <v>0</v>
      </c>
      <c r="AQ26" s="46">
        <f t="shared" si="0"/>
        <v>0</v>
      </c>
      <c r="AR26" s="46">
        <v>0</v>
      </c>
      <c r="AS26" s="41">
        <f t="shared" si="14"/>
        <v>0</v>
      </c>
      <c r="AT26" s="329" t="s">
        <v>126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</row>
    <row r="27" spans="1:226" s="50" customFormat="1" ht="25.5" customHeight="1">
      <c r="A27" s="38">
        <f>COUNTIF(K27:AO27,1)+COUNTIF(K27:AO27,"早")+COUNTIF(K27:AO27,"M1")+COUNTIF(K27:AO27,"T早")+COUNTIF(K27:AO27,"日")</f>
        <v>4</v>
      </c>
      <c r="B27" s="39">
        <f>COUNTIF(K27:AO27,2)+COUNTIF(K27:AO27,"中")+COUNTIF(K27:AO27,"M2")+COUNTIF(K27:AO27,"T中")+COUNTIF(K27:AO27,"小夜")</f>
        <v>5</v>
      </c>
      <c r="C27" s="40">
        <f>COUNTIF(K27:AO27,3)+COUNTIF(K27:AO27,"晚")+COUNTIF(K27:AO27,"大夜")</f>
        <v>11</v>
      </c>
      <c r="D27" s="39">
        <f>COUNTIF(K27:AO27,"N")+COUNTIF(K27:AO27,"N8")</f>
        <v>0</v>
      </c>
      <c r="E27" s="41">
        <f>COUNTIF(K27:AO27,"S")</f>
        <v>0</v>
      </c>
      <c r="F27" s="41">
        <f>COUNTIF(K27:AO27,"X")</f>
        <v>4</v>
      </c>
      <c r="G27" s="41">
        <f>COUNTIF(K27:AO27,"Y")</f>
        <v>5</v>
      </c>
      <c r="H27" s="41">
        <f>COUNTIF(K27:AO27,"Z")</f>
        <v>2</v>
      </c>
      <c r="I27" s="42">
        <f t="shared" si="9"/>
        <v>31</v>
      </c>
      <c r="J27" s="147" t="s">
        <v>19</v>
      </c>
      <c r="K27" s="245" t="s">
        <v>0</v>
      </c>
      <c r="L27" s="238">
        <v>1</v>
      </c>
      <c r="M27" s="238">
        <v>2</v>
      </c>
      <c r="N27" s="238">
        <v>2</v>
      </c>
      <c r="O27" s="238" t="s">
        <v>52</v>
      </c>
      <c r="P27" s="238">
        <v>3</v>
      </c>
      <c r="Q27" s="238">
        <v>3</v>
      </c>
      <c r="R27" s="238">
        <v>3</v>
      </c>
      <c r="S27" s="238">
        <v>3</v>
      </c>
      <c r="T27" s="243">
        <v>3</v>
      </c>
      <c r="U27" s="243">
        <v>3</v>
      </c>
      <c r="V27" s="234" t="s">
        <v>0</v>
      </c>
      <c r="W27" s="238">
        <v>1</v>
      </c>
      <c r="X27" s="238">
        <v>1</v>
      </c>
      <c r="Y27" s="238">
        <v>1</v>
      </c>
      <c r="Z27" s="30" t="s">
        <v>52</v>
      </c>
      <c r="AA27" s="239" t="s">
        <v>53</v>
      </c>
      <c r="AB27" s="239" t="s">
        <v>53</v>
      </c>
      <c r="AC27" s="234" t="s">
        <v>52</v>
      </c>
      <c r="AD27" s="234" t="s">
        <v>0</v>
      </c>
      <c r="AE27" s="238">
        <v>2</v>
      </c>
      <c r="AF27" s="238">
        <v>2</v>
      </c>
      <c r="AG27" s="238">
        <v>2</v>
      </c>
      <c r="AH27" s="239" t="s">
        <v>52</v>
      </c>
      <c r="AI27" s="239" t="s">
        <v>0</v>
      </c>
      <c r="AJ27" s="238">
        <v>3</v>
      </c>
      <c r="AK27" s="238">
        <v>3</v>
      </c>
      <c r="AL27" s="238">
        <v>3</v>
      </c>
      <c r="AM27" s="238">
        <v>3</v>
      </c>
      <c r="AN27" s="238">
        <v>3</v>
      </c>
      <c r="AO27" s="241" t="s">
        <v>52</v>
      </c>
      <c r="AP27" s="62">
        <v>0</v>
      </c>
      <c r="AQ27" s="46">
        <f t="shared" si="0"/>
        <v>0</v>
      </c>
      <c r="AR27" s="46">
        <v>0</v>
      </c>
      <c r="AS27" s="41">
        <f t="shared" si="14"/>
        <v>0</v>
      </c>
      <c r="AT27" s="329" t="s">
        <v>126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</row>
    <row r="28" spans="1:226" s="50" customFormat="1" ht="25.5" customHeight="1">
      <c r="A28" s="38">
        <f t="shared" si="1"/>
        <v>3</v>
      </c>
      <c r="B28" s="39">
        <f t="shared" si="2"/>
        <v>17</v>
      </c>
      <c r="C28" s="40">
        <f t="shared" si="3"/>
        <v>0</v>
      </c>
      <c r="D28" s="39">
        <f t="shared" si="4"/>
        <v>0</v>
      </c>
      <c r="E28" s="41">
        <f t="shared" si="5"/>
        <v>0</v>
      </c>
      <c r="F28" s="41">
        <f t="shared" si="6"/>
        <v>4</v>
      </c>
      <c r="G28" s="41">
        <f t="shared" si="7"/>
        <v>5</v>
      </c>
      <c r="H28" s="41">
        <f t="shared" si="8"/>
        <v>2</v>
      </c>
      <c r="I28" s="42">
        <f t="shared" si="9"/>
        <v>31</v>
      </c>
      <c r="J28" s="147" t="s">
        <v>20</v>
      </c>
      <c r="K28" s="245">
        <v>2</v>
      </c>
      <c r="L28" s="238">
        <v>2</v>
      </c>
      <c r="M28" s="239" t="s">
        <v>52</v>
      </c>
      <c r="N28" s="239" t="s">
        <v>0</v>
      </c>
      <c r="O28" s="238">
        <v>2</v>
      </c>
      <c r="P28" s="238">
        <v>2</v>
      </c>
      <c r="Q28" s="238">
        <v>2</v>
      </c>
      <c r="R28" s="238" t="s">
        <v>0</v>
      </c>
      <c r="S28" s="238">
        <v>1</v>
      </c>
      <c r="T28" s="238">
        <v>1</v>
      </c>
      <c r="U28" s="238">
        <v>1</v>
      </c>
      <c r="V28" s="238">
        <v>2</v>
      </c>
      <c r="W28" s="238" t="s">
        <v>52</v>
      </c>
      <c r="X28" s="238">
        <v>2</v>
      </c>
      <c r="Y28" s="238">
        <v>2</v>
      </c>
      <c r="Z28" s="238">
        <v>2</v>
      </c>
      <c r="AA28" s="239" t="s">
        <v>52</v>
      </c>
      <c r="AB28" s="239" t="s">
        <v>53</v>
      </c>
      <c r="AC28" s="238">
        <v>2</v>
      </c>
      <c r="AD28" s="238">
        <v>2</v>
      </c>
      <c r="AE28" s="238" t="s">
        <v>0</v>
      </c>
      <c r="AF28" s="238" t="s">
        <v>52</v>
      </c>
      <c r="AG28" s="238">
        <v>2</v>
      </c>
      <c r="AH28" s="238">
        <v>2</v>
      </c>
      <c r="AI28" s="238">
        <v>2</v>
      </c>
      <c r="AJ28" s="238">
        <v>2</v>
      </c>
      <c r="AK28" s="238">
        <v>2</v>
      </c>
      <c r="AL28" s="238">
        <v>2</v>
      </c>
      <c r="AM28" s="238" t="s">
        <v>0</v>
      </c>
      <c r="AN28" s="238" t="s">
        <v>53</v>
      </c>
      <c r="AO28" s="397" t="s">
        <v>52</v>
      </c>
      <c r="AP28" s="62">
        <v>0</v>
      </c>
      <c r="AQ28" s="46">
        <f t="shared" si="0"/>
        <v>0</v>
      </c>
      <c r="AR28" s="46">
        <v>0</v>
      </c>
      <c r="AS28" s="41">
        <f>SUM(AP28:AR28)</f>
        <v>0</v>
      </c>
      <c r="AT28" s="329" t="s">
        <v>128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</row>
    <row r="29" spans="1:226" s="50" customFormat="1" ht="25.5" customHeight="1">
      <c r="A29" s="38">
        <f t="shared" si="1"/>
        <v>3</v>
      </c>
      <c r="B29" s="39">
        <f t="shared" si="2"/>
        <v>13</v>
      </c>
      <c r="C29" s="40">
        <f t="shared" si="3"/>
        <v>4</v>
      </c>
      <c r="D29" s="39">
        <f t="shared" si="4"/>
        <v>0</v>
      </c>
      <c r="E29" s="41">
        <f t="shared" si="5"/>
        <v>0</v>
      </c>
      <c r="F29" s="41">
        <f t="shared" si="6"/>
        <v>4</v>
      </c>
      <c r="G29" s="41">
        <f t="shared" si="7"/>
        <v>5</v>
      </c>
      <c r="H29" s="41">
        <f t="shared" si="8"/>
        <v>2</v>
      </c>
      <c r="I29" s="42">
        <f t="shared" si="9"/>
        <v>31</v>
      </c>
      <c r="J29" s="147" t="s">
        <v>21</v>
      </c>
      <c r="K29" s="245">
        <v>2</v>
      </c>
      <c r="L29" s="238">
        <v>2</v>
      </c>
      <c r="M29" s="239" t="s">
        <v>52</v>
      </c>
      <c r="N29" s="239" t="s">
        <v>0</v>
      </c>
      <c r="O29" s="238">
        <v>2</v>
      </c>
      <c r="P29" s="238">
        <v>2</v>
      </c>
      <c r="Q29" s="238" t="s">
        <v>0</v>
      </c>
      <c r="R29" s="238" t="s">
        <v>53</v>
      </c>
      <c r="S29" s="234" t="s">
        <v>52</v>
      </c>
      <c r="T29" s="238">
        <v>2</v>
      </c>
      <c r="U29" s="238">
        <v>2</v>
      </c>
      <c r="V29" s="238">
        <v>2</v>
      </c>
      <c r="W29" s="238">
        <v>2</v>
      </c>
      <c r="X29" s="238">
        <v>2</v>
      </c>
      <c r="Y29" s="238">
        <v>2</v>
      </c>
      <c r="Z29" s="238" t="s">
        <v>52</v>
      </c>
      <c r="AA29" s="239" t="s">
        <v>53</v>
      </c>
      <c r="AB29" s="239" t="s">
        <v>0</v>
      </c>
      <c r="AC29" s="238">
        <v>3</v>
      </c>
      <c r="AD29" s="238">
        <v>3</v>
      </c>
      <c r="AE29" s="238">
        <v>3</v>
      </c>
      <c r="AF29" s="238">
        <v>3</v>
      </c>
      <c r="AG29" s="238" t="s">
        <v>52</v>
      </c>
      <c r="AH29" s="238">
        <v>2</v>
      </c>
      <c r="AI29" s="238">
        <v>2</v>
      </c>
      <c r="AJ29" s="238">
        <v>2</v>
      </c>
      <c r="AK29" s="238" t="s">
        <v>0</v>
      </c>
      <c r="AL29" s="238">
        <v>1</v>
      </c>
      <c r="AM29" s="238">
        <v>1</v>
      </c>
      <c r="AN29" s="238">
        <v>1</v>
      </c>
      <c r="AO29" s="397" t="s">
        <v>52</v>
      </c>
      <c r="AP29" s="62">
        <v>0</v>
      </c>
      <c r="AQ29" s="46">
        <f t="shared" si="0"/>
        <v>0</v>
      </c>
      <c r="AR29" s="46">
        <v>0</v>
      </c>
      <c r="AS29" s="41">
        <f t="shared" ref="AS29:AS32" si="15">SUM(AP29:AR29)</f>
        <v>0</v>
      </c>
      <c r="AT29" s="329" t="s">
        <v>128</v>
      </c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</row>
    <row r="30" spans="1:226" s="50" customFormat="1" ht="25.5" customHeight="1">
      <c r="A30" s="38">
        <f t="shared" si="1"/>
        <v>19</v>
      </c>
      <c r="B30" s="39">
        <f t="shared" si="2"/>
        <v>0</v>
      </c>
      <c r="C30" s="40">
        <f t="shared" si="3"/>
        <v>0</v>
      </c>
      <c r="D30" s="39">
        <f t="shared" si="4"/>
        <v>0</v>
      </c>
      <c r="E30" s="41">
        <f t="shared" si="5"/>
        <v>1</v>
      </c>
      <c r="F30" s="41">
        <f t="shared" si="6"/>
        <v>4</v>
      </c>
      <c r="G30" s="41">
        <f t="shared" si="7"/>
        <v>5</v>
      </c>
      <c r="H30" s="41">
        <f t="shared" si="8"/>
        <v>2</v>
      </c>
      <c r="I30" s="42">
        <f t="shared" si="9"/>
        <v>31</v>
      </c>
      <c r="J30" s="147" t="s">
        <v>166</v>
      </c>
      <c r="K30" s="245">
        <v>1</v>
      </c>
      <c r="L30" s="238">
        <v>1</v>
      </c>
      <c r="M30" s="239" t="s">
        <v>52</v>
      </c>
      <c r="N30" s="239" t="s">
        <v>0</v>
      </c>
      <c r="O30" s="238">
        <v>1</v>
      </c>
      <c r="P30" s="238">
        <v>1</v>
      </c>
      <c r="Q30" s="238">
        <v>1</v>
      </c>
      <c r="R30" s="238">
        <v>1</v>
      </c>
      <c r="S30" s="239" t="s">
        <v>53</v>
      </c>
      <c r="T30" s="239" t="s">
        <v>52</v>
      </c>
      <c r="U30" s="239" t="s">
        <v>0</v>
      </c>
      <c r="V30" s="238">
        <v>1</v>
      </c>
      <c r="W30" s="238">
        <v>1</v>
      </c>
      <c r="X30" s="238">
        <v>1</v>
      </c>
      <c r="Y30" s="238">
        <v>1</v>
      </c>
      <c r="Z30" s="238">
        <v>1</v>
      </c>
      <c r="AA30" s="239" t="s">
        <v>52</v>
      </c>
      <c r="AB30" s="239" t="s">
        <v>0</v>
      </c>
      <c r="AC30" s="238">
        <v>1</v>
      </c>
      <c r="AD30" s="238">
        <v>1</v>
      </c>
      <c r="AE30" s="238">
        <v>1</v>
      </c>
      <c r="AF30" s="238">
        <v>1</v>
      </c>
      <c r="AG30" s="238">
        <v>1</v>
      </c>
      <c r="AH30" s="239" t="s">
        <v>52</v>
      </c>
      <c r="AI30" s="239" t="s">
        <v>0</v>
      </c>
      <c r="AJ30" s="239" t="s">
        <v>53</v>
      </c>
      <c r="AK30" s="238">
        <v>1</v>
      </c>
      <c r="AL30" s="238">
        <v>1</v>
      </c>
      <c r="AM30" s="238">
        <v>1</v>
      </c>
      <c r="AN30" s="234" t="s">
        <v>1</v>
      </c>
      <c r="AO30" s="397" t="s">
        <v>52</v>
      </c>
      <c r="AP30" s="45">
        <v>0</v>
      </c>
      <c r="AQ30" s="46">
        <f t="shared" si="0"/>
        <v>0</v>
      </c>
      <c r="AR30" s="46">
        <v>0</v>
      </c>
      <c r="AS30" s="41">
        <f t="shared" si="15"/>
        <v>0</v>
      </c>
      <c r="AT30" s="329" t="s">
        <v>133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</row>
    <row r="31" spans="1:226" s="50" customFormat="1" ht="25.5" customHeight="1">
      <c r="A31" s="38">
        <f t="shared" si="1"/>
        <v>18</v>
      </c>
      <c r="B31" s="39">
        <f t="shared" si="2"/>
        <v>0</v>
      </c>
      <c r="C31" s="40">
        <f t="shared" si="3"/>
        <v>0</v>
      </c>
      <c r="D31" s="39">
        <f t="shared" si="4"/>
        <v>0</v>
      </c>
      <c r="E31" s="41">
        <f t="shared" si="5"/>
        <v>2</v>
      </c>
      <c r="F31" s="41">
        <f t="shared" si="6"/>
        <v>4</v>
      </c>
      <c r="G31" s="41">
        <f t="shared" si="7"/>
        <v>5</v>
      </c>
      <c r="H31" s="41">
        <f t="shared" si="8"/>
        <v>2</v>
      </c>
      <c r="I31" s="42">
        <f t="shared" si="9"/>
        <v>31</v>
      </c>
      <c r="J31" s="147" t="s">
        <v>167</v>
      </c>
      <c r="K31" s="245">
        <v>1</v>
      </c>
      <c r="L31" s="238">
        <v>1</v>
      </c>
      <c r="M31" s="239" t="s">
        <v>52</v>
      </c>
      <c r="N31" s="239" t="s">
        <v>0</v>
      </c>
      <c r="O31" s="238">
        <v>1</v>
      </c>
      <c r="P31" s="234" t="s">
        <v>1</v>
      </c>
      <c r="Q31" s="238">
        <v>1</v>
      </c>
      <c r="R31" s="238">
        <v>1</v>
      </c>
      <c r="S31" s="239" t="s">
        <v>53</v>
      </c>
      <c r="T31" s="239" t="s">
        <v>52</v>
      </c>
      <c r="U31" s="239" t="s">
        <v>0</v>
      </c>
      <c r="V31" s="238">
        <v>1</v>
      </c>
      <c r="W31" s="238">
        <v>1</v>
      </c>
      <c r="X31" s="238">
        <v>1</v>
      </c>
      <c r="Y31" s="238">
        <v>1</v>
      </c>
      <c r="Z31" s="238">
        <v>1</v>
      </c>
      <c r="AA31" s="239" t="s">
        <v>52</v>
      </c>
      <c r="AB31" s="239" t="s">
        <v>0</v>
      </c>
      <c r="AC31" s="238">
        <v>1</v>
      </c>
      <c r="AD31" s="238">
        <v>1</v>
      </c>
      <c r="AE31" s="238">
        <v>1</v>
      </c>
      <c r="AF31" s="238">
        <v>1</v>
      </c>
      <c r="AG31" s="238">
        <v>1</v>
      </c>
      <c r="AH31" s="239" t="s">
        <v>52</v>
      </c>
      <c r="AI31" s="239" t="s">
        <v>0</v>
      </c>
      <c r="AJ31" s="239" t="s">
        <v>53</v>
      </c>
      <c r="AK31" s="238">
        <v>1</v>
      </c>
      <c r="AL31" s="238">
        <v>1</v>
      </c>
      <c r="AM31" s="238">
        <v>1</v>
      </c>
      <c r="AN31" s="234" t="s">
        <v>1</v>
      </c>
      <c r="AO31" s="397" t="s">
        <v>52</v>
      </c>
      <c r="AP31" s="45">
        <v>0</v>
      </c>
      <c r="AQ31" s="46">
        <f t="shared" si="0"/>
        <v>0</v>
      </c>
      <c r="AR31" s="46">
        <v>0</v>
      </c>
      <c r="AS31" s="41">
        <f t="shared" si="15"/>
        <v>0</v>
      </c>
      <c r="AT31" s="329" t="s">
        <v>133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</row>
    <row r="32" spans="1:226" s="50" customFormat="1" ht="25.5" customHeight="1">
      <c r="A32" s="38">
        <f t="shared" ref="A32:A33" si="16">COUNTIF(K32:AO32,1)+COUNTIF(K32:AO32,"早")+COUNTIF(K32:AO32,"M1")+COUNTIF(K32:AO32,"T早")+COUNTIF(K32:AO32,"日")</f>
        <v>7</v>
      </c>
      <c r="B32" s="39">
        <f t="shared" ref="B32:B33" si="17">COUNTIF(K32:AO32,2)+COUNTIF(K32:AO32,"中")+COUNTIF(K32:AO32,"M2")+COUNTIF(K32:AO32,"T中")+COUNTIF(K32:AO32,"小夜")</f>
        <v>13</v>
      </c>
      <c r="C32" s="40">
        <f t="shared" ref="C32:C33" si="18">COUNTIF(K32:AO32,3)+COUNTIF(K32:AO32,"晚")+COUNTIF(K32:AO32,"大夜")</f>
        <v>0</v>
      </c>
      <c r="D32" s="39">
        <f t="shared" ref="D32:D33" si="19">COUNTIF(K32:AO32,"N")+COUNTIF(K32:AO32,"N8")</f>
        <v>0</v>
      </c>
      <c r="E32" s="41">
        <f t="shared" ref="E32:E33" si="20">COUNTIF(K32:AO32,"S")</f>
        <v>0</v>
      </c>
      <c r="F32" s="41">
        <f t="shared" ref="F32:F33" si="21">COUNTIF(K32:AO32,"X")</f>
        <v>4</v>
      </c>
      <c r="G32" s="41">
        <f t="shared" ref="G32:G33" si="22">COUNTIF(K32:AO32,"Y")</f>
        <v>5</v>
      </c>
      <c r="H32" s="41">
        <f t="shared" ref="H32:H33" si="23">COUNTIF(K32:AO32,"Z")</f>
        <v>2</v>
      </c>
      <c r="I32" s="42">
        <f t="shared" ref="I32:I33" si="24">SUM(A32:H32)</f>
        <v>31</v>
      </c>
      <c r="J32" s="147" t="s">
        <v>170</v>
      </c>
      <c r="K32" s="245" t="s">
        <v>0</v>
      </c>
      <c r="L32" s="238">
        <v>1</v>
      </c>
      <c r="M32" s="46">
        <v>1</v>
      </c>
      <c r="N32" s="238">
        <v>2</v>
      </c>
      <c r="O32" s="234" t="s">
        <v>52</v>
      </c>
      <c r="P32" s="238">
        <v>1</v>
      </c>
      <c r="Q32" s="238">
        <v>1</v>
      </c>
      <c r="R32" s="238">
        <v>2</v>
      </c>
      <c r="S32" s="238">
        <v>2</v>
      </c>
      <c r="T32" s="239" t="s">
        <v>52</v>
      </c>
      <c r="U32" s="239" t="s">
        <v>53</v>
      </c>
      <c r="V32" s="238">
        <v>2</v>
      </c>
      <c r="W32" s="238">
        <v>2</v>
      </c>
      <c r="X32" s="238">
        <v>2</v>
      </c>
      <c r="Y32" s="234" t="s">
        <v>156</v>
      </c>
      <c r="Z32" s="238">
        <v>1</v>
      </c>
      <c r="AA32" s="238">
        <v>2</v>
      </c>
      <c r="AB32" s="238">
        <v>2</v>
      </c>
      <c r="AC32" s="234" t="s">
        <v>156</v>
      </c>
      <c r="AD32" s="46">
        <v>2</v>
      </c>
      <c r="AE32" s="238">
        <v>2</v>
      </c>
      <c r="AF32" s="238">
        <v>2</v>
      </c>
      <c r="AG32" s="238">
        <v>2</v>
      </c>
      <c r="AH32" s="239" t="s">
        <v>52</v>
      </c>
      <c r="AI32" s="239" t="s">
        <v>0</v>
      </c>
      <c r="AJ32" s="238">
        <v>1</v>
      </c>
      <c r="AK32" s="238">
        <v>1</v>
      </c>
      <c r="AL32" s="238" t="s">
        <v>53</v>
      </c>
      <c r="AM32" s="238" t="s">
        <v>52</v>
      </c>
      <c r="AN32" s="238" t="s">
        <v>52</v>
      </c>
      <c r="AO32" s="241">
        <v>2</v>
      </c>
      <c r="AP32" s="45">
        <v>0</v>
      </c>
      <c r="AQ32" s="46">
        <f t="shared" si="0"/>
        <v>0</v>
      </c>
      <c r="AR32" s="46">
        <v>0</v>
      </c>
      <c r="AS32" s="41">
        <f t="shared" si="15"/>
        <v>0</v>
      </c>
      <c r="AT32" s="329" t="s">
        <v>126</v>
      </c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</row>
    <row r="33" spans="1:226" s="50" customFormat="1" ht="25.5" customHeight="1">
      <c r="A33" s="38">
        <f t="shared" si="16"/>
        <v>7</v>
      </c>
      <c r="B33" s="39">
        <f t="shared" si="17"/>
        <v>9</v>
      </c>
      <c r="C33" s="40">
        <f t="shared" si="18"/>
        <v>4</v>
      </c>
      <c r="D33" s="39">
        <f t="shared" si="19"/>
        <v>0</v>
      </c>
      <c r="E33" s="41">
        <f t="shared" si="20"/>
        <v>0</v>
      </c>
      <c r="F33" s="41">
        <f t="shared" si="21"/>
        <v>4</v>
      </c>
      <c r="G33" s="41">
        <f t="shared" si="22"/>
        <v>5</v>
      </c>
      <c r="H33" s="41">
        <f t="shared" si="23"/>
        <v>2</v>
      </c>
      <c r="I33" s="42">
        <f t="shared" si="24"/>
        <v>31</v>
      </c>
      <c r="J33" s="147" t="s">
        <v>171</v>
      </c>
      <c r="K33" s="425">
        <v>2</v>
      </c>
      <c r="L33" s="242">
        <v>2</v>
      </c>
      <c r="M33" s="239" t="s">
        <v>52</v>
      </c>
      <c r="N33" s="239" t="s">
        <v>0</v>
      </c>
      <c r="O33" s="242">
        <v>3</v>
      </c>
      <c r="P33" s="242">
        <v>3</v>
      </c>
      <c r="Q33" s="242">
        <v>3</v>
      </c>
      <c r="R33" s="242">
        <v>3</v>
      </c>
      <c r="S33" s="239" t="s">
        <v>53</v>
      </c>
      <c r="T33" s="239" t="s">
        <v>52</v>
      </c>
      <c r="U33" s="239" t="s">
        <v>0</v>
      </c>
      <c r="V33" s="238">
        <v>1</v>
      </c>
      <c r="W33" s="238">
        <v>1</v>
      </c>
      <c r="X33" s="246" t="s">
        <v>0</v>
      </c>
      <c r="Y33" s="238">
        <v>1</v>
      </c>
      <c r="Z33" s="238">
        <v>2</v>
      </c>
      <c r="AA33" s="239" t="s">
        <v>52</v>
      </c>
      <c r="AB33" s="239" t="s">
        <v>53</v>
      </c>
      <c r="AC33" s="238">
        <v>1</v>
      </c>
      <c r="AD33" s="238">
        <v>1</v>
      </c>
      <c r="AE33" s="238">
        <v>1</v>
      </c>
      <c r="AF33" s="238" t="s">
        <v>52</v>
      </c>
      <c r="AG33" s="238">
        <v>1</v>
      </c>
      <c r="AH33" s="238">
        <v>2</v>
      </c>
      <c r="AI33" s="238" t="s">
        <v>0</v>
      </c>
      <c r="AJ33" s="238">
        <v>2</v>
      </c>
      <c r="AK33" s="238">
        <v>2</v>
      </c>
      <c r="AL33" s="238">
        <v>2</v>
      </c>
      <c r="AM33" s="238">
        <v>2</v>
      </c>
      <c r="AN33" s="238">
        <v>2</v>
      </c>
      <c r="AO33" s="397" t="s">
        <v>52</v>
      </c>
      <c r="AP33" s="45">
        <v>0</v>
      </c>
      <c r="AQ33" s="46">
        <f t="shared" si="0"/>
        <v>0</v>
      </c>
      <c r="AR33" s="46">
        <v>0</v>
      </c>
      <c r="AS33" s="41">
        <f>SUM(AP33:AR33)</f>
        <v>0</v>
      </c>
      <c r="AT33" s="329" t="s">
        <v>174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</row>
    <row r="34" spans="1:226" s="50" customFormat="1" ht="25.5" customHeight="1" thickBot="1">
      <c r="A34" s="69">
        <f>COUNTIF(K34:AO34,1)+COUNTIF(K34:AO34,"早")+COUNTIF(K34:AO34,"M1")+COUNTIF(K34:AO34,"T早")+COUNTIF(K34:AO34,"日")</f>
        <v>11</v>
      </c>
      <c r="B34" s="70">
        <f>COUNTIF(K34:AO34,2)+COUNTIF(K34:AO34,"中")+COUNTIF(K34:AO34,"M2")+COUNTIF(K34:AO34,"T中")+COUNTIF(K34:AO34,"小夜")</f>
        <v>3</v>
      </c>
      <c r="C34" s="71">
        <f>COUNTIF(K34:AO34,3)+COUNTIF(K34:AO34,"晚")+COUNTIF(K34:AO34,"大夜")</f>
        <v>2</v>
      </c>
      <c r="D34" s="70">
        <f>COUNTIF(K34:AO34,"N")+COUNTIF(K34:AO34,"N8")</f>
        <v>4</v>
      </c>
      <c r="E34" s="63">
        <f>COUNTIF(K34:AO34,"S")</f>
        <v>0</v>
      </c>
      <c r="F34" s="63">
        <f>COUNTIF(K34:AO34,"X")</f>
        <v>4</v>
      </c>
      <c r="G34" s="63">
        <f>COUNTIF(K34:AO34,"Y")</f>
        <v>5</v>
      </c>
      <c r="H34" s="63">
        <f>COUNTIF(K34:AO34,"Z")</f>
        <v>2</v>
      </c>
      <c r="I34" s="461">
        <f>SUM(A34:H34)</f>
        <v>31</v>
      </c>
      <c r="J34" s="158" t="s">
        <v>175</v>
      </c>
      <c r="K34" s="468" t="s">
        <v>3</v>
      </c>
      <c r="L34" s="469" t="s">
        <v>3</v>
      </c>
      <c r="M34" s="249" t="s">
        <v>52</v>
      </c>
      <c r="N34" s="249" t="s">
        <v>0</v>
      </c>
      <c r="O34" s="469" t="s">
        <v>3</v>
      </c>
      <c r="P34" s="469" t="s">
        <v>3</v>
      </c>
      <c r="Q34" s="394" t="s">
        <v>36</v>
      </c>
      <c r="R34" s="394" t="s">
        <v>36</v>
      </c>
      <c r="S34" s="249" t="s">
        <v>53</v>
      </c>
      <c r="T34" s="249" t="s">
        <v>52</v>
      </c>
      <c r="U34" s="249" t="s">
        <v>0</v>
      </c>
      <c r="V34" s="394" t="s">
        <v>36</v>
      </c>
      <c r="W34" s="394" t="s">
        <v>36</v>
      </c>
      <c r="X34" s="394" t="s">
        <v>36</v>
      </c>
      <c r="Y34" s="394" t="s">
        <v>36</v>
      </c>
      <c r="Z34" s="394" t="s">
        <v>36</v>
      </c>
      <c r="AA34" s="249" t="s">
        <v>52</v>
      </c>
      <c r="AB34" s="249" t="s">
        <v>0</v>
      </c>
      <c r="AC34" s="242" t="s">
        <v>40</v>
      </c>
      <c r="AD34" s="242" t="s">
        <v>40</v>
      </c>
      <c r="AE34" s="242" t="s">
        <v>38</v>
      </c>
      <c r="AF34" s="242" t="s">
        <v>38</v>
      </c>
      <c r="AG34" s="242" t="s">
        <v>38</v>
      </c>
      <c r="AH34" s="249" t="s">
        <v>52</v>
      </c>
      <c r="AI34" s="249" t="s">
        <v>53</v>
      </c>
      <c r="AJ34" s="249" t="s">
        <v>0</v>
      </c>
      <c r="AK34" s="394" t="s">
        <v>36</v>
      </c>
      <c r="AL34" s="394" t="s">
        <v>36</v>
      </c>
      <c r="AM34" s="394" t="s">
        <v>36</v>
      </c>
      <c r="AN34" s="394" t="s">
        <v>36</v>
      </c>
      <c r="AO34" s="398" t="s">
        <v>52</v>
      </c>
      <c r="AP34" s="73">
        <v>0</v>
      </c>
      <c r="AQ34" s="74">
        <f t="shared" si="0"/>
        <v>0</v>
      </c>
      <c r="AR34" s="74">
        <v>0</v>
      </c>
      <c r="AS34" s="63">
        <f>SUM(AP34:AR34)</f>
        <v>0</v>
      </c>
      <c r="AT34" s="330" t="s">
        <v>177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</row>
    <row r="35" spans="1:226" s="50" customFormat="1" ht="25.5" customHeight="1">
      <c r="A35" s="381">
        <f t="shared" si="1"/>
        <v>0</v>
      </c>
      <c r="B35" s="382">
        <f t="shared" si="2"/>
        <v>5</v>
      </c>
      <c r="C35" s="383">
        <f t="shared" si="3"/>
        <v>13</v>
      </c>
      <c r="D35" s="382">
        <f t="shared" si="4"/>
        <v>0</v>
      </c>
      <c r="E35" s="331">
        <f t="shared" si="5"/>
        <v>2</v>
      </c>
      <c r="F35" s="331">
        <f t="shared" si="6"/>
        <v>4</v>
      </c>
      <c r="G35" s="331">
        <f t="shared" si="7"/>
        <v>5</v>
      </c>
      <c r="H35" s="331">
        <f t="shared" si="8"/>
        <v>2</v>
      </c>
      <c r="I35" s="384">
        <f t="shared" si="9"/>
        <v>31</v>
      </c>
      <c r="J35" s="462" t="s">
        <v>22</v>
      </c>
      <c r="K35" s="458" t="s">
        <v>52</v>
      </c>
      <c r="L35" s="235" t="s">
        <v>40</v>
      </c>
      <c r="M35" s="235" t="s">
        <v>40</v>
      </c>
      <c r="N35" s="235" t="s">
        <v>40</v>
      </c>
      <c r="O35" s="235" t="s">
        <v>40</v>
      </c>
      <c r="P35" s="235" t="s">
        <v>0</v>
      </c>
      <c r="Q35" s="235" t="s">
        <v>38</v>
      </c>
      <c r="R35" s="235" t="s">
        <v>38</v>
      </c>
      <c r="S35" s="254" t="s">
        <v>52</v>
      </c>
      <c r="T35" s="233" t="s">
        <v>53</v>
      </c>
      <c r="U35" s="233" t="s">
        <v>0</v>
      </c>
      <c r="V35" s="254" t="s">
        <v>154</v>
      </c>
      <c r="W35" s="254" t="s">
        <v>154</v>
      </c>
      <c r="X35" s="235" t="s">
        <v>52</v>
      </c>
      <c r="Y35" s="235" t="s">
        <v>40</v>
      </c>
      <c r="Z35" s="235" t="s">
        <v>40</v>
      </c>
      <c r="AA35" s="235" t="s">
        <v>40</v>
      </c>
      <c r="AB35" s="235" t="s">
        <v>40</v>
      </c>
      <c r="AC35" s="235" t="s">
        <v>40</v>
      </c>
      <c r="AD35" s="235" t="s">
        <v>52</v>
      </c>
      <c r="AE35" s="235" t="s">
        <v>38</v>
      </c>
      <c r="AF35" s="235" t="s">
        <v>38</v>
      </c>
      <c r="AG35" s="235" t="s">
        <v>38</v>
      </c>
      <c r="AH35" s="233" t="s">
        <v>52</v>
      </c>
      <c r="AI35" s="470" t="s">
        <v>53</v>
      </c>
      <c r="AJ35" s="254" t="s">
        <v>156</v>
      </c>
      <c r="AK35" s="235" t="s">
        <v>40</v>
      </c>
      <c r="AL35" s="254" t="s">
        <v>156</v>
      </c>
      <c r="AM35" s="235" t="s">
        <v>40</v>
      </c>
      <c r="AN35" s="235" t="s">
        <v>40</v>
      </c>
      <c r="AO35" s="236" t="s">
        <v>40</v>
      </c>
      <c r="AP35" s="338">
        <v>0</v>
      </c>
      <c r="AQ35" s="167">
        <f t="shared" si="0"/>
        <v>0</v>
      </c>
      <c r="AR35" s="167">
        <v>0</v>
      </c>
      <c r="AS35" s="331">
        <f t="shared" si="14"/>
        <v>0</v>
      </c>
      <c r="AT35" s="332" t="s">
        <v>126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</row>
    <row r="36" spans="1:226" s="50" customFormat="1" ht="27.75" customHeight="1">
      <c r="A36" s="38">
        <f t="shared" si="1"/>
        <v>1</v>
      </c>
      <c r="B36" s="39">
        <f t="shared" si="2"/>
        <v>17</v>
      </c>
      <c r="C36" s="40">
        <f t="shared" si="3"/>
        <v>2</v>
      </c>
      <c r="D36" s="39">
        <f t="shared" si="4"/>
        <v>0</v>
      </c>
      <c r="E36" s="41">
        <f t="shared" si="5"/>
        <v>0</v>
      </c>
      <c r="F36" s="41">
        <f t="shared" si="6"/>
        <v>4</v>
      </c>
      <c r="G36" s="41">
        <f t="shared" si="7"/>
        <v>5</v>
      </c>
      <c r="H36" s="41">
        <f t="shared" si="8"/>
        <v>2</v>
      </c>
      <c r="I36" s="177">
        <f t="shared" si="9"/>
        <v>31</v>
      </c>
      <c r="J36" s="463" t="s">
        <v>23</v>
      </c>
      <c r="K36" s="245" t="s">
        <v>38</v>
      </c>
      <c r="L36" s="238" t="s">
        <v>52</v>
      </c>
      <c r="M36" s="238" t="s">
        <v>38</v>
      </c>
      <c r="N36" s="238" t="s">
        <v>38</v>
      </c>
      <c r="O36" s="238" t="s">
        <v>38</v>
      </c>
      <c r="P36" s="238" t="s">
        <v>0</v>
      </c>
      <c r="Q36" s="238" t="s">
        <v>38</v>
      </c>
      <c r="R36" s="238" t="s">
        <v>38</v>
      </c>
      <c r="S36" s="238" t="s">
        <v>38</v>
      </c>
      <c r="T36" s="239" t="s">
        <v>52</v>
      </c>
      <c r="U36" s="239" t="s">
        <v>0</v>
      </c>
      <c r="V36" s="238" t="s">
        <v>40</v>
      </c>
      <c r="W36" s="238" t="s">
        <v>40</v>
      </c>
      <c r="X36" s="238" t="s">
        <v>0</v>
      </c>
      <c r="Y36" s="238" t="s">
        <v>38</v>
      </c>
      <c r="Z36" s="238" t="s">
        <v>38</v>
      </c>
      <c r="AA36" s="238" t="s">
        <v>38</v>
      </c>
      <c r="AB36" s="238" t="s">
        <v>38</v>
      </c>
      <c r="AC36" s="238" t="s">
        <v>38</v>
      </c>
      <c r="AD36" s="238" t="s">
        <v>52</v>
      </c>
      <c r="AE36" s="238" t="s">
        <v>53</v>
      </c>
      <c r="AF36" s="238" t="s">
        <v>38</v>
      </c>
      <c r="AG36" s="238" t="s">
        <v>38</v>
      </c>
      <c r="AH36" s="239" t="s">
        <v>52</v>
      </c>
      <c r="AI36" s="239" t="s">
        <v>53</v>
      </c>
      <c r="AJ36" s="238" t="s">
        <v>36</v>
      </c>
      <c r="AK36" s="238" t="s">
        <v>38</v>
      </c>
      <c r="AL36" s="238" t="s">
        <v>38</v>
      </c>
      <c r="AM36" s="238" t="s">
        <v>52</v>
      </c>
      <c r="AN36" s="238" t="s">
        <v>0</v>
      </c>
      <c r="AO36" s="241" t="s">
        <v>38</v>
      </c>
      <c r="AP36" s="45">
        <v>0</v>
      </c>
      <c r="AQ36" s="46">
        <f t="shared" si="0"/>
        <v>0</v>
      </c>
      <c r="AR36" s="46">
        <v>0</v>
      </c>
      <c r="AS36" s="41">
        <f t="shared" si="14"/>
        <v>0</v>
      </c>
      <c r="AT36" s="329" t="s">
        <v>126</v>
      </c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</row>
    <row r="37" spans="1:226" s="50" customFormat="1" ht="27.75" customHeight="1">
      <c r="A37" s="38">
        <f t="shared" si="1"/>
        <v>2</v>
      </c>
      <c r="B37" s="39">
        <f t="shared" si="2"/>
        <v>17</v>
      </c>
      <c r="C37" s="40">
        <f t="shared" si="3"/>
        <v>0</v>
      </c>
      <c r="D37" s="39">
        <f t="shared" si="4"/>
        <v>0</v>
      </c>
      <c r="E37" s="41">
        <f t="shared" si="5"/>
        <v>1</v>
      </c>
      <c r="F37" s="41">
        <f t="shared" si="6"/>
        <v>4</v>
      </c>
      <c r="G37" s="41">
        <f t="shared" si="7"/>
        <v>5</v>
      </c>
      <c r="H37" s="41">
        <f t="shared" si="8"/>
        <v>2</v>
      </c>
      <c r="I37" s="177">
        <f t="shared" si="9"/>
        <v>31</v>
      </c>
      <c r="J37" s="193" t="s">
        <v>24</v>
      </c>
      <c r="K37" s="245" t="s">
        <v>38</v>
      </c>
      <c r="L37" s="238" t="s">
        <v>38</v>
      </c>
      <c r="M37" s="239" t="s">
        <v>52</v>
      </c>
      <c r="N37" s="239" t="s">
        <v>0</v>
      </c>
      <c r="O37" s="238" t="s">
        <v>36</v>
      </c>
      <c r="P37" s="238" t="s">
        <v>38</v>
      </c>
      <c r="Q37" s="238" t="s">
        <v>38</v>
      </c>
      <c r="R37" s="238" t="s">
        <v>52</v>
      </c>
      <c r="S37" s="238" t="s">
        <v>36</v>
      </c>
      <c r="T37" s="238" t="s">
        <v>38</v>
      </c>
      <c r="U37" s="238" t="s">
        <v>38</v>
      </c>
      <c r="V37" s="238" t="s">
        <v>38</v>
      </c>
      <c r="W37" s="238" t="s">
        <v>52</v>
      </c>
      <c r="X37" s="393" t="s">
        <v>38</v>
      </c>
      <c r="Y37" s="238" t="s">
        <v>38</v>
      </c>
      <c r="Z37" s="238" t="s">
        <v>38</v>
      </c>
      <c r="AA37" s="239" t="s">
        <v>52</v>
      </c>
      <c r="AB37" s="239" t="s">
        <v>53</v>
      </c>
      <c r="AC37" s="234" t="s">
        <v>1</v>
      </c>
      <c r="AD37" s="238" t="s">
        <v>38</v>
      </c>
      <c r="AE37" s="234" t="s">
        <v>0</v>
      </c>
      <c r="AF37" s="238" t="s">
        <v>53</v>
      </c>
      <c r="AG37" s="234" t="s">
        <v>0</v>
      </c>
      <c r="AH37" s="238" t="s">
        <v>38</v>
      </c>
      <c r="AI37" s="238" t="s">
        <v>38</v>
      </c>
      <c r="AJ37" s="238" t="s">
        <v>38</v>
      </c>
      <c r="AK37" s="238" t="s">
        <v>38</v>
      </c>
      <c r="AL37" s="238" t="s">
        <v>0</v>
      </c>
      <c r="AM37" s="238" t="s">
        <v>38</v>
      </c>
      <c r="AN37" s="238" t="s">
        <v>38</v>
      </c>
      <c r="AO37" s="397" t="s">
        <v>52</v>
      </c>
      <c r="AP37" s="45">
        <v>0</v>
      </c>
      <c r="AQ37" s="46">
        <f t="shared" si="0"/>
        <v>0</v>
      </c>
      <c r="AR37" s="46">
        <v>0</v>
      </c>
      <c r="AS37" s="41">
        <f t="shared" si="14"/>
        <v>0</v>
      </c>
      <c r="AT37" s="329" t="s">
        <v>128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</row>
    <row r="38" spans="1:226" s="50" customFormat="1" ht="27.6" customHeight="1">
      <c r="A38" s="38">
        <f t="shared" si="1"/>
        <v>1</v>
      </c>
      <c r="B38" s="39">
        <f t="shared" si="2"/>
        <v>15</v>
      </c>
      <c r="C38" s="40">
        <f t="shared" si="3"/>
        <v>2</v>
      </c>
      <c r="D38" s="39">
        <f t="shared" si="4"/>
        <v>0</v>
      </c>
      <c r="E38" s="41">
        <f t="shared" si="5"/>
        <v>2</v>
      </c>
      <c r="F38" s="41">
        <f t="shared" si="6"/>
        <v>4</v>
      </c>
      <c r="G38" s="41">
        <f t="shared" si="7"/>
        <v>5</v>
      </c>
      <c r="H38" s="41">
        <f t="shared" si="8"/>
        <v>2</v>
      </c>
      <c r="I38" s="177">
        <f t="shared" si="9"/>
        <v>31</v>
      </c>
      <c r="J38" s="214" t="s">
        <v>25</v>
      </c>
      <c r="K38" s="245" t="s">
        <v>40</v>
      </c>
      <c r="L38" s="238" t="s">
        <v>38</v>
      </c>
      <c r="M38" s="238" t="s">
        <v>26</v>
      </c>
      <c r="N38" s="238" t="s">
        <v>38</v>
      </c>
      <c r="O38" s="238" t="s">
        <v>38</v>
      </c>
      <c r="P38" s="238" t="s">
        <v>52</v>
      </c>
      <c r="Q38" s="238" t="s">
        <v>0</v>
      </c>
      <c r="R38" s="238" t="s">
        <v>52</v>
      </c>
      <c r="S38" s="238" t="s">
        <v>36</v>
      </c>
      <c r="T38" s="238" t="s">
        <v>26</v>
      </c>
      <c r="U38" s="238" t="s">
        <v>38</v>
      </c>
      <c r="V38" s="238" t="s">
        <v>38</v>
      </c>
      <c r="W38" s="238" t="s">
        <v>38</v>
      </c>
      <c r="X38" s="238" t="s">
        <v>52</v>
      </c>
      <c r="Y38" s="238" t="s">
        <v>53</v>
      </c>
      <c r="Z38" s="238" t="s">
        <v>53</v>
      </c>
      <c r="AA38" s="238" t="s">
        <v>38</v>
      </c>
      <c r="AB38" s="238" t="s">
        <v>38</v>
      </c>
      <c r="AC38" s="238" t="s">
        <v>0</v>
      </c>
      <c r="AD38" s="234" t="s">
        <v>1</v>
      </c>
      <c r="AE38" s="238" t="s">
        <v>52</v>
      </c>
      <c r="AF38" s="238" t="s">
        <v>0</v>
      </c>
      <c r="AG38" s="238">
        <v>3</v>
      </c>
      <c r="AH38" s="238" t="s">
        <v>26</v>
      </c>
      <c r="AI38" s="238" t="s">
        <v>38</v>
      </c>
      <c r="AJ38" s="238" t="s">
        <v>38</v>
      </c>
      <c r="AK38" s="238" t="s">
        <v>38</v>
      </c>
      <c r="AL38" s="238" t="s">
        <v>52</v>
      </c>
      <c r="AM38" s="234" t="s">
        <v>1</v>
      </c>
      <c r="AN38" s="238" t="s">
        <v>0</v>
      </c>
      <c r="AO38" s="241" t="s">
        <v>38</v>
      </c>
      <c r="AP38" s="45">
        <v>0</v>
      </c>
      <c r="AQ38" s="46">
        <f t="shared" si="0"/>
        <v>0</v>
      </c>
      <c r="AR38" s="46">
        <v>0</v>
      </c>
      <c r="AS38" s="41">
        <f t="shared" si="14"/>
        <v>0</v>
      </c>
      <c r="AT38" s="329" t="s">
        <v>126</v>
      </c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</row>
    <row r="39" spans="1:226" s="50" customFormat="1" ht="24" customHeight="1">
      <c r="A39" s="38">
        <f t="shared" si="1"/>
        <v>5</v>
      </c>
      <c r="B39" s="39">
        <f t="shared" si="2"/>
        <v>2</v>
      </c>
      <c r="C39" s="40">
        <f t="shared" si="3"/>
        <v>9</v>
      </c>
      <c r="D39" s="39">
        <f t="shared" si="4"/>
        <v>2</v>
      </c>
      <c r="E39" s="41">
        <f t="shared" si="5"/>
        <v>2</v>
      </c>
      <c r="F39" s="41">
        <f t="shared" si="6"/>
        <v>4</v>
      </c>
      <c r="G39" s="41">
        <f t="shared" si="7"/>
        <v>5</v>
      </c>
      <c r="H39" s="41">
        <f t="shared" si="8"/>
        <v>2</v>
      </c>
      <c r="I39" s="177">
        <f t="shared" si="9"/>
        <v>31</v>
      </c>
      <c r="J39" s="463" t="s">
        <v>27</v>
      </c>
      <c r="K39" s="245" t="s">
        <v>52</v>
      </c>
      <c r="L39" s="238" t="s">
        <v>40</v>
      </c>
      <c r="M39" s="238" t="s">
        <v>40</v>
      </c>
      <c r="N39" s="238" t="s">
        <v>40</v>
      </c>
      <c r="O39" s="238" t="s">
        <v>40</v>
      </c>
      <c r="P39" s="238" t="s">
        <v>40</v>
      </c>
      <c r="Q39" s="238" t="s">
        <v>52</v>
      </c>
      <c r="R39" s="238" t="s">
        <v>36</v>
      </c>
      <c r="S39" s="238" t="s">
        <v>36</v>
      </c>
      <c r="T39" s="238" t="s">
        <v>36</v>
      </c>
      <c r="U39" s="238" t="s">
        <v>36</v>
      </c>
      <c r="V39" s="238" t="s">
        <v>0</v>
      </c>
      <c r="W39" s="242" t="s">
        <v>3</v>
      </c>
      <c r="X39" s="234" t="s">
        <v>52</v>
      </c>
      <c r="Y39" s="234" t="s">
        <v>1</v>
      </c>
      <c r="Z39" s="271" t="s">
        <v>1</v>
      </c>
      <c r="AA39" s="239" t="s">
        <v>53</v>
      </c>
      <c r="AB39" s="239" t="s">
        <v>53</v>
      </c>
      <c r="AC39" s="271" t="s">
        <v>156</v>
      </c>
      <c r="AD39" s="238" t="s">
        <v>0</v>
      </c>
      <c r="AE39" s="238" t="s">
        <v>52</v>
      </c>
      <c r="AF39" s="238" t="s">
        <v>40</v>
      </c>
      <c r="AG39" s="238" t="s">
        <v>40</v>
      </c>
      <c r="AH39" s="238" t="s">
        <v>40</v>
      </c>
      <c r="AI39" s="238" t="s">
        <v>40</v>
      </c>
      <c r="AJ39" s="238" t="s">
        <v>0</v>
      </c>
      <c r="AK39" s="242" t="s">
        <v>3</v>
      </c>
      <c r="AL39" s="238" t="s">
        <v>38</v>
      </c>
      <c r="AM39" s="238" t="s">
        <v>38</v>
      </c>
      <c r="AN39" s="238" t="s">
        <v>52</v>
      </c>
      <c r="AO39" s="241" t="s">
        <v>36</v>
      </c>
      <c r="AP39" s="45">
        <v>0</v>
      </c>
      <c r="AQ39" s="46">
        <f t="shared" si="0"/>
        <v>0</v>
      </c>
      <c r="AR39" s="46">
        <v>0</v>
      </c>
      <c r="AS39" s="41">
        <f t="shared" si="14"/>
        <v>0</v>
      </c>
      <c r="AT39" s="329" t="s">
        <v>128</v>
      </c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</row>
    <row r="40" spans="1:226" ht="25.5" customHeight="1" thickBot="1">
      <c r="A40" s="69">
        <f>COUNTIF(K40:AO40,1)+COUNTIF(K40:AO40,"早")+COUNTIF(K40:AO40,"M1")+COUNTIF(K40:AO40,"T早")+COUNTIF(K40:AO40,"日")</f>
        <v>2</v>
      </c>
      <c r="B40" s="70">
        <f>COUNTIF(K40:AO40,2)+COUNTIF(K40:AO40,"中")+COUNTIF(K40:AO40,"M2")+COUNTIF(K40:AO40,"T中")+COUNTIF(K40:AO40,"小夜")</f>
        <v>0</v>
      </c>
      <c r="C40" s="71">
        <f>COUNTIF(K40:AO40,3)+COUNTIF(K40:AO40,"晚")+COUNTIF(K40:AO40,"大夜")</f>
        <v>18</v>
      </c>
      <c r="D40" s="70">
        <f>COUNTIF(K40:AO40,"N")+COUNTIF(K40:AO40,"N8")</f>
        <v>0</v>
      </c>
      <c r="E40" s="63">
        <f>COUNTIF(K40:AO40,"S")</f>
        <v>0</v>
      </c>
      <c r="F40" s="63">
        <f>COUNTIF(K40:AO40,"X")</f>
        <v>4</v>
      </c>
      <c r="G40" s="63">
        <f>COUNTIF(K40:AO40,"Y")</f>
        <v>5</v>
      </c>
      <c r="H40" s="63">
        <f>COUNTIF(K40:AO40,"Z")</f>
        <v>2</v>
      </c>
      <c r="I40" s="178">
        <f t="shared" si="9"/>
        <v>31</v>
      </c>
      <c r="J40" s="463" t="s">
        <v>57</v>
      </c>
      <c r="K40" s="247" t="s">
        <v>40</v>
      </c>
      <c r="L40" s="248" t="s">
        <v>40</v>
      </c>
      <c r="M40" s="249" t="s">
        <v>52</v>
      </c>
      <c r="N40" s="249" t="s">
        <v>53</v>
      </c>
      <c r="O40" s="421" t="s">
        <v>53</v>
      </c>
      <c r="P40" s="248" t="s">
        <v>0</v>
      </c>
      <c r="Q40" s="248" t="s">
        <v>40</v>
      </c>
      <c r="R40" s="248" t="s">
        <v>40</v>
      </c>
      <c r="S40" s="248" t="s">
        <v>52</v>
      </c>
      <c r="T40" s="248" t="s">
        <v>40</v>
      </c>
      <c r="U40" s="248" t="s">
        <v>40</v>
      </c>
      <c r="V40" s="421" t="s">
        <v>156</v>
      </c>
      <c r="W40" s="248" t="s">
        <v>40</v>
      </c>
      <c r="X40" s="248" t="s">
        <v>40</v>
      </c>
      <c r="Y40" s="248" t="s">
        <v>40</v>
      </c>
      <c r="Z40" s="248" t="s">
        <v>40</v>
      </c>
      <c r="AA40" s="249" t="s">
        <v>52</v>
      </c>
      <c r="AB40" s="249" t="s">
        <v>0</v>
      </c>
      <c r="AC40" s="248" t="s">
        <v>40</v>
      </c>
      <c r="AD40" s="248" t="s">
        <v>40</v>
      </c>
      <c r="AE40" s="248" t="s">
        <v>40</v>
      </c>
      <c r="AF40" s="248" t="s">
        <v>0</v>
      </c>
      <c r="AG40" s="421" t="s">
        <v>52</v>
      </c>
      <c r="AH40" s="248" t="s">
        <v>36</v>
      </c>
      <c r="AI40" s="248" t="s">
        <v>36</v>
      </c>
      <c r="AJ40" s="421" t="s">
        <v>52</v>
      </c>
      <c r="AK40" s="248" t="s">
        <v>40</v>
      </c>
      <c r="AL40" s="248" t="s">
        <v>40</v>
      </c>
      <c r="AM40" s="248" t="s">
        <v>40</v>
      </c>
      <c r="AN40" s="248" t="s">
        <v>40</v>
      </c>
      <c r="AO40" s="252" t="s">
        <v>40</v>
      </c>
      <c r="AP40" s="73">
        <v>0</v>
      </c>
      <c r="AQ40" s="74">
        <f t="shared" si="0"/>
        <v>0</v>
      </c>
      <c r="AR40" s="74">
        <v>0</v>
      </c>
      <c r="AS40" s="63">
        <f t="shared" si="14"/>
        <v>0</v>
      </c>
      <c r="AT40" s="330" t="s">
        <v>128</v>
      </c>
    </row>
    <row r="41" spans="1:226" s="50" customFormat="1" ht="24.75" customHeight="1">
      <c r="A41" s="381">
        <f t="shared" si="1"/>
        <v>5</v>
      </c>
      <c r="B41" s="382">
        <f t="shared" si="2"/>
        <v>2</v>
      </c>
      <c r="C41" s="383">
        <f t="shared" si="3"/>
        <v>10</v>
      </c>
      <c r="D41" s="382">
        <f t="shared" si="4"/>
        <v>0</v>
      </c>
      <c r="E41" s="331">
        <f t="shared" si="5"/>
        <v>3</v>
      </c>
      <c r="F41" s="331">
        <f t="shared" si="6"/>
        <v>4</v>
      </c>
      <c r="G41" s="331">
        <f t="shared" si="7"/>
        <v>5</v>
      </c>
      <c r="H41" s="331">
        <f t="shared" si="8"/>
        <v>2</v>
      </c>
      <c r="I41" s="384">
        <f t="shared" si="9"/>
        <v>31</v>
      </c>
      <c r="J41" s="66" t="s">
        <v>142</v>
      </c>
      <c r="K41" s="458" t="s">
        <v>1</v>
      </c>
      <c r="L41" s="254" t="s">
        <v>0</v>
      </c>
      <c r="M41" s="235" t="s">
        <v>55</v>
      </c>
      <c r="N41" s="235" t="s">
        <v>55</v>
      </c>
      <c r="O41" s="235" t="s">
        <v>52</v>
      </c>
      <c r="P41" s="235" t="s">
        <v>0</v>
      </c>
      <c r="Q41" s="29" t="s">
        <v>55</v>
      </c>
      <c r="R41" s="235" t="s">
        <v>55</v>
      </c>
      <c r="S41" s="235" t="s">
        <v>55</v>
      </c>
      <c r="T41" s="233" t="s">
        <v>52</v>
      </c>
      <c r="U41" s="254" t="s">
        <v>1</v>
      </c>
      <c r="V41" s="235" t="s">
        <v>56</v>
      </c>
      <c r="W41" s="235" t="s">
        <v>56</v>
      </c>
      <c r="X41" s="233" t="s">
        <v>0</v>
      </c>
      <c r="Y41" s="235" t="s">
        <v>52</v>
      </c>
      <c r="Z41" s="29" t="s">
        <v>55</v>
      </c>
      <c r="AA41" s="235" t="s">
        <v>55</v>
      </c>
      <c r="AB41" s="235" t="s">
        <v>55</v>
      </c>
      <c r="AC41" s="235" t="s">
        <v>52</v>
      </c>
      <c r="AD41" s="235" t="s">
        <v>53</v>
      </c>
      <c r="AE41" s="235" t="s">
        <v>54</v>
      </c>
      <c r="AF41" s="235" t="s">
        <v>54</v>
      </c>
      <c r="AG41" s="235" t="s">
        <v>54</v>
      </c>
      <c r="AH41" s="233" t="s">
        <v>53</v>
      </c>
      <c r="AI41" s="233" t="s">
        <v>0</v>
      </c>
      <c r="AJ41" s="254" t="s">
        <v>1</v>
      </c>
      <c r="AK41" s="235" t="s">
        <v>54</v>
      </c>
      <c r="AL41" s="235" t="s">
        <v>54</v>
      </c>
      <c r="AM41" s="235" t="s">
        <v>52</v>
      </c>
      <c r="AN41" s="29" t="s">
        <v>55</v>
      </c>
      <c r="AO41" s="236" t="s">
        <v>55</v>
      </c>
      <c r="AP41" s="45">
        <v>0</v>
      </c>
      <c r="AQ41" s="46">
        <f t="shared" si="0"/>
        <v>0</v>
      </c>
      <c r="AR41" s="46">
        <v>0</v>
      </c>
      <c r="AS41" s="41">
        <f t="shared" si="14"/>
        <v>0</v>
      </c>
      <c r="AT41" s="329" t="s">
        <v>126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</row>
    <row r="42" spans="1:226" s="50" customFormat="1" ht="24.75" customHeight="1">
      <c r="A42" s="38">
        <f t="shared" si="1"/>
        <v>2</v>
      </c>
      <c r="B42" s="39">
        <f t="shared" si="2"/>
        <v>13</v>
      </c>
      <c r="C42" s="40">
        <f t="shared" si="3"/>
        <v>0</v>
      </c>
      <c r="D42" s="39">
        <f t="shared" si="4"/>
        <v>4</v>
      </c>
      <c r="E42" s="41">
        <f t="shared" si="5"/>
        <v>1</v>
      </c>
      <c r="F42" s="41">
        <f t="shared" si="6"/>
        <v>4</v>
      </c>
      <c r="G42" s="41">
        <f t="shared" si="7"/>
        <v>5</v>
      </c>
      <c r="H42" s="41">
        <f t="shared" si="8"/>
        <v>2</v>
      </c>
      <c r="I42" s="177">
        <f t="shared" si="9"/>
        <v>31</v>
      </c>
      <c r="J42" s="378" t="s">
        <v>29</v>
      </c>
      <c r="K42" s="245" t="s">
        <v>56</v>
      </c>
      <c r="L42" s="238" t="s">
        <v>52</v>
      </c>
      <c r="M42" s="238" t="s">
        <v>56</v>
      </c>
      <c r="N42" s="238" t="s">
        <v>56</v>
      </c>
      <c r="O42" s="238" t="s">
        <v>0</v>
      </c>
      <c r="P42" s="238" t="s">
        <v>56</v>
      </c>
      <c r="Q42" s="238" t="s">
        <v>56</v>
      </c>
      <c r="R42" s="238" t="s">
        <v>56</v>
      </c>
      <c r="S42" s="238" t="s">
        <v>56</v>
      </c>
      <c r="T42" s="239" t="s">
        <v>52</v>
      </c>
      <c r="U42" s="239" t="s">
        <v>53</v>
      </c>
      <c r="V42" s="238" t="s">
        <v>3</v>
      </c>
      <c r="W42" s="238" t="s">
        <v>54</v>
      </c>
      <c r="X42" s="238" t="s">
        <v>56</v>
      </c>
      <c r="Y42" s="238" t="s">
        <v>52</v>
      </c>
      <c r="Z42" s="238" t="s">
        <v>0</v>
      </c>
      <c r="AA42" s="238" t="s">
        <v>56</v>
      </c>
      <c r="AB42" s="238" t="s">
        <v>56</v>
      </c>
      <c r="AC42" s="238" t="s">
        <v>56</v>
      </c>
      <c r="AD42" s="238" t="s">
        <v>52</v>
      </c>
      <c r="AE42" s="238" t="s">
        <v>3</v>
      </c>
      <c r="AF42" s="238" t="s">
        <v>3</v>
      </c>
      <c r="AG42" s="238" t="s">
        <v>3</v>
      </c>
      <c r="AH42" s="239" t="s">
        <v>53</v>
      </c>
      <c r="AI42" s="239" t="s">
        <v>0</v>
      </c>
      <c r="AJ42" s="238" t="s">
        <v>56</v>
      </c>
      <c r="AK42" s="238" t="s">
        <v>56</v>
      </c>
      <c r="AL42" s="238" t="s">
        <v>52</v>
      </c>
      <c r="AM42" s="238" t="s">
        <v>54</v>
      </c>
      <c r="AN42" s="234" t="s">
        <v>1</v>
      </c>
      <c r="AO42" s="238" t="s">
        <v>0</v>
      </c>
      <c r="AP42" s="45">
        <v>0</v>
      </c>
      <c r="AQ42" s="46">
        <f t="shared" si="0"/>
        <v>0</v>
      </c>
      <c r="AR42" s="46">
        <v>0</v>
      </c>
      <c r="AS42" s="41">
        <f t="shared" si="14"/>
        <v>0</v>
      </c>
      <c r="AT42" s="329" t="s">
        <v>126</v>
      </c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</row>
    <row r="43" spans="1:226" ht="25.5" customHeight="1">
      <c r="A43" s="38">
        <f t="shared" si="1"/>
        <v>7</v>
      </c>
      <c r="B43" s="39">
        <f t="shared" si="2"/>
        <v>1</v>
      </c>
      <c r="C43" s="40">
        <f t="shared" si="3"/>
        <v>6</v>
      </c>
      <c r="D43" s="39">
        <f t="shared" si="4"/>
        <v>3</v>
      </c>
      <c r="E43" s="41">
        <f t="shared" si="5"/>
        <v>3</v>
      </c>
      <c r="F43" s="41">
        <f t="shared" si="6"/>
        <v>4</v>
      </c>
      <c r="G43" s="41">
        <f t="shared" si="7"/>
        <v>5</v>
      </c>
      <c r="H43" s="41">
        <f t="shared" si="8"/>
        <v>2</v>
      </c>
      <c r="I43" s="177">
        <f t="shared" si="9"/>
        <v>31</v>
      </c>
      <c r="J43" s="379" t="s">
        <v>30</v>
      </c>
      <c r="K43" s="245" t="s">
        <v>54</v>
      </c>
      <c r="L43" s="238" t="s">
        <v>54</v>
      </c>
      <c r="M43" s="238" t="s">
        <v>54</v>
      </c>
      <c r="N43" s="238" t="s">
        <v>54</v>
      </c>
      <c r="O43" s="30" t="s">
        <v>56</v>
      </c>
      <c r="P43" s="238" t="s">
        <v>52</v>
      </c>
      <c r="Q43" s="238" t="s">
        <v>3</v>
      </c>
      <c r="R43" s="238" t="s">
        <v>3</v>
      </c>
      <c r="S43" s="238" t="s">
        <v>0</v>
      </c>
      <c r="T43" s="239" t="s">
        <v>52</v>
      </c>
      <c r="U43" s="32" t="s">
        <v>1</v>
      </c>
      <c r="V43" s="32" t="s">
        <v>1</v>
      </c>
      <c r="W43" s="239" t="s">
        <v>52</v>
      </c>
      <c r="X43" s="30" t="s">
        <v>55</v>
      </c>
      <c r="Y43" s="30" t="s">
        <v>55</v>
      </c>
      <c r="Z43" s="238" t="s">
        <v>52</v>
      </c>
      <c r="AA43" s="238" t="s">
        <v>54</v>
      </c>
      <c r="AB43" s="238" t="s">
        <v>54</v>
      </c>
      <c r="AC43" s="238" t="s">
        <v>3</v>
      </c>
      <c r="AD43" s="238" t="s">
        <v>0</v>
      </c>
      <c r="AE43" s="238" t="s">
        <v>52</v>
      </c>
      <c r="AF43" s="238" t="s">
        <v>53</v>
      </c>
      <c r="AG43" s="32" t="s">
        <v>1</v>
      </c>
      <c r="AH43" s="239" t="s">
        <v>53</v>
      </c>
      <c r="AI43" s="239" t="s">
        <v>0</v>
      </c>
      <c r="AJ43" s="30" t="s">
        <v>55</v>
      </c>
      <c r="AK43" s="30" t="s">
        <v>55</v>
      </c>
      <c r="AL43" s="30" t="s">
        <v>55</v>
      </c>
      <c r="AM43" s="30" t="s">
        <v>55</v>
      </c>
      <c r="AN43" s="238" t="s">
        <v>0</v>
      </c>
      <c r="AO43" s="241" t="s">
        <v>54</v>
      </c>
      <c r="AP43" s="45">
        <v>0</v>
      </c>
      <c r="AQ43" s="46">
        <f t="shared" si="0"/>
        <v>0</v>
      </c>
      <c r="AR43" s="46">
        <v>0</v>
      </c>
      <c r="AS43" s="41">
        <f t="shared" si="14"/>
        <v>0</v>
      </c>
      <c r="AT43" s="329" t="s">
        <v>126</v>
      </c>
    </row>
    <row r="44" spans="1:226" s="50" customFormat="1" ht="25.5" customHeight="1">
      <c r="A44" s="38">
        <f t="shared" si="1"/>
        <v>7</v>
      </c>
      <c r="B44" s="39">
        <f t="shared" si="2"/>
        <v>3</v>
      </c>
      <c r="C44" s="40">
        <f t="shared" si="3"/>
        <v>7</v>
      </c>
      <c r="D44" s="39">
        <f t="shared" si="4"/>
        <v>3</v>
      </c>
      <c r="E44" s="41">
        <f t="shared" si="5"/>
        <v>0</v>
      </c>
      <c r="F44" s="41">
        <f t="shared" si="6"/>
        <v>4</v>
      </c>
      <c r="G44" s="41">
        <f t="shared" si="7"/>
        <v>5</v>
      </c>
      <c r="H44" s="41">
        <f t="shared" si="8"/>
        <v>2</v>
      </c>
      <c r="I44" s="177">
        <f t="shared" si="9"/>
        <v>31</v>
      </c>
      <c r="J44" s="379" t="s">
        <v>31</v>
      </c>
      <c r="K44" s="49" t="s">
        <v>55</v>
      </c>
      <c r="L44" s="30" t="s">
        <v>55</v>
      </c>
      <c r="M44" s="239" t="s">
        <v>52</v>
      </c>
      <c r="N44" s="239" t="s">
        <v>0</v>
      </c>
      <c r="O44" s="30" t="s">
        <v>55</v>
      </c>
      <c r="P44" s="30" t="s">
        <v>55</v>
      </c>
      <c r="Q44" s="238" t="s">
        <v>0</v>
      </c>
      <c r="R44" s="238" t="s">
        <v>52</v>
      </c>
      <c r="S44" s="238" t="s">
        <v>54</v>
      </c>
      <c r="T44" s="238" t="s">
        <v>54</v>
      </c>
      <c r="U44" s="238" t="s">
        <v>54</v>
      </c>
      <c r="V44" s="238" t="s">
        <v>54</v>
      </c>
      <c r="W44" s="238" t="s">
        <v>52</v>
      </c>
      <c r="X44" s="238" t="s">
        <v>54</v>
      </c>
      <c r="Y44" s="238" t="s">
        <v>54</v>
      </c>
      <c r="Z44" s="238" t="s">
        <v>53</v>
      </c>
      <c r="AA44" s="239" t="s">
        <v>53</v>
      </c>
      <c r="AB44" s="239" t="s">
        <v>0</v>
      </c>
      <c r="AC44" s="30" t="s">
        <v>55</v>
      </c>
      <c r="AD44" s="30" t="s">
        <v>55</v>
      </c>
      <c r="AE44" s="30" t="s">
        <v>55</v>
      </c>
      <c r="AF44" s="238" t="s">
        <v>52</v>
      </c>
      <c r="AG44" s="238" t="s">
        <v>56</v>
      </c>
      <c r="AH44" s="238" t="s">
        <v>56</v>
      </c>
      <c r="AI44" s="238" t="s">
        <v>56</v>
      </c>
      <c r="AJ44" s="238" t="s">
        <v>0</v>
      </c>
      <c r="AK44" s="238" t="s">
        <v>3</v>
      </c>
      <c r="AL44" s="238" t="s">
        <v>3</v>
      </c>
      <c r="AM44" s="238" t="s">
        <v>3</v>
      </c>
      <c r="AN44" s="238" t="s">
        <v>54</v>
      </c>
      <c r="AO44" s="397" t="s">
        <v>52</v>
      </c>
      <c r="AP44" s="45">
        <v>0</v>
      </c>
      <c r="AQ44" s="46">
        <f t="shared" si="0"/>
        <v>0</v>
      </c>
      <c r="AR44" s="46">
        <v>0</v>
      </c>
      <c r="AS44" s="41">
        <f t="shared" si="14"/>
        <v>0</v>
      </c>
      <c r="AT44" s="329" t="s">
        <v>128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</row>
    <row r="45" spans="1:226" s="50" customFormat="1" ht="25.5" customHeight="1">
      <c r="A45" s="38">
        <f t="shared" si="1"/>
        <v>5</v>
      </c>
      <c r="B45" s="39">
        <f t="shared" si="2"/>
        <v>5</v>
      </c>
      <c r="C45" s="40">
        <f t="shared" si="3"/>
        <v>4</v>
      </c>
      <c r="D45" s="39">
        <f t="shared" si="4"/>
        <v>6</v>
      </c>
      <c r="E45" s="41">
        <f t="shared" si="5"/>
        <v>0</v>
      </c>
      <c r="F45" s="41">
        <f t="shared" si="6"/>
        <v>4</v>
      </c>
      <c r="G45" s="41">
        <f t="shared" si="7"/>
        <v>5</v>
      </c>
      <c r="H45" s="41">
        <f t="shared" si="8"/>
        <v>2</v>
      </c>
      <c r="I45" s="177">
        <f t="shared" si="9"/>
        <v>31</v>
      </c>
      <c r="J45" s="379" t="s">
        <v>32</v>
      </c>
      <c r="K45" s="245" t="s">
        <v>0</v>
      </c>
      <c r="L45" s="238" t="s">
        <v>3</v>
      </c>
      <c r="M45" s="239" t="s">
        <v>52</v>
      </c>
      <c r="N45" s="239" t="s">
        <v>53</v>
      </c>
      <c r="O45" s="238" t="s">
        <v>54</v>
      </c>
      <c r="P45" s="242" t="s">
        <v>3</v>
      </c>
      <c r="Q45" s="242" t="s">
        <v>3</v>
      </c>
      <c r="R45" s="238" t="s">
        <v>54</v>
      </c>
      <c r="S45" s="238" t="s">
        <v>0</v>
      </c>
      <c r="T45" s="238" t="s">
        <v>56</v>
      </c>
      <c r="U45" s="238" t="s">
        <v>56</v>
      </c>
      <c r="V45" s="238" t="s">
        <v>0</v>
      </c>
      <c r="W45" s="242" t="s">
        <v>3</v>
      </c>
      <c r="X45" s="238" t="s">
        <v>3</v>
      </c>
      <c r="Y45" s="242" t="s">
        <v>3</v>
      </c>
      <c r="Z45" s="238" t="s">
        <v>54</v>
      </c>
      <c r="AA45" s="239" t="s">
        <v>52</v>
      </c>
      <c r="AB45" s="239" t="s">
        <v>53</v>
      </c>
      <c r="AC45" s="238" t="s">
        <v>54</v>
      </c>
      <c r="AD45" s="238" t="s">
        <v>54</v>
      </c>
      <c r="AE45" s="238" t="s">
        <v>52</v>
      </c>
      <c r="AF45" s="238" t="s">
        <v>55</v>
      </c>
      <c r="AG45" s="238" t="s">
        <v>55</v>
      </c>
      <c r="AH45" s="238" t="s">
        <v>55</v>
      </c>
      <c r="AI45" s="238" t="s">
        <v>55</v>
      </c>
      <c r="AJ45" s="234" t="s">
        <v>52</v>
      </c>
      <c r="AK45" s="234" t="s">
        <v>156</v>
      </c>
      <c r="AL45" s="238" t="s">
        <v>56</v>
      </c>
      <c r="AM45" s="238" t="s">
        <v>56</v>
      </c>
      <c r="AN45" s="238" t="s">
        <v>56</v>
      </c>
      <c r="AO45" s="397" t="s">
        <v>52</v>
      </c>
      <c r="AP45" s="45">
        <v>0</v>
      </c>
      <c r="AQ45" s="46">
        <f t="shared" si="0"/>
        <v>0</v>
      </c>
      <c r="AR45" s="46">
        <v>0</v>
      </c>
      <c r="AS45" s="41">
        <f t="shared" si="14"/>
        <v>0</v>
      </c>
      <c r="AT45" s="329" t="s">
        <v>128</v>
      </c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</row>
    <row r="46" spans="1:226" s="50" customFormat="1" ht="25.5" customHeight="1" thickBot="1">
      <c r="A46" s="69">
        <f t="shared" si="1"/>
        <v>5</v>
      </c>
      <c r="B46" s="70">
        <f t="shared" si="2"/>
        <v>7</v>
      </c>
      <c r="C46" s="71">
        <f t="shared" si="3"/>
        <v>4</v>
      </c>
      <c r="D46" s="70">
        <f t="shared" si="4"/>
        <v>2</v>
      </c>
      <c r="E46" s="63">
        <f t="shared" si="5"/>
        <v>2</v>
      </c>
      <c r="F46" s="63">
        <f t="shared" si="6"/>
        <v>4</v>
      </c>
      <c r="G46" s="63">
        <f t="shared" si="7"/>
        <v>5</v>
      </c>
      <c r="H46" s="63">
        <f t="shared" si="8"/>
        <v>2</v>
      </c>
      <c r="I46" s="178">
        <f t="shared" si="9"/>
        <v>31</v>
      </c>
      <c r="J46" s="380" t="s">
        <v>33</v>
      </c>
      <c r="K46" s="247" t="s">
        <v>0</v>
      </c>
      <c r="L46" s="238" t="s">
        <v>56</v>
      </c>
      <c r="M46" s="249" t="s">
        <v>52</v>
      </c>
      <c r="N46" s="249" t="s">
        <v>53</v>
      </c>
      <c r="O46" s="248" t="s">
        <v>0</v>
      </c>
      <c r="P46" s="248" t="s">
        <v>54</v>
      </c>
      <c r="Q46" s="248" t="s">
        <v>54</v>
      </c>
      <c r="R46" s="248" t="s">
        <v>3</v>
      </c>
      <c r="S46" s="60" t="s">
        <v>52</v>
      </c>
      <c r="T46" s="60" t="s">
        <v>55</v>
      </c>
      <c r="U46" s="60" t="s">
        <v>55</v>
      </c>
      <c r="V46" s="60" t="s">
        <v>55</v>
      </c>
      <c r="W46" s="60" t="s">
        <v>55</v>
      </c>
      <c r="X46" s="248" t="s">
        <v>0</v>
      </c>
      <c r="Y46" s="248" t="s">
        <v>56</v>
      </c>
      <c r="Z46" s="248" t="s">
        <v>56</v>
      </c>
      <c r="AA46" s="249" t="s">
        <v>52</v>
      </c>
      <c r="AB46" s="249" t="s">
        <v>53</v>
      </c>
      <c r="AC46" s="248" t="s">
        <v>52</v>
      </c>
      <c r="AD46" s="248" t="s">
        <v>56</v>
      </c>
      <c r="AE46" s="248" t="s">
        <v>56</v>
      </c>
      <c r="AF46" s="248" t="s">
        <v>56</v>
      </c>
      <c r="AG46" s="248" t="s">
        <v>52</v>
      </c>
      <c r="AH46" s="248" t="s">
        <v>54</v>
      </c>
      <c r="AI46" s="248" t="s">
        <v>54</v>
      </c>
      <c r="AJ46" s="248" t="s">
        <v>54</v>
      </c>
      <c r="AK46" s="248" t="s">
        <v>3</v>
      </c>
      <c r="AL46" s="251" t="s">
        <v>1</v>
      </c>
      <c r="AM46" s="251" t="s">
        <v>1</v>
      </c>
      <c r="AN46" s="248" t="s">
        <v>0</v>
      </c>
      <c r="AO46" s="248" t="s">
        <v>56</v>
      </c>
      <c r="AP46" s="73">
        <v>0</v>
      </c>
      <c r="AQ46" s="74">
        <f t="shared" si="0"/>
        <v>0</v>
      </c>
      <c r="AR46" s="74">
        <v>0</v>
      </c>
      <c r="AS46" s="63">
        <f t="shared" si="14"/>
        <v>0</v>
      </c>
      <c r="AT46" s="330" t="s">
        <v>128</v>
      </c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</row>
    <row r="47" spans="1:226" s="77" customFormat="1" ht="18" customHeight="1" thickBot="1">
      <c r="A47" s="75"/>
      <c r="B47" s="75"/>
      <c r="C47" s="75"/>
      <c r="D47" s="75"/>
      <c r="E47" s="76"/>
      <c r="I47" s="75"/>
      <c r="J47" s="434">
        <v>1</v>
      </c>
      <c r="K47" s="465" cm="2">
        <f t="array" ref="K47">SUMPRODUCT(COUNTIF(K4:K46,{"1";"M1"}))</f>
        <v>5</v>
      </c>
      <c r="L47" s="465" cm="2">
        <f t="array" ref="L47">SUMPRODUCT(COUNTIF(L4:L46,{"1";"M1"}))</f>
        <v>5</v>
      </c>
      <c r="M47" s="465" cm="2">
        <f t="array" ref="M47">SUMPRODUCT(COUNTIF(M4:M46,{"1";"M1"}))</f>
        <v>3</v>
      </c>
      <c r="N47" s="465" cm="2">
        <f t="array" ref="N47">SUMPRODUCT(COUNTIF(N4:N46,{"1";"M1"}))</f>
        <v>3</v>
      </c>
      <c r="O47" s="465" cm="2">
        <f t="array" ref="O47">SUMPRODUCT(COUNTIF(O4:O46,{"1";"M1"}))</f>
        <v>6</v>
      </c>
      <c r="P47" s="465" cm="2">
        <f t="array" ref="P47">SUMPRODUCT(COUNTIF(P4:P46,{"1";"M1"}))</f>
        <v>5</v>
      </c>
      <c r="Q47" s="465" cm="2">
        <f t="array" ref="Q47">SUMPRODUCT(COUNTIF(Q4:Q46,{"1";"M1"}))</f>
        <v>5</v>
      </c>
      <c r="R47" s="465" cm="2">
        <f t="array" ref="R47">SUMPRODUCT(COUNTIF(R4:R46,{"1";"M1"}))</f>
        <v>5</v>
      </c>
      <c r="S47" s="465" cm="2">
        <f t="array" ref="S47">SUMPRODUCT(COUNTIF(S4:S46,{"1";"M1"}))</f>
        <v>3</v>
      </c>
      <c r="T47" s="465" cm="2">
        <f t="array" ref="T47">SUMPRODUCT(COUNTIF(T4:T46,{"1";"M1"}))</f>
        <v>3</v>
      </c>
      <c r="U47" s="465" cm="2">
        <f t="array" ref="U47">SUMPRODUCT(COUNTIF(U4:U46,{"1";"M1"}))</f>
        <v>3</v>
      </c>
      <c r="V47" s="465" cm="2">
        <f t="array" ref="V47">SUMPRODUCT(COUNTIF(V4:V46,{"1";"M1"}))</f>
        <v>5</v>
      </c>
      <c r="W47" s="465" cm="2">
        <f t="array" ref="W47">SUMPRODUCT(COUNTIF(W4:W46,{"1";"M1"}))</f>
        <v>5</v>
      </c>
      <c r="X47" s="465" cm="2">
        <f t="array" ref="X47">SUMPRODUCT(COUNTIF(X4:X46,{"1";"M1"}))</f>
        <v>5</v>
      </c>
      <c r="Y47" s="465" cm="2">
        <f t="array" ref="Y47">SUMPRODUCT(COUNTIF(Y4:Y46,{"1";"M1"}))</f>
        <v>5</v>
      </c>
      <c r="Z47" s="465" cm="2">
        <f t="array" ref="Z47">SUMPRODUCT(COUNTIF(Z4:Z46,{"1";"M1"}))</f>
        <v>5</v>
      </c>
      <c r="AA47" s="465" cm="2">
        <f t="array" ref="AA47">SUMPRODUCT(COUNTIF(AA4:AA46,{"1";"M1"}))</f>
        <v>3</v>
      </c>
      <c r="AB47" s="465" cm="2">
        <f t="array" ref="AB47">SUMPRODUCT(COUNTIF(AB4:AB46,{"1";"M1"}))</f>
        <v>3</v>
      </c>
      <c r="AC47" s="465" cm="2">
        <f t="array" ref="AC47">SUMPRODUCT(COUNTIF(AC4:AC46,{"1";"M1"}))</f>
        <v>5</v>
      </c>
      <c r="AD47" s="465" cm="2">
        <f t="array" ref="AD47">SUMPRODUCT(COUNTIF(AD4:AD46,{"1";"M1"}))</f>
        <v>5</v>
      </c>
      <c r="AE47" s="465" cm="2">
        <f t="array" ref="AE47">SUMPRODUCT(COUNTIF(AE4:AE46,{"1";"M1"}))</f>
        <v>5</v>
      </c>
      <c r="AF47" s="465" cm="2">
        <f t="array" ref="AF47">SUMPRODUCT(COUNTIF(AF4:AF46,{"1";"M1"}))</f>
        <v>5</v>
      </c>
      <c r="AG47" s="465" cm="2">
        <f t="array" ref="AG47">SUMPRODUCT(COUNTIF(AG4:AG46,{"1";"M1"}))</f>
        <v>5</v>
      </c>
      <c r="AH47" s="465" cm="2">
        <f t="array" ref="AH47">SUMPRODUCT(COUNTIF(AH4:AH46,{"1";"M1"}))</f>
        <v>3</v>
      </c>
      <c r="AI47" s="465" cm="2">
        <f t="array" ref="AI47">SUMPRODUCT(COUNTIF(AI4:AI46,{"1";"M1"}))</f>
        <v>3</v>
      </c>
      <c r="AJ47" s="465" cm="2">
        <f t="array" ref="AJ47">SUMPRODUCT(COUNTIF(AJ4:AJ46,{"1";"M1"}))</f>
        <v>3</v>
      </c>
      <c r="AK47" s="465" cm="2">
        <f t="array" ref="AK47">SUMPRODUCT(COUNTIF(AK4:AK46,{"1";"M1"}))</f>
        <v>5</v>
      </c>
      <c r="AL47" s="465" cm="2">
        <f t="array" ref="AL47">SUMPRODUCT(COUNTIF(AL4:AL46,{"1";"M1"}))</f>
        <v>5</v>
      </c>
      <c r="AM47" s="465" cm="2">
        <f t="array" ref="AM47">SUMPRODUCT(COUNTIF(AM4:AM46,{"1";"M1"}))</f>
        <v>5</v>
      </c>
      <c r="AN47" s="465" cm="2">
        <f t="array" ref="AN47">SUMPRODUCT(COUNTIF(AN4:AN46,{"1";"M1"}))</f>
        <v>5</v>
      </c>
      <c r="AO47" s="465" cm="2">
        <f t="array" ref="AO47">SUMPRODUCT(COUNTIF(AO4:AO46,{"1";"M1"}))</f>
        <v>3</v>
      </c>
      <c r="AQ47" s="50"/>
      <c r="AR47" s="6"/>
      <c r="AS47" s="75"/>
      <c r="AT47" s="79"/>
      <c r="AU47" s="79"/>
      <c r="AX47" s="6"/>
      <c r="AY47" s="6"/>
      <c r="AZ47" s="6"/>
    </row>
    <row r="48" spans="1:226" s="77" customFormat="1" ht="18" customHeight="1">
      <c r="A48" s="80"/>
      <c r="B48" s="80"/>
      <c r="C48" s="81"/>
      <c r="D48" s="81"/>
      <c r="E48" s="75"/>
      <c r="I48" s="81"/>
      <c r="J48" s="82">
        <v>2</v>
      </c>
      <c r="K48" s="405" cm="2">
        <f t="array" ref="K48">SUMPRODUCT(COUNTIF(K4:K46,{"2";"M2"}))</f>
        <v>4</v>
      </c>
      <c r="L48" s="405" cm="2">
        <f t="array" ref="L48">SUMPRODUCT(COUNTIF(L4:L46,{"2";"M2"}))</f>
        <v>4</v>
      </c>
      <c r="M48" s="405" cm="2">
        <f t="array" ref="M48">SUMPRODUCT(COUNTIF(M4:M46,{"2";"M2"}))</f>
        <v>3</v>
      </c>
      <c r="N48" s="405" cm="2">
        <f t="array" ref="N48">SUMPRODUCT(COUNTIF(N4:N46,{"2";"M2"}))</f>
        <v>3</v>
      </c>
      <c r="O48" s="405" cm="2">
        <f t="array" ref="O48">SUMPRODUCT(COUNTIF(O4:O46,{"2";"M2"}))</f>
        <v>3</v>
      </c>
      <c r="P48" s="405" cm="2">
        <f t="array" ref="P48">SUMPRODUCT(COUNTIF(P4:P46,{"2";"M2"}))</f>
        <v>3</v>
      </c>
      <c r="Q48" s="405" cm="2">
        <f t="array" ref="Q48">SUMPRODUCT(COUNTIF(Q4:Q46,{"2";"M2"}))</f>
        <v>3</v>
      </c>
      <c r="R48" s="405" cm="2">
        <f t="array" ref="R48">SUMPRODUCT(COUNTIF(R4:R46,{"2";"M2"}))</f>
        <v>3</v>
      </c>
      <c r="S48" s="405" cm="2">
        <f t="array" ref="S48">SUMPRODUCT(COUNTIF(S4:S46,{"2";"M2"}))</f>
        <v>3</v>
      </c>
      <c r="T48" s="405" cm="2">
        <f t="array" ref="T48">SUMPRODUCT(COUNTIF(T4:T46,{"2";"M2"}))</f>
        <v>3</v>
      </c>
      <c r="U48" s="405" cm="2">
        <f t="array" ref="U48">SUMPRODUCT(COUNTIF(U4:U46,{"2";"M2"}))</f>
        <v>3</v>
      </c>
      <c r="V48" s="405" cm="2">
        <f t="array" ref="V48">SUMPRODUCT(COUNTIF(V4:V46,{"2";"M2"}))</f>
        <v>3</v>
      </c>
      <c r="W48" s="405" cm="2">
        <f t="array" ref="W48">SUMPRODUCT(COUNTIF(W4:W46,{"2";"M2"}))</f>
        <v>3</v>
      </c>
      <c r="X48" s="405" cm="2">
        <f t="array" ref="X48">SUMPRODUCT(COUNTIF(X4:X46,{"2";"M2"}))</f>
        <v>3</v>
      </c>
      <c r="Y48" s="405" cm="2">
        <f t="array" ref="Y48">SUMPRODUCT(COUNTIF(Y4:Y46,{"2";"M2"}))</f>
        <v>3</v>
      </c>
      <c r="Z48" s="405" cm="2">
        <f t="array" ref="Z48">SUMPRODUCT(COUNTIF(Z4:Z46,{"2";"M2"}))</f>
        <v>3</v>
      </c>
      <c r="AA48" s="405" cm="2">
        <f t="array" ref="AA48">SUMPRODUCT(COUNTIF(AA4:AA46,{"2";"M2"}))</f>
        <v>3</v>
      </c>
      <c r="AB48" s="405" cm="2">
        <f t="array" ref="AB48">SUMPRODUCT(COUNTIF(AB4:AB46,{"2";"M2"}))</f>
        <v>3</v>
      </c>
      <c r="AC48" s="405" cm="2">
        <f t="array" ref="AC48">SUMPRODUCT(COUNTIF(AC4:AC46,{"2";"M2"}))</f>
        <v>3</v>
      </c>
      <c r="AD48" s="405" cm="2">
        <f t="array" ref="AD48">SUMPRODUCT(COUNTIF(AD4:AD46,{"2";"M2"}))</f>
        <v>3</v>
      </c>
      <c r="AE48" s="405" cm="2">
        <f t="array" ref="AE48">SUMPRODUCT(COUNTIF(AE4:AE46,{"2";"M2"}))</f>
        <v>3</v>
      </c>
      <c r="AF48" s="405" cm="2">
        <f t="array" ref="AF48">SUMPRODUCT(COUNTIF(AF4:AF46,{"2";"M2"}))</f>
        <v>3</v>
      </c>
      <c r="AG48" s="405" cm="2">
        <f t="array" ref="AG48">SUMPRODUCT(COUNTIF(AG4:AG46,{"2";"M2"}))</f>
        <v>3</v>
      </c>
      <c r="AH48" s="405" cm="2">
        <f t="array" ref="AH48">SUMPRODUCT(COUNTIF(AH4:AH46,{"2";"M2"}))</f>
        <v>3</v>
      </c>
      <c r="AI48" s="405" cm="2">
        <f t="array" ref="AI48">SUMPRODUCT(COUNTIF(AI4:AI46,{"2";"M2"}))</f>
        <v>3</v>
      </c>
      <c r="AJ48" s="405" cm="2">
        <f t="array" ref="AJ48">SUMPRODUCT(COUNTIF(AJ4:AJ46,{"2";"M2"}))</f>
        <v>3</v>
      </c>
      <c r="AK48" s="405" cm="2">
        <f t="array" ref="AK48">SUMPRODUCT(COUNTIF(AK4:AK46,{"2";"M2"}))</f>
        <v>3</v>
      </c>
      <c r="AL48" s="405" cm="2">
        <f t="array" ref="AL48">SUMPRODUCT(COUNTIF(AL4:AL46,{"2";"M2"}))</f>
        <v>3</v>
      </c>
      <c r="AM48" s="405" cm="2">
        <f t="array" ref="AM48">SUMPRODUCT(COUNTIF(AM4:AM46,{"2";"M2"}))</f>
        <v>3</v>
      </c>
      <c r="AN48" s="405" cm="2">
        <f t="array" ref="AN48">SUMPRODUCT(COUNTIF(AN4:AN46,{"2";"M2"}))</f>
        <v>3</v>
      </c>
      <c r="AO48" s="405" cm="2">
        <f t="array" ref="AO48">SUMPRODUCT(COUNTIF(AO4:AO46,{"2";"M2"}))</f>
        <v>3</v>
      </c>
      <c r="AQ48" s="50"/>
      <c r="AR48" s="6" t="s">
        <v>34</v>
      </c>
      <c r="AS48" s="75" t="s">
        <v>35</v>
      </c>
      <c r="AT48" s="84"/>
      <c r="AU48" s="84"/>
    </row>
    <row r="49" spans="1:52" s="77" customFormat="1" ht="18" customHeight="1" thickBot="1">
      <c r="A49" s="80"/>
      <c r="B49" s="80"/>
      <c r="C49" s="81"/>
      <c r="D49" s="81"/>
      <c r="E49" s="75"/>
      <c r="I49" s="81"/>
      <c r="J49" s="85">
        <v>3</v>
      </c>
      <c r="K49" s="408">
        <f t="shared" ref="K49:AO49" si="25">COUNTIF(K4:K46,3)</f>
        <v>3</v>
      </c>
      <c r="L49" s="408">
        <f t="shared" si="25"/>
        <v>3</v>
      </c>
      <c r="M49" s="408">
        <f t="shared" si="25"/>
        <v>2</v>
      </c>
      <c r="N49" s="408">
        <f t="shared" si="25"/>
        <v>2</v>
      </c>
      <c r="O49" s="408">
        <f t="shared" si="25"/>
        <v>4</v>
      </c>
      <c r="P49" s="408">
        <f t="shared" si="25"/>
        <v>4</v>
      </c>
      <c r="Q49" s="408">
        <f t="shared" si="25"/>
        <v>4</v>
      </c>
      <c r="R49" s="408">
        <f t="shared" si="25"/>
        <v>4</v>
      </c>
      <c r="S49" s="408">
        <f t="shared" si="25"/>
        <v>2</v>
      </c>
      <c r="T49" s="408">
        <f t="shared" si="25"/>
        <v>2</v>
      </c>
      <c r="U49" s="408">
        <f t="shared" si="25"/>
        <v>2</v>
      </c>
      <c r="V49" s="408">
        <f t="shared" si="25"/>
        <v>3</v>
      </c>
      <c r="W49" s="408">
        <f t="shared" si="25"/>
        <v>3</v>
      </c>
      <c r="X49" s="408">
        <f t="shared" si="25"/>
        <v>3</v>
      </c>
      <c r="Y49" s="408">
        <f t="shared" si="25"/>
        <v>3</v>
      </c>
      <c r="Z49" s="408">
        <f t="shared" si="25"/>
        <v>3</v>
      </c>
      <c r="AA49" s="408">
        <f t="shared" si="25"/>
        <v>2</v>
      </c>
      <c r="AB49" s="408">
        <f t="shared" si="25"/>
        <v>2</v>
      </c>
      <c r="AC49" s="408">
        <f t="shared" si="25"/>
        <v>3</v>
      </c>
      <c r="AD49" s="408">
        <f t="shared" si="25"/>
        <v>3</v>
      </c>
      <c r="AE49" s="408">
        <f t="shared" si="25"/>
        <v>3</v>
      </c>
      <c r="AF49" s="408">
        <f t="shared" si="25"/>
        <v>3</v>
      </c>
      <c r="AG49" s="408">
        <f t="shared" si="25"/>
        <v>3</v>
      </c>
      <c r="AH49" s="408">
        <f t="shared" si="25"/>
        <v>2</v>
      </c>
      <c r="AI49" s="408">
        <f t="shared" si="25"/>
        <v>2</v>
      </c>
      <c r="AJ49" s="408">
        <f t="shared" si="25"/>
        <v>2</v>
      </c>
      <c r="AK49" s="408">
        <f t="shared" si="25"/>
        <v>3</v>
      </c>
      <c r="AL49" s="408">
        <f t="shared" si="25"/>
        <v>3</v>
      </c>
      <c r="AM49" s="408">
        <f t="shared" si="25"/>
        <v>3</v>
      </c>
      <c r="AN49" s="408">
        <f t="shared" si="25"/>
        <v>3</v>
      </c>
      <c r="AO49" s="408">
        <f t="shared" si="25"/>
        <v>2</v>
      </c>
      <c r="AQ49" s="75" t="s">
        <v>109</v>
      </c>
      <c r="AR49" s="75">
        <f>37*31</f>
        <v>1147</v>
      </c>
      <c r="AS49" s="75">
        <f>6*31</f>
        <v>186</v>
      </c>
      <c r="AT49" s="84"/>
      <c r="AU49" s="84"/>
    </row>
    <row r="50" spans="1:52" s="77" customFormat="1" ht="18" customHeight="1">
      <c r="A50" s="80"/>
      <c r="B50" s="80"/>
      <c r="C50" s="81"/>
      <c r="D50" s="81"/>
      <c r="E50" s="75"/>
      <c r="I50" s="81"/>
      <c r="J50" s="86" t="s">
        <v>36</v>
      </c>
      <c r="K50" s="411" cm="2">
        <f t="array" ref="K50">SUMPRODUCT(COUNTIF(K4:K46,{"早";"T早"}))</f>
        <v>5</v>
      </c>
      <c r="L50" s="411" cm="2">
        <f t="array" ref="L50">SUMPRODUCT(COUNTIF(L4:L46,{"早";"T早"}))</f>
        <v>5</v>
      </c>
      <c r="M50" s="411" cm="2">
        <f t="array" ref="M50">SUMPRODUCT(COUNTIF(M4:M46,{"早";"T早"}))</f>
        <v>3</v>
      </c>
      <c r="N50" s="411" cm="2">
        <f t="array" ref="N50">SUMPRODUCT(COUNTIF(N4:N46,{"早";"T早"}))</f>
        <v>3</v>
      </c>
      <c r="O50" s="411" cm="2">
        <f t="array" ref="O50">SUMPRODUCT(COUNTIF(O4:O46,{"早";"T早"}))</f>
        <v>5</v>
      </c>
      <c r="P50" s="411" cm="2">
        <f t="array" ref="P50">SUMPRODUCT(COUNTIF(P4:P46,{"早";"T早"}))</f>
        <v>5</v>
      </c>
      <c r="Q50" s="411" cm="2">
        <f t="array" ref="Q50">SUMPRODUCT(COUNTIF(Q4:Q46,{"早";"T早"}))</f>
        <v>6</v>
      </c>
      <c r="R50" s="411" cm="2">
        <f t="array" ref="R50">SUMPRODUCT(COUNTIF(R4:R46,{"早";"T早"}))</f>
        <v>6</v>
      </c>
      <c r="S50" s="411" cm="2">
        <f t="array" ref="S50">SUMPRODUCT(COUNTIF(S4:S46,{"早";"T早"}))</f>
        <v>3</v>
      </c>
      <c r="T50" s="411" cm="2">
        <f t="array" ref="T50">SUMPRODUCT(COUNTIF(T4:T46,{"早";"T早"}))</f>
        <v>3</v>
      </c>
      <c r="U50" s="411" cm="2">
        <f t="array" ref="U50">SUMPRODUCT(COUNTIF(U4:U46,{"早";"T早"}))</f>
        <v>3</v>
      </c>
      <c r="V50" s="411" cm="2">
        <f t="array" ref="V50">SUMPRODUCT(COUNTIF(V4:V46,{"早";"T早"}))</f>
        <v>6</v>
      </c>
      <c r="W50" s="411" cm="2">
        <f t="array" ref="W50">SUMPRODUCT(COUNTIF(W4:W46,{"早";"T早"}))</f>
        <v>6</v>
      </c>
      <c r="X50" s="411" cm="2">
        <f t="array" ref="X50">SUMPRODUCT(COUNTIF(X4:X46,{"早";"T早"}))</f>
        <v>6</v>
      </c>
      <c r="Y50" s="411" cm="2">
        <f t="array" ref="Y50">SUMPRODUCT(COUNTIF(Y4:Y46,{"早";"T早"}))</f>
        <v>6</v>
      </c>
      <c r="Z50" s="411" cm="2">
        <f t="array" ref="Z50">SUMPRODUCT(COUNTIF(Z4:Z46,{"早";"T早"}))</f>
        <v>6</v>
      </c>
      <c r="AA50" s="411" cm="2">
        <f t="array" ref="AA50">SUMPRODUCT(COUNTIF(AA4:AA46,{"早";"T早"}))</f>
        <v>3</v>
      </c>
      <c r="AB50" s="411" cm="2">
        <f t="array" ref="AB50">SUMPRODUCT(COUNTIF(AB4:AB46,{"早";"T早"}))</f>
        <v>3</v>
      </c>
      <c r="AC50" s="411" cm="2">
        <f t="array" ref="AC50">SUMPRODUCT(COUNTIF(AC4:AC46,{"早";"T早"}))</f>
        <v>5</v>
      </c>
      <c r="AD50" s="411" cm="2">
        <f t="array" ref="AD50">SUMPRODUCT(COUNTIF(AD4:AD46,{"早";"T早"}))</f>
        <v>5</v>
      </c>
      <c r="AE50" s="411" cm="2">
        <f t="array" ref="AE50">SUMPRODUCT(COUNTIF(AE4:AE46,{"早";"T早"}))</f>
        <v>5</v>
      </c>
      <c r="AF50" s="411" cm="2">
        <f t="array" ref="AF50">SUMPRODUCT(COUNTIF(AF4:AF46,{"早";"T早"}))</f>
        <v>5</v>
      </c>
      <c r="AG50" s="411" cm="2">
        <f t="array" ref="AG50">SUMPRODUCT(COUNTIF(AG4:AG46,{"早";"T早"}))</f>
        <v>5</v>
      </c>
      <c r="AH50" s="411" cm="2">
        <f t="array" ref="AH50">SUMPRODUCT(COUNTIF(AH4:AH46,{"早";"T早"}))</f>
        <v>3</v>
      </c>
      <c r="AI50" s="411" cm="2">
        <f t="array" ref="AI50">SUMPRODUCT(COUNTIF(AI4:AI46,{"早";"T早"}))</f>
        <v>3</v>
      </c>
      <c r="AJ50" s="411" cm="2">
        <f t="array" ref="AJ50">SUMPRODUCT(COUNTIF(AJ4:AJ46,{"早";"T早"}))</f>
        <v>3</v>
      </c>
      <c r="AK50" s="411" cm="2">
        <f t="array" ref="AK50">SUMPRODUCT(COUNTIF(AK4:AK46,{"早";"T早"}))</f>
        <v>6</v>
      </c>
      <c r="AL50" s="411" cm="2">
        <f t="array" ref="AL50">SUMPRODUCT(COUNTIF(AL4:AL46,{"早";"T早"}))</f>
        <v>6</v>
      </c>
      <c r="AM50" s="411" cm="2">
        <f t="array" ref="AM50">SUMPRODUCT(COUNTIF(AM4:AM46,{"早";"T早"}))</f>
        <v>6</v>
      </c>
      <c r="AN50" s="411" cm="2">
        <f t="array" ref="AN50">SUMPRODUCT(COUNTIF(AN4:AN46,{"早";"T早"}))</f>
        <v>6</v>
      </c>
      <c r="AO50" s="411" cm="2">
        <f t="array" ref="AO50">SUMPRODUCT(COUNTIF(AO4:AO46,{"早";"T早"}))</f>
        <v>3</v>
      </c>
      <c r="AQ50" s="87" t="s">
        <v>37</v>
      </c>
      <c r="AR50" s="75">
        <f>22*(31-I1)</f>
        <v>440</v>
      </c>
      <c r="AS50" s="75">
        <f>3*(31-I1)</f>
        <v>60</v>
      </c>
      <c r="AV50" s="84"/>
    </row>
    <row r="51" spans="1:52" s="77" customFormat="1" ht="18" customHeight="1">
      <c r="A51" s="80"/>
      <c r="B51" s="80"/>
      <c r="C51" s="81"/>
      <c r="D51" s="81"/>
      <c r="E51" s="75"/>
      <c r="I51" s="81"/>
      <c r="J51" s="88" t="s">
        <v>38</v>
      </c>
      <c r="K51" s="414" cm="2">
        <f t="array" ref="K51">SUMPRODUCT(COUNTIF(K4:K46,{"中";"T中"}))</f>
        <v>3</v>
      </c>
      <c r="L51" s="414" cm="2">
        <f t="array" ref="L51">SUMPRODUCT(COUNTIF(L4:L46,{"中";"T中"}))</f>
        <v>3</v>
      </c>
      <c r="M51" s="414" cm="2">
        <f t="array" ref="M51">SUMPRODUCT(COUNTIF(M4:M46,{"中";"T中"}))</f>
        <v>3</v>
      </c>
      <c r="N51" s="414" cm="2">
        <f t="array" ref="N51">SUMPRODUCT(COUNTIF(N4:N46,{"中";"T中"}))</f>
        <v>3</v>
      </c>
      <c r="O51" s="414" cm="2">
        <f t="array" ref="O51">SUMPRODUCT(COUNTIF(O4:O46,{"中";"T中"}))</f>
        <v>3</v>
      </c>
      <c r="P51" s="414" cm="2">
        <f t="array" ref="P51">SUMPRODUCT(COUNTIF(P4:P46,{"中";"T中"}))</f>
        <v>3</v>
      </c>
      <c r="Q51" s="414" cm="2">
        <f t="array" ref="Q51">SUMPRODUCT(COUNTIF(Q4:Q46,{"中";"T中"}))</f>
        <v>3</v>
      </c>
      <c r="R51" s="414" cm="2">
        <f t="array" ref="R51">SUMPRODUCT(COUNTIF(R4:R46,{"中";"T中"}))</f>
        <v>3</v>
      </c>
      <c r="S51" s="414" cm="2">
        <f t="array" ref="S51">SUMPRODUCT(COUNTIF(S4:S46,{"中";"T中"}))</f>
        <v>3</v>
      </c>
      <c r="T51" s="414" cm="2">
        <f t="array" ref="T51">SUMPRODUCT(COUNTIF(T4:T46,{"中";"T中"}))</f>
        <v>3</v>
      </c>
      <c r="U51" s="414" cm="2">
        <f t="array" ref="U51">SUMPRODUCT(COUNTIF(U4:U46,{"中";"T中"}))</f>
        <v>3</v>
      </c>
      <c r="V51" s="414" cm="2">
        <f t="array" ref="V51">SUMPRODUCT(COUNTIF(V4:V46,{"中";"T中"}))</f>
        <v>3</v>
      </c>
      <c r="W51" s="414" cm="2">
        <f t="array" ref="W51">SUMPRODUCT(COUNTIF(W4:W46,{"中";"T中"}))</f>
        <v>3</v>
      </c>
      <c r="X51" s="414" cm="2">
        <f t="array" ref="X51">SUMPRODUCT(COUNTIF(X4:X46,{"中";"T中"}))</f>
        <v>3</v>
      </c>
      <c r="Y51" s="414" cm="2">
        <f t="array" ref="Y51">SUMPRODUCT(COUNTIF(Y4:Y46,{"中";"T中"}))</f>
        <v>3</v>
      </c>
      <c r="Z51" s="414" cm="2">
        <f t="array" ref="Z51">SUMPRODUCT(COUNTIF(Z4:Z46,{"中";"T中"}))</f>
        <v>3</v>
      </c>
      <c r="AA51" s="414" cm="2">
        <f t="array" ref="AA51">SUMPRODUCT(COUNTIF(AA4:AA46,{"中";"T中"}))</f>
        <v>3</v>
      </c>
      <c r="AB51" s="414" cm="2">
        <f t="array" ref="AB51">SUMPRODUCT(COUNTIF(AB4:AB46,{"中";"T中"}))</f>
        <v>3</v>
      </c>
      <c r="AC51" s="414" cm="2">
        <f t="array" ref="AC51">SUMPRODUCT(COUNTIF(AC4:AC46,{"中";"T中"}))</f>
        <v>3</v>
      </c>
      <c r="AD51" s="414" cm="2">
        <f t="array" ref="AD51">SUMPRODUCT(COUNTIF(AD4:AD46,{"中";"T中"}))</f>
        <v>3</v>
      </c>
      <c r="AE51" s="414" cm="2">
        <f t="array" ref="AE51">SUMPRODUCT(COUNTIF(AE4:AE46,{"中";"T中"}))</f>
        <v>4</v>
      </c>
      <c r="AF51" s="414" cm="2">
        <f t="array" ref="AF51">SUMPRODUCT(COUNTIF(AF4:AF46,{"中";"T中"}))</f>
        <v>4</v>
      </c>
      <c r="AG51" s="414" cm="2">
        <f t="array" ref="AG51">SUMPRODUCT(COUNTIF(AG4:AG46,{"中";"T中"}))</f>
        <v>4</v>
      </c>
      <c r="AH51" s="414" cm="2">
        <f t="array" ref="AH51">SUMPRODUCT(COUNTIF(AH4:AH46,{"中";"T中"}))</f>
        <v>3</v>
      </c>
      <c r="AI51" s="414" cm="2">
        <f t="array" ref="AI51">SUMPRODUCT(COUNTIF(AI4:AI46,{"中";"T中"}))</f>
        <v>3</v>
      </c>
      <c r="AJ51" s="414" cm="2">
        <f t="array" ref="AJ51">SUMPRODUCT(COUNTIF(AJ4:AJ46,{"中";"T中"}))</f>
        <v>3</v>
      </c>
      <c r="AK51" s="414" cm="2">
        <f t="array" ref="AK51">SUMPRODUCT(COUNTIF(AK4:AK46,{"中";"T中"}))</f>
        <v>3</v>
      </c>
      <c r="AL51" s="414" cm="2">
        <f t="array" ref="AL51">SUMPRODUCT(COUNTIF(AL4:AL46,{"中";"T中"}))</f>
        <v>3</v>
      </c>
      <c r="AM51" s="414" cm="2">
        <f t="array" ref="AM51">SUMPRODUCT(COUNTIF(AM4:AM46,{"中";"T中"}))</f>
        <v>3</v>
      </c>
      <c r="AN51" s="414" cm="2">
        <f t="array" ref="AN51">SUMPRODUCT(COUNTIF(AN4:AN46,{"中";"T中"}))</f>
        <v>3</v>
      </c>
      <c r="AO51" s="414" cm="2">
        <f t="array" ref="AO51">SUMPRODUCT(COUNTIF(AO4:AO46,{"中";"T中"}))</f>
        <v>3</v>
      </c>
      <c r="AQ51" s="87" t="s">
        <v>39</v>
      </c>
      <c r="AR51" s="75">
        <f>16*I1</f>
        <v>176</v>
      </c>
      <c r="AS51" s="75">
        <f>3*I1</f>
        <v>33</v>
      </c>
      <c r="AV51" s="89"/>
    </row>
    <row r="52" spans="1:52" s="77" customFormat="1" ht="18" customHeight="1" thickBot="1">
      <c r="A52" s="80"/>
      <c r="B52" s="80"/>
      <c r="C52" s="81"/>
      <c r="D52" s="81"/>
      <c r="E52" s="75"/>
      <c r="I52" s="81"/>
      <c r="J52" s="90" t="s">
        <v>40</v>
      </c>
      <c r="K52" s="408">
        <f t="shared" ref="K52:AO52" si="26">COUNTIF(K4:K46,"晚")</f>
        <v>3</v>
      </c>
      <c r="L52" s="408">
        <f t="shared" si="26"/>
        <v>3</v>
      </c>
      <c r="M52" s="408">
        <f t="shared" si="26"/>
        <v>2</v>
      </c>
      <c r="N52" s="408">
        <f t="shared" si="26"/>
        <v>2</v>
      </c>
      <c r="O52" s="408">
        <f t="shared" si="26"/>
        <v>3</v>
      </c>
      <c r="P52" s="408">
        <f t="shared" si="26"/>
        <v>3</v>
      </c>
      <c r="Q52" s="408">
        <f t="shared" si="26"/>
        <v>3</v>
      </c>
      <c r="R52" s="408">
        <f t="shared" si="26"/>
        <v>3</v>
      </c>
      <c r="S52" s="408">
        <f t="shared" si="26"/>
        <v>2</v>
      </c>
      <c r="T52" s="408">
        <f t="shared" si="26"/>
        <v>2</v>
      </c>
      <c r="U52" s="408">
        <f t="shared" si="26"/>
        <v>2</v>
      </c>
      <c r="V52" s="408">
        <f t="shared" si="26"/>
        <v>3</v>
      </c>
      <c r="W52" s="408">
        <f t="shared" si="26"/>
        <v>3</v>
      </c>
      <c r="X52" s="408">
        <f t="shared" si="26"/>
        <v>3</v>
      </c>
      <c r="Y52" s="408">
        <f t="shared" si="26"/>
        <v>3</v>
      </c>
      <c r="Z52" s="408">
        <f t="shared" si="26"/>
        <v>3</v>
      </c>
      <c r="AA52" s="408">
        <f t="shared" si="26"/>
        <v>2</v>
      </c>
      <c r="AB52" s="408">
        <f t="shared" si="26"/>
        <v>2</v>
      </c>
      <c r="AC52" s="408">
        <f t="shared" si="26"/>
        <v>4</v>
      </c>
      <c r="AD52" s="408">
        <f t="shared" si="26"/>
        <v>4</v>
      </c>
      <c r="AE52" s="408">
        <f t="shared" si="26"/>
        <v>3</v>
      </c>
      <c r="AF52" s="408">
        <f t="shared" si="26"/>
        <v>3</v>
      </c>
      <c r="AG52" s="408">
        <f t="shared" si="26"/>
        <v>3</v>
      </c>
      <c r="AH52" s="408">
        <f t="shared" si="26"/>
        <v>2</v>
      </c>
      <c r="AI52" s="408">
        <f t="shared" si="26"/>
        <v>2</v>
      </c>
      <c r="AJ52" s="408">
        <f t="shared" si="26"/>
        <v>2</v>
      </c>
      <c r="AK52" s="408">
        <f t="shared" si="26"/>
        <v>3</v>
      </c>
      <c r="AL52" s="408">
        <f t="shared" si="26"/>
        <v>3</v>
      </c>
      <c r="AM52" s="408">
        <f t="shared" si="26"/>
        <v>3</v>
      </c>
      <c r="AN52" s="408">
        <f t="shared" si="26"/>
        <v>3</v>
      </c>
      <c r="AO52" s="408">
        <f t="shared" si="26"/>
        <v>2</v>
      </c>
      <c r="AQ52" s="75" t="s">
        <v>0</v>
      </c>
      <c r="AR52" s="91">
        <f>37*I1</f>
        <v>407</v>
      </c>
      <c r="AS52" s="75">
        <f>6*I1</f>
        <v>66</v>
      </c>
    </row>
    <row r="53" spans="1:52" s="77" customFormat="1" ht="18" customHeight="1">
      <c r="A53" s="80"/>
      <c r="B53" s="80"/>
      <c r="C53" s="81"/>
      <c r="D53" s="81"/>
      <c r="E53" s="75"/>
      <c r="I53" s="81"/>
      <c r="J53" s="86" t="s">
        <v>111</v>
      </c>
      <c r="K53" s="411">
        <f t="shared" ref="K53:AO53" si="27">COUNTIF(K4:K46,"日")</f>
        <v>1</v>
      </c>
      <c r="L53" s="411">
        <f t="shared" si="27"/>
        <v>1</v>
      </c>
      <c r="M53" s="411">
        <f t="shared" si="27"/>
        <v>1</v>
      </c>
      <c r="N53" s="411">
        <f t="shared" si="27"/>
        <v>1</v>
      </c>
      <c r="O53" s="411">
        <f t="shared" si="27"/>
        <v>1</v>
      </c>
      <c r="P53" s="411">
        <f t="shared" si="27"/>
        <v>1</v>
      </c>
      <c r="Q53" s="411">
        <f t="shared" si="27"/>
        <v>1</v>
      </c>
      <c r="R53" s="411">
        <f t="shared" si="27"/>
        <v>1</v>
      </c>
      <c r="S53" s="411">
        <f t="shared" si="27"/>
        <v>1</v>
      </c>
      <c r="T53" s="411">
        <f t="shared" si="27"/>
        <v>1</v>
      </c>
      <c r="U53" s="411">
        <f t="shared" si="27"/>
        <v>1</v>
      </c>
      <c r="V53" s="411">
        <f t="shared" si="27"/>
        <v>1</v>
      </c>
      <c r="W53" s="411">
        <f t="shared" si="27"/>
        <v>1</v>
      </c>
      <c r="X53" s="411">
        <f t="shared" si="27"/>
        <v>1</v>
      </c>
      <c r="Y53" s="411">
        <f t="shared" si="27"/>
        <v>1</v>
      </c>
      <c r="Z53" s="411">
        <f t="shared" si="27"/>
        <v>1</v>
      </c>
      <c r="AA53" s="411">
        <f t="shared" si="27"/>
        <v>1</v>
      </c>
      <c r="AB53" s="411">
        <f t="shared" si="27"/>
        <v>1</v>
      </c>
      <c r="AC53" s="411">
        <f t="shared" si="27"/>
        <v>1</v>
      </c>
      <c r="AD53" s="411">
        <f t="shared" si="27"/>
        <v>1</v>
      </c>
      <c r="AE53" s="411">
        <f t="shared" si="27"/>
        <v>1</v>
      </c>
      <c r="AF53" s="411">
        <f t="shared" si="27"/>
        <v>1</v>
      </c>
      <c r="AG53" s="411">
        <f t="shared" si="27"/>
        <v>1</v>
      </c>
      <c r="AH53" s="411">
        <f t="shared" si="27"/>
        <v>1</v>
      </c>
      <c r="AI53" s="411">
        <f t="shared" si="27"/>
        <v>1</v>
      </c>
      <c r="AJ53" s="411">
        <f t="shared" si="27"/>
        <v>1</v>
      </c>
      <c r="AK53" s="411">
        <f t="shared" si="27"/>
        <v>1</v>
      </c>
      <c r="AL53" s="411">
        <f t="shared" si="27"/>
        <v>1</v>
      </c>
      <c r="AM53" s="411">
        <f t="shared" si="27"/>
        <v>1</v>
      </c>
      <c r="AN53" s="411">
        <f t="shared" si="27"/>
        <v>1</v>
      </c>
      <c r="AO53" s="411">
        <f t="shared" si="27"/>
        <v>1</v>
      </c>
      <c r="AQ53" s="50" t="s">
        <v>104</v>
      </c>
      <c r="AR53" s="91" cm="2">
        <f t="array" ref="AR53">SUMPRODUCT(COUNTIF(K4:AO40,{"N";"N8"}))</f>
        <v>61</v>
      </c>
      <c r="AS53" s="91" cm="1">
        <f t="array" ref="AS53">SUMPRODUCT(COUNTIF(K41:AO46,{"N";"N8"}))</f>
        <v>18</v>
      </c>
    </row>
    <row r="54" spans="1:52" s="77" customFormat="1" ht="18" customHeight="1">
      <c r="A54" s="80"/>
      <c r="B54" s="80"/>
      <c r="C54" s="81"/>
      <c r="D54" s="81"/>
      <c r="E54" s="75"/>
      <c r="I54" s="81"/>
      <c r="J54" s="88" t="s">
        <v>143</v>
      </c>
      <c r="K54" s="414">
        <f t="shared" ref="K54:AO54" si="28">COUNTIF(K4:K46,"小夜")</f>
        <v>1</v>
      </c>
      <c r="L54" s="414">
        <f t="shared" si="28"/>
        <v>1</v>
      </c>
      <c r="M54" s="414">
        <f t="shared" si="28"/>
        <v>1</v>
      </c>
      <c r="N54" s="414">
        <f t="shared" si="28"/>
        <v>1</v>
      </c>
      <c r="O54" s="414">
        <f t="shared" si="28"/>
        <v>1</v>
      </c>
      <c r="P54" s="414">
        <f t="shared" si="28"/>
        <v>1</v>
      </c>
      <c r="Q54" s="414">
        <f t="shared" si="28"/>
        <v>1</v>
      </c>
      <c r="R54" s="414">
        <f t="shared" si="28"/>
        <v>1</v>
      </c>
      <c r="S54" s="414">
        <f t="shared" si="28"/>
        <v>1</v>
      </c>
      <c r="T54" s="414">
        <f t="shared" si="28"/>
        <v>1</v>
      </c>
      <c r="U54" s="414">
        <f t="shared" si="28"/>
        <v>1</v>
      </c>
      <c r="V54" s="414">
        <f t="shared" si="28"/>
        <v>1</v>
      </c>
      <c r="W54" s="414">
        <f t="shared" si="28"/>
        <v>1</v>
      </c>
      <c r="X54" s="414">
        <f t="shared" si="28"/>
        <v>1</v>
      </c>
      <c r="Y54" s="414">
        <f t="shared" si="28"/>
        <v>1</v>
      </c>
      <c r="Z54" s="414">
        <f t="shared" si="28"/>
        <v>1</v>
      </c>
      <c r="AA54" s="414">
        <f t="shared" si="28"/>
        <v>1</v>
      </c>
      <c r="AB54" s="414">
        <f t="shared" si="28"/>
        <v>1</v>
      </c>
      <c r="AC54" s="414">
        <f t="shared" si="28"/>
        <v>1</v>
      </c>
      <c r="AD54" s="414">
        <f t="shared" si="28"/>
        <v>1</v>
      </c>
      <c r="AE54" s="414">
        <f t="shared" si="28"/>
        <v>1</v>
      </c>
      <c r="AF54" s="414">
        <f t="shared" si="28"/>
        <v>1</v>
      </c>
      <c r="AG54" s="414">
        <f t="shared" si="28"/>
        <v>1</v>
      </c>
      <c r="AH54" s="414">
        <f t="shared" si="28"/>
        <v>1</v>
      </c>
      <c r="AI54" s="414">
        <f t="shared" si="28"/>
        <v>1</v>
      </c>
      <c r="AJ54" s="414">
        <f t="shared" si="28"/>
        <v>1</v>
      </c>
      <c r="AK54" s="414">
        <f t="shared" si="28"/>
        <v>1</v>
      </c>
      <c r="AL54" s="414">
        <f t="shared" si="28"/>
        <v>1</v>
      </c>
      <c r="AM54" s="414">
        <f t="shared" si="28"/>
        <v>1</v>
      </c>
      <c r="AN54" s="414">
        <f t="shared" si="28"/>
        <v>1</v>
      </c>
      <c r="AO54" s="414">
        <f t="shared" si="28"/>
        <v>1</v>
      </c>
      <c r="AQ54" s="50" t="s">
        <v>105</v>
      </c>
      <c r="AR54" s="92" cm="2">
        <f t="array" ref="AR54">SUMPRODUCT(COUNTIF(K4:AO40,{"S"}))</f>
        <v>39</v>
      </c>
      <c r="AS54" s="75" cm="1">
        <f t="array" ref="AS54">SUMPRODUCT(COUNTIF(K41:AO46,{"S"}))</f>
        <v>9</v>
      </c>
    </row>
    <row r="55" spans="1:52" s="77" customFormat="1" ht="18" customHeight="1" thickBot="1">
      <c r="A55" s="80"/>
      <c r="B55" s="80"/>
      <c r="C55" s="81"/>
      <c r="D55" s="81"/>
      <c r="E55" s="75"/>
      <c r="I55" s="81"/>
      <c r="J55" s="90" t="s">
        <v>144</v>
      </c>
      <c r="K55" s="408">
        <f t="shared" ref="K55:AO55" si="29">COUNTIF(K7:K49,"大夜")</f>
        <v>1</v>
      </c>
      <c r="L55" s="408">
        <f t="shared" si="29"/>
        <v>1</v>
      </c>
      <c r="M55" s="408">
        <f t="shared" si="29"/>
        <v>1</v>
      </c>
      <c r="N55" s="408">
        <f t="shared" si="29"/>
        <v>1</v>
      </c>
      <c r="O55" s="408">
        <f t="shared" si="29"/>
        <v>1</v>
      </c>
      <c r="P55" s="408">
        <f t="shared" si="29"/>
        <v>1</v>
      </c>
      <c r="Q55" s="408">
        <f t="shared" si="29"/>
        <v>1</v>
      </c>
      <c r="R55" s="408">
        <f t="shared" si="29"/>
        <v>1</v>
      </c>
      <c r="S55" s="408">
        <f t="shared" si="29"/>
        <v>1</v>
      </c>
      <c r="T55" s="408">
        <f t="shared" si="29"/>
        <v>1</v>
      </c>
      <c r="U55" s="408">
        <f t="shared" si="29"/>
        <v>1</v>
      </c>
      <c r="V55" s="408">
        <f t="shared" si="29"/>
        <v>1</v>
      </c>
      <c r="W55" s="408">
        <f t="shared" si="29"/>
        <v>1</v>
      </c>
      <c r="X55" s="408">
        <f t="shared" si="29"/>
        <v>1</v>
      </c>
      <c r="Y55" s="408">
        <f t="shared" si="29"/>
        <v>1</v>
      </c>
      <c r="Z55" s="408">
        <f t="shared" si="29"/>
        <v>1</v>
      </c>
      <c r="AA55" s="408">
        <f t="shared" si="29"/>
        <v>1</v>
      </c>
      <c r="AB55" s="408">
        <f t="shared" si="29"/>
        <v>1</v>
      </c>
      <c r="AC55" s="408">
        <f t="shared" si="29"/>
        <v>1</v>
      </c>
      <c r="AD55" s="408">
        <f t="shared" si="29"/>
        <v>1</v>
      </c>
      <c r="AE55" s="408">
        <f t="shared" si="29"/>
        <v>1</v>
      </c>
      <c r="AF55" s="408">
        <f t="shared" si="29"/>
        <v>1</v>
      </c>
      <c r="AG55" s="408">
        <f t="shared" si="29"/>
        <v>1</v>
      </c>
      <c r="AH55" s="408">
        <f t="shared" si="29"/>
        <v>1</v>
      </c>
      <c r="AI55" s="408">
        <f t="shared" si="29"/>
        <v>1</v>
      </c>
      <c r="AJ55" s="408">
        <f t="shared" si="29"/>
        <v>1</v>
      </c>
      <c r="AK55" s="408">
        <f t="shared" si="29"/>
        <v>1</v>
      </c>
      <c r="AL55" s="408">
        <f t="shared" si="29"/>
        <v>1</v>
      </c>
      <c r="AM55" s="408">
        <f t="shared" si="29"/>
        <v>1</v>
      </c>
      <c r="AN55" s="408">
        <f t="shared" si="29"/>
        <v>1</v>
      </c>
      <c r="AO55" s="408">
        <f t="shared" si="29"/>
        <v>1</v>
      </c>
      <c r="AQ55" s="93" t="s">
        <v>145</v>
      </c>
      <c r="AR55" s="75">
        <v>20</v>
      </c>
      <c r="AS55" s="75">
        <v>0</v>
      </c>
    </row>
    <row r="56" spans="1:52" s="77" customFormat="1" ht="18" customHeight="1" thickBot="1">
      <c r="A56" s="80"/>
      <c r="B56" s="80"/>
      <c r="C56" s="81"/>
      <c r="D56" s="81"/>
      <c r="E56" s="75"/>
      <c r="I56" s="81"/>
      <c r="J56" s="95" t="s">
        <v>41</v>
      </c>
      <c r="K56" s="347">
        <f t="shared" ref="K56:AO56" si="30">COUNTIF(K4:K46,"N")+COUNTIF(K4:K46,"N8")</f>
        <v>5</v>
      </c>
      <c r="L56" s="96">
        <f t="shared" si="30"/>
        <v>4</v>
      </c>
      <c r="M56" s="96">
        <f t="shared" si="30"/>
        <v>0</v>
      </c>
      <c r="N56" s="96">
        <f t="shared" si="30"/>
        <v>0</v>
      </c>
      <c r="O56" s="96">
        <f t="shared" si="30"/>
        <v>4</v>
      </c>
      <c r="P56" s="96">
        <f t="shared" si="30"/>
        <v>4</v>
      </c>
      <c r="Q56" s="96">
        <f t="shared" si="30"/>
        <v>7</v>
      </c>
      <c r="R56" s="96">
        <f t="shared" si="30"/>
        <v>7</v>
      </c>
      <c r="S56" s="96">
        <f t="shared" si="30"/>
        <v>0</v>
      </c>
      <c r="T56" s="96">
        <f t="shared" si="30"/>
        <v>0</v>
      </c>
      <c r="U56" s="96">
        <f t="shared" si="30"/>
        <v>0</v>
      </c>
      <c r="V56" s="96">
        <f t="shared" si="30"/>
        <v>3</v>
      </c>
      <c r="W56" s="96">
        <f t="shared" si="30"/>
        <v>6</v>
      </c>
      <c r="X56" s="96">
        <f t="shared" si="30"/>
        <v>4</v>
      </c>
      <c r="Y56" s="96">
        <f t="shared" si="30"/>
        <v>6</v>
      </c>
      <c r="Z56" s="96">
        <f t="shared" si="30"/>
        <v>2</v>
      </c>
      <c r="AA56" s="96">
        <f t="shared" si="30"/>
        <v>0</v>
      </c>
      <c r="AB56" s="96">
        <f t="shared" si="30"/>
        <v>0</v>
      </c>
      <c r="AC56" s="96">
        <f t="shared" si="30"/>
        <v>4</v>
      </c>
      <c r="AD56" s="96">
        <f t="shared" si="30"/>
        <v>3</v>
      </c>
      <c r="AE56" s="96">
        <f t="shared" si="30"/>
        <v>2</v>
      </c>
      <c r="AF56" s="96">
        <f t="shared" si="30"/>
        <v>2</v>
      </c>
      <c r="AG56" s="96">
        <f t="shared" si="30"/>
        <v>3</v>
      </c>
      <c r="AH56" s="96">
        <f t="shared" si="30"/>
        <v>0</v>
      </c>
      <c r="AI56" s="96">
        <f t="shared" si="30"/>
        <v>0</v>
      </c>
      <c r="AJ56" s="96">
        <f t="shared" si="30"/>
        <v>0</v>
      </c>
      <c r="AK56" s="96">
        <f t="shared" si="30"/>
        <v>6</v>
      </c>
      <c r="AL56" s="96">
        <f t="shared" si="30"/>
        <v>5</v>
      </c>
      <c r="AM56" s="97">
        <f t="shared" si="30"/>
        <v>2</v>
      </c>
      <c r="AN56" s="99">
        <f t="shared" si="30"/>
        <v>0</v>
      </c>
      <c r="AO56" s="99">
        <f t="shared" si="30"/>
        <v>0</v>
      </c>
      <c r="AQ56" s="100" t="s">
        <v>42</v>
      </c>
      <c r="AR56" s="101">
        <v>-1</v>
      </c>
      <c r="AS56" s="75">
        <v>0</v>
      </c>
    </row>
    <row r="57" spans="1:52" s="77" customFormat="1" ht="18" customHeight="1">
      <c r="A57" s="80"/>
      <c r="B57" s="80"/>
      <c r="C57" s="80"/>
      <c r="D57" s="80"/>
      <c r="E57" s="75"/>
      <c r="I57" s="81"/>
      <c r="J57" s="78" t="s">
        <v>43</v>
      </c>
      <c r="K57" s="297">
        <f t="shared" ref="K57:AO57" si="31">COUNTIF(K4:K46,"X")+COUNTIF(K4:K46,"Y")+COUNTIF(K4:K46,"Z")</f>
        <v>10</v>
      </c>
      <c r="L57" s="24">
        <f t="shared" si="31"/>
        <v>10</v>
      </c>
      <c r="M57" s="24">
        <f t="shared" si="31"/>
        <v>24</v>
      </c>
      <c r="N57" s="24">
        <f t="shared" si="31"/>
        <v>24</v>
      </c>
      <c r="O57" s="24">
        <f t="shared" si="31"/>
        <v>11</v>
      </c>
      <c r="P57" s="24">
        <f t="shared" si="31"/>
        <v>11</v>
      </c>
      <c r="Q57" s="24">
        <f t="shared" si="31"/>
        <v>9</v>
      </c>
      <c r="R57" s="24">
        <f t="shared" si="31"/>
        <v>8</v>
      </c>
      <c r="S57" s="24">
        <f t="shared" si="31"/>
        <v>21</v>
      </c>
      <c r="T57" s="24">
        <f t="shared" si="31"/>
        <v>24</v>
      </c>
      <c r="U57" s="24">
        <f t="shared" si="31"/>
        <v>22</v>
      </c>
      <c r="V57" s="24">
        <f t="shared" si="31"/>
        <v>9</v>
      </c>
      <c r="W57" s="24">
        <f t="shared" si="31"/>
        <v>9</v>
      </c>
      <c r="X57" s="24">
        <f t="shared" si="31"/>
        <v>12</v>
      </c>
      <c r="Y57" s="24">
        <f t="shared" si="31"/>
        <v>9</v>
      </c>
      <c r="Z57" s="24">
        <f t="shared" si="31"/>
        <v>14</v>
      </c>
      <c r="AA57" s="24">
        <f t="shared" si="31"/>
        <v>24</v>
      </c>
      <c r="AB57" s="24">
        <f t="shared" si="31"/>
        <v>24</v>
      </c>
      <c r="AC57" s="24">
        <f t="shared" si="31"/>
        <v>11</v>
      </c>
      <c r="AD57" s="24">
        <f t="shared" si="31"/>
        <v>13</v>
      </c>
      <c r="AE57" s="24">
        <f t="shared" si="31"/>
        <v>15</v>
      </c>
      <c r="AF57" s="24">
        <f t="shared" si="31"/>
        <v>15</v>
      </c>
      <c r="AG57" s="24">
        <f t="shared" si="31"/>
        <v>11</v>
      </c>
      <c r="AH57" s="24">
        <f t="shared" si="31"/>
        <v>22</v>
      </c>
      <c r="AI57" s="24">
        <f t="shared" si="31"/>
        <v>24</v>
      </c>
      <c r="AJ57" s="24">
        <f t="shared" si="31"/>
        <v>19</v>
      </c>
      <c r="AK57" s="24">
        <f t="shared" si="31"/>
        <v>9</v>
      </c>
      <c r="AL57" s="24">
        <f t="shared" si="31"/>
        <v>10</v>
      </c>
      <c r="AM57" s="24">
        <f t="shared" si="31"/>
        <v>12</v>
      </c>
      <c r="AN57" s="102">
        <f t="shared" si="31"/>
        <v>14</v>
      </c>
      <c r="AO57" s="102">
        <f t="shared" si="31"/>
        <v>24</v>
      </c>
      <c r="AQ57" s="100" t="s">
        <v>146</v>
      </c>
      <c r="AR57" s="101">
        <v>0</v>
      </c>
      <c r="AS57" s="75">
        <v>0</v>
      </c>
    </row>
    <row r="58" spans="1:52" s="77" customFormat="1" ht="18" customHeight="1">
      <c r="A58" s="80"/>
      <c r="B58" s="80"/>
      <c r="C58" s="80"/>
      <c r="D58" s="80"/>
      <c r="E58" s="75"/>
      <c r="I58" s="81"/>
      <c r="J58" s="103" t="s">
        <v>44</v>
      </c>
      <c r="K58" s="294">
        <f t="shared" ref="K58:AO58" si="32">COUNTIF(K4:K46,"S")</f>
        <v>2</v>
      </c>
      <c r="L58" s="39">
        <f t="shared" si="32"/>
        <v>3</v>
      </c>
      <c r="M58" s="39">
        <f t="shared" si="32"/>
        <v>0</v>
      </c>
      <c r="N58" s="39">
        <f t="shared" si="32"/>
        <v>0</v>
      </c>
      <c r="O58" s="39">
        <f t="shared" si="32"/>
        <v>1</v>
      </c>
      <c r="P58" s="39">
        <f t="shared" si="32"/>
        <v>2</v>
      </c>
      <c r="Q58" s="39">
        <f t="shared" si="32"/>
        <v>0</v>
      </c>
      <c r="R58" s="39">
        <f t="shared" si="32"/>
        <v>1</v>
      </c>
      <c r="S58" s="39">
        <f t="shared" si="32"/>
        <v>3</v>
      </c>
      <c r="T58" s="39">
        <f t="shared" si="32"/>
        <v>0</v>
      </c>
      <c r="U58" s="39">
        <f t="shared" si="32"/>
        <v>2</v>
      </c>
      <c r="V58" s="39">
        <f t="shared" si="32"/>
        <v>5</v>
      </c>
      <c r="W58" s="39">
        <f t="shared" si="32"/>
        <v>2</v>
      </c>
      <c r="X58" s="39">
        <f t="shared" si="32"/>
        <v>1</v>
      </c>
      <c r="Y58" s="39">
        <f t="shared" si="32"/>
        <v>2</v>
      </c>
      <c r="Z58" s="39">
        <f t="shared" si="32"/>
        <v>1</v>
      </c>
      <c r="AA58" s="39">
        <f t="shared" si="32"/>
        <v>0</v>
      </c>
      <c r="AB58" s="39">
        <f t="shared" si="32"/>
        <v>0</v>
      </c>
      <c r="AC58" s="39">
        <f t="shared" si="32"/>
        <v>2</v>
      </c>
      <c r="AD58" s="39">
        <f t="shared" si="32"/>
        <v>1</v>
      </c>
      <c r="AE58" s="39">
        <f t="shared" si="32"/>
        <v>0</v>
      </c>
      <c r="AF58" s="39">
        <f t="shared" si="32"/>
        <v>0</v>
      </c>
      <c r="AG58" s="39">
        <f t="shared" si="32"/>
        <v>3</v>
      </c>
      <c r="AH58" s="39">
        <f t="shared" si="32"/>
        <v>2</v>
      </c>
      <c r="AI58" s="39">
        <f t="shared" si="32"/>
        <v>0</v>
      </c>
      <c r="AJ58" s="39">
        <f t="shared" si="32"/>
        <v>5</v>
      </c>
      <c r="AK58" s="39">
        <f t="shared" si="32"/>
        <v>2</v>
      </c>
      <c r="AL58" s="39">
        <f t="shared" si="32"/>
        <v>2</v>
      </c>
      <c r="AM58" s="39">
        <f t="shared" si="32"/>
        <v>3</v>
      </c>
      <c r="AN58" s="83">
        <f t="shared" si="32"/>
        <v>3</v>
      </c>
      <c r="AO58" s="83">
        <f t="shared" si="32"/>
        <v>0</v>
      </c>
      <c r="AQ58" s="107" t="s">
        <v>46</v>
      </c>
      <c r="AR58" s="105">
        <f>AR49-AR50-AR52-AR53-AR54-AR55+AR56+AR57-AR51</f>
        <v>3</v>
      </c>
      <c r="AS58" s="105">
        <f>AS49-AS50-AS52-AS53-AS54-AS55+AS56+AS57-AS51</f>
        <v>0</v>
      </c>
      <c r="AT58" s="6"/>
      <c r="AU58" s="6"/>
    </row>
    <row r="59" spans="1:52" ht="18" customHeight="1" thickBot="1">
      <c r="A59" s="80"/>
      <c r="B59" s="80"/>
      <c r="C59" s="80"/>
      <c r="D59" s="80"/>
      <c r="I59" s="80"/>
      <c r="J59" s="103" t="s">
        <v>45</v>
      </c>
      <c r="K59" s="294">
        <f t="shared" ref="K59:AO59" si="33">COUNTIF(K4:K46,"T")</f>
        <v>0</v>
      </c>
      <c r="L59" s="39">
        <f t="shared" si="33"/>
        <v>0</v>
      </c>
      <c r="M59" s="39">
        <f t="shared" si="33"/>
        <v>0</v>
      </c>
      <c r="N59" s="39">
        <f t="shared" si="33"/>
        <v>0</v>
      </c>
      <c r="O59" s="39">
        <f t="shared" si="33"/>
        <v>0</v>
      </c>
      <c r="P59" s="39">
        <f t="shared" si="33"/>
        <v>0</v>
      </c>
      <c r="Q59" s="39">
        <f t="shared" si="33"/>
        <v>0</v>
      </c>
      <c r="R59" s="39">
        <f t="shared" si="33"/>
        <v>0</v>
      </c>
      <c r="S59" s="39">
        <f t="shared" si="33"/>
        <v>0</v>
      </c>
      <c r="T59" s="39">
        <f t="shared" si="33"/>
        <v>0</v>
      </c>
      <c r="U59" s="39">
        <f t="shared" si="33"/>
        <v>0</v>
      </c>
      <c r="V59" s="39">
        <f t="shared" si="33"/>
        <v>0</v>
      </c>
      <c r="W59" s="39">
        <f t="shared" si="33"/>
        <v>0</v>
      </c>
      <c r="X59" s="39">
        <f t="shared" si="33"/>
        <v>0</v>
      </c>
      <c r="Y59" s="39">
        <f t="shared" si="33"/>
        <v>0</v>
      </c>
      <c r="Z59" s="39">
        <f t="shared" si="33"/>
        <v>0</v>
      </c>
      <c r="AA59" s="39">
        <f t="shared" si="33"/>
        <v>0</v>
      </c>
      <c r="AB59" s="39">
        <f t="shared" si="33"/>
        <v>0</v>
      </c>
      <c r="AC59" s="39">
        <f t="shared" si="33"/>
        <v>0</v>
      </c>
      <c r="AD59" s="39">
        <f t="shared" si="33"/>
        <v>0</v>
      </c>
      <c r="AE59" s="39">
        <f t="shared" si="33"/>
        <v>0</v>
      </c>
      <c r="AF59" s="39">
        <f t="shared" si="33"/>
        <v>0</v>
      </c>
      <c r="AG59" s="39">
        <f t="shared" si="33"/>
        <v>0</v>
      </c>
      <c r="AH59" s="39">
        <f t="shared" si="33"/>
        <v>0</v>
      </c>
      <c r="AI59" s="39">
        <f t="shared" si="33"/>
        <v>0</v>
      </c>
      <c r="AJ59" s="39">
        <f t="shared" si="33"/>
        <v>0</v>
      </c>
      <c r="AK59" s="39">
        <f t="shared" si="33"/>
        <v>0</v>
      </c>
      <c r="AL59" s="39">
        <f t="shared" si="33"/>
        <v>0</v>
      </c>
      <c r="AM59" s="39">
        <f t="shared" si="33"/>
        <v>0</v>
      </c>
      <c r="AN59" s="83">
        <f t="shared" si="33"/>
        <v>0</v>
      </c>
      <c r="AO59" s="83">
        <f t="shared" si="33"/>
        <v>0</v>
      </c>
      <c r="AP59" s="77"/>
      <c r="AR59" s="50"/>
      <c r="AS59" s="111"/>
      <c r="AV59" s="77"/>
      <c r="AX59" s="77"/>
      <c r="AY59" s="77"/>
      <c r="AZ59" s="77"/>
    </row>
    <row r="60" spans="1:52" ht="18" customHeight="1" thickBot="1">
      <c r="A60" s="80"/>
      <c r="B60" s="80"/>
      <c r="C60" s="80"/>
      <c r="D60" s="80"/>
      <c r="I60" s="80"/>
      <c r="J60" s="108" t="s">
        <v>109</v>
      </c>
      <c r="K60" s="298">
        <f>SUM(K47:K59)</f>
        <v>43</v>
      </c>
      <c r="L60" s="109">
        <f t="shared" ref="L60:AO60" si="34">SUM(L47:L59)</f>
        <v>43</v>
      </c>
      <c r="M60" s="109">
        <f t="shared" si="34"/>
        <v>43</v>
      </c>
      <c r="N60" s="109">
        <f t="shared" si="34"/>
        <v>43</v>
      </c>
      <c r="O60" s="109">
        <f t="shared" si="34"/>
        <v>43</v>
      </c>
      <c r="P60" s="109">
        <f t="shared" si="34"/>
        <v>43</v>
      </c>
      <c r="Q60" s="109">
        <f t="shared" si="34"/>
        <v>43</v>
      </c>
      <c r="R60" s="109">
        <f t="shared" si="34"/>
        <v>43</v>
      </c>
      <c r="S60" s="109">
        <f t="shared" si="34"/>
        <v>43</v>
      </c>
      <c r="T60" s="109">
        <f t="shared" si="34"/>
        <v>43</v>
      </c>
      <c r="U60" s="109">
        <f t="shared" si="34"/>
        <v>43</v>
      </c>
      <c r="V60" s="109">
        <f t="shared" si="34"/>
        <v>43</v>
      </c>
      <c r="W60" s="109">
        <f t="shared" si="34"/>
        <v>43</v>
      </c>
      <c r="X60" s="109">
        <f t="shared" si="34"/>
        <v>43</v>
      </c>
      <c r="Y60" s="109">
        <f t="shared" si="34"/>
        <v>43</v>
      </c>
      <c r="Z60" s="109">
        <f t="shared" si="34"/>
        <v>43</v>
      </c>
      <c r="AA60" s="109">
        <f t="shared" si="34"/>
        <v>43</v>
      </c>
      <c r="AB60" s="109">
        <f t="shared" si="34"/>
        <v>43</v>
      </c>
      <c r="AC60" s="109">
        <f t="shared" si="34"/>
        <v>43</v>
      </c>
      <c r="AD60" s="109">
        <f t="shared" si="34"/>
        <v>43</v>
      </c>
      <c r="AE60" s="109">
        <f t="shared" si="34"/>
        <v>43</v>
      </c>
      <c r="AF60" s="109">
        <f t="shared" si="34"/>
        <v>43</v>
      </c>
      <c r="AG60" s="109">
        <f t="shared" si="34"/>
        <v>43</v>
      </c>
      <c r="AH60" s="109">
        <f t="shared" si="34"/>
        <v>43</v>
      </c>
      <c r="AI60" s="109">
        <f t="shared" si="34"/>
        <v>43</v>
      </c>
      <c r="AJ60" s="109">
        <f t="shared" si="34"/>
        <v>43</v>
      </c>
      <c r="AK60" s="109">
        <f t="shared" si="34"/>
        <v>43</v>
      </c>
      <c r="AL60" s="109">
        <f t="shared" si="34"/>
        <v>43</v>
      </c>
      <c r="AM60" s="109">
        <f t="shared" si="34"/>
        <v>43</v>
      </c>
      <c r="AN60" s="110">
        <f t="shared" si="34"/>
        <v>43</v>
      </c>
      <c r="AO60" s="110">
        <f t="shared" si="34"/>
        <v>43</v>
      </c>
      <c r="AQ60" s="7"/>
      <c r="AR60" s="6"/>
      <c r="AS60" s="111"/>
      <c r="AV60" s="37"/>
    </row>
    <row r="61" spans="1:52" ht="24.6" customHeight="1">
      <c r="A61" s="80"/>
      <c r="B61" s="80"/>
      <c r="C61" s="80"/>
      <c r="D61" s="80"/>
      <c r="G61" s="80"/>
      <c r="H61" s="112"/>
      <c r="I61" s="113"/>
      <c r="K61" s="113">
        <f>43-K56-K57-K58-25</f>
        <v>1</v>
      </c>
      <c r="L61" s="113">
        <f>43-L56-L57-L58-25</f>
        <v>1</v>
      </c>
      <c r="M61" s="113">
        <f>43-M56-M57-M58-19</f>
        <v>0</v>
      </c>
      <c r="N61" s="113">
        <f>43-N56-N57-N58-19</f>
        <v>0</v>
      </c>
      <c r="O61" s="113">
        <f>43-O56-O57-O58-25</f>
        <v>2</v>
      </c>
      <c r="P61" s="113">
        <f>43-P56-P57-P58-25</f>
        <v>1</v>
      </c>
      <c r="Q61" s="113">
        <f>43-Q56-Q57-Q58-25</f>
        <v>2</v>
      </c>
      <c r="R61" s="113">
        <f>43-R56-R57-R58-25</f>
        <v>2</v>
      </c>
      <c r="S61" s="113">
        <f>43-S56-S57-S58-19</f>
        <v>0</v>
      </c>
      <c r="T61" s="113">
        <f>43-T56-T57-T58-19</f>
        <v>0</v>
      </c>
      <c r="U61" s="113">
        <f>43-U56-U57-U58-19</f>
        <v>0</v>
      </c>
      <c r="V61" s="113">
        <f>43-V56-V57-V58-25</f>
        <v>1</v>
      </c>
      <c r="W61" s="113">
        <f>43-W56-W57-W58-25</f>
        <v>1</v>
      </c>
      <c r="X61" s="113">
        <f>43-X56-X57-X58-25</f>
        <v>1</v>
      </c>
      <c r="Y61" s="113">
        <f>43-Y56-Y57-Y58-25</f>
        <v>1</v>
      </c>
      <c r="Z61" s="113">
        <f>43-Z56-Z57-Z58-25</f>
        <v>1</v>
      </c>
      <c r="AA61" s="113">
        <f>43-AA56-AA57-AA58-19</f>
        <v>0</v>
      </c>
      <c r="AB61" s="113">
        <f>43-AB56-AB57-AB58-19</f>
        <v>0</v>
      </c>
      <c r="AC61" s="113">
        <f>43-AC56-AC57-AC58-25</f>
        <v>1</v>
      </c>
      <c r="AD61" s="113">
        <f>43-AD56-AD57-AD58-25</f>
        <v>1</v>
      </c>
      <c r="AE61" s="113">
        <f>43-AE56-AE57-AE58-25</f>
        <v>1</v>
      </c>
      <c r="AF61" s="113">
        <f>43-AF56-AF57-AF58-25</f>
        <v>1</v>
      </c>
      <c r="AG61" s="113">
        <f>43-AG56-AG57-AG58-25</f>
        <v>1</v>
      </c>
      <c r="AH61" s="113">
        <f>43-AH56-AH57-AH58-19</f>
        <v>0</v>
      </c>
      <c r="AI61" s="113">
        <f>43-AI56-AI57-AI58-19</f>
        <v>0</v>
      </c>
      <c r="AJ61" s="113">
        <f>43-AJ56-AJ57-AJ58-19</f>
        <v>0</v>
      </c>
      <c r="AK61" s="113">
        <f>43-AK56-AK57-AK58-25</f>
        <v>1</v>
      </c>
      <c r="AL61" s="113">
        <f>43-AL56-AL57-AL58-25</f>
        <v>1</v>
      </c>
      <c r="AM61" s="113">
        <f>43-AM56-AM57-AM58-25</f>
        <v>1</v>
      </c>
      <c r="AN61" s="113">
        <f>43-AN56-AN57-AN58-25</f>
        <v>1</v>
      </c>
      <c r="AO61" s="113">
        <f>43-AO56-AO57-AO58-19</f>
        <v>0</v>
      </c>
    </row>
    <row r="62" spans="1:52" ht="24.6" customHeight="1">
      <c r="A62" s="80"/>
      <c r="B62" s="80"/>
      <c r="C62" s="80"/>
      <c r="D62" s="80"/>
      <c r="I62" s="80"/>
      <c r="J62" s="112" t="s">
        <v>178</v>
      </c>
      <c r="K62" s="113">
        <v>1</v>
      </c>
      <c r="L62" s="113">
        <v>1</v>
      </c>
      <c r="M62" s="113"/>
      <c r="N62" s="113"/>
      <c r="O62" s="113">
        <v>1</v>
      </c>
      <c r="P62" s="113">
        <v>1</v>
      </c>
      <c r="Q62" s="113">
        <v>2</v>
      </c>
      <c r="R62" s="113">
        <v>2</v>
      </c>
      <c r="S62" s="113"/>
      <c r="T62" s="113"/>
      <c r="U62" s="113"/>
      <c r="V62" s="113">
        <v>1</v>
      </c>
      <c r="W62" s="113">
        <v>1</v>
      </c>
      <c r="X62" s="113">
        <v>1</v>
      </c>
      <c r="Y62" s="113">
        <v>1</v>
      </c>
      <c r="Z62" s="113">
        <v>1</v>
      </c>
      <c r="AA62" s="113"/>
      <c r="AB62" s="113"/>
      <c r="AC62" s="113">
        <v>1</v>
      </c>
      <c r="AD62" s="113">
        <v>1</v>
      </c>
      <c r="AE62" s="113">
        <v>1</v>
      </c>
      <c r="AF62" s="113">
        <v>1</v>
      </c>
      <c r="AG62" s="113">
        <v>1</v>
      </c>
      <c r="AH62" s="113"/>
      <c r="AI62" s="113"/>
      <c r="AJ62" s="113"/>
      <c r="AK62" s="113">
        <v>1</v>
      </c>
      <c r="AL62" s="113"/>
      <c r="AM62" s="113"/>
      <c r="AN62" s="113"/>
      <c r="AO62" s="113"/>
      <c r="AP62" s="7"/>
    </row>
    <row r="63" spans="1:52" ht="24.6" customHeight="1" thickBot="1">
      <c r="A63" s="80"/>
      <c r="B63" s="80"/>
      <c r="C63" s="80"/>
      <c r="D63" s="80"/>
      <c r="I63" s="80"/>
      <c r="J63" s="112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</row>
    <row r="64" spans="1:52" ht="24.6" customHeight="1" thickBot="1">
      <c r="A64" s="80"/>
      <c r="B64" s="80"/>
      <c r="C64" s="80"/>
      <c r="D64" s="80"/>
      <c r="I64" s="80"/>
      <c r="J64" s="228" t="s">
        <v>47</v>
      </c>
      <c r="K64" s="299" cm="1">
        <f t="array" ref="K64">SUMPRODUCT(COUNTIF(K4:K17,{"1";"M1"}))</f>
        <v>2</v>
      </c>
      <c r="L64" s="230" cm="1">
        <f t="array" ref="L64">SUMPRODUCT(COUNTIF(L4:L17,{"1";"M1"}))</f>
        <v>1</v>
      </c>
      <c r="M64" s="231" cm="1">
        <f t="array" ref="M64">SUMPRODUCT(COUNTIF(M4:M17,{"1";"M1"}))</f>
        <v>2</v>
      </c>
      <c r="N64" s="231" cm="1">
        <f t="array" ref="N64">SUMPRODUCT(COUNTIF(N4:N17,{"1";"M1"}))</f>
        <v>3</v>
      </c>
      <c r="O64" s="230" cm="1">
        <f t="array" ref="O64">SUMPRODUCT(COUNTIF(O4:O17,{"1";"M1"}))</f>
        <v>3</v>
      </c>
      <c r="P64" s="230" cm="1">
        <f t="array" ref="P64">SUMPRODUCT(COUNTIF(P4:P17,{"1";"M1"}))</f>
        <v>2</v>
      </c>
      <c r="Q64" s="230" cm="1">
        <f t="array" ref="Q64">SUMPRODUCT(COUNTIF(Q4:Q17,{"1";"M1"}))</f>
        <v>1</v>
      </c>
      <c r="R64" s="230" cm="1">
        <f t="array" ref="R64">SUMPRODUCT(COUNTIF(R4:R17,{"1";"M1"}))</f>
        <v>1</v>
      </c>
      <c r="S64" s="231" cm="1">
        <f t="array" ref="S64">SUMPRODUCT(COUNTIF(S4:S17,{"1";"M1"}))</f>
        <v>1</v>
      </c>
      <c r="T64" s="231" cm="1">
        <f t="array" ref="T64">SUMPRODUCT(COUNTIF(T4:T17,{"1";"M1"}))</f>
        <v>2</v>
      </c>
      <c r="U64" s="231" cm="1">
        <f t="array" ref="U64">SUMPRODUCT(COUNTIF(U4:U17,{"1";"M1"}))</f>
        <v>2</v>
      </c>
      <c r="V64" s="230" cm="1">
        <f t="array" ref="V64">SUMPRODUCT(COUNTIF(V4:V17,{"1";"M1"}))</f>
        <v>1</v>
      </c>
      <c r="W64" s="230" cm="1">
        <f t="array" ref="W64">SUMPRODUCT(COUNTIF(W4:W17,{"1";"M1"}))</f>
        <v>1</v>
      </c>
      <c r="X64" s="230" cm="1">
        <f t="array" ref="X64">SUMPRODUCT(COUNTIF(X4:X17,{"1";"M1"}))</f>
        <v>2</v>
      </c>
      <c r="Y64" s="230" cm="1">
        <f t="array" ref="Y64">SUMPRODUCT(COUNTIF(Y4:Y17,{"1";"M1"}))</f>
        <v>1</v>
      </c>
      <c r="Z64" s="230" cm="1">
        <f t="array" ref="Z64">SUMPRODUCT(COUNTIF(Z4:Z17,{"1";"M1"}))</f>
        <v>1</v>
      </c>
      <c r="AA64" s="231" cm="1">
        <f t="array" ref="AA64">SUMPRODUCT(COUNTIF(AA4:AA17,{"1";"M1"}))</f>
        <v>2</v>
      </c>
      <c r="AB64" s="231" cm="1">
        <f t="array" ref="AB64">SUMPRODUCT(COUNTIF(AB4:AB17,{"1";"M1"}))</f>
        <v>2</v>
      </c>
      <c r="AC64" s="230" cm="1">
        <f t="array" ref="AC64">SUMPRODUCT(COUNTIF(AC4:AC17,{"1";"M1"}))</f>
        <v>2</v>
      </c>
      <c r="AD64" s="230" cm="1">
        <f t="array" ref="AD64">SUMPRODUCT(COUNTIF(AD4:AD17,{"1";"M1"}))</f>
        <v>1</v>
      </c>
      <c r="AE64" s="230" cm="1">
        <f t="array" ref="AE64">SUMPRODUCT(COUNTIF(AE4:AE17,{"1";"M1"}))</f>
        <v>1</v>
      </c>
      <c r="AF64" s="230" cm="1">
        <f t="array" ref="AF64">SUMPRODUCT(COUNTIF(AF4:AF17,{"1";"M1"}))</f>
        <v>2</v>
      </c>
      <c r="AG64" s="230" cm="1">
        <f t="array" ref="AG64">SUMPRODUCT(COUNTIF(AG4:AG17,{"1";"M1"}))</f>
        <v>1</v>
      </c>
      <c r="AH64" s="231" cm="1">
        <f t="array" ref="AH64">SUMPRODUCT(COUNTIF(AH4:AH17,{"1";"M1"}))</f>
        <v>0</v>
      </c>
      <c r="AI64" s="231" cm="1">
        <f t="array" ref="AI64">SUMPRODUCT(COUNTIF(AI4:AI17,{"1";"M1"}))</f>
        <v>0</v>
      </c>
      <c r="AJ64" s="231" cm="1">
        <f t="array" ref="AJ64">SUMPRODUCT(COUNTIF(AJ4:AJ17,{"1";"M1"}))</f>
        <v>0</v>
      </c>
      <c r="AK64" s="230" cm="1">
        <f t="array" ref="AK64">SUMPRODUCT(COUNTIF(AK4:AK17,{"1";"M1"}))</f>
        <v>1</v>
      </c>
      <c r="AL64" s="230" cm="1">
        <f t="array" ref="AL64">SUMPRODUCT(COUNTIF(AL4:AL17,{"1";"M1"}))</f>
        <v>1</v>
      </c>
      <c r="AM64" s="230" cm="1">
        <f t="array" ref="AM64">SUMPRODUCT(COUNTIF(AM4:AM17,{"1";"M1"}))</f>
        <v>2</v>
      </c>
      <c r="AN64" s="230" cm="1">
        <f t="array" ref="AN64">SUMPRODUCT(COUNTIF(AN4:AN17,{"1";"M1"}))</f>
        <v>3</v>
      </c>
      <c r="AO64" s="230" cm="1">
        <f t="array" ref="AO64">SUMPRODUCT(COUNTIF(AO4:AO17,{"1";"M1"}))</f>
        <v>2</v>
      </c>
    </row>
    <row r="65" spans="1:17" ht="24.6" customHeight="1">
      <c r="A65" s="80"/>
      <c r="B65" s="80"/>
      <c r="C65" s="80"/>
      <c r="D65" s="80"/>
      <c r="I65" s="80"/>
      <c r="L65" s="116"/>
      <c r="M65" s="116"/>
      <c r="N65" s="116"/>
      <c r="Q65" s="116"/>
    </row>
    <row r="117" spans="10:227" s="77" customFormat="1" ht="13.8"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7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</row>
  </sheetData>
  <autoFilter ref="AT3:AT59" xr:uid="{00000000-0009-0000-0000-000009000000}"/>
  <mergeCells count="11">
    <mergeCell ref="A2:A3"/>
    <mergeCell ref="B2:B3"/>
    <mergeCell ref="C2:C3"/>
    <mergeCell ref="D2:D3"/>
    <mergeCell ref="E2:E3"/>
    <mergeCell ref="AW2:AY2"/>
    <mergeCell ref="K1:AH1"/>
    <mergeCell ref="AI1:AK1"/>
    <mergeCell ref="AL1:AN1"/>
    <mergeCell ref="I2:I3"/>
    <mergeCell ref="J2:J3"/>
  </mergeCells>
  <conditionalFormatting sqref="K9">
    <cfRule type="expression" dxfId="83" priority="26">
      <formula>OR(K9="T早", K9="早", K9="M1", K9=1, K9="日")</formula>
    </cfRule>
  </conditionalFormatting>
  <conditionalFormatting sqref="K10:Q10 K4:AO9 K11:AO44">
    <cfRule type="expression" dxfId="3" priority="29">
      <formula>OR(K4="T早", K4="早", K4="M1", K4=1, K4="日")</formula>
    </cfRule>
  </conditionalFormatting>
  <conditionalFormatting sqref="K45:Q45 K46:AO46">
    <cfRule type="expression" dxfId="82" priority="55">
      <formula>OR(K45="T早", K45="早", K45="M1", K45=1, K45="日")</formula>
    </cfRule>
  </conditionalFormatting>
  <conditionalFormatting sqref="K4:AO9 K10:P10 R10:V10 X10 Z10:AO10 K11:AO17">
    <cfRule type="expression" dxfId="2" priority="41">
      <formula>OR(     SUM(COUNTIF(K4:Q4, 上班代號)) &gt; 6,     AND(COLUMN()&gt;11, OR(         AND(SUM(COUNTIF(OFFSET(K4,0,-1), 中班組)), SUM(COUNTIF(K4, 早班組), COUNTIF(K4, 晚班組))),         AND(SUM(COUNTIF(OFFSET(K4,0,-1), 早班組)), SUM(COUNTIF(K4, 晚班組)))     )) )</formula>
    </cfRule>
    <cfRule type="expression" dxfId="1" priority="40">
      <formula>OR(K4="晚", K4=3, K4="大夜")</formula>
    </cfRule>
  </conditionalFormatting>
  <conditionalFormatting sqref="K18:AO44 X44:X45 K45:P45 R45:V45 Z45:AO45 K46:AO46">
    <cfRule type="expression" dxfId="81" priority="75">
      <formula>OR(K18="晚", K18=3, K18="大夜")</formula>
    </cfRule>
    <cfRule type="expression" dxfId="80" priority="76">
      <formula>OR(     SUM(COUNTIF(K18:Q18, 上班代號)) &gt; 6,     AND(COLUMN()&gt;11, OR(         AND(SUM(COUNTIF(OFFSET(K18,0,-1), 中班組)), SUM(COUNTIF(K18, 早班組), COUNTIF(K18, 晚班組))),         AND(SUM(COUNTIF(OFFSET(K18,0,-1), 早班組)), SUM(COUNTIF(K18, 晚班組)))     )) )</formula>
    </cfRule>
  </conditionalFormatting>
  <conditionalFormatting sqref="K47:AO47">
    <cfRule type="cellIs" dxfId="79" priority="361" operator="greaterThan">
      <formula>5</formula>
    </cfRule>
  </conditionalFormatting>
  <conditionalFormatting sqref="K47:AO55">
    <cfRule type="cellIs" dxfId="78" priority="363" operator="equal">
      <formula>4</formula>
    </cfRule>
    <cfRule type="cellIs" dxfId="77" priority="362" operator="equal">
      <formula>5</formula>
    </cfRule>
    <cfRule type="cellIs" dxfId="76" priority="364" operator="equal">
      <formula>3</formula>
    </cfRule>
    <cfRule type="cellIs" dxfId="75" priority="365" operator="equal">
      <formula>2</formula>
    </cfRule>
    <cfRule type="cellIs" dxfId="74" priority="366" operator="equal">
      <formula>1</formula>
    </cfRule>
  </conditionalFormatting>
  <conditionalFormatting sqref="K53:AO55">
    <cfRule type="cellIs" dxfId="73" priority="367" operator="equal">
      <formula>"T中"</formula>
    </cfRule>
  </conditionalFormatting>
  <conditionalFormatting sqref="L45">
    <cfRule type="expression" dxfId="72" priority="19">
      <formula>OR(L45="T早", L45="早", L45="M1", L45=1, L45="日")</formula>
    </cfRule>
  </conditionalFormatting>
  <conditionalFormatting sqref="P31">
    <cfRule type="expression" dxfId="71" priority="5">
      <formula>OR(P31="晚", P31=3, P31="大夜")</formula>
    </cfRule>
    <cfRule type="expression" dxfId="70" priority="6">
      <formula>OR(     SUM(COUNTIF(P31:V31, 上班代號)) &gt; 6,     AND(COLUMN()&gt;11, OR(         AND(SUM(COUNTIF(OFFSET(P31,0,-1), 中班組)), SUM(COUNTIF(P31, 早班組), COUNTIF(P31, 晚班組))),         AND(SUM(COUNTIF(OFFSET(P31,0,-1), 早班組)), SUM(COUNTIF(P31, 晚班組)))     )) )</formula>
    </cfRule>
  </conditionalFormatting>
  <conditionalFormatting sqref="P10:Q10">
    <cfRule type="expression" dxfId="69" priority="27">
      <formula>OR(P10="晚", P10=3, P10="大夜")</formula>
    </cfRule>
    <cfRule type="expression" dxfId="68" priority="28">
      <formula>OR(P10="T中", P10="中", P10=2, P10="小夜")</formula>
    </cfRule>
    <cfRule type="expression" dxfId="67" priority="30">
      <formula>OR(     SUM(COUNTIF(P10:V10, 上班代號)) &gt; 6,     AND(COLUMN()&gt;11, OR(         AND(SUM(COUNTIF(OFFSET(P10,0,-1), 中班組)), SUM(COUNTIF(P10, 早班組), COUNTIF(P10, 晚班組))),         AND(SUM(COUNTIF(OFFSET(P10,0,-1), 早班組)), SUM(COUNTIF(P10, 晚班組)))     )) )</formula>
    </cfRule>
  </conditionalFormatting>
  <conditionalFormatting sqref="P45:Q45">
    <cfRule type="expression" dxfId="66" priority="52">
      <formula>OR(     SUM(COUNTIF(P45:V45, 上班代號)) &gt; 6,     AND(COLUMN()&gt;11, OR(         AND(SUM(COUNTIF(OFFSET(P45,0,-1), 中班組)), SUM(COUNTIF(P45, 早班組), COUNTIF(P45, 晚班組))),         AND(SUM(COUNTIF(OFFSET(P45,0,-1), 早班組)), SUM(COUNTIF(P45, 晚班組)))     )) )</formula>
    </cfRule>
    <cfRule type="expression" dxfId="65" priority="50">
      <formula>OR(P45="T中", P45="中", P45=2, P45="小夜")</formula>
    </cfRule>
    <cfRule type="expression" dxfId="64" priority="49">
      <formula>OR(P45="晚", P45=3, P45="大夜")</formula>
    </cfRule>
  </conditionalFormatting>
  <conditionalFormatting sqref="R10:W10">
    <cfRule type="expression" dxfId="63" priority="33">
      <formula>OR(R10="T早", R10="早", R10="M1", R10=1, R10="日")</formula>
    </cfRule>
  </conditionalFormatting>
  <conditionalFormatting sqref="R45:W45">
    <cfRule type="expression" dxfId="62" priority="63">
      <formula>OR(R45="T早", R45="早", R45="M1", R45=1, R45="日")</formula>
    </cfRule>
  </conditionalFormatting>
  <conditionalFormatting sqref="W10">
    <cfRule type="expression" dxfId="61" priority="34">
      <formula>OR(     SUM(COUNTIF(W10:AC10, 上班代號)) &gt; 6,     AND(COLUMN()&gt;11, OR(         AND(SUM(COUNTIF(OFFSET(W10,0,-1), 中班組)), SUM(COUNTIF(W10, 早班組), COUNTIF(W10, 晚班組))),         AND(SUM(COUNTIF(OFFSET(W10,0,-1), 早班組)), SUM(COUNTIF(W10, 晚班組)))     )) )</formula>
    </cfRule>
    <cfRule type="expression" dxfId="60" priority="31">
      <formula>OR(W10="晚", W10=3, W10="大夜")</formula>
    </cfRule>
    <cfRule type="expression" dxfId="59" priority="32">
      <formula>OR(W10="T中", W10="中", W10=2, W10="小夜")</formula>
    </cfRule>
  </conditionalFormatting>
  <conditionalFormatting sqref="W45">
    <cfRule type="expression" dxfId="58" priority="61">
      <formula>OR(W45="晚", W45=3, W45="大夜")</formula>
    </cfRule>
    <cfRule type="expression" dxfId="57" priority="62">
      <formula>OR(W45="T中", W45="中", W45=2, W45="小夜")</formula>
    </cfRule>
    <cfRule type="expression" dxfId="56" priority="64">
      <formula>OR(     SUM(COUNTIF(W45:AC45, 上班代號)) &gt; 6,     AND(COLUMN()&gt;11, OR(         AND(SUM(COUNTIF(OFFSET(W45,0,-1), 中班組)), SUM(COUNTIF(W45, 早班組), COUNTIF(W45, 晚班組))),         AND(SUM(COUNTIF(OFFSET(W45,0,-1), 早班組)), SUM(COUNTIF(W45, 晚班組)))     )) )</formula>
    </cfRule>
  </conditionalFormatting>
  <conditionalFormatting sqref="X10 Z10:AO10 R10:V10 K10:P10 K4:AO9 K11:AO44">
    <cfRule type="expression" dxfId="0" priority="39">
      <formula>OR(K4="T中", K4="中", K4=2, K4="小夜")</formula>
    </cfRule>
  </conditionalFormatting>
  <conditionalFormatting sqref="X44:X45 Z45:AO45 R45:V45 K45:P45 K46:AO46">
    <cfRule type="expression" dxfId="55" priority="74">
      <formula>OR(K44="T中", K44="中", K44=2, K44="小夜")</formula>
    </cfRule>
  </conditionalFormatting>
  <conditionalFormatting sqref="X45">
    <cfRule type="expression" dxfId="54" priority="44">
      <formula>OR(X45="T早", X45="早", X45="M1", X45=1, X45="日")</formula>
    </cfRule>
  </conditionalFormatting>
  <conditionalFormatting sqref="X10:AO10">
    <cfRule type="expression" dxfId="53" priority="37">
      <formula>OR(X10="T早", X10="早", X10="M1", X10=1, X10="日")</formula>
    </cfRule>
  </conditionalFormatting>
  <conditionalFormatting sqref="X45:AO45">
    <cfRule type="expression" dxfId="52" priority="67">
      <formula>OR(X45="T早", X45="早", X45="M1", X45=1, X45="日")</formula>
    </cfRule>
  </conditionalFormatting>
  <conditionalFormatting sqref="Y10">
    <cfRule type="expression" dxfId="51" priority="38">
      <formula>OR(     SUM(COUNTIF(Y10:AE10, 上班代號)) &gt; 6,     AND(COLUMN()&gt;11, OR(         AND(SUM(COUNTIF(OFFSET(Y10,0,-1), 中班組)), SUM(COUNTIF(Y10, 早班組), COUNTIF(Y10, 晚班組))),         AND(SUM(COUNTIF(OFFSET(Y10,0,-1), 早班組)), SUM(COUNTIF(Y10, 晚班組)))     )) )</formula>
    </cfRule>
    <cfRule type="expression" dxfId="50" priority="35">
      <formula>OR(Y10="晚", Y10=3, Y10="大夜")</formula>
    </cfRule>
    <cfRule type="expression" dxfId="49" priority="36">
      <formula>OR(Y10="T中", Y10="中", Y10=2, Y10="小夜")</formula>
    </cfRule>
  </conditionalFormatting>
  <conditionalFormatting sqref="Y45">
    <cfRule type="expression" dxfId="48" priority="66">
      <formula>OR(Y45="T中", Y45="中", Y45=2, Y45="小夜")</formula>
    </cfRule>
    <cfRule type="expression" dxfId="47" priority="68">
      <formula>OR(     SUM(COUNTIF(Y45:AE45, 上班代號)) &gt; 6,     AND(COLUMN()&gt;11, OR(         AND(SUM(COUNTIF(OFFSET(Y45,0,-1), 中班組)), SUM(COUNTIF(Y45, 早班組), COUNTIF(Y45, 晚班組))),         AND(SUM(COUNTIF(OFFSET(Y45,0,-1), 早班組)), SUM(COUNTIF(Y45, 晚班組)))     )) )</formula>
    </cfRule>
    <cfRule type="expression" dxfId="46" priority="65">
      <formula>OR(Y45="晚", Y45=3, Y45="大夜")</formula>
    </cfRule>
  </conditionalFormatting>
  <conditionalFormatting sqref="AA10">
    <cfRule type="expression" dxfId="45" priority="18">
      <formula>OR(AA10="T早", AA10="早", AA10="M1", AA10=1, AA10="日")</formula>
    </cfRule>
  </conditionalFormatting>
  <conditionalFormatting sqref="AA20">
    <cfRule type="expression" dxfId="44" priority="16">
      <formula>OR(     SUM(COUNTIF(AA20:AG20, 上班代號)) &gt; 6,     AND(COLUMN()&gt;11, OR(         AND(SUM(COUNTIF(OFFSET(AA20,0,-1), 中班組)), SUM(COUNTIF(AA20, 早班組), COUNTIF(AA20, 晚班組))),         AND(SUM(COUNTIF(OFFSET(AA20,0,-1), 早班組)), SUM(COUNTIF(AA20, 晚班組)))     )) )</formula>
    </cfRule>
    <cfRule type="expression" dxfId="43" priority="15">
      <formula>OR(AA20="晚", AA20=3, AA20="大夜")</formula>
    </cfRule>
  </conditionalFormatting>
  <conditionalFormatting sqref="AE10:AF10">
    <cfRule type="expression" dxfId="42" priority="21">
      <formula>OR(AE10="T早", AE10="早", AE10="M1", AE10=1, AE10="日")</formula>
    </cfRule>
  </conditionalFormatting>
  <conditionalFormatting sqref="AG10:AG11">
    <cfRule type="expression" dxfId="41" priority="23">
      <formula>OR(AG10="T早", AG10="早", AG10="M1", AG10=1, AG10="日")</formula>
    </cfRule>
  </conditionalFormatting>
  <conditionalFormatting sqref="AH10">
    <cfRule type="expression" dxfId="40" priority="17">
      <formula>OR(AH10="T早", AH10="早", AH10="M1", AH10=1, AH10="日")</formula>
    </cfRule>
  </conditionalFormatting>
  <conditionalFormatting sqref="AM6:AN6">
    <cfRule type="expression" dxfId="39" priority="2">
      <formula>OR(     SUM(COUNTIF(AM6:AS6, 上班代號)) &gt; 6,     AND(COLUMN()&gt;11, OR(         AND(SUM(COUNTIF(OFFSET(AM6,0,-1), 中班組)), SUM(COUNTIF(AM6, 早班組), COUNTIF(AM6, 晚班組))),         AND(SUM(COUNTIF(OFFSET(AM6,0,-1), 早班組)), SUM(COUNTIF(AM6, 晚班組)))     )) )</formula>
    </cfRule>
    <cfRule type="expression" dxfId="38" priority="1">
      <formula>OR(AM6="晚", AM6=3, AM6="大夜")</formula>
    </cfRule>
  </conditionalFormatting>
  <conditionalFormatting sqref="AN8">
    <cfRule type="expression" dxfId="37" priority="13">
      <formula>OR(AN8="晚", AN8=3, AN8="大夜")</formula>
    </cfRule>
    <cfRule type="expression" dxfId="36" priority="14">
      <formula>OR(     SUM(COUNTIF(AN8:AT8, 上班代號)) &gt; 6,     AND(COLUMN()&gt;11, OR(         AND(SUM(COUNTIF(OFFSET(AN8,0,-1), 中班組)), SUM(COUNTIF(AN8, 早班組), COUNTIF(AN8, 晚班組))),         AND(SUM(COUNTIF(OFFSET(AN8,0,-1), 早班組)), SUM(COUNTIF(AN8, 晚班組)))     )) )</formula>
    </cfRule>
  </conditionalFormatting>
  <conditionalFormatting sqref="AN30:AN31">
    <cfRule type="expression" dxfId="35" priority="10">
      <formula>OR(     SUM(COUNTIF(AN30:AT30, 上班代號)) &gt; 6,     AND(COLUMN()&gt;11, OR(         AND(SUM(COUNTIF(OFFSET(AN30,0,-1), 中班組)), SUM(COUNTIF(AN30, 早班組), COUNTIF(AN30, 晚班組))),         AND(SUM(COUNTIF(OFFSET(AN30,0,-1), 早班組)), SUM(COUNTIF(AN30, 晚班組)))     )) )</formula>
    </cfRule>
    <cfRule type="expression" dxfId="34" priority="9">
      <formula>OR(AN30="晚", AN30=3, AN30="大夜")</formula>
    </cfRule>
  </conditionalFormatting>
  <conditionalFormatting sqref="AN42">
    <cfRule type="expression" dxfId="33" priority="8">
      <formula>OR(     SUM(COUNTIF(AN42:AT42, 上班代號)) &gt; 6,     AND(COLUMN()&gt;11, OR(         AND(SUM(COUNTIF(OFFSET(AN42,0,-1), 中班組)), SUM(COUNTIF(AN42, 早班組), COUNTIF(AN42, 晚班組))),         AND(SUM(COUNTIF(OFFSET(AN42,0,-1), 早班組)), SUM(COUNTIF(AN42, 晚班組)))     )) )</formula>
    </cfRule>
    <cfRule type="expression" dxfId="32" priority="7">
      <formula>OR(AN42="晚", AN42=3, AN42="大夜")</formula>
    </cfRule>
  </conditionalFormatting>
  <conditionalFormatting sqref="AP23">
    <cfRule type="cellIs" dxfId="31" priority="385" operator="equal">
      <formula>3</formula>
    </cfRule>
    <cfRule type="cellIs" dxfId="30" priority="383" operator="equal">
      <formula>"大夜"</formula>
    </cfRule>
    <cfRule type="cellIs" dxfId="29" priority="384" operator="equal">
      <formula>"晚"</formula>
    </cfRule>
    <cfRule type="cellIs" dxfId="28" priority="395" operator="equal">
      <formula>1</formula>
    </cfRule>
    <cfRule type="cellIs" dxfId="27" priority="386" operator="equal">
      <formula>"小夜"</formula>
    </cfRule>
    <cfRule type="cellIs" dxfId="26" priority="387" operator="equal">
      <formula>"T中"</formula>
    </cfRule>
    <cfRule type="cellIs" dxfId="25" priority="388" operator="equal">
      <formula>"中"</formula>
    </cfRule>
    <cfRule type="cellIs" dxfId="24" priority="389" operator="equal">
      <formula>"M2"</formula>
    </cfRule>
    <cfRule type="cellIs" dxfId="23" priority="390" operator="equal">
      <formula>2</formula>
    </cfRule>
    <cfRule type="cellIs" dxfId="22" priority="391" operator="equal">
      <formula>"日"</formula>
    </cfRule>
    <cfRule type="cellIs" dxfId="21" priority="392" operator="equal">
      <formula>"T早"</formula>
    </cfRule>
    <cfRule type="cellIs" dxfId="20" priority="393" operator="equal">
      <formula>"早"</formula>
    </cfRule>
    <cfRule type="cellIs" dxfId="19" priority="394" operator="equal">
      <formula>"M1"</formula>
    </cfRule>
  </conditionalFormatting>
  <conditionalFormatting sqref="AP30:AP34">
    <cfRule type="cellIs" dxfId="18" priority="379" operator="equal">
      <formula>"M1"</formula>
    </cfRule>
    <cfRule type="cellIs" dxfId="17" priority="380" operator="equal">
      <formula>1</formula>
    </cfRule>
    <cfRule type="cellIs" dxfId="16" priority="378" operator="equal">
      <formula>"早"</formula>
    </cfRule>
    <cfRule type="cellIs" dxfId="15" priority="368" operator="equal">
      <formula>"大夜"</formula>
    </cfRule>
    <cfRule type="cellIs" dxfId="14" priority="369" operator="equal">
      <formula>"晚"</formula>
    </cfRule>
    <cfRule type="cellIs" dxfId="13" priority="370" operator="equal">
      <formula>3</formula>
    </cfRule>
    <cfRule type="cellIs" dxfId="12" priority="371" operator="equal">
      <formula>"小夜"</formula>
    </cfRule>
    <cfRule type="cellIs" dxfId="11" priority="372" operator="equal">
      <formula>"T中"</formula>
    </cfRule>
    <cfRule type="cellIs" dxfId="10" priority="373" operator="equal">
      <formula>"中"</formula>
    </cfRule>
    <cfRule type="cellIs" dxfId="9" priority="374" operator="equal">
      <formula>"M2"</formula>
    </cfRule>
    <cfRule type="cellIs" dxfId="8" priority="376" operator="equal">
      <formula>"日"</formula>
    </cfRule>
    <cfRule type="cellIs" dxfId="7" priority="377" operator="equal">
      <formula>"T早"</formula>
    </cfRule>
    <cfRule type="cellIs" dxfId="6" priority="375" operator="equal">
      <formula>2</formula>
    </cfRule>
  </conditionalFormatting>
  <conditionalFormatting sqref="AS4:AS46">
    <cfRule type="cellIs" dxfId="5" priority="381" operator="equal">
      <formula>-2</formula>
    </cfRule>
    <cfRule type="cellIs" dxfId="4" priority="382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Hsu, Jason 許聖章 (27228)</dc:creator>
  <cp:lastModifiedBy>Hsu, Jason 許聖章 (27228)</cp:lastModifiedBy>
  <dcterms:created xsi:type="dcterms:W3CDTF">2025-09-22T01:47:21Z</dcterms:created>
  <dcterms:modified xsi:type="dcterms:W3CDTF">2026-10-12T05:34:50Z</dcterms:modified>
</cp:coreProperties>
</file>